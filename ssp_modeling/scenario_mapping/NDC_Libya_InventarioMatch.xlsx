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fabianfuentes/git/ssp_libya/ssp_modeling/scenario_mapping/"/>
    </mc:Choice>
  </mc:AlternateContent>
  <xr:revisionPtr revIDLastSave="0" documentId="13_ncr:1_{26AB1892-BE7D-A147-8302-25595E3D4795}" xr6:coauthVersionLast="47" xr6:coauthVersionMax="47" xr10:uidLastSave="{00000000-0000-0000-0000-000000000000}"/>
  <bookViews>
    <workbookView xWindow="-31280" yWindow="-7160" windowWidth="24520" windowHeight="23380" xr2:uid="{00000000-000D-0000-FFFF-FFFF00000000}"/>
  </bookViews>
  <sheets>
    <sheet name="Inventory × NDC" sheetId="1" r:id="rId1"/>
    <sheet name="Historical Trend 2017-2023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1" l="1"/>
  <c r="N11" i="1"/>
  <c r="N12" i="1" l="1"/>
  <c r="N13" i="1" l="1"/>
  <c r="N5" i="1"/>
  <c r="N14" i="1"/>
  <c r="N15" i="1"/>
  <c r="N16" i="1"/>
  <c r="N17" i="1"/>
  <c r="N4" i="1"/>
  <c r="R18" i="1"/>
  <c r="M18" i="1"/>
  <c r="L18" i="1"/>
</calcChain>
</file>

<file path=xl/sharedStrings.xml><?xml version="1.0" encoding="utf-8"?>
<sst xmlns="http://schemas.openxmlformats.org/spreadsheetml/2006/main" count="125" uniqueCount="76">
  <si>
    <t>Libya NDC — Historical GHG Inventory 2017-2023 × NDC Mitigation Targets 2026-2035</t>
  </si>
  <si>
    <t>IDENTIFICATION</t>
  </si>
  <si>
    <t>HISTORICAL EMISSIONS (MtCO₂e)</t>
  </si>
  <si>
    <t>NDC
Mitigation
Cumul.</t>
  </si>
  <si>
    <t>SSP
Mitigation
Cumul.</t>
  </si>
  <si>
    <t>INVESTMENT NEEDS
(NDC Libya, B USD)</t>
  </si>
  <si>
    <t>NDC
Axis</t>
  </si>
  <si>
    <t>NDC Measure</t>
  </si>
  <si>
    <t>IPCC
Code</t>
  </si>
  <si>
    <t>SISEPUEDE
Sector</t>
  </si>
  <si>
    <t>2017</t>
  </si>
  <si>
    <t>2018</t>
  </si>
  <si>
    <t>2019</t>
  </si>
  <si>
    <t>2020</t>
  </si>
  <si>
    <t>2021</t>
  </si>
  <si>
    <t>2022</t>
  </si>
  <si>
    <t>2023</t>
  </si>
  <si>
    <t>NDC Mitigation
2026-2035
(MtCO₂e)</t>
  </si>
  <si>
    <t>SSP Mitigation
2026-2035
(MtCO₂e)</t>
  </si>
  <si>
    <t>Capex
Unconditional
(B USD)</t>
  </si>
  <si>
    <t>Capex
Conditional
(B USD)</t>
  </si>
  <si>
    <t>Capex
TOTAL
(B USD)</t>
  </si>
  <si>
    <t>Gas Flaring Recovery</t>
  </si>
  <si>
    <t>1.B</t>
  </si>
  <si>
    <t>Energy (Fugitive)</t>
  </si>
  <si>
    <t>🔴 CRITICAL</t>
  </si>
  <si>
    <t>Tree Planting Programme (100M)</t>
  </si>
  <si>
    <t>3.B.1</t>
  </si>
  <si>
    <t>AFOLU (Forest)</t>
  </si>
  <si>
    <t>Electricity Demand Efficiency</t>
  </si>
  <si>
    <t>1.A.2+1.A.4</t>
  </si>
  <si>
    <t>Energy (Stationary)</t>
  </si>
  <si>
    <t>🟠 HIGH</t>
  </si>
  <si>
    <t>Thermal Energy Demand</t>
  </si>
  <si>
    <t>🟡 MEDIUM</t>
  </si>
  <si>
    <t>Power Generation Efficiency</t>
  </si>
  <si>
    <t>1.A.1</t>
  </si>
  <si>
    <t>Energy (Electricity)</t>
  </si>
  <si>
    <t>Renewable in Power Generation</t>
  </si>
  <si>
    <t>Cement Production (Processes)</t>
  </si>
  <si>
    <t>2.A</t>
  </si>
  <si>
    <t>IPPU (Mineral)</t>
  </si>
  <si>
    <t>🟢 LOW</t>
  </si>
  <si>
    <t>Cement Production (Energy)</t>
  </si>
  <si>
    <t>1.A.2</t>
  </si>
  <si>
    <t>Iron &amp; Steel</t>
  </si>
  <si>
    <t>2.C+1.A.2</t>
  </si>
  <si>
    <t>IPPU + Energy</t>
  </si>
  <si>
    <t>HFCs Reduction</t>
  </si>
  <si>
    <t>2.F+2.B+2.C</t>
  </si>
  <si>
    <t>IPPU (HFCs)</t>
  </si>
  <si>
    <t>Solid Waste Sector</t>
  </si>
  <si>
    <t>4.A</t>
  </si>
  <si>
    <t>Circular Economy</t>
  </si>
  <si>
    <t>Wastewater Sector</t>
  </si>
  <si>
    <t>4.D</t>
  </si>
  <si>
    <t>Agriculture Sector</t>
  </si>
  <si>
    <t>3.A+3.C</t>
  </si>
  <si>
    <t>AFOLU (Agriculture)</t>
  </si>
  <si>
    <t>Transport Sector</t>
  </si>
  <si>
    <t>1.A.3</t>
  </si>
  <si>
    <t>Energy (Transportation)</t>
  </si>
  <si>
    <t>TOTAL</t>
  </si>
  <si>
    <t>Full inventory (unique sectors, no double counting)</t>
  </si>
  <si>
    <t>⚠ Notes: Axes 3 &amp; 4 share subsectors 1.A.2+1.A.4 | Axes 5 &amp; 6 share 1.A.1 | Axis 2 (Forest) negative values = CO₂ absorption (carbon sink) | TOTAL row uses unique sectors to avoid double counting | Units: MtCO₂e | Capex from NDC Libya investment slide (MUS$ ÷ 1,000 = B USD); Unconditional = own resources, Conditional = intl. finance needed</t>
  </si>
  <si>
    <t>Axis</t>
  </si>
  <si>
    <t>Priority</t>
  </si>
  <si>
    <t>Abs. Change
2017→2023
(MtCO₂e)</t>
  </si>
  <si>
    <t>% Change
2017→2023</t>
  </si>
  <si>
    <t>Trend</t>
  </si>
  <si>
    <t>↗ INCREASING</t>
  </si>
  <si>
    <t>↘ DECREASING</t>
  </si>
  <si>
    <t>→ STABLE</t>
  </si>
  <si>
    <t>SSP Capex
TOTAL
(B USD)</t>
  </si>
  <si>
    <t>Error</t>
  </si>
  <si>
    <t>3500/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</si>
</sst>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0.0%;\-0.0%;0.0%"/>
    <numFmt numFmtId="165" formatCode="0.000"/>
  </numFmts>
  <fonts count="22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0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9"/>
      <color rgb="FF1A1A2E"/>
      <name val="Calibri"/>
      <family val="2"/>
    </font>
    <font>
      <b/>
      <sz val="9"/>
      <color rgb="FF1E8449"/>
      <name val="Calibri"/>
      <family val="2"/>
    </font>
    <font>
      <b/>
      <sz val="9"/>
      <color rgb="FFCC0000"/>
      <name val="Calibri"/>
      <family val="2"/>
    </font>
    <font>
      <b/>
      <sz val="9"/>
      <color rgb="FF888888"/>
      <name val="Calibri"/>
      <family val="2"/>
    </font>
    <font>
      <i/>
      <sz val="8"/>
      <color rgb="FF555555"/>
      <name val="Calibri"/>
      <family val="2"/>
    </font>
    <font>
      <b/>
      <sz val="10"/>
      <color rgb="FFCC0000"/>
      <name val="Calibri"/>
      <family val="2"/>
    </font>
    <font>
      <b/>
      <sz val="10"/>
      <color rgb="FF1E8449"/>
      <name val="Calibri"/>
      <family val="2"/>
    </font>
    <font>
      <b/>
      <sz val="10"/>
      <color rgb="FF888888"/>
      <name val="Calibri"/>
      <family val="2"/>
    </font>
    <font>
      <b/>
      <sz val="9"/>
      <color rgb="FFFF0000"/>
      <name val="Calibri"/>
      <family val="2"/>
    </font>
    <font>
      <b/>
      <sz val="10"/>
      <color rgb="FFFFFFFF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b/>
      <sz val="9"/>
      <color rgb="FF1B4F35"/>
      <name val="Calibri"/>
      <family val="2"/>
    </font>
    <font>
      <sz val="9"/>
      <color rgb="FFAAAAAA"/>
      <name val="Calibri"/>
      <family val="2"/>
    </font>
    <font>
      <b/>
      <sz val="9"/>
      <color rgb="FFAAAAAA"/>
      <name val="Calibri"/>
      <family val="2"/>
    </font>
    <font>
      <sz val="11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D1B2A"/>
        <bgColor rgb="FF0D1B2A"/>
      </patternFill>
    </fill>
    <fill>
      <patternFill patternType="solid">
        <fgColor rgb="FF2C3E50"/>
        <bgColor rgb="FF2C3E50"/>
      </patternFill>
    </fill>
    <fill>
      <patternFill patternType="solid">
        <fgColor rgb="FF1A5276"/>
        <bgColor rgb="FF1A5276"/>
      </patternFill>
    </fill>
    <fill>
      <patternFill patternType="solid">
        <fgColor rgb="FF1E8449"/>
        <bgColor rgb="FF1E8449"/>
      </patternFill>
    </fill>
    <fill>
      <patternFill patternType="solid">
        <fgColor rgb="FF1F3864"/>
        <bgColor rgb="FF1F3864"/>
      </patternFill>
    </fill>
    <fill>
      <patternFill patternType="solid">
        <fgColor rgb="FFFADBD8"/>
        <bgColor rgb="FFFADBD8"/>
      </patternFill>
    </fill>
    <fill>
      <patternFill patternType="solid">
        <fgColor rgb="FFFF6B6B"/>
        <bgColor rgb="FFFF6B6B"/>
      </patternFill>
    </fill>
    <fill>
      <patternFill patternType="solid">
        <fgColor rgb="FFEBF5FB"/>
        <bgColor rgb="FFEBF5FB"/>
      </patternFill>
    </fill>
    <fill>
      <patternFill patternType="solid">
        <fgColor rgb="FFD6EAF8"/>
        <bgColor rgb="FFD6EAF8"/>
      </patternFill>
    </fill>
    <fill>
      <patternFill patternType="solid">
        <fgColor rgb="FFC2D9F3"/>
        <bgColor rgb="FFC2D9F3"/>
      </patternFill>
    </fill>
    <fill>
      <patternFill patternType="solid">
        <fgColor rgb="FFAEC6EE"/>
        <bgColor rgb="FFAEC6EE"/>
      </patternFill>
    </fill>
    <fill>
      <patternFill patternType="solid">
        <fgColor rgb="FF9AB3E9"/>
        <bgColor rgb="FF9AB3E9"/>
      </patternFill>
    </fill>
    <fill>
      <patternFill patternType="solid">
        <fgColor rgb="FF86A0E4"/>
        <bgColor rgb="FF86A0E4"/>
      </patternFill>
    </fill>
    <fill>
      <patternFill patternType="solid">
        <fgColor rgb="FFD5F5E3"/>
        <bgColor rgb="FFD5F5E3"/>
      </patternFill>
    </fill>
    <fill>
      <patternFill patternType="solid">
        <fgColor rgb="FFFFAA55"/>
        <bgColor rgb="FFFFAA55"/>
      </patternFill>
    </fill>
    <fill>
      <patternFill patternType="solid">
        <fgColor rgb="FFFFE566"/>
        <bgColor rgb="FFFFE566"/>
      </patternFill>
    </fill>
    <fill>
      <patternFill patternType="solid">
        <fgColor rgb="FFD4E6F1"/>
        <bgColor rgb="FFD4E6F1"/>
      </patternFill>
    </fill>
    <fill>
      <patternFill patternType="solid">
        <fgColor rgb="FFFFF3CD"/>
        <bgColor rgb="FFFFF3CD"/>
      </patternFill>
    </fill>
    <fill>
      <patternFill patternType="solid">
        <fgColor rgb="FF66CC88"/>
        <bgColor rgb="FF66CC88"/>
      </patternFill>
    </fill>
    <fill>
      <patternFill patternType="solid">
        <fgColor rgb="FFF0E6FF"/>
        <bgColor rgb="FFF0E6FF"/>
      </patternFill>
    </fill>
    <fill>
      <patternFill patternType="solid">
        <fgColor rgb="FFE8DAEF"/>
        <bgColor rgb="FFE8DAEF"/>
      </patternFill>
    </fill>
    <fill>
      <patternFill patternType="solid">
        <fgColor rgb="FFD1F2EB"/>
        <bgColor rgb="FFD1F2EB"/>
      </patternFill>
    </fill>
    <fill>
      <patternFill patternType="solid">
        <fgColor rgb="FFF8F9FA"/>
        <bgColor rgb="FFF8F9FA"/>
      </patternFill>
    </fill>
    <fill>
      <patternFill patternType="solid">
        <fgColor rgb="FFA9DFBF"/>
        <bgColor rgb="FFA9DFBF"/>
      </patternFill>
    </fill>
    <fill>
      <patternFill patternType="solid">
        <fgColor rgb="FFFDEBD0"/>
        <bgColor rgb="FFFDEBD0"/>
      </patternFill>
    </fill>
    <fill>
      <patternFill patternType="solid">
        <fgColor rgb="FF1B2631"/>
        <bgColor rgb="FF1B2631"/>
      </patternFill>
    </fill>
    <fill>
      <patternFill patternType="solid">
        <fgColor rgb="FF2E4057"/>
        <bgColor rgb="FF2E4057"/>
      </patternFill>
    </fill>
    <fill>
      <patternFill patternType="solid">
        <fgColor theme="9" tint="-0.249977111117893"/>
        <bgColor rgb="FF1E8449"/>
      </patternFill>
    </fill>
    <fill>
      <patternFill patternType="solid">
        <fgColor rgb="FF117A65"/>
        <bgColor rgb="FF117A65"/>
      </patternFill>
    </fill>
    <fill>
      <patternFill patternType="solid">
        <fgColor rgb="FFA9DFBF"/>
        <bgColor rgb="FFA9DFBF"/>
      </patternFill>
    </fill>
    <fill>
      <patternFill patternType="solid">
        <fgColor rgb="FFD5F5E3"/>
        <bgColor rgb="FFD5F5E3"/>
      </patternFill>
    </fill>
    <fill>
      <patternFill patternType="solid">
        <fgColor rgb="FF27AE60"/>
        <bgColor rgb="FF27AE60"/>
      </patternFill>
    </fill>
    <fill>
      <patternFill patternType="solid">
        <fgColor rgb="FF1E8449"/>
        <bgColor rgb="FF1E8449"/>
      </patternFill>
    </fill>
    <fill>
      <patternFill patternType="solid">
        <fgColor rgb="FFF2F3F4"/>
        <bgColor rgb="FFF2F3F4"/>
      </patternFill>
    </fill>
    <fill>
      <patternFill patternType="solid">
        <fgColor theme="7" tint="0.79998168889431442"/>
        <bgColor rgb="FFFFF3CD"/>
      </patternFill>
    </fill>
    <fill>
      <patternFill patternType="solid">
        <fgColor theme="7" tint="0.79998168889431442"/>
        <bgColor rgb="FFF0E6FF"/>
      </patternFill>
    </fill>
    <fill>
      <patternFill patternType="solid">
        <fgColor theme="7" tint="0.79998168889431442"/>
        <bgColor rgb="FFE8DAEF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2">
    <xf numFmtId="0" fontId="0" fillId="0" borderId="0"/>
    <xf numFmtId="9" fontId="21" fillId="0" borderId="0" applyFont="0" applyFill="0" applyBorder="0" applyAlignment="0" applyProtection="0"/>
  </cellStyleXfs>
  <cellXfs count="108">
    <xf numFmtId="0" fontId="0" fillId="0" borderId="0" xfId="0"/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164" fontId="8" fillId="7" borderId="1" xfId="0" applyNumberFormat="1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center" vertical="center" wrapText="1"/>
    </xf>
    <xf numFmtId="164" fontId="7" fillId="15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left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left" vertical="center" wrapText="1"/>
    </xf>
    <xf numFmtId="0" fontId="4" fillId="20" borderId="1" xfId="0" applyFont="1" applyFill="1" applyBorder="1" applyAlignment="1">
      <alignment horizontal="center" vertical="center" wrapText="1"/>
    </xf>
    <xf numFmtId="0" fontId="4" fillId="21" borderId="1" xfId="0" applyFont="1" applyFill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left" vertical="center" wrapText="1"/>
    </xf>
    <xf numFmtId="0" fontId="4" fillId="22" borderId="1" xfId="0" applyFont="1" applyFill="1" applyBorder="1" applyAlignment="1">
      <alignment horizontal="center" vertical="center" wrapText="1"/>
    </xf>
    <xf numFmtId="0" fontId="5" fillId="22" borderId="1" xfId="0" applyFont="1" applyFill="1" applyBorder="1" applyAlignment="1">
      <alignment horizontal="left" vertical="center" wrapText="1"/>
    </xf>
    <xf numFmtId="0" fontId="4" fillId="23" borderId="1" xfId="0" applyFon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left" vertical="center" wrapText="1"/>
    </xf>
    <xf numFmtId="0" fontId="5" fillId="23" borderId="1" xfId="0" applyFont="1" applyFill="1" applyBorder="1" applyAlignment="1">
      <alignment horizontal="center" vertical="center" wrapText="1"/>
    </xf>
    <xf numFmtId="164" fontId="9" fillId="24" borderId="1" xfId="0" applyNumberFormat="1" applyFont="1" applyFill="1" applyBorder="1" applyAlignment="1">
      <alignment horizontal="center" vertical="center" wrapText="1"/>
    </xf>
    <xf numFmtId="0" fontId="4" fillId="25" borderId="1" xfId="0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left" vertical="center" wrapText="1"/>
    </xf>
    <xf numFmtId="0" fontId="5" fillId="25" borderId="1" xfId="0" applyFont="1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center" vertical="center" wrapText="1"/>
    </xf>
    <xf numFmtId="0" fontId="5" fillId="26" borderId="1" xfId="0" applyFont="1" applyFill="1" applyBorder="1" applyAlignment="1">
      <alignment horizontal="left" vertical="center" wrapText="1"/>
    </xf>
    <xf numFmtId="0" fontId="5" fillId="26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13" fillId="23" borderId="1" xfId="0" applyFont="1" applyFill="1" applyBorder="1" applyAlignment="1">
      <alignment horizontal="center" vertical="center" wrapText="1"/>
    </xf>
    <xf numFmtId="0" fontId="11" fillId="25" borderId="1" xfId="0" applyFont="1" applyFill="1" applyBorder="1" applyAlignment="1">
      <alignment horizontal="center" vertical="center" wrapText="1"/>
    </xf>
    <xf numFmtId="0" fontId="11" fillId="26" borderId="1" xfId="0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165" fontId="6" fillId="9" borderId="1" xfId="0" applyNumberFormat="1" applyFont="1" applyFill="1" applyBorder="1" applyAlignment="1">
      <alignment horizontal="center" vertical="center" wrapText="1"/>
    </xf>
    <xf numFmtId="165" fontId="6" fillId="10" borderId="1" xfId="0" applyNumberFormat="1" applyFont="1" applyFill="1" applyBorder="1" applyAlignment="1">
      <alignment horizontal="center" vertical="center" wrapText="1"/>
    </xf>
    <xf numFmtId="165" fontId="6" fillId="11" borderId="1" xfId="0" applyNumberFormat="1" applyFont="1" applyFill="1" applyBorder="1" applyAlignment="1">
      <alignment horizontal="center" vertical="center" wrapText="1"/>
    </xf>
    <xf numFmtId="165" fontId="6" fillId="12" borderId="1" xfId="0" applyNumberFormat="1" applyFont="1" applyFill="1" applyBorder="1" applyAlignment="1">
      <alignment horizontal="center" vertical="center" wrapText="1"/>
    </xf>
    <xf numFmtId="165" fontId="6" fillId="13" borderId="1" xfId="0" applyNumberFormat="1" applyFont="1" applyFill="1" applyBorder="1" applyAlignment="1">
      <alignment horizontal="center" vertical="center" wrapText="1"/>
    </xf>
    <xf numFmtId="165" fontId="6" fillId="14" borderId="1" xfId="0" applyNumberFormat="1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165" fontId="7" fillId="15" borderId="1" xfId="0" applyNumberFormat="1" applyFont="1" applyFill="1" applyBorder="1" applyAlignment="1">
      <alignment horizontal="center" vertical="center" wrapText="1"/>
    </xf>
    <xf numFmtId="165" fontId="8" fillId="7" borderId="1" xfId="0" applyNumberFormat="1" applyFont="1" applyFill="1" applyBorder="1" applyAlignment="1">
      <alignment horizontal="center" vertical="center" wrapText="1"/>
    </xf>
    <xf numFmtId="165" fontId="9" fillId="24" borderId="1" xfId="0" applyNumberFormat="1" applyFont="1" applyFill="1" applyBorder="1" applyAlignment="1">
      <alignment horizontal="center" vertical="center" wrapText="1"/>
    </xf>
    <xf numFmtId="165" fontId="2" fillId="28" borderId="1" xfId="0" applyNumberFormat="1" applyFont="1" applyFill="1" applyBorder="1" applyAlignment="1">
      <alignment horizontal="center" vertical="center" wrapText="1"/>
    </xf>
    <xf numFmtId="165" fontId="2" fillId="4" borderId="1" xfId="0" applyNumberFormat="1" applyFont="1" applyFill="1" applyBorder="1" applyAlignment="1">
      <alignment horizontal="center" vertical="center" wrapText="1"/>
    </xf>
    <xf numFmtId="2" fontId="7" fillId="15" borderId="1" xfId="0" applyNumberFormat="1" applyFont="1" applyFill="1" applyBorder="1" applyAlignment="1">
      <alignment horizontal="center" vertical="center" wrapText="1"/>
    </xf>
    <xf numFmtId="2" fontId="2" fillId="5" borderId="1" xfId="0" applyNumberFormat="1" applyFont="1" applyFill="1" applyBorder="1" applyAlignment="1">
      <alignment horizontal="center" vertical="center" wrapText="1"/>
    </xf>
    <xf numFmtId="2" fontId="2" fillId="29" borderId="1" xfId="0" applyNumberFormat="1" applyFont="1" applyFill="1" applyBorder="1" applyAlignment="1">
      <alignment horizontal="center" vertical="center" wrapText="1"/>
    </xf>
    <xf numFmtId="2" fontId="14" fillId="15" borderId="1" xfId="0" applyNumberFormat="1" applyFont="1" applyFill="1" applyBorder="1" applyAlignment="1">
      <alignment horizontal="center" vertical="center" wrapText="1"/>
    </xf>
    <xf numFmtId="0" fontId="16" fillId="30" borderId="4" xfId="0" applyFont="1" applyFill="1" applyBorder="1" applyAlignment="1">
      <alignment horizontal="center" vertical="center" wrapText="1"/>
    </xf>
    <xf numFmtId="165" fontId="17" fillId="7" borderId="4" xfId="0" applyNumberFormat="1" applyFont="1" applyFill="1" applyBorder="1" applyAlignment="1">
      <alignment horizontal="center" vertical="center" wrapText="1"/>
    </xf>
    <xf numFmtId="165" fontId="18" fillId="31" borderId="4" xfId="0" applyNumberFormat="1" applyFont="1" applyFill="1" applyBorder="1" applyAlignment="1">
      <alignment horizontal="center" vertical="center" wrapText="1"/>
    </xf>
    <xf numFmtId="165" fontId="17" fillId="15" borderId="4" xfId="0" applyNumberFormat="1" applyFont="1" applyFill="1" applyBorder="1" applyAlignment="1">
      <alignment horizontal="center" vertical="center" wrapText="1"/>
    </xf>
    <xf numFmtId="165" fontId="18" fillId="32" borderId="4" xfId="0" applyNumberFormat="1" applyFont="1" applyFill="1" applyBorder="1" applyAlignment="1">
      <alignment horizontal="center" vertical="center" wrapText="1"/>
    </xf>
    <xf numFmtId="165" fontId="17" fillId="10" borderId="4" xfId="0" applyNumberFormat="1" applyFont="1" applyFill="1" applyBorder="1" applyAlignment="1">
      <alignment horizontal="center" vertical="center" wrapText="1"/>
    </xf>
    <xf numFmtId="165" fontId="17" fillId="18" borderId="4" xfId="0" applyNumberFormat="1" applyFont="1" applyFill="1" applyBorder="1" applyAlignment="1">
      <alignment horizontal="center" vertical="center" wrapText="1"/>
    </xf>
    <xf numFmtId="165" fontId="16" fillId="33" borderId="4" xfId="0" applyNumberFormat="1" applyFont="1" applyFill="1" applyBorder="1" applyAlignment="1">
      <alignment horizontal="center" vertical="center" wrapText="1"/>
    </xf>
    <xf numFmtId="165" fontId="16" fillId="34" borderId="4" xfId="0" applyNumberFormat="1" applyFont="1" applyFill="1" applyBorder="1" applyAlignment="1">
      <alignment horizontal="center" vertical="center" wrapText="1"/>
    </xf>
    <xf numFmtId="165" fontId="19" fillId="35" borderId="4" xfId="0" applyNumberFormat="1" applyFont="1" applyFill="1" applyBorder="1" applyAlignment="1">
      <alignment horizontal="center" vertical="center" wrapText="1"/>
    </xf>
    <xf numFmtId="165" fontId="20" fillId="35" borderId="4" xfId="0" applyNumberFormat="1" applyFont="1" applyFill="1" applyBorder="1" applyAlignment="1">
      <alignment horizontal="center" vertical="center" wrapText="1"/>
    </xf>
    <xf numFmtId="165" fontId="17" fillId="21" borderId="4" xfId="0" applyNumberFormat="1" applyFont="1" applyFill="1" applyBorder="1" applyAlignment="1">
      <alignment horizontal="center" vertical="center" wrapText="1"/>
    </xf>
    <xf numFmtId="165" fontId="17" fillId="22" borderId="4" xfId="0" applyNumberFormat="1" applyFont="1" applyFill="1" applyBorder="1" applyAlignment="1">
      <alignment horizontal="center" vertical="center" wrapText="1"/>
    </xf>
    <xf numFmtId="165" fontId="17" fillId="23" borderId="4" xfId="0" applyNumberFormat="1" applyFont="1" applyFill="1" applyBorder="1" applyAlignment="1">
      <alignment horizontal="center" vertical="center" wrapText="1"/>
    </xf>
    <xf numFmtId="165" fontId="17" fillId="25" borderId="4" xfId="0" applyNumberFormat="1" applyFont="1" applyFill="1" applyBorder="1" applyAlignment="1">
      <alignment horizontal="center" vertical="center" wrapText="1"/>
    </xf>
    <xf numFmtId="165" fontId="17" fillId="26" borderId="4" xfId="0" applyNumberFormat="1" applyFont="1" applyFill="1" applyBorder="1" applyAlignment="1">
      <alignment horizontal="center" vertical="center" wrapText="1"/>
    </xf>
    <xf numFmtId="165" fontId="15" fillId="30" borderId="4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0" fillId="0" borderId="0" xfId="0" applyFont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5" fillId="30" borderId="5" xfId="0" applyFont="1" applyFill="1" applyBorder="1" applyAlignment="1">
      <alignment horizontal="center" vertical="center" wrapText="1"/>
    </xf>
    <xf numFmtId="0" fontId="15" fillId="30" borderId="6" xfId="0" applyFont="1" applyFill="1" applyBorder="1" applyAlignment="1">
      <alignment horizontal="center" vertical="center" wrapText="1"/>
    </xf>
    <xf numFmtId="0" fontId="2" fillId="29" borderId="5" xfId="0" applyFon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2" fontId="2" fillId="29" borderId="4" xfId="0" applyNumberFormat="1" applyFont="1" applyFill="1" applyBorder="1" applyAlignment="1">
      <alignment horizontal="center" vertical="center" wrapText="1"/>
    </xf>
    <xf numFmtId="9" fontId="7" fillId="15" borderId="4" xfId="1" applyFont="1" applyFill="1" applyBorder="1" applyAlignment="1">
      <alignment horizontal="center" vertical="center" wrapText="1"/>
    </xf>
    <xf numFmtId="0" fontId="4" fillId="36" borderId="1" xfId="0" applyFont="1" applyFill="1" applyBorder="1" applyAlignment="1">
      <alignment horizontal="center" vertical="center" wrapText="1"/>
    </xf>
    <xf numFmtId="0" fontId="5" fillId="36" borderId="1" xfId="0" applyFont="1" applyFill="1" applyBorder="1" applyAlignment="1">
      <alignment horizontal="left" vertical="center" wrapText="1"/>
    </xf>
    <xf numFmtId="0" fontId="5" fillId="36" borderId="1" xfId="0" applyFont="1" applyFill="1" applyBorder="1" applyAlignment="1">
      <alignment horizontal="center" vertical="center" wrapText="1"/>
    </xf>
    <xf numFmtId="0" fontId="4" fillId="37" borderId="1" xfId="0" applyFont="1" applyFill="1" applyBorder="1" applyAlignment="1">
      <alignment horizontal="center" vertical="center" wrapText="1"/>
    </xf>
    <xf numFmtId="0" fontId="5" fillId="37" borderId="1" xfId="0" applyFont="1" applyFill="1" applyBorder="1" applyAlignment="1">
      <alignment horizontal="left" vertical="center" wrapText="1"/>
    </xf>
    <xf numFmtId="0" fontId="5" fillId="37" borderId="1" xfId="0" applyFont="1" applyFill="1" applyBorder="1" applyAlignment="1">
      <alignment horizontal="center" vertical="center" wrapText="1"/>
    </xf>
    <xf numFmtId="0" fontId="4" fillId="38" borderId="1" xfId="0" applyFont="1" applyFill="1" applyBorder="1" applyAlignment="1">
      <alignment horizontal="center" vertical="center" wrapText="1"/>
    </xf>
    <xf numFmtId="0" fontId="5" fillId="38" borderId="1" xfId="0" applyFont="1" applyFill="1" applyBorder="1" applyAlignment="1">
      <alignment horizontal="left" vertical="center" wrapText="1"/>
    </xf>
    <xf numFmtId="0" fontId="5" fillId="38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zoomScale="137" zoomScaleNormal="137" workbookViewId="0">
      <pane xSplit="4" ySplit="3" topLeftCell="L4" activePane="bottomRight" state="frozen"/>
      <selection pane="topRight"/>
      <selection pane="bottomLeft"/>
      <selection pane="bottomRight" activeCell="L10" sqref="L10"/>
    </sheetView>
  </sheetViews>
  <sheetFormatPr baseColWidth="10" defaultColWidth="8.83203125" defaultRowHeight="15" x14ac:dyDescent="0.2"/>
  <cols>
    <col min="1" max="1" width="5" customWidth="1"/>
    <col min="2" max="2" width="28" customWidth="1"/>
    <col min="3" max="3" width="13" customWidth="1"/>
    <col min="4" max="4" width="22" customWidth="1"/>
    <col min="5" max="11" width="10" customWidth="1"/>
    <col min="12" max="12" width="16" customWidth="1"/>
    <col min="13" max="14" width="16.6640625" customWidth="1"/>
    <col min="15" max="16" width="13" customWidth="1"/>
    <col min="17" max="17" width="16.6640625" customWidth="1"/>
    <col min="18" max="18" width="13" customWidth="1"/>
  </cols>
  <sheetData>
    <row r="1" spans="1:18" ht="28" customHeight="1" x14ac:dyDescent="0.2">
      <c r="A1" s="85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</row>
    <row r="2" spans="1:18" ht="45" customHeight="1" x14ac:dyDescent="0.2">
      <c r="A2" s="87" t="s">
        <v>1</v>
      </c>
      <c r="B2" s="88"/>
      <c r="C2" s="88"/>
      <c r="D2" s="88"/>
      <c r="E2" s="91" t="s">
        <v>2</v>
      </c>
      <c r="F2" s="88"/>
      <c r="G2" s="88"/>
      <c r="H2" s="88"/>
      <c r="I2" s="88"/>
      <c r="J2" s="88"/>
      <c r="K2" s="89"/>
      <c r="L2" s="92" t="s">
        <v>3</v>
      </c>
      <c r="M2" s="50" t="s">
        <v>4</v>
      </c>
      <c r="N2" s="95"/>
      <c r="O2" s="93" t="s">
        <v>5</v>
      </c>
      <c r="P2" s="94"/>
      <c r="Q2" s="94"/>
      <c r="R2" s="94"/>
    </row>
    <row r="3" spans="1:18" ht="48" customHeight="1" x14ac:dyDescent="0.2">
      <c r="A3" s="1" t="s">
        <v>6</v>
      </c>
      <c r="B3" s="1" t="s">
        <v>7</v>
      </c>
      <c r="C3" s="1" t="s">
        <v>8</v>
      </c>
      <c r="D3" s="1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3" t="s">
        <v>17</v>
      </c>
      <c r="M3" s="51" t="s">
        <v>18</v>
      </c>
      <c r="N3" s="96" t="s">
        <v>74</v>
      </c>
      <c r="O3" s="68" t="s">
        <v>19</v>
      </c>
      <c r="P3" s="68" t="s">
        <v>20</v>
      </c>
      <c r="Q3" s="68" t="s">
        <v>21</v>
      </c>
      <c r="R3" s="51" t="s">
        <v>73</v>
      </c>
    </row>
    <row r="4" spans="1:18" ht="28" customHeight="1" x14ac:dyDescent="0.2">
      <c r="A4" s="4">
        <v>1</v>
      </c>
      <c r="B4" s="5" t="s">
        <v>22</v>
      </c>
      <c r="C4" s="6" t="s">
        <v>23</v>
      </c>
      <c r="D4" s="5" t="s">
        <v>24</v>
      </c>
      <c r="E4" s="52">
        <v>22.103000000000002</v>
      </c>
      <c r="F4" s="53">
        <v>24.64</v>
      </c>
      <c r="G4" s="54">
        <v>26.946000000000002</v>
      </c>
      <c r="H4" s="55">
        <v>23.960999999999999</v>
      </c>
      <c r="I4" s="56">
        <v>26.754999999999999</v>
      </c>
      <c r="J4" s="57">
        <v>24.667999999999999</v>
      </c>
      <c r="K4" s="58">
        <v>27.027999999999999</v>
      </c>
      <c r="L4" s="64">
        <v>84.994</v>
      </c>
      <c r="M4" s="64">
        <v>88.91</v>
      </c>
      <c r="N4" s="98">
        <f>+(M4/L4)-1</f>
        <v>4.6073840506388741E-2</v>
      </c>
      <c r="O4" s="69">
        <v>0.24099999999999999</v>
      </c>
      <c r="P4" s="69">
        <v>0.99299999999999999</v>
      </c>
      <c r="Q4" s="70">
        <v>1.2330000000000001</v>
      </c>
      <c r="R4" s="64"/>
    </row>
    <row r="5" spans="1:18" ht="28" customHeight="1" x14ac:dyDescent="0.2">
      <c r="A5" s="9">
        <v>2</v>
      </c>
      <c r="B5" s="10" t="s">
        <v>26</v>
      </c>
      <c r="C5" s="11" t="s">
        <v>27</v>
      </c>
      <c r="D5" s="10" t="s">
        <v>28</v>
      </c>
      <c r="E5" s="52">
        <v>-0.65300000000000002</v>
      </c>
      <c r="F5" s="53">
        <v>-0.78400000000000003</v>
      </c>
      <c r="G5" s="54">
        <v>-0.94</v>
      </c>
      <c r="H5" s="55">
        <v>-1.1279999999999999</v>
      </c>
      <c r="I5" s="56">
        <v>-1.3540000000000001</v>
      </c>
      <c r="J5" s="57">
        <v>-1.625</v>
      </c>
      <c r="K5" s="58">
        <v>-1.95</v>
      </c>
      <c r="L5" s="64">
        <v>39.19</v>
      </c>
      <c r="M5" s="64">
        <v>36.840000000000003</v>
      </c>
      <c r="N5" s="98">
        <f t="shared" ref="N5:N17" si="0">+(M5/L5)-1</f>
        <v>-5.9964276601173649E-2</v>
      </c>
      <c r="O5" s="71">
        <v>0.122</v>
      </c>
      <c r="P5" s="71">
        <v>0.36699999999999999</v>
      </c>
      <c r="Q5" s="72">
        <v>0.48899999999999999</v>
      </c>
      <c r="R5" s="64"/>
    </row>
    <row r="6" spans="1:18" ht="28" customHeight="1" x14ac:dyDescent="0.2">
      <c r="A6" s="13">
        <v>3</v>
      </c>
      <c r="B6" s="14" t="s">
        <v>29</v>
      </c>
      <c r="C6" s="15" t="s">
        <v>30</v>
      </c>
      <c r="D6" s="14" t="s">
        <v>31</v>
      </c>
      <c r="E6" s="52">
        <v>2.34</v>
      </c>
      <c r="F6" s="53">
        <v>2.48</v>
      </c>
      <c r="G6" s="54">
        <v>2.65</v>
      </c>
      <c r="H6" s="55">
        <v>2.4060000000000001</v>
      </c>
      <c r="I6" s="56">
        <v>3.206</v>
      </c>
      <c r="J6" s="57">
        <v>3.0350000000000001</v>
      </c>
      <c r="K6" s="58">
        <v>3.0089999999999999</v>
      </c>
      <c r="L6" s="64">
        <v>24.951000000000001</v>
      </c>
      <c r="M6" s="64"/>
      <c r="N6" s="98"/>
      <c r="O6" s="73">
        <v>1.0780000000000001</v>
      </c>
      <c r="P6" s="73">
        <v>0.52800000000000002</v>
      </c>
      <c r="Q6" s="70">
        <v>1.6060000000000001</v>
      </c>
      <c r="R6" s="64"/>
    </row>
    <row r="7" spans="1:18" ht="28" customHeight="1" x14ac:dyDescent="0.2">
      <c r="A7" s="13">
        <v>4</v>
      </c>
      <c r="B7" s="14" t="s">
        <v>33</v>
      </c>
      <c r="C7" s="15" t="s">
        <v>30</v>
      </c>
      <c r="D7" s="14" t="s">
        <v>31</v>
      </c>
      <c r="E7" s="52">
        <v>2.34</v>
      </c>
      <c r="F7" s="53">
        <v>2.48</v>
      </c>
      <c r="G7" s="54">
        <v>2.65</v>
      </c>
      <c r="H7" s="55">
        <v>2.4060000000000001</v>
      </c>
      <c r="I7" s="56">
        <v>3.206</v>
      </c>
      <c r="J7" s="57">
        <v>3.0350000000000001</v>
      </c>
      <c r="K7" s="58">
        <v>3.0089999999999999</v>
      </c>
      <c r="L7" s="64">
        <v>9.5299999999999994</v>
      </c>
      <c r="M7" s="64"/>
      <c r="N7" s="98"/>
      <c r="O7" s="73">
        <v>0.153</v>
      </c>
      <c r="P7" s="73">
        <v>0.46</v>
      </c>
      <c r="Q7" s="72">
        <v>0.61299999999999999</v>
      </c>
      <c r="R7" s="64"/>
    </row>
    <row r="8" spans="1:18" ht="28" customHeight="1" x14ac:dyDescent="0.2">
      <c r="A8" s="18">
        <v>5</v>
      </c>
      <c r="B8" s="19" t="s">
        <v>35</v>
      </c>
      <c r="C8" s="20" t="s">
        <v>36</v>
      </c>
      <c r="D8" s="19" t="s">
        <v>37</v>
      </c>
      <c r="E8" s="52">
        <v>23.295999999999999</v>
      </c>
      <c r="F8" s="53">
        <v>24.047999999999998</v>
      </c>
      <c r="G8" s="54">
        <v>24.824999999999999</v>
      </c>
      <c r="H8" s="55">
        <v>23.427</v>
      </c>
      <c r="I8" s="56">
        <v>26.088999999999999</v>
      </c>
      <c r="J8" s="57">
        <v>27.76</v>
      </c>
      <c r="K8" s="58">
        <v>32.539000000000001</v>
      </c>
      <c r="L8" s="64">
        <v>69.394999999999996</v>
      </c>
      <c r="M8" s="64"/>
      <c r="N8" s="98"/>
      <c r="O8" s="74">
        <v>1.8680000000000001</v>
      </c>
      <c r="P8" s="74">
        <v>5.6040000000000001</v>
      </c>
      <c r="Q8" s="75">
        <v>7.4720000000000004</v>
      </c>
      <c r="R8" s="64"/>
    </row>
    <row r="9" spans="1:18" ht="28" customHeight="1" x14ac:dyDescent="0.2">
      <c r="A9" s="18">
        <v>6</v>
      </c>
      <c r="B9" s="19" t="s">
        <v>38</v>
      </c>
      <c r="C9" s="20" t="s">
        <v>36</v>
      </c>
      <c r="D9" s="19" t="s">
        <v>37</v>
      </c>
      <c r="E9" s="52">
        <v>23.295999999999999</v>
      </c>
      <c r="F9" s="53">
        <v>24.047999999999998</v>
      </c>
      <c r="G9" s="54">
        <v>24.824999999999999</v>
      </c>
      <c r="H9" s="55">
        <v>23.427</v>
      </c>
      <c r="I9" s="56">
        <v>26.088999999999999</v>
      </c>
      <c r="J9" s="57">
        <v>27.76</v>
      </c>
      <c r="K9" s="58">
        <v>32.539000000000001</v>
      </c>
      <c r="L9" s="64">
        <v>24.693000000000001</v>
      </c>
      <c r="M9" s="64"/>
      <c r="N9" s="98"/>
      <c r="O9" s="74">
        <v>3.238</v>
      </c>
      <c r="P9" s="74">
        <v>9.7149999999999999</v>
      </c>
      <c r="Q9" s="76">
        <v>12.954000000000001</v>
      </c>
      <c r="R9" s="64"/>
    </row>
    <row r="10" spans="1:18" ht="28" customHeight="1" x14ac:dyDescent="0.2">
      <c r="A10" s="99">
        <v>7</v>
      </c>
      <c r="B10" s="100" t="s">
        <v>39</v>
      </c>
      <c r="C10" s="101" t="s">
        <v>40</v>
      </c>
      <c r="D10" s="100" t="s">
        <v>41</v>
      </c>
      <c r="E10" s="52">
        <v>1.244</v>
      </c>
      <c r="F10" s="53">
        <v>1.367</v>
      </c>
      <c r="G10" s="54">
        <v>1.282</v>
      </c>
      <c r="H10" s="55">
        <v>1.331</v>
      </c>
      <c r="I10" s="56">
        <v>1.5249999999999999</v>
      </c>
      <c r="J10" s="57">
        <v>1.698</v>
      </c>
      <c r="K10" s="58">
        <v>1.51</v>
      </c>
      <c r="L10" s="64">
        <v>1.135</v>
      </c>
      <c r="M10" s="64">
        <v>2.38</v>
      </c>
      <c r="N10" s="98">
        <f t="shared" si="0"/>
        <v>1.0969162995594712</v>
      </c>
      <c r="O10" s="77">
        <v>0</v>
      </c>
      <c r="P10" s="77">
        <v>0</v>
      </c>
      <c r="Q10" s="78">
        <v>0</v>
      </c>
      <c r="R10" s="64"/>
    </row>
    <row r="11" spans="1:18" ht="28" customHeight="1" x14ac:dyDescent="0.2">
      <c r="A11" s="13">
        <v>8</v>
      </c>
      <c r="B11" s="14" t="s">
        <v>43</v>
      </c>
      <c r="C11" s="15" t="s">
        <v>44</v>
      </c>
      <c r="D11" s="14" t="s">
        <v>31</v>
      </c>
      <c r="E11" s="52">
        <v>1.5089999999999999</v>
      </c>
      <c r="F11" s="53">
        <v>1.64</v>
      </c>
      <c r="G11" s="54">
        <v>1.794</v>
      </c>
      <c r="H11" s="55">
        <v>1.57</v>
      </c>
      <c r="I11" s="56">
        <v>2.2730000000000001</v>
      </c>
      <c r="J11" s="57">
        <v>2.0699999999999998</v>
      </c>
      <c r="K11" s="58">
        <v>1.98</v>
      </c>
      <c r="L11" s="64">
        <v>1.69</v>
      </c>
      <c r="M11" s="64">
        <v>3.71</v>
      </c>
      <c r="N11" s="98">
        <f t="shared" si="0"/>
        <v>1.195266272189349</v>
      </c>
      <c r="O11" s="73">
        <v>0.10100000000000001</v>
      </c>
      <c r="P11" s="73">
        <v>8.0000000000000002E-3</v>
      </c>
      <c r="Q11" s="72">
        <v>0.109</v>
      </c>
      <c r="R11" s="64"/>
    </row>
    <row r="12" spans="1:18" ht="28" customHeight="1" x14ac:dyDescent="0.2">
      <c r="A12" s="102">
        <v>9</v>
      </c>
      <c r="B12" s="103" t="s">
        <v>45</v>
      </c>
      <c r="C12" s="104" t="s">
        <v>46</v>
      </c>
      <c r="D12" s="103" t="s">
        <v>47</v>
      </c>
      <c r="E12" s="52">
        <v>2.3149999999999999</v>
      </c>
      <c r="F12" s="53">
        <v>2.4510000000000001</v>
      </c>
      <c r="G12" s="54">
        <v>2.9289999999999998</v>
      </c>
      <c r="H12" s="55">
        <v>2.5819999999999999</v>
      </c>
      <c r="I12" s="56">
        <v>3.4420000000000002</v>
      </c>
      <c r="J12" s="57">
        <v>3.3959999999999999</v>
      </c>
      <c r="K12" s="58">
        <v>4.0430000000000001</v>
      </c>
      <c r="L12" s="64">
        <v>1.482</v>
      </c>
      <c r="M12" s="64">
        <v>1.3080000000000001</v>
      </c>
      <c r="N12" s="98">
        <f t="shared" si="0"/>
        <v>-0.11740890688259109</v>
      </c>
      <c r="O12" s="79">
        <v>6.2E-2</v>
      </c>
      <c r="P12" s="79">
        <v>0.161</v>
      </c>
      <c r="Q12" s="72">
        <v>0.224</v>
      </c>
      <c r="R12" s="64"/>
    </row>
    <row r="13" spans="1:18" ht="28" customHeight="1" x14ac:dyDescent="0.2">
      <c r="A13" s="105">
        <v>10</v>
      </c>
      <c r="B13" s="106" t="s">
        <v>48</v>
      </c>
      <c r="C13" s="107" t="s">
        <v>49</v>
      </c>
      <c r="D13" s="106" t="s">
        <v>50</v>
      </c>
      <c r="E13" s="52">
        <v>3.609</v>
      </c>
      <c r="F13" s="53">
        <v>3.343</v>
      </c>
      <c r="G13" s="54">
        <v>3.706</v>
      </c>
      <c r="H13" s="55">
        <v>3.367</v>
      </c>
      <c r="I13" s="56">
        <v>4.0309999999999997</v>
      </c>
      <c r="J13" s="57">
        <v>4.1760000000000002</v>
      </c>
      <c r="K13" s="58">
        <v>4.8780000000000001</v>
      </c>
      <c r="L13" s="64">
        <v>1.863</v>
      </c>
      <c r="M13" s="64">
        <v>2.004</v>
      </c>
      <c r="N13" s="98">
        <f t="shared" si="0"/>
        <v>7.5684380032206233E-2</v>
      </c>
      <c r="O13" s="77">
        <v>0</v>
      </c>
      <c r="P13" s="80">
        <v>0.373</v>
      </c>
      <c r="Q13" s="72">
        <v>0.373</v>
      </c>
      <c r="R13" s="64"/>
    </row>
    <row r="14" spans="1:18" ht="28" customHeight="1" x14ac:dyDescent="0.2">
      <c r="A14" s="28">
        <v>11</v>
      </c>
      <c r="B14" s="29" t="s">
        <v>51</v>
      </c>
      <c r="C14" s="30" t="s">
        <v>52</v>
      </c>
      <c r="D14" s="29" t="s">
        <v>53</v>
      </c>
      <c r="E14" s="52">
        <v>0.54900000000000004</v>
      </c>
      <c r="F14" s="53">
        <v>0.58699999999999997</v>
      </c>
      <c r="G14" s="54">
        <v>0.624</v>
      </c>
      <c r="H14" s="55">
        <v>0.66</v>
      </c>
      <c r="I14" s="56">
        <v>0.69499999999999995</v>
      </c>
      <c r="J14" s="57">
        <v>0.72899999999999998</v>
      </c>
      <c r="K14" s="58">
        <v>0.76200000000000001</v>
      </c>
      <c r="L14" s="64">
        <v>1.5429999999999999</v>
      </c>
      <c r="M14" s="64">
        <v>1.65</v>
      </c>
      <c r="N14" s="98">
        <f t="shared" si="0"/>
        <v>6.934543097861301E-2</v>
      </c>
      <c r="O14" s="81">
        <v>7.0999999999999994E-2</v>
      </c>
      <c r="P14" s="81">
        <v>0.108</v>
      </c>
      <c r="Q14" s="72">
        <v>0.17899999999999999</v>
      </c>
      <c r="R14" s="64"/>
    </row>
    <row r="15" spans="1:18" ht="28" customHeight="1" x14ac:dyDescent="0.2">
      <c r="A15" s="28">
        <v>12</v>
      </c>
      <c r="B15" s="29" t="s">
        <v>54</v>
      </c>
      <c r="C15" s="30" t="s">
        <v>55</v>
      </c>
      <c r="D15" s="29" t="s">
        <v>53</v>
      </c>
      <c r="E15" s="52">
        <v>0.496</v>
      </c>
      <c r="F15" s="53">
        <v>0.503</v>
      </c>
      <c r="G15" s="54">
        <v>0.47699999999999998</v>
      </c>
      <c r="H15" s="55">
        <v>0.48199999999999998</v>
      </c>
      <c r="I15" s="56">
        <v>0.48699999999999999</v>
      </c>
      <c r="J15" s="57">
        <v>0.49199999999999999</v>
      </c>
      <c r="K15" s="58">
        <v>0.496</v>
      </c>
      <c r="L15" s="64">
        <v>0.25800000000000001</v>
      </c>
      <c r="M15" s="64">
        <v>0.25319999999999998</v>
      </c>
      <c r="N15" s="98">
        <f t="shared" si="0"/>
        <v>-1.8604651162790753E-2</v>
      </c>
      <c r="O15" s="81">
        <v>2.4E-2</v>
      </c>
      <c r="P15" s="81">
        <v>3.5000000000000003E-2</v>
      </c>
      <c r="Q15" s="72">
        <v>0.06</v>
      </c>
      <c r="R15" s="64"/>
    </row>
    <row r="16" spans="1:18" ht="28" customHeight="1" x14ac:dyDescent="0.2">
      <c r="A16" s="32">
        <v>13</v>
      </c>
      <c r="B16" s="33" t="s">
        <v>56</v>
      </c>
      <c r="C16" s="34" t="s">
        <v>57</v>
      </c>
      <c r="D16" s="33" t="s">
        <v>58</v>
      </c>
      <c r="E16" s="52">
        <v>3.298</v>
      </c>
      <c r="F16" s="53">
        <v>3.5670000000000002</v>
      </c>
      <c r="G16" s="54">
        <v>3.39</v>
      </c>
      <c r="H16" s="55">
        <v>3.375</v>
      </c>
      <c r="I16" s="56">
        <v>3.3610000000000002</v>
      </c>
      <c r="J16" s="57">
        <v>3.403</v>
      </c>
      <c r="K16" s="58">
        <v>3.4289999999999998</v>
      </c>
      <c r="L16" s="67">
        <v>3.919</v>
      </c>
      <c r="M16" s="64">
        <v>4.1029999999999998</v>
      </c>
      <c r="N16" s="98">
        <f t="shared" si="0"/>
        <v>4.6950752743046609E-2</v>
      </c>
      <c r="O16" s="82">
        <v>1.2E-2</v>
      </c>
      <c r="P16" s="82">
        <v>3.6999999999999998E-2</v>
      </c>
      <c r="Q16" s="72">
        <v>4.9000000000000002E-2</v>
      </c>
      <c r="R16" s="64"/>
    </row>
    <row r="17" spans="1:18" ht="28" customHeight="1" x14ac:dyDescent="0.2">
      <c r="A17" s="35">
        <v>14</v>
      </c>
      <c r="B17" s="36" t="s">
        <v>59</v>
      </c>
      <c r="C17" s="37" t="s">
        <v>60</v>
      </c>
      <c r="D17" s="36" t="s">
        <v>61</v>
      </c>
      <c r="E17" s="52">
        <v>19.795000000000002</v>
      </c>
      <c r="F17" s="53">
        <v>19.149000000000001</v>
      </c>
      <c r="G17" s="54">
        <v>20.071999999999999</v>
      </c>
      <c r="H17" s="55">
        <v>19.292999999999999</v>
      </c>
      <c r="I17" s="56">
        <v>22.452999999999999</v>
      </c>
      <c r="J17" s="57">
        <v>25.193000000000001</v>
      </c>
      <c r="K17" s="58">
        <v>23.402999999999999</v>
      </c>
      <c r="L17" s="64">
        <v>12.920999999999999</v>
      </c>
      <c r="M17" s="64">
        <v>12.85</v>
      </c>
      <c r="N17" s="98">
        <f t="shared" si="0"/>
        <v>-5.494930732915404E-3</v>
      </c>
      <c r="O17" s="83">
        <v>2.4159999999999999</v>
      </c>
      <c r="P17" s="83">
        <v>3.2829999999999999</v>
      </c>
      <c r="Q17" s="75">
        <v>5.6989999999999998</v>
      </c>
      <c r="R17" s="64"/>
    </row>
    <row r="18" spans="1:18" ht="30" customHeight="1" x14ac:dyDescent="0.2">
      <c r="A18" s="38" t="s">
        <v>62</v>
      </c>
      <c r="B18" s="38" t="s">
        <v>63</v>
      </c>
      <c r="C18" s="38"/>
      <c r="D18" s="38"/>
      <c r="E18" s="62">
        <v>76.076999999999998</v>
      </c>
      <c r="F18" s="62">
        <v>78.900000000000006</v>
      </c>
      <c r="G18" s="62">
        <v>83.031999999999996</v>
      </c>
      <c r="H18" s="62">
        <v>77.174000000000007</v>
      </c>
      <c r="I18" s="62">
        <v>87.248000000000005</v>
      </c>
      <c r="J18" s="62">
        <v>89.528999999999996</v>
      </c>
      <c r="K18" s="63">
        <v>95.103999999999999</v>
      </c>
      <c r="L18" s="65">
        <f>+SUM(L4:L17)</f>
        <v>277.56399999999996</v>
      </c>
      <c r="M18" s="66">
        <f>+SUM(M4:M17)</f>
        <v>154.00819999999999</v>
      </c>
      <c r="N18" s="97"/>
      <c r="O18" s="84">
        <v>9.3859999999999992</v>
      </c>
      <c r="P18" s="84">
        <v>21.672000000000001</v>
      </c>
      <c r="Q18" s="84">
        <v>31.06</v>
      </c>
      <c r="R18" s="66">
        <f>+SUM(R4:R17)</f>
        <v>0</v>
      </c>
    </row>
    <row r="20" spans="1:18" ht="22" customHeight="1" x14ac:dyDescent="0.2">
      <c r="A20" s="90" t="s">
        <v>64</v>
      </c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</row>
    <row r="25" spans="1:18" x14ac:dyDescent="0.2">
      <c r="C25" t="s">
        <v>75</v>
      </c>
    </row>
  </sheetData>
  <mergeCells count="6">
    <mergeCell ref="A1:R1"/>
    <mergeCell ref="A2:D2"/>
    <mergeCell ref="A20:M20"/>
    <mergeCell ref="E2:K2"/>
    <mergeCell ref="L2"/>
    <mergeCell ref="O2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5" customWidth="1"/>
    <col min="2" max="2" width="28" customWidth="1"/>
    <col min="3" max="3" width="13" customWidth="1"/>
    <col min="4" max="10" width="10" customWidth="1"/>
    <col min="11" max="11" width="14" customWidth="1"/>
    <col min="12" max="12" width="12" customWidth="1"/>
    <col min="13" max="13" width="14" customWidth="1"/>
  </cols>
  <sheetData>
    <row r="1" spans="1:13" ht="40" customHeight="1" x14ac:dyDescent="0.2">
      <c r="A1" s="1" t="s">
        <v>65</v>
      </c>
      <c r="B1" s="1" t="s">
        <v>7</v>
      </c>
      <c r="C1" s="1" t="s">
        <v>66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67</v>
      </c>
      <c r="L1" s="1" t="s">
        <v>68</v>
      </c>
      <c r="M1" s="1" t="s">
        <v>69</v>
      </c>
    </row>
    <row r="2" spans="1:13" ht="22" customHeight="1" x14ac:dyDescent="0.2">
      <c r="A2" s="4">
        <v>1</v>
      </c>
      <c r="B2" s="5" t="s">
        <v>22</v>
      </c>
      <c r="C2" s="7" t="s">
        <v>25</v>
      </c>
      <c r="D2" s="52">
        <v>22.103000000000002</v>
      </c>
      <c r="E2" s="53">
        <v>24.64</v>
      </c>
      <c r="F2" s="54">
        <v>26.946000000000002</v>
      </c>
      <c r="G2" s="55">
        <v>23.960999999999999</v>
      </c>
      <c r="H2" s="56">
        <v>26.754999999999999</v>
      </c>
      <c r="I2" s="57">
        <v>24.667999999999999</v>
      </c>
      <c r="J2" s="58">
        <v>27.027999999999999</v>
      </c>
      <c r="K2" s="60">
        <v>4.9249999999999998</v>
      </c>
      <c r="L2" s="8">
        <v>0.22282043161561779</v>
      </c>
      <c r="M2" s="39" t="s">
        <v>70</v>
      </c>
    </row>
    <row r="3" spans="1:13" ht="22" customHeight="1" x14ac:dyDescent="0.2">
      <c r="A3" s="9">
        <v>2</v>
      </c>
      <c r="B3" s="10" t="s">
        <v>26</v>
      </c>
      <c r="C3" s="7" t="s">
        <v>25</v>
      </c>
      <c r="D3" s="52">
        <v>-0.65300000000000002</v>
      </c>
      <c r="E3" s="53">
        <v>-0.78400000000000003</v>
      </c>
      <c r="F3" s="54">
        <v>-0.94</v>
      </c>
      <c r="G3" s="55">
        <v>-1.1279999999999999</v>
      </c>
      <c r="H3" s="56">
        <v>-1.3540000000000001</v>
      </c>
      <c r="I3" s="57">
        <v>-1.625</v>
      </c>
      <c r="J3" s="58">
        <v>-1.95</v>
      </c>
      <c r="K3" s="59">
        <v>-1.2969999999999999</v>
      </c>
      <c r="L3" s="12">
        <v>-1.9862174578866769</v>
      </c>
      <c r="M3" s="40" t="s">
        <v>71</v>
      </c>
    </row>
    <row r="4" spans="1:13" ht="22" customHeight="1" x14ac:dyDescent="0.2">
      <c r="A4" s="13">
        <v>3</v>
      </c>
      <c r="B4" s="14" t="s">
        <v>29</v>
      </c>
      <c r="C4" s="16" t="s">
        <v>32</v>
      </c>
      <c r="D4" s="52">
        <v>2.34</v>
      </c>
      <c r="E4" s="53">
        <v>2.48</v>
      </c>
      <c r="F4" s="54">
        <v>2.65</v>
      </c>
      <c r="G4" s="55">
        <v>2.4060000000000001</v>
      </c>
      <c r="H4" s="56">
        <v>3.206</v>
      </c>
      <c r="I4" s="57">
        <v>3.0350000000000001</v>
      </c>
      <c r="J4" s="58">
        <v>3.0089999999999999</v>
      </c>
      <c r="K4" s="60">
        <v>0.66900000000000004</v>
      </c>
      <c r="L4" s="8">
        <v>0.28589743589743588</v>
      </c>
      <c r="M4" s="41" t="s">
        <v>70</v>
      </c>
    </row>
    <row r="5" spans="1:13" ht="22" customHeight="1" x14ac:dyDescent="0.2">
      <c r="A5" s="13">
        <v>4</v>
      </c>
      <c r="B5" s="14" t="s">
        <v>33</v>
      </c>
      <c r="C5" s="17" t="s">
        <v>34</v>
      </c>
      <c r="D5" s="52">
        <v>2.34</v>
      </c>
      <c r="E5" s="53">
        <v>2.48</v>
      </c>
      <c r="F5" s="54">
        <v>2.65</v>
      </c>
      <c r="G5" s="55">
        <v>2.4060000000000001</v>
      </c>
      <c r="H5" s="56">
        <v>3.206</v>
      </c>
      <c r="I5" s="57">
        <v>3.0350000000000001</v>
      </c>
      <c r="J5" s="58">
        <v>3.0089999999999999</v>
      </c>
      <c r="K5" s="60">
        <v>0.66900000000000004</v>
      </c>
      <c r="L5" s="8">
        <v>0.28589743589743588</v>
      </c>
      <c r="M5" s="41" t="s">
        <v>70</v>
      </c>
    </row>
    <row r="6" spans="1:13" ht="22" customHeight="1" x14ac:dyDescent="0.2">
      <c r="A6" s="18">
        <v>5</v>
      </c>
      <c r="B6" s="19" t="s">
        <v>35</v>
      </c>
      <c r="C6" s="7" t="s">
        <v>25</v>
      </c>
      <c r="D6" s="52">
        <v>23.295999999999999</v>
      </c>
      <c r="E6" s="53">
        <v>24.047999999999998</v>
      </c>
      <c r="F6" s="54">
        <v>24.824999999999999</v>
      </c>
      <c r="G6" s="55">
        <v>23.427</v>
      </c>
      <c r="H6" s="56">
        <v>26.088999999999999</v>
      </c>
      <c r="I6" s="57">
        <v>27.76</v>
      </c>
      <c r="J6" s="58">
        <v>32.539000000000001</v>
      </c>
      <c r="K6" s="60">
        <v>9.2430000000000003</v>
      </c>
      <c r="L6" s="8">
        <v>0.39676339285714279</v>
      </c>
      <c r="M6" s="42" t="s">
        <v>70</v>
      </c>
    </row>
    <row r="7" spans="1:13" ht="22" customHeight="1" x14ac:dyDescent="0.2">
      <c r="A7" s="18">
        <v>6</v>
      </c>
      <c r="B7" s="19" t="s">
        <v>38</v>
      </c>
      <c r="C7" s="7" t="s">
        <v>25</v>
      </c>
      <c r="D7" s="52">
        <v>23.295999999999999</v>
      </c>
      <c r="E7" s="53">
        <v>24.047999999999998</v>
      </c>
      <c r="F7" s="54">
        <v>24.824999999999999</v>
      </c>
      <c r="G7" s="55">
        <v>23.427</v>
      </c>
      <c r="H7" s="56">
        <v>26.088999999999999</v>
      </c>
      <c r="I7" s="57">
        <v>27.76</v>
      </c>
      <c r="J7" s="58">
        <v>32.539000000000001</v>
      </c>
      <c r="K7" s="60">
        <v>9.2430000000000003</v>
      </c>
      <c r="L7" s="8">
        <v>0.39676339285714279</v>
      </c>
      <c r="M7" s="42" t="s">
        <v>70</v>
      </c>
    </row>
    <row r="8" spans="1:13" ht="22" customHeight="1" x14ac:dyDescent="0.2">
      <c r="A8" s="21">
        <v>7</v>
      </c>
      <c r="B8" s="22" t="s">
        <v>39</v>
      </c>
      <c r="C8" s="23" t="s">
        <v>42</v>
      </c>
      <c r="D8" s="52">
        <v>1.244</v>
      </c>
      <c r="E8" s="53">
        <v>1.367</v>
      </c>
      <c r="F8" s="54">
        <v>1.282</v>
      </c>
      <c r="G8" s="55">
        <v>1.331</v>
      </c>
      <c r="H8" s="56">
        <v>1.5249999999999999</v>
      </c>
      <c r="I8" s="57">
        <v>1.698</v>
      </c>
      <c r="J8" s="58">
        <v>1.51</v>
      </c>
      <c r="K8" s="60">
        <v>0.26600000000000001</v>
      </c>
      <c r="L8" s="8">
        <v>0.2138263665594855</v>
      </c>
      <c r="M8" s="43" t="s">
        <v>70</v>
      </c>
    </row>
    <row r="9" spans="1:13" ht="22" customHeight="1" x14ac:dyDescent="0.2">
      <c r="A9" s="13">
        <v>8</v>
      </c>
      <c r="B9" s="14" t="s">
        <v>43</v>
      </c>
      <c r="C9" s="23" t="s">
        <v>42</v>
      </c>
      <c r="D9" s="52">
        <v>1.5089999999999999</v>
      </c>
      <c r="E9" s="53">
        <v>1.64</v>
      </c>
      <c r="F9" s="54">
        <v>1.794</v>
      </c>
      <c r="G9" s="55">
        <v>1.57</v>
      </c>
      <c r="H9" s="56">
        <v>2.2730000000000001</v>
      </c>
      <c r="I9" s="57">
        <v>2.0699999999999998</v>
      </c>
      <c r="J9" s="58">
        <v>1.98</v>
      </c>
      <c r="K9" s="60">
        <v>0.47099999999999997</v>
      </c>
      <c r="L9" s="8">
        <v>0.31212723658051689</v>
      </c>
      <c r="M9" s="41" t="s">
        <v>70</v>
      </c>
    </row>
    <row r="10" spans="1:13" ht="22" customHeight="1" x14ac:dyDescent="0.2">
      <c r="A10" s="24">
        <v>9</v>
      </c>
      <c r="B10" s="25" t="s">
        <v>45</v>
      </c>
      <c r="C10" s="17" t="s">
        <v>34</v>
      </c>
      <c r="D10" s="52">
        <v>2.3149999999999999</v>
      </c>
      <c r="E10" s="53">
        <v>2.4510000000000001</v>
      </c>
      <c r="F10" s="54">
        <v>2.9289999999999998</v>
      </c>
      <c r="G10" s="55">
        <v>2.5819999999999999</v>
      </c>
      <c r="H10" s="56">
        <v>3.4420000000000002</v>
      </c>
      <c r="I10" s="57">
        <v>3.3959999999999999</v>
      </c>
      <c r="J10" s="58">
        <v>4.0430000000000001</v>
      </c>
      <c r="K10" s="60">
        <v>1.728</v>
      </c>
      <c r="L10" s="8">
        <v>0.74643628509719218</v>
      </c>
      <c r="M10" s="44" t="s">
        <v>70</v>
      </c>
    </row>
    <row r="11" spans="1:13" ht="22" customHeight="1" x14ac:dyDescent="0.2">
      <c r="A11" s="26">
        <v>10</v>
      </c>
      <c r="B11" s="27" t="s">
        <v>48</v>
      </c>
      <c r="C11" s="17" t="s">
        <v>34</v>
      </c>
      <c r="D11" s="52">
        <v>3.609</v>
      </c>
      <c r="E11" s="53">
        <v>3.343</v>
      </c>
      <c r="F11" s="54">
        <v>3.706</v>
      </c>
      <c r="G11" s="55">
        <v>3.367</v>
      </c>
      <c r="H11" s="56">
        <v>4.0309999999999997</v>
      </c>
      <c r="I11" s="57">
        <v>4.1760000000000002</v>
      </c>
      <c r="J11" s="58">
        <v>4.8780000000000001</v>
      </c>
      <c r="K11" s="60">
        <v>1.2689999999999999</v>
      </c>
      <c r="L11" s="8">
        <v>0.35162094763092272</v>
      </c>
      <c r="M11" s="45" t="s">
        <v>70</v>
      </c>
    </row>
    <row r="12" spans="1:13" ht="22" customHeight="1" x14ac:dyDescent="0.2">
      <c r="A12" s="28">
        <v>11</v>
      </c>
      <c r="B12" s="29" t="s">
        <v>51</v>
      </c>
      <c r="C12" s="17" t="s">
        <v>34</v>
      </c>
      <c r="D12" s="52">
        <v>0.54900000000000004</v>
      </c>
      <c r="E12" s="53">
        <v>0.58699999999999997</v>
      </c>
      <c r="F12" s="54">
        <v>0.624</v>
      </c>
      <c r="G12" s="55">
        <v>0.66</v>
      </c>
      <c r="H12" s="56">
        <v>0.69499999999999995</v>
      </c>
      <c r="I12" s="57">
        <v>0.72899999999999998</v>
      </c>
      <c r="J12" s="58">
        <v>0.76200000000000001</v>
      </c>
      <c r="K12" s="60">
        <v>0.21299999999999999</v>
      </c>
      <c r="L12" s="8">
        <v>0.38797814207650272</v>
      </c>
      <c r="M12" s="46" t="s">
        <v>70</v>
      </c>
    </row>
    <row r="13" spans="1:13" ht="22" customHeight="1" x14ac:dyDescent="0.2">
      <c r="A13" s="28">
        <v>12</v>
      </c>
      <c r="B13" s="29" t="s">
        <v>54</v>
      </c>
      <c r="C13" s="23" t="s">
        <v>42</v>
      </c>
      <c r="D13" s="52">
        <v>0.496</v>
      </c>
      <c r="E13" s="53">
        <v>0.503</v>
      </c>
      <c r="F13" s="54">
        <v>0.47699999999999998</v>
      </c>
      <c r="G13" s="55">
        <v>0.48199999999999998</v>
      </c>
      <c r="H13" s="56">
        <v>0.48699999999999999</v>
      </c>
      <c r="I13" s="57">
        <v>0.49199999999999999</v>
      </c>
      <c r="J13" s="58">
        <v>0.496</v>
      </c>
      <c r="K13" s="61">
        <v>0</v>
      </c>
      <c r="L13" s="31">
        <v>0</v>
      </c>
      <c r="M13" s="47" t="s">
        <v>72</v>
      </c>
    </row>
    <row r="14" spans="1:13" ht="22" customHeight="1" x14ac:dyDescent="0.2">
      <c r="A14" s="32">
        <v>13</v>
      </c>
      <c r="B14" s="33" t="s">
        <v>56</v>
      </c>
      <c r="C14" s="17" t="s">
        <v>34</v>
      </c>
      <c r="D14" s="52">
        <v>3.298</v>
      </c>
      <c r="E14" s="53">
        <v>3.5670000000000002</v>
      </c>
      <c r="F14" s="54">
        <v>3.39</v>
      </c>
      <c r="G14" s="55">
        <v>3.375</v>
      </c>
      <c r="H14" s="56">
        <v>3.3610000000000002</v>
      </c>
      <c r="I14" s="57">
        <v>3.403</v>
      </c>
      <c r="J14" s="58">
        <v>3.4289999999999998</v>
      </c>
      <c r="K14" s="60">
        <v>0.13100000000000001</v>
      </c>
      <c r="L14" s="8">
        <v>3.9721043056397808E-2</v>
      </c>
      <c r="M14" s="48" t="s">
        <v>70</v>
      </c>
    </row>
    <row r="15" spans="1:13" ht="22" customHeight="1" x14ac:dyDescent="0.2">
      <c r="A15" s="35">
        <v>14</v>
      </c>
      <c r="B15" s="36" t="s">
        <v>59</v>
      </c>
      <c r="C15" s="16" t="s">
        <v>32</v>
      </c>
      <c r="D15" s="52">
        <v>19.795000000000002</v>
      </c>
      <c r="E15" s="53">
        <v>19.149000000000001</v>
      </c>
      <c r="F15" s="54">
        <v>20.071999999999999</v>
      </c>
      <c r="G15" s="55">
        <v>19.292999999999999</v>
      </c>
      <c r="H15" s="56">
        <v>22.452999999999999</v>
      </c>
      <c r="I15" s="57">
        <v>25.193000000000001</v>
      </c>
      <c r="J15" s="58">
        <v>23.402999999999999</v>
      </c>
      <c r="K15" s="60">
        <v>3.6080000000000001</v>
      </c>
      <c r="L15" s="8">
        <v>0.18226824955796919</v>
      </c>
      <c r="M15" s="49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 × NDC</vt:lpstr>
      <vt:lpstr>Historical Trend 2017-2023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Fabian Fuentes Rivas</cp:lastModifiedBy>
  <dcterms:created xsi:type="dcterms:W3CDTF">2026-04-23T19:02:20Z</dcterms:created>
  <dcterms:modified xsi:type="dcterms:W3CDTF">2026-04-28T02:08:14Z</dcterms:modified>
</cp:coreProperties>
</file>