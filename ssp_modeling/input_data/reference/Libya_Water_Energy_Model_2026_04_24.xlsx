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fabianfuentes/git/ssp_libya/ssp_modeling/input_data/reference/"/>
    </mc:Choice>
  </mc:AlternateContent>
  <xr:revisionPtr revIDLastSave="0" documentId="8_{95BCF2D9-855F-3C40-9D93-B04089B131D8}" xr6:coauthVersionLast="47" xr6:coauthVersionMax="47" xr10:uidLastSave="{00000000-0000-0000-0000-000000000000}"/>
  <bookViews>
    <workbookView xWindow="0" yWindow="660" windowWidth="30240" windowHeight="18980" tabRatio="500" activeTab="5" xr2:uid="{00000000-000D-0000-FFFF-FFFF00000000}"/>
  </bookViews>
  <sheets>
    <sheet name="README" sheetId="1" r:id="rId1"/>
    <sheet name="Inputs" sheetId="2" r:id="rId2"/>
    <sheet name="Demand" sheetId="3" r:id="rId3"/>
    <sheet name="Supply" sheetId="4" r:id="rId4"/>
    <sheet name="Energy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D15" i="4"/>
  <c r="E263" i="6"/>
  <c r="D263" i="6"/>
  <c r="C263" i="6"/>
  <c r="E262" i="6"/>
  <c r="D262" i="6"/>
  <c r="C262" i="6"/>
  <c r="G262" i="6" s="1"/>
  <c r="E261" i="6"/>
  <c r="D261" i="6"/>
  <c r="C261" i="6"/>
  <c r="G261" i="6" s="1"/>
  <c r="E260" i="6"/>
  <c r="D260" i="6"/>
  <c r="C260" i="6"/>
  <c r="E259" i="6"/>
  <c r="D259" i="6"/>
  <c r="C259" i="6"/>
  <c r="G259" i="6" s="1"/>
  <c r="E258" i="6"/>
  <c r="D258" i="6"/>
  <c r="C258" i="6"/>
  <c r="G258" i="6" s="1"/>
  <c r="E257" i="6"/>
  <c r="D257" i="6"/>
  <c r="C257" i="6"/>
  <c r="E256" i="6"/>
  <c r="D256" i="6"/>
  <c r="C256" i="6"/>
  <c r="E255" i="6"/>
  <c r="D255" i="6"/>
  <c r="C255" i="6"/>
  <c r="G255" i="6" s="1"/>
  <c r="E254" i="6"/>
  <c r="D254" i="6"/>
  <c r="C254" i="6"/>
  <c r="E253" i="6"/>
  <c r="D253" i="6"/>
  <c r="C253" i="6"/>
  <c r="G253" i="6" s="1"/>
  <c r="E252" i="6"/>
  <c r="D252" i="6"/>
  <c r="C252" i="6"/>
  <c r="G252" i="6" s="1"/>
  <c r="E251" i="6"/>
  <c r="D251" i="6"/>
  <c r="C251" i="6"/>
  <c r="E250" i="6"/>
  <c r="D250" i="6"/>
  <c r="C250" i="6"/>
  <c r="G250" i="6" s="1"/>
  <c r="E249" i="6"/>
  <c r="D249" i="6"/>
  <c r="C249" i="6"/>
  <c r="G249" i="6" s="1"/>
  <c r="E248" i="6"/>
  <c r="D248" i="6"/>
  <c r="C248" i="6"/>
  <c r="E247" i="6"/>
  <c r="D247" i="6"/>
  <c r="C247" i="6"/>
  <c r="G247" i="6" s="1"/>
  <c r="E246" i="6"/>
  <c r="D246" i="6"/>
  <c r="C246" i="6"/>
  <c r="G246" i="6" s="1"/>
  <c r="E245" i="6"/>
  <c r="D245" i="6"/>
  <c r="C245" i="6"/>
  <c r="E244" i="6"/>
  <c r="D244" i="6"/>
  <c r="C244" i="6"/>
  <c r="E243" i="6"/>
  <c r="D243" i="6"/>
  <c r="C243" i="6"/>
  <c r="G243" i="6" s="1"/>
  <c r="E242" i="6"/>
  <c r="D242" i="6"/>
  <c r="C242" i="6"/>
  <c r="E241" i="6"/>
  <c r="D241" i="6"/>
  <c r="C241" i="6"/>
  <c r="G241" i="6" s="1"/>
  <c r="E240" i="6"/>
  <c r="D240" i="6"/>
  <c r="C240" i="6"/>
  <c r="G240" i="6" s="1"/>
  <c r="E239" i="6"/>
  <c r="D239" i="6"/>
  <c r="C239" i="6"/>
  <c r="E238" i="6"/>
  <c r="D238" i="6"/>
  <c r="C238" i="6"/>
  <c r="G238" i="6" s="1"/>
  <c r="E237" i="6"/>
  <c r="D237" i="6"/>
  <c r="C237" i="6"/>
  <c r="G237" i="6" s="1"/>
  <c r="E236" i="6"/>
  <c r="D236" i="6"/>
  <c r="C236" i="6"/>
  <c r="E235" i="6"/>
  <c r="D235" i="6"/>
  <c r="C235" i="6"/>
  <c r="G235" i="6" s="1"/>
  <c r="E234" i="6"/>
  <c r="D234" i="6"/>
  <c r="C234" i="6"/>
  <c r="G234" i="6" s="1"/>
  <c r="E233" i="6"/>
  <c r="D233" i="6"/>
  <c r="C233" i="6"/>
  <c r="G263" i="6"/>
  <c r="G260" i="6"/>
  <c r="G257" i="6"/>
  <c r="G256" i="6"/>
  <c r="G254" i="6"/>
  <c r="G251" i="6"/>
  <c r="G248" i="6"/>
  <c r="G245" i="6"/>
  <c r="G244" i="6"/>
  <c r="G242" i="6"/>
  <c r="G239" i="6"/>
  <c r="G236" i="6"/>
  <c r="G233" i="6"/>
  <c r="G203" i="6" l="1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02" i="6"/>
  <c r="B16" i="2"/>
  <c r="B26" i="2"/>
  <c r="D40" i="5"/>
  <c r="D11" i="3" l="1"/>
  <c r="D9" i="4" l="1"/>
  <c r="D10" i="5" s="1"/>
  <c r="D8" i="4"/>
  <c r="E8" i="4"/>
  <c r="D5" i="5"/>
  <c r="D6" i="5"/>
  <c r="D7" i="5"/>
  <c r="D13" i="5"/>
  <c r="D9" i="5" l="1"/>
  <c r="D10" i="4"/>
  <c r="AH9" i="4" l="1"/>
  <c r="AG9" i="4"/>
  <c r="D151" i="6" s="1"/>
  <c r="AF9" i="4"/>
  <c r="AE9" i="4"/>
  <c r="D149" i="6" s="1"/>
  <c r="AD9" i="4"/>
  <c r="AC9" i="4"/>
  <c r="AB9" i="4"/>
  <c r="D146" i="6" s="1"/>
  <c r="AA9" i="4"/>
  <c r="D145" i="6" s="1"/>
  <c r="Z9" i="4"/>
  <c r="Y9" i="4"/>
  <c r="X9" i="4"/>
  <c r="D142" i="6" s="1"/>
  <c r="W9" i="4"/>
  <c r="D141" i="6" s="1"/>
  <c r="V9" i="4"/>
  <c r="D140" i="6" s="1"/>
  <c r="U9" i="4"/>
  <c r="D139" i="6" s="1"/>
  <c r="T9" i="4"/>
  <c r="D138" i="6" s="1"/>
  <c r="S9" i="4"/>
  <c r="D137" i="6" s="1"/>
  <c r="R9" i="4"/>
  <c r="Q9" i="4"/>
  <c r="P9" i="4"/>
  <c r="O9" i="4"/>
  <c r="N9" i="4"/>
  <c r="M9" i="4"/>
  <c r="L9" i="4"/>
  <c r="D130" i="6" s="1"/>
  <c r="K9" i="4"/>
  <c r="D129" i="6" s="1"/>
  <c r="J9" i="4"/>
  <c r="D128" i="6" s="1"/>
  <c r="I9" i="4"/>
  <c r="D127" i="6" s="1"/>
  <c r="H9" i="4"/>
  <c r="D126" i="6" s="1"/>
  <c r="G9" i="4"/>
  <c r="D125" i="6" s="1"/>
  <c r="F9" i="4"/>
  <c r="D124" i="6" s="1"/>
  <c r="E9" i="4"/>
  <c r="D122" i="6"/>
  <c r="AH8" i="4"/>
  <c r="AH10" i="4" s="1"/>
  <c r="AG8" i="4"/>
  <c r="AF8" i="4"/>
  <c r="AE8" i="4"/>
  <c r="AD8" i="4"/>
  <c r="AC8" i="4"/>
  <c r="C147" i="6" s="1"/>
  <c r="AB8" i="4"/>
  <c r="AA8" i="4"/>
  <c r="Z8" i="4"/>
  <c r="C144" i="6" s="1"/>
  <c r="Y8" i="4"/>
  <c r="C143" i="6" s="1"/>
  <c r="X8" i="4"/>
  <c r="C142" i="6" s="1"/>
  <c r="W8" i="4"/>
  <c r="C141" i="6" s="1"/>
  <c r="V8" i="4"/>
  <c r="C140" i="6" s="1"/>
  <c r="U8" i="4"/>
  <c r="T8" i="4"/>
  <c r="S8" i="4"/>
  <c r="R8" i="4"/>
  <c r="Q8" i="4"/>
  <c r="P8" i="4"/>
  <c r="O8" i="4"/>
  <c r="N8" i="4"/>
  <c r="M8" i="4"/>
  <c r="C131" i="6" s="1"/>
  <c r="L8" i="4"/>
  <c r="C130" i="6" s="1"/>
  <c r="K8" i="4"/>
  <c r="C129" i="6" s="1"/>
  <c r="J8" i="4"/>
  <c r="C128" i="6" s="1"/>
  <c r="I8" i="4"/>
  <c r="H8" i="4"/>
  <c r="G8" i="4"/>
  <c r="F8" i="4"/>
  <c r="AH16" i="3"/>
  <c r="AH17" i="3" s="1"/>
  <c r="AG16" i="3"/>
  <c r="AG17" i="3" s="1"/>
  <c r="AF16" i="3"/>
  <c r="AF17" i="3" s="1"/>
  <c r="AE16" i="3"/>
  <c r="AE17" i="3" s="1"/>
  <c r="AD16" i="3"/>
  <c r="AD17" i="3" s="1"/>
  <c r="AC16" i="3"/>
  <c r="AC17" i="3" s="1"/>
  <c r="AB16" i="3"/>
  <c r="AB17" i="3" s="1"/>
  <c r="AA16" i="3"/>
  <c r="AA17" i="3" s="1"/>
  <c r="Z16" i="3"/>
  <c r="Z17" i="3" s="1"/>
  <c r="Y16" i="3"/>
  <c r="Y17" i="3" s="1"/>
  <c r="X16" i="3"/>
  <c r="X17" i="3" s="1"/>
  <c r="W16" i="3"/>
  <c r="W17" i="3" s="1"/>
  <c r="V16" i="3"/>
  <c r="V17" i="3" s="1"/>
  <c r="U16" i="3"/>
  <c r="U17" i="3" s="1"/>
  <c r="T16" i="3"/>
  <c r="T17" i="3" s="1"/>
  <c r="S16" i="3"/>
  <c r="S17" i="3" s="1"/>
  <c r="R16" i="3"/>
  <c r="R17" i="3" s="1"/>
  <c r="Q16" i="3"/>
  <c r="Q17" i="3" s="1"/>
  <c r="P16" i="3"/>
  <c r="P17" i="3" s="1"/>
  <c r="O16" i="3"/>
  <c r="O17" i="3" s="1"/>
  <c r="N16" i="3"/>
  <c r="N17" i="3" s="1"/>
  <c r="M16" i="3"/>
  <c r="M17" i="3" s="1"/>
  <c r="L16" i="3"/>
  <c r="L17" i="3" s="1"/>
  <c r="K16" i="3"/>
  <c r="K17" i="3" s="1"/>
  <c r="J16" i="3"/>
  <c r="J17" i="3" s="1"/>
  <c r="I16" i="3"/>
  <c r="I17" i="3" s="1"/>
  <c r="H16" i="3"/>
  <c r="H17" i="3" s="1"/>
  <c r="G16" i="3"/>
  <c r="G17" i="3" s="1"/>
  <c r="F16" i="3"/>
  <c r="F17" i="3" s="1"/>
  <c r="E16" i="3"/>
  <c r="E17" i="3" s="1"/>
  <c r="D16" i="3"/>
  <c r="D17" i="3" s="1"/>
  <c r="D6" i="4" s="1"/>
  <c r="F13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S7" i="3"/>
  <c r="S14" i="3" s="1"/>
  <c r="AH6" i="3"/>
  <c r="C5" i="6" s="1"/>
  <c r="AG6" i="3"/>
  <c r="AF6" i="3"/>
  <c r="AE6" i="3"/>
  <c r="AD6" i="3"/>
  <c r="AD7" i="3" s="1"/>
  <c r="AD14" i="3" s="1"/>
  <c r="AC6" i="3"/>
  <c r="AB6" i="3"/>
  <c r="AB7" i="3" s="1"/>
  <c r="AA6" i="3"/>
  <c r="Z6" i="3"/>
  <c r="Y6" i="3"/>
  <c r="X6" i="3"/>
  <c r="W6" i="3"/>
  <c r="V6" i="3"/>
  <c r="U6" i="3"/>
  <c r="T6" i="3"/>
  <c r="S6" i="3"/>
  <c r="R6" i="3"/>
  <c r="Q6" i="3"/>
  <c r="P6" i="3"/>
  <c r="P7" i="3" s="1"/>
  <c r="O6" i="3"/>
  <c r="N6" i="3"/>
  <c r="M6" i="3"/>
  <c r="L6" i="3"/>
  <c r="K6" i="3"/>
  <c r="J6" i="3"/>
  <c r="I6" i="3"/>
  <c r="H6" i="3"/>
  <c r="G6" i="3"/>
  <c r="F6" i="3"/>
  <c r="E6" i="3"/>
  <c r="D6" i="3"/>
  <c r="B5" i="6" s="1"/>
  <c r="AH5" i="3"/>
  <c r="C4" i="6" s="1"/>
  <c r="AG5" i="3"/>
  <c r="AF5" i="3"/>
  <c r="AE5" i="3"/>
  <c r="AD5" i="3"/>
  <c r="AD15" i="3" s="1"/>
  <c r="AD14" i="4" s="1"/>
  <c r="AC5" i="3"/>
  <c r="AC13" i="3" s="1"/>
  <c r="AB5" i="3"/>
  <c r="AA5" i="3"/>
  <c r="Z5" i="3"/>
  <c r="Y5" i="3"/>
  <c r="X5" i="3"/>
  <c r="X13" i="3" s="1"/>
  <c r="W5" i="3"/>
  <c r="V5" i="3"/>
  <c r="U5" i="3"/>
  <c r="U13" i="3" s="1"/>
  <c r="T5" i="3"/>
  <c r="S5" i="3"/>
  <c r="R5" i="3"/>
  <c r="R13" i="3" s="1"/>
  <c r="Q5" i="3"/>
  <c r="P5" i="3"/>
  <c r="P15" i="3" s="1"/>
  <c r="P14" i="4" s="1"/>
  <c r="O5" i="3"/>
  <c r="O15" i="3" s="1"/>
  <c r="O14" i="4" s="1"/>
  <c r="N5" i="3"/>
  <c r="M5" i="3"/>
  <c r="L5" i="3"/>
  <c r="K5" i="3"/>
  <c r="J5" i="3"/>
  <c r="J13" i="3" s="1"/>
  <c r="I5" i="3"/>
  <c r="H5" i="3"/>
  <c r="G5" i="3"/>
  <c r="F5" i="3"/>
  <c r="F15" i="3" s="1"/>
  <c r="F14" i="4" s="1"/>
  <c r="E5" i="3"/>
  <c r="E15" i="3" s="1"/>
  <c r="E14" i="4" s="1"/>
  <c r="D5" i="3"/>
  <c r="D15" i="3" s="1"/>
  <c r="D14" i="4" s="1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V30" i="5" s="1"/>
  <c r="U29" i="5"/>
  <c r="T29" i="5"/>
  <c r="S29" i="5"/>
  <c r="S30" i="5" s="1"/>
  <c r="R29" i="5"/>
  <c r="Q29" i="5"/>
  <c r="P29" i="5"/>
  <c r="O29" i="5"/>
  <c r="N29" i="5"/>
  <c r="M29" i="5"/>
  <c r="L29" i="5"/>
  <c r="K29" i="5"/>
  <c r="J29" i="5"/>
  <c r="I29" i="5"/>
  <c r="H29" i="5"/>
  <c r="G29" i="5"/>
  <c r="G30" i="5" s="1"/>
  <c r="F29" i="5"/>
  <c r="E29" i="5"/>
  <c r="D29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X10" i="5"/>
  <c r="L142" i="6" s="1"/>
  <c r="Z9" i="5"/>
  <c r="K144" i="6" s="1"/>
  <c r="AH7" i="5"/>
  <c r="AG7" i="5"/>
  <c r="AF7" i="5"/>
  <c r="AE7" i="5"/>
  <c r="AD7" i="5"/>
  <c r="AC7" i="5"/>
  <c r="AB7" i="5"/>
  <c r="AA7" i="5"/>
  <c r="AA30" i="5" s="1"/>
  <c r="Z7" i="5"/>
  <c r="Z30" i="5" s="1"/>
  <c r="Y7" i="5"/>
  <c r="Y30" i="5" s="1"/>
  <c r="X7" i="5"/>
  <c r="W7" i="5"/>
  <c r="V7" i="5"/>
  <c r="U7" i="5"/>
  <c r="T7" i="5"/>
  <c r="S7" i="5"/>
  <c r="R7" i="5"/>
  <c r="Q7" i="5"/>
  <c r="P7" i="5"/>
  <c r="O7" i="5"/>
  <c r="O30" i="5" s="1"/>
  <c r="N7" i="5"/>
  <c r="N30" i="5" s="1"/>
  <c r="M7" i="5"/>
  <c r="M30" i="5" s="1"/>
  <c r="L7" i="5"/>
  <c r="K7" i="5"/>
  <c r="J7" i="5"/>
  <c r="I7" i="5"/>
  <c r="H7" i="5"/>
  <c r="G7" i="5"/>
  <c r="F7" i="5"/>
  <c r="E7" i="5"/>
  <c r="AH6" i="5"/>
  <c r="AH10" i="5" s="1"/>
  <c r="AG6" i="5"/>
  <c r="AG10" i="5" s="1"/>
  <c r="L151" i="6" s="1"/>
  <c r="AF6" i="5"/>
  <c r="AF10" i="5" s="1"/>
  <c r="L150" i="6" s="1"/>
  <c r="AE6" i="5"/>
  <c r="AE10" i="5" s="1"/>
  <c r="L149" i="6" s="1"/>
  <c r="AD6" i="5"/>
  <c r="AD10" i="5" s="1"/>
  <c r="AC6" i="5"/>
  <c r="AC10" i="5" s="1"/>
  <c r="AB6" i="5"/>
  <c r="AA6" i="5"/>
  <c r="Z6" i="5"/>
  <c r="Z10" i="5" s="1"/>
  <c r="L144" i="6" s="1"/>
  <c r="Y6" i="5"/>
  <c r="Y10" i="5" s="1"/>
  <c r="L143" i="6" s="1"/>
  <c r="X6" i="5"/>
  <c r="W6" i="5"/>
  <c r="W10" i="5" s="1"/>
  <c r="L141" i="6" s="1"/>
  <c r="V6" i="5"/>
  <c r="V10" i="5" s="1"/>
  <c r="L140" i="6" s="1"/>
  <c r="U6" i="5"/>
  <c r="U10" i="5" s="1"/>
  <c r="L139" i="6" s="1"/>
  <c r="T6" i="5"/>
  <c r="T10" i="5" s="1"/>
  <c r="L138" i="6" s="1"/>
  <c r="S6" i="5"/>
  <c r="S10" i="5" s="1"/>
  <c r="L137" i="6" s="1"/>
  <c r="R6" i="5"/>
  <c r="R10" i="5" s="1"/>
  <c r="Q6" i="5"/>
  <c r="Q10" i="5" s="1"/>
  <c r="P6" i="5"/>
  <c r="O6" i="5"/>
  <c r="N6" i="5"/>
  <c r="N10" i="5" s="1"/>
  <c r="L132" i="6" s="1"/>
  <c r="M6" i="5"/>
  <c r="M10" i="5" s="1"/>
  <c r="L131" i="6" s="1"/>
  <c r="L6" i="5"/>
  <c r="K6" i="5"/>
  <c r="K10" i="5" s="1"/>
  <c r="L129" i="6" s="1"/>
  <c r="J6" i="5"/>
  <c r="J10" i="5" s="1"/>
  <c r="L128" i="6" s="1"/>
  <c r="I6" i="5"/>
  <c r="I10" i="5" s="1"/>
  <c r="L127" i="6" s="1"/>
  <c r="H6" i="5"/>
  <c r="H10" i="5" s="1"/>
  <c r="L126" i="6" s="1"/>
  <c r="G6" i="5"/>
  <c r="G10" i="5" s="1"/>
  <c r="L125" i="6" s="1"/>
  <c r="F6" i="5"/>
  <c r="F10" i="5" s="1"/>
  <c r="E6" i="5"/>
  <c r="E10" i="5" s="1"/>
  <c r="AH5" i="5"/>
  <c r="AG5" i="5"/>
  <c r="AF5" i="5"/>
  <c r="AE5" i="5"/>
  <c r="AD5" i="5"/>
  <c r="AD9" i="5" s="1"/>
  <c r="AC5" i="5"/>
  <c r="AC9" i="5" s="1"/>
  <c r="AB5" i="5"/>
  <c r="AB9" i="5" s="1"/>
  <c r="K146" i="6" s="1"/>
  <c r="AA5" i="5"/>
  <c r="Z5" i="5"/>
  <c r="Y5" i="5"/>
  <c r="Y9" i="5" s="1"/>
  <c r="X5" i="5"/>
  <c r="W5" i="5"/>
  <c r="V5" i="5"/>
  <c r="U5" i="5"/>
  <c r="T5" i="5"/>
  <c r="S5" i="5"/>
  <c r="R5" i="5"/>
  <c r="R9" i="5" s="1"/>
  <c r="Q5" i="5"/>
  <c r="P5" i="5"/>
  <c r="P9" i="5" s="1"/>
  <c r="K134" i="6" s="1"/>
  <c r="O5" i="5"/>
  <c r="O9" i="5" s="1"/>
  <c r="K133" i="6" s="1"/>
  <c r="N5" i="5"/>
  <c r="M5" i="5"/>
  <c r="M9" i="5" s="1"/>
  <c r="L5" i="5"/>
  <c r="L9" i="5" s="1"/>
  <c r="K5" i="5"/>
  <c r="J5" i="5"/>
  <c r="I5" i="5"/>
  <c r="H5" i="5"/>
  <c r="G5" i="5"/>
  <c r="F5" i="5"/>
  <c r="F9" i="5" s="1"/>
  <c r="E5" i="5"/>
  <c r="E9" i="5" s="1"/>
  <c r="K15" i="3" l="1"/>
  <c r="K14" i="4" s="1"/>
  <c r="W15" i="3"/>
  <c r="W14" i="4" s="1"/>
  <c r="T15" i="3"/>
  <c r="T14" i="4" s="1"/>
  <c r="V15" i="3"/>
  <c r="V14" i="4" s="1"/>
  <c r="Q7" i="3"/>
  <c r="Q14" i="3" s="1"/>
  <c r="AF7" i="3"/>
  <c r="AF14" i="3" s="1"/>
  <c r="G7" i="3"/>
  <c r="G14" i="3" s="1"/>
  <c r="I7" i="3"/>
  <c r="I14" i="3" s="1"/>
  <c r="R7" i="3"/>
  <c r="R14" i="3" s="1"/>
  <c r="E13" i="3"/>
  <c r="E7" i="3"/>
  <c r="E14" i="3" s="1"/>
  <c r="D62" i="6" s="1"/>
  <c r="G9" i="5"/>
  <c r="K125" i="6" s="1"/>
  <c r="AE9" i="5"/>
  <c r="K149" i="6" s="1"/>
  <c r="N9" i="5"/>
  <c r="K132" i="6" s="1"/>
  <c r="AB14" i="3"/>
  <c r="AB13" i="4" s="1"/>
  <c r="J15" i="3"/>
  <c r="J14" i="4" s="1"/>
  <c r="O10" i="5"/>
  <c r="L133" i="6" s="1"/>
  <c r="F7" i="3"/>
  <c r="F14" i="3" s="1"/>
  <c r="D63" i="6" s="1"/>
  <c r="AA10" i="5"/>
  <c r="L145" i="6" s="1"/>
  <c r="J9" i="5"/>
  <c r="K128" i="6" s="1"/>
  <c r="V9" i="5"/>
  <c r="K140" i="6" s="1"/>
  <c r="P10" i="5"/>
  <c r="L134" i="6" s="1"/>
  <c r="AB10" i="5"/>
  <c r="L146" i="6" s="1"/>
  <c r="H13" i="3"/>
  <c r="AF13" i="3"/>
  <c r="AH15" i="3"/>
  <c r="AH14" i="4" s="1"/>
  <c r="P14" i="3"/>
  <c r="D73" i="6" s="1"/>
  <c r="T30" i="5"/>
  <c r="V13" i="3"/>
  <c r="C220" i="6" s="1"/>
  <c r="P30" i="5"/>
  <c r="AB30" i="5"/>
  <c r="I30" i="5"/>
  <c r="U30" i="5"/>
  <c r="AG30" i="5"/>
  <c r="AH7" i="3"/>
  <c r="C6" i="6" s="1"/>
  <c r="Q30" i="5"/>
  <c r="E30" i="5"/>
  <c r="L10" i="5"/>
  <c r="L130" i="6" s="1"/>
  <c r="AD13" i="3"/>
  <c r="C228" i="6" s="1"/>
  <c r="D123" i="6"/>
  <c r="E10" i="4"/>
  <c r="H30" i="5"/>
  <c r="AC30" i="5"/>
  <c r="Q13" i="3"/>
  <c r="Q12" i="4" s="1"/>
  <c r="W9" i="5"/>
  <c r="W28" i="5" s="1"/>
  <c r="X9" i="5"/>
  <c r="X28" i="5" s="1"/>
  <c r="AH9" i="5"/>
  <c r="K152" i="6" s="1"/>
  <c r="K9" i="5"/>
  <c r="K28" i="5" s="1"/>
  <c r="AA9" i="5"/>
  <c r="K145" i="6" s="1"/>
  <c r="Q9" i="5"/>
  <c r="K135" i="6" s="1"/>
  <c r="S9" i="5"/>
  <c r="K137" i="6" s="1"/>
  <c r="H9" i="5"/>
  <c r="H28" i="5" s="1"/>
  <c r="T9" i="5"/>
  <c r="K138" i="6" s="1"/>
  <c r="AF9" i="5"/>
  <c r="K150" i="6" s="1"/>
  <c r="I9" i="5"/>
  <c r="K127" i="6" s="1"/>
  <c r="U9" i="5"/>
  <c r="U28" i="5" s="1"/>
  <c r="AG9" i="5"/>
  <c r="K151" i="6" s="1"/>
  <c r="J30" i="5"/>
  <c r="AE30" i="5"/>
  <c r="AH30" i="5"/>
  <c r="X30" i="5"/>
  <c r="K30" i="5"/>
  <c r="W30" i="5"/>
  <c r="L30" i="5"/>
  <c r="AF30" i="5"/>
  <c r="K123" i="6"/>
  <c r="E28" i="5"/>
  <c r="K147" i="6"/>
  <c r="AC28" i="5"/>
  <c r="K124" i="6"/>
  <c r="F28" i="5"/>
  <c r="K136" i="6"/>
  <c r="R28" i="5"/>
  <c r="K148" i="6"/>
  <c r="AD28" i="5"/>
  <c r="G28" i="5"/>
  <c r="D30" i="5"/>
  <c r="AE28" i="5"/>
  <c r="C89" i="6"/>
  <c r="C230" i="6"/>
  <c r="AF15" i="4"/>
  <c r="AF12" i="4"/>
  <c r="K130" i="6"/>
  <c r="L28" i="5"/>
  <c r="L135" i="6"/>
  <c r="L147" i="6"/>
  <c r="K131" i="6"/>
  <c r="M28" i="5"/>
  <c r="E79" i="6"/>
  <c r="E220" i="6"/>
  <c r="L123" i="6"/>
  <c r="E77" i="6"/>
  <c r="E218" i="6"/>
  <c r="L124" i="6"/>
  <c r="L148" i="6"/>
  <c r="C208" i="6"/>
  <c r="C67" i="6"/>
  <c r="J12" i="4"/>
  <c r="J15" i="4"/>
  <c r="C65" i="6"/>
  <c r="C206" i="6"/>
  <c r="H12" i="4"/>
  <c r="H15" i="4"/>
  <c r="K143" i="6"/>
  <c r="Y28" i="5"/>
  <c r="L136" i="6"/>
  <c r="D207" i="6"/>
  <c r="D66" i="6"/>
  <c r="I13" i="4"/>
  <c r="E204" i="6"/>
  <c r="E63" i="6"/>
  <c r="C216" i="6"/>
  <c r="C75" i="6"/>
  <c r="R15" i="4"/>
  <c r="R12" i="4"/>
  <c r="E228" i="6"/>
  <c r="E87" i="6"/>
  <c r="D203" i="6"/>
  <c r="E13" i="4"/>
  <c r="K129" i="6"/>
  <c r="B18" i="6"/>
  <c r="L122" i="6"/>
  <c r="E73" i="6"/>
  <c r="E214" i="6"/>
  <c r="N28" i="5"/>
  <c r="Z28" i="5"/>
  <c r="D7" i="3"/>
  <c r="T13" i="3"/>
  <c r="F211" i="6"/>
  <c r="F70" i="6"/>
  <c r="M6" i="4"/>
  <c r="F223" i="6"/>
  <c r="Y6" i="4"/>
  <c r="F82" i="6"/>
  <c r="O28" i="5"/>
  <c r="AA28" i="5"/>
  <c r="G13" i="3"/>
  <c r="G15" i="3"/>
  <c r="G14" i="4" s="1"/>
  <c r="S13" i="3"/>
  <c r="S15" i="3"/>
  <c r="S14" i="4" s="1"/>
  <c r="AE13" i="3"/>
  <c r="AE15" i="3"/>
  <c r="AE14" i="4" s="1"/>
  <c r="D228" i="6"/>
  <c r="AD13" i="4"/>
  <c r="D87" i="6"/>
  <c r="H15" i="3"/>
  <c r="H14" i="4" s="1"/>
  <c r="AF15" i="3"/>
  <c r="AF14" i="4" s="1"/>
  <c r="F71" i="6"/>
  <c r="F212" i="6"/>
  <c r="F36" i="6"/>
  <c r="N6" i="4"/>
  <c r="F83" i="6"/>
  <c r="F224" i="6"/>
  <c r="Z6" i="4"/>
  <c r="D28" i="5"/>
  <c r="P28" i="5"/>
  <c r="AB28" i="5"/>
  <c r="F13" i="4"/>
  <c r="D216" i="6"/>
  <c r="D75" i="6"/>
  <c r="R13" i="4"/>
  <c r="AE7" i="3"/>
  <c r="AE14" i="3" s="1"/>
  <c r="W13" i="3"/>
  <c r="I15" i="3"/>
  <c r="I14" i="4" s="1"/>
  <c r="F213" i="6"/>
  <c r="F72" i="6"/>
  <c r="O6" i="4"/>
  <c r="F225" i="6"/>
  <c r="F84" i="6"/>
  <c r="AA6" i="4"/>
  <c r="U15" i="4"/>
  <c r="C219" i="6"/>
  <c r="U12" i="4"/>
  <c r="C78" i="6"/>
  <c r="AG15" i="3"/>
  <c r="AG14" i="4" s="1"/>
  <c r="AG13" i="3"/>
  <c r="D205" i="6"/>
  <c r="G13" i="4"/>
  <c r="D64" i="6"/>
  <c r="D217" i="6"/>
  <c r="D76" i="6"/>
  <c r="S13" i="4"/>
  <c r="D230" i="6"/>
  <c r="D89" i="6"/>
  <c r="AF13" i="4"/>
  <c r="C62" i="6"/>
  <c r="C203" i="6"/>
  <c r="E15" i="4"/>
  <c r="E19" i="3"/>
  <c r="E5" i="4" s="1"/>
  <c r="E37" i="4" s="1"/>
  <c r="E12" i="4"/>
  <c r="C37" i="6"/>
  <c r="C81" i="6"/>
  <c r="C222" i="6"/>
  <c r="X12" i="4"/>
  <c r="X15" i="4"/>
  <c r="D215" i="6"/>
  <c r="D74" i="6"/>
  <c r="Q13" i="4"/>
  <c r="F202" i="6"/>
  <c r="F35" i="6"/>
  <c r="F61" i="6"/>
  <c r="B11" i="6"/>
  <c r="F214" i="6"/>
  <c r="P6" i="4"/>
  <c r="F73" i="6"/>
  <c r="F226" i="6"/>
  <c r="AB6" i="4"/>
  <c r="F85" i="6"/>
  <c r="H7" i="3"/>
  <c r="H14" i="3" s="1"/>
  <c r="T7" i="3"/>
  <c r="T14" i="3" s="1"/>
  <c r="AG7" i="3"/>
  <c r="AG14" i="3" s="1"/>
  <c r="C63" i="6"/>
  <c r="C204" i="6"/>
  <c r="F15" i="4"/>
  <c r="F12" i="4"/>
  <c r="C86" i="6"/>
  <c r="C227" i="6"/>
  <c r="AC15" i="4"/>
  <c r="AC12" i="4"/>
  <c r="E213" i="6"/>
  <c r="E72" i="6"/>
  <c r="F62" i="6"/>
  <c r="F203" i="6"/>
  <c r="E6" i="4"/>
  <c r="F74" i="6"/>
  <c r="F215" i="6"/>
  <c r="Q6" i="4"/>
  <c r="F86" i="6"/>
  <c r="F227" i="6"/>
  <c r="AC6" i="4"/>
  <c r="E68" i="6"/>
  <c r="E209" i="6"/>
  <c r="U7" i="3"/>
  <c r="U14" i="3" s="1"/>
  <c r="C18" i="6"/>
  <c r="L152" i="6"/>
  <c r="F30" i="5"/>
  <c r="R30" i="5"/>
  <c r="AD30" i="5"/>
  <c r="L15" i="3"/>
  <c r="L14" i="4" s="1"/>
  <c r="X15" i="3"/>
  <c r="X14" i="4" s="1"/>
  <c r="J7" i="3"/>
  <c r="J14" i="3" s="1"/>
  <c r="V7" i="3"/>
  <c r="V14" i="3" s="1"/>
  <c r="I13" i="3"/>
  <c r="R15" i="3"/>
  <c r="F205" i="6"/>
  <c r="F64" i="6"/>
  <c r="G6" i="4"/>
  <c r="F217" i="6"/>
  <c r="F76" i="6"/>
  <c r="S6" i="4"/>
  <c r="F229" i="6"/>
  <c r="F88" i="6"/>
  <c r="AE6" i="4"/>
  <c r="AD12" i="4"/>
  <c r="M15" i="3"/>
  <c r="M14" i="4" s="1"/>
  <c r="M13" i="3"/>
  <c r="Y15" i="3"/>
  <c r="Y14" i="4" s="1"/>
  <c r="Y13" i="3"/>
  <c r="K7" i="3"/>
  <c r="K14" i="3" s="1"/>
  <c r="W7" i="3"/>
  <c r="W14" i="3" s="1"/>
  <c r="AH13" i="3"/>
  <c r="F65" i="6"/>
  <c r="F206" i="6"/>
  <c r="H6" i="4"/>
  <c r="F77" i="6"/>
  <c r="F218" i="6"/>
  <c r="T6" i="4"/>
  <c r="F89" i="6"/>
  <c r="F230" i="6"/>
  <c r="AF6" i="4"/>
  <c r="F204" i="6"/>
  <c r="F6" i="4"/>
  <c r="F63" i="6"/>
  <c r="N15" i="3"/>
  <c r="N14" i="4" s="1"/>
  <c r="N13" i="3"/>
  <c r="Z15" i="3"/>
  <c r="Z14" i="4" s="1"/>
  <c r="Z13" i="3"/>
  <c r="L7" i="3"/>
  <c r="L14" i="3" s="1"/>
  <c r="X7" i="3"/>
  <c r="X14" i="3" s="1"/>
  <c r="K13" i="3"/>
  <c r="U15" i="3"/>
  <c r="U14" i="4" s="1"/>
  <c r="F207" i="6"/>
  <c r="F66" i="6"/>
  <c r="I6" i="4"/>
  <c r="F219" i="6"/>
  <c r="F78" i="6"/>
  <c r="U6" i="4"/>
  <c r="F231" i="6"/>
  <c r="F90" i="6"/>
  <c r="AG6" i="4"/>
  <c r="B17" i="6"/>
  <c r="K122" i="6"/>
  <c r="F228" i="6"/>
  <c r="F87" i="6"/>
  <c r="AD6" i="4"/>
  <c r="O13" i="3"/>
  <c r="AA13" i="3"/>
  <c r="M7" i="3"/>
  <c r="M14" i="3" s="1"/>
  <c r="Y7" i="3"/>
  <c r="Y14" i="3" s="1"/>
  <c r="L13" i="3"/>
  <c r="F208" i="6"/>
  <c r="F67" i="6"/>
  <c r="J6" i="4"/>
  <c r="F220" i="6"/>
  <c r="F79" i="6"/>
  <c r="V6" i="4"/>
  <c r="F232" i="6"/>
  <c r="F38" i="6"/>
  <c r="C11" i="6"/>
  <c r="D11" i="6" s="1"/>
  <c r="F91" i="6"/>
  <c r="AH6" i="4"/>
  <c r="B4" i="6"/>
  <c r="D4" i="6" s="1"/>
  <c r="D13" i="3"/>
  <c r="P13" i="3"/>
  <c r="AB13" i="3"/>
  <c r="N7" i="3"/>
  <c r="N14" i="3" s="1"/>
  <c r="Z7" i="3"/>
  <c r="Z14" i="3" s="1"/>
  <c r="AH14" i="3"/>
  <c r="AA15" i="3"/>
  <c r="AA14" i="4" s="1"/>
  <c r="F68" i="6"/>
  <c r="F209" i="6"/>
  <c r="K6" i="4"/>
  <c r="F80" i="6"/>
  <c r="F221" i="6"/>
  <c r="W6" i="4"/>
  <c r="F216" i="6"/>
  <c r="F75" i="6"/>
  <c r="R6" i="4"/>
  <c r="E62" i="6"/>
  <c r="E203" i="6"/>
  <c r="Q15" i="3"/>
  <c r="Q14" i="4" s="1"/>
  <c r="AC15" i="3"/>
  <c r="AC14" i="4" s="1"/>
  <c r="AC7" i="3"/>
  <c r="AC14" i="3" s="1"/>
  <c r="D5" i="6"/>
  <c r="O7" i="3"/>
  <c r="O14" i="3" s="1"/>
  <c r="AA7" i="3"/>
  <c r="AA14" i="3" s="1"/>
  <c r="AB15" i="3"/>
  <c r="AB14" i="4" s="1"/>
  <c r="F210" i="6"/>
  <c r="F69" i="6"/>
  <c r="L6" i="4"/>
  <c r="F37" i="6"/>
  <c r="F222" i="6"/>
  <c r="F81" i="6"/>
  <c r="X6" i="4"/>
  <c r="D135" i="6"/>
  <c r="D147" i="6"/>
  <c r="J10" i="4"/>
  <c r="V10" i="4"/>
  <c r="C124" i="6"/>
  <c r="D136" i="6"/>
  <c r="D148" i="6"/>
  <c r="K10" i="4"/>
  <c r="W10" i="4"/>
  <c r="L10" i="4"/>
  <c r="X10" i="4"/>
  <c r="C133" i="6"/>
  <c r="C145" i="6"/>
  <c r="D150" i="6"/>
  <c r="M10" i="4"/>
  <c r="Y10" i="4"/>
  <c r="B12" i="6"/>
  <c r="C122" i="6"/>
  <c r="C134" i="6"/>
  <c r="C146" i="6"/>
  <c r="N10" i="4"/>
  <c r="Z10" i="4"/>
  <c r="C132" i="6"/>
  <c r="C123" i="6"/>
  <c r="C135" i="6"/>
  <c r="D152" i="6"/>
  <c r="C13" i="6"/>
  <c r="O10" i="4"/>
  <c r="AA10" i="4"/>
  <c r="C136" i="6"/>
  <c r="C148" i="6"/>
  <c r="P10" i="4"/>
  <c r="AB10" i="4"/>
  <c r="C125" i="6"/>
  <c r="C137" i="6"/>
  <c r="C149" i="6"/>
  <c r="Q10" i="4"/>
  <c r="AC10" i="4"/>
  <c r="C126" i="6"/>
  <c r="C138" i="6"/>
  <c r="C150" i="6"/>
  <c r="D131" i="6"/>
  <c r="D143" i="6"/>
  <c r="F10" i="4"/>
  <c r="R10" i="4"/>
  <c r="AD10" i="4"/>
  <c r="C127" i="6"/>
  <c r="C139" i="6"/>
  <c r="C151" i="6"/>
  <c r="D132" i="6"/>
  <c r="D144" i="6"/>
  <c r="G10" i="4"/>
  <c r="S10" i="4"/>
  <c r="AE10" i="4"/>
  <c r="C152" i="6"/>
  <c r="C12" i="6"/>
  <c r="D133" i="6"/>
  <c r="H10" i="4"/>
  <c r="T10" i="4"/>
  <c r="AF10" i="4"/>
  <c r="B13" i="6"/>
  <c r="D134" i="6"/>
  <c r="I10" i="4"/>
  <c r="U10" i="4"/>
  <c r="AG10" i="4"/>
  <c r="AC19" i="3" l="1"/>
  <c r="AC5" i="4" s="1"/>
  <c r="C10" i="6"/>
  <c r="E91" i="6"/>
  <c r="E221" i="6"/>
  <c r="E80" i="6"/>
  <c r="D85" i="6"/>
  <c r="P13" i="4"/>
  <c r="F19" i="3"/>
  <c r="F5" i="4" s="1"/>
  <c r="D226" i="6"/>
  <c r="D214" i="6"/>
  <c r="D204" i="6"/>
  <c r="E36" i="4"/>
  <c r="AD15" i="4"/>
  <c r="H19" i="3"/>
  <c r="H5" i="4" s="1"/>
  <c r="H36" i="4" s="1"/>
  <c r="E67" i="6"/>
  <c r="E38" i="6"/>
  <c r="V15" i="4"/>
  <c r="V16" i="4" s="1"/>
  <c r="V27" i="4" s="1"/>
  <c r="V19" i="3"/>
  <c r="V5" i="4" s="1"/>
  <c r="C87" i="6"/>
  <c r="U19" i="3"/>
  <c r="U5" i="4" s="1"/>
  <c r="U37" i="4" s="1"/>
  <c r="E208" i="6"/>
  <c r="AD19" i="3"/>
  <c r="AD5" i="4" s="1"/>
  <c r="E232" i="6"/>
  <c r="V12" i="4"/>
  <c r="V18" i="4" s="1"/>
  <c r="V19" i="4" s="1"/>
  <c r="V20" i="4" s="1"/>
  <c r="C79" i="6"/>
  <c r="K142" i="6"/>
  <c r="Q28" i="5"/>
  <c r="J28" i="5"/>
  <c r="V28" i="5"/>
  <c r="K141" i="6"/>
  <c r="AH28" i="5"/>
  <c r="C17" i="6"/>
  <c r="Q15" i="4"/>
  <c r="Q16" i="4" s="1"/>
  <c r="Q27" i="4" s="1"/>
  <c r="D12" i="4"/>
  <c r="D18" i="4" s="1"/>
  <c r="C215" i="6"/>
  <c r="C74" i="6"/>
  <c r="R19" i="3"/>
  <c r="R5" i="4" s="1"/>
  <c r="R37" i="4" s="1"/>
  <c r="R14" i="4"/>
  <c r="S28" i="5"/>
  <c r="AF28" i="5"/>
  <c r="I28" i="5"/>
  <c r="T28" i="5"/>
  <c r="K126" i="6"/>
  <c r="AG28" i="5"/>
  <c r="K139" i="6"/>
  <c r="AC36" i="4"/>
  <c r="AC37" i="4"/>
  <c r="D13" i="6"/>
  <c r="E74" i="6"/>
  <c r="E215" i="6"/>
  <c r="D232" i="6"/>
  <c r="C9" i="6"/>
  <c r="D38" i="6"/>
  <c r="D91" i="6"/>
  <c r="AH13" i="4"/>
  <c r="D80" i="6"/>
  <c r="D221" i="6"/>
  <c r="W13" i="4"/>
  <c r="D220" i="6"/>
  <c r="D79" i="6"/>
  <c r="V13" i="4"/>
  <c r="E18" i="4"/>
  <c r="E19" i="4" s="1"/>
  <c r="H18" i="4"/>
  <c r="H19" i="4" s="1"/>
  <c r="H20" i="4" s="1"/>
  <c r="E71" i="6"/>
  <c r="E36" i="6"/>
  <c r="E212" i="6"/>
  <c r="D224" i="6"/>
  <c r="D83" i="6"/>
  <c r="Z13" i="4"/>
  <c r="D209" i="6"/>
  <c r="D68" i="6"/>
  <c r="K13" i="4"/>
  <c r="D208" i="6"/>
  <c r="D67" i="6"/>
  <c r="J13" i="4"/>
  <c r="E88" i="6"/>
  <c r="E229" i="6"/>
  <c r="C77" i="6"/>
  <c r="C218" i="6"/>
  <c r="T15" i="4"/>
  <c r="T19" i="3"/>
  <c r="T5" i="4" s="1"/>
  <c r="T12" i="4"/>
  <c r="J19" i="3"/>
  <c r="J5" i="4" s="1"/>
  <c r="D12" i="6"/>
  <c r="C223" i="6"/>
  <c r="C82" i="6"/>
  <c r="Y12" i="4"/>
  <c r="Y19" i="3"/>
  <c r="Y5" i="4" s="1"/>
  <c r="Y15" i="4"/>
  <c r="E37" i="6"/>
  <c r="E222" i="6"/>
  <c r="E81" i="6"/>
  <c r="E16" i="4"/>
  <c r="E27" i="4" s="1"/>
  <c r="C231" i="6"/>
  <c r="C90" i="6"/>
  <c r="AG15" i="4"/>
  <c r="AG12" i="4"/>
  <c r="AG19" i="3"/>
  <c r="AG5" i="4" s="1"/>
  <c r="C229" i="6"/>
  <c r="C88" i="6"/>
  <c r="AE19" i="3"/>
  <c r="AE5" i="4" s="1"/>
  <c r="AE15" i="4"/>
  <c r="AE12" i="4"/>
  <c r="B6" i="6"/>
  <c r="D6" i="6" s="1"/>
  <c r="D14" i="3"/>
  <c r="D13" i="4" s="1"/>
  <c r="D21" i="4" s="1"/>
  <c r="Q18" i="4"/>
  <c r="Q21" i="4" s="1"/>
  <c r="J16" i="4"/>
  <c r="J27" i="4" s="1"/>
  <c r="D227" i="6"/>
  <c r="AC13" i="4"/>
  <c r="D86" i="6"/>
  <c r="C226" i="6"/>
  <c r="C85" i="6"/>
  <c r="AB19" i="3"/>
  <c r="AB5" i="4" s="1"/>
  <c r="AB15" i="4"/>
  <c r="AB12" i="4"/>
  <c r="E219" i="6"/>
  <c r="E78" i="6"/>
  <c r="E82" i="6"/>
  <c r="E223" i="6"/>
  <c r="E210" i="6"/>
  <c r="E69" i="6"/>
  <c r="F18" i="4"/>
  <c r="F21" i="4" s="1"/>
  <c r="E231" i="6"/>
  <c r="E90" i="6"/>
  <c r="E89" i="6"/>
  <c r="E230" i="6"/>
  <c r="E76" i="6"/>
  <c r="E217" i="6"/>
  <c r="Q19" i="3"/>
  <c r="Q5" i="4" s="1"/>
  <c r="J18" i="4"/>
  <c r="J19" i="4"/>
  <c r="D36" i="6"/>
  <c r="D71" i="6"/>
  <c r="D212" i="6"/>
  <c r="N13" i="4"/>
  <c r="C214" i="6"/>
  <c r="P15" i="4"/>
  <c r="P19" i="3"/>
  <c r="P5" i="4" s="1"/>
  <c r="P12" i="4"/>
  <c r="C73" i="6"/>
  <c r="C68" i="6"/>
  <c r="C209" i="6"/>
  <c r="K12" i="4"/>
  <c r="K15" i="4"/>
  <c r="K19" i="3"/>
  <c r="K5" i="4" s="1"/>
  <c r="C211" i="6"/>
  <c r="C70" i="6"/>
  <c r="M12" i="4"/>
  <c r="M15" i="4"/>
  <c r="M19" i="3"/>
  <c r="M5" i="4" s="1"/>
  <c r="D18" i="6"/>
  <c r="E65" i="6"/>
  <c r="E206" i="6"/>
  <c r="C217" i="6"/>
  <c r="C76" i="6"/>
  <c r="S15" i="4"/>
  <c r="S19" i="3"/>
  <c r="S5" i="4" s="1"/>
  <c r="S12" i="4"/>
  <c r="D17" i="6"/>
  <c r="E85" i="6"/>
  <c r="E226" i="6"/>
  <c r="C202" i="6"/>
  <c r="B8" i="6"/>
  <c r="C61" i="6"/>
  <c r="C35" i="6"/>
  <c r="L12" i="4"/>
  <c r="C210" i="6"/>
  <c r="C69" i="6"/>
  <c r="L15" i="4"/>
  <c r="L19" i="3"/>
  <c r="L5" i="4" s="1"/>
  <c r="D222" i="6"/>
  <c r="D81" i="6"/>
  <c r="D37" i="6"/>
  <c r="X13" i="4"/>
  <c r="E70" i="6"/>
  <c r="E211" i="6"/>
  <c r="F16" i="4"/>
  <c r="F27" i="4" s="1"/>
  <c r="E64" i="6"/>
  <c r="E205" i="6"/>
  <c r="X16" i="4"/>
  <c r="X27" i="4" s="1"/>
  <c r="U18" i="4"/>
  <c r="U19" i="4" s="1"/>
  <c r="U20" i="4" s="1"/>
  <c r="AF18" i="4"/>
  <c r="AF21" i="4" s="1"/>
  <c r="E61" i="6"/>
  <c r="E35" i="6"/>
  <c r="E202" i="6"/>
  <c r="B10" i="6"/>
  <c r="D10" i="6" s="1"/>
  <c r="D223" i="6"/>
  <c r="D82" i="6"/>
  <c r="Y13" i="4"/>
  <c r="D210" i="6"/>
  <c r="D69" i="6"/>
  <c r="L13" i="4"/>
  <c r="D219" i="6"/>
  <c r="D78" i="6"/>
  <c r="U13" i="4"/>
  <c r="C205" i="6"/>
  <c r="G15" i="4"/>
  <c r="G19" i="3"/>
  <c r="G5" i="4" s="1"/>
  <c r="G12" i="4"/>
  <c r="C64" i="6"/>
  <c r="D225" i="6"/>
  <c r="D84" i="6"/>
  <c r="AA13" i="4"/>
  <c r="D70" i="6"/>
  <c r="D211" i="6"/>
  <c r="M13" i="4"/>
  <c r="C83" i="6"/>
  <c r="C224" i="6"/>
  <c r="Z12" i="4"/>
  <c r="Z19" i="3"/>
  <c r="Z5" i="4" s="1"/>
  <c r="Z15" i="4"/>
  <c r="X19" i="3"/>
  <c r="X5" i="4" s="1"/>
  <c r="AF16" i="4"/>
  <c r="AF27" i="4" s="1"/>
  <c r="C225" i="6"/>
  <c r="C84" i="6"/>
  <c r="AA19" i="3"/>
  <c r="AA5" i="4" s="1"/>
  <c r="AA15" i="4"/>
  <c r="AA12" i="4"/>
  <c r="E83" i="6"/>
  <c r="E224" i="6"/>
  <c r="AD18" i="4"/>
  <c r="AD21" i="4" s="1"/>
  <c r="D231" i="6"/>
  <c r="D90" i="6"/>
  <c r="AG13" i="4"/>
  <c r="X18" i="4"/>
  <c r="U16" i="4"/>
  <c r="U27" i="4" s="1"/>
  <c r="AF19" i="3"/>
  <c r="AF5" i="4" s="1"/>
  <c r="D213" i="6"/>
  <c r="D72" i="6"/>
  <c r="O13" i="4"/>
  <c r="C72" i="6"/>
  <c r="C213" i="6"/>
  <c r="O15" i="4"/>
  <c r="O19" i="3"/>
  <c r="O5" i="4" s="1"/>
  <c r="O12" i="4"/>
  <c r="C71" i="6"/>
  <c r="C212" i="6"/>
  <c r="C36" i="6"/>
  <c r="N12" i="4"/>
  <c r="N15" i="4"/>
  <c r="N19" i="3"/>
  <c r="N5" i="4" s="1"/>
  <c r="D218" i="6"/>
  <c r="D77" i="6"/>
  <c r="T13" i="4"/>
  <c r="E207" i="6"/>
  <c r="E66" i="6"/>
  <c r="R18" i="4"/>
  <c r="AC18" i="4"/>
  <c r="D206" i="6"/>
  <c r="D65" i="6"/>
  <c r="H13" i="4"/>
  <c r="C80" i="6"/>
  <c r="C221" i="6"/>
  <c r="W12" i="4"/>
  <c r="W19" i="3"/>
  <c r="W5" i="4" s="1"/>
  <c r="W15" i="4"/>
  <c r="AD16" i="4"/>
  <c r="AD17" i="4" s="1"/>
  <c r="E216" i="6"/>
  <c r="E75" i="6"/>
  <c r="E86" i="6"/>
  <c r="E227" i="6"/>
  <c r="E225" i="6"/>
  <c r="E84" i="6"/>
  <c r="C232" i="6"/>
  <c r="C8" i="6"/>
  <c r="D8" i="6" s="1"/>
  <c r="AH15" i="4"/>
  <c r="C38" i="6"/>
  <c r="AH12" i="4"/>
  <c r="C91" i="6"/>
  <c r="AH19" i="3"/>
  <c r="C207" i="6"/>
  <c r="I15" i="4"/>
  <c r="C66" i="6"/>
  <c r="I12" i="4"/>
  <c r="I19" i="3"/>
  <c r="I5" i="4" s="1"/>
  <c r="AC16" i="4"/>
  <c r="AC27" i="4" s="1"/>
  <c r="D229" i="6"/>
  <c r="D88" i="6"/>
  <c r="AE13" i="4"/>
  <c r="R16" i="4"/>
  <c r="R27" i="4" s="1"/>
  <c r="H16" i="4"/>
  <c r="H27" i="4" s="1"/>
  <c r="AF17" i="4" l="1"/>
  <c r="AC17" i="4"/>
  <c r="AC34" i="4" s="1"/>
  <c r="U36" i="4"/>
  <c r="H37" i="4"/>
  <c r="F17" i="4"/>
  <c r="F34" i="4" s="1"/>
  <c r="E21" i="4"/>
  <c r="AD36" i="4"/>
  <c r="AD37" i="4"/>
  <c r="F37" i="4"/>
  <c r="F36" i="4"/>
  <c r="H17" i="4"/>
  <c r="H14" i="5" s="1"/>
  <c r="N126" i="6" s="1"/>
  <c r="V36" i="4"/>
  <c r="V37" i="4"/>
  <c r="AD27" i="4"/>
  <c r="R36" i="4"/>
  <c r="U17" i="4"/>
  <c r="U34" i="4" s="1"/>
  <c r="E17" i="4"/>
  <c r="E24" i="4" s="1"/>
  <c r="AD24" i="4"/>
  <c r="D16" i="4"/>
  <c r="D17" i="4" s="1"/>
  <c r="D34" i="4" s="1"/>
  <c r="F153" i="6" s="1"/>
  <c r="D19" i="4"/>
  <c r="D20" i="4" s="1"/>
  <c r="Q19" i="4"/>
  <c r="Q20" i="4" s="1"/>
  <c r="AD19" i="4"/>
  <c r="AD20" i="4" s="1"/>
  <c r="E22" i="4"/>
  <c r="E23" i="4" s="1"/>
  <c r="F24" i="4"/>
  <c r="R19" i="4"/>
  <c r="R20" i="4" s="1"/>
  <c r="I16" i="4"/>
  <c r="I17" i="4" s="1"/>
  <c r="W18" i="4"/>
  <c r="N18" i="4"/>
  <c r="G16" i="4"/>
  <c r="B27" i="6"/>
  <c r="B9" i="6"/>
  <c r="D9" i="6" s="1"/>
  <c r="D61" i="6"/>
  <c r="D35" i="6"/>
  <c r="D202" i="6"/>
  <c r="E34" i="4"/>
  <c r="E14" i="5"/>
  <c r="N123" i="6" s="1"/>
  <c r="AF36" i="4"/>
  <c r="AF37" i="4"/>
  <c r="X21" i="4"/>
  <c r="S18" i="4"/>
  <c r="S19" i="4" s="1"/>
  <c r="P18" i="4"/>
  <c r="C7" i="6"/>
  <c r="AH5" i="4"/>
  <c r="P36" i="4"/>
  <c r="P37" i="4"/>
  <c r="AC21" i="4"/>
  <c r="AE18" i="4"/>
  <c r="AE19" i="4" s="1"/>
  <c r="S37" i="4"/>
  <c r="S36" i="4"/>
  <c r="X19" i="4"/>
  <c r="X20" i="4" s="1"/>
  <c r="U21" i="4"/>
  <c r="AE16" i="4"/>
  <c r="J36" i="4"/>
  <c r="J37" i="4"/>
  <c r="H21" i="4"/>
  <c r="H22" i="4" s="1"/>
  <c r="S16" i="4"/>
  <c r="M16" i="4"/>
  <c r="P16" i="4"/>
  <c r="P17" i="4" s="1"/>
  <c r="AE21" i="4"/>
  <c r="AH18" i="4"/>
  <c r="AH19" i="4" s="1"/>
  <c r="AH20" i="4" s="1"/>
  <c r="X17" i="4"/>
  <c r="X34" i="4" s="1"/>
  <c r="M18" i="4"/>
  <c r="M19" i="4" s="1"/>
  <c r="M20" i="4" s="1"/>
  <c r="J20" i="4"/>
  <c r="AF24" i="4"/>
  <c r="AB18" i="4"/>
  <c r="AE37" i="4"/>
  <c r="AE36" i="4"/>
  <c r="R21" i="4"/>
  <c r="M37" i="4"/>
  <c r="M36" i="4"/>
  <c r="O18" i="4"/>
  <c r="AA18" i="4"/>
  <c r="AA21" i="4" s="1"/>
  <c r="L36" i="4"/>
  <c r="L37" i="4"/>
  <c r="Q37" i="4"/>
  <c r="Q36" i="4"/>
  <c r="AB16" i="4"/>
  <c r="AB17" i="4" s="1"/>
  <c r="J17" i="4"/>
  <c r="J14" i="5" s="1"/>
  <c r="N128" i="6" s="1"/>
  <c r="T18" i="4"/>
  <c r="T21" i="4" s="1"/>
  <c r="O37" i="4"/>
  <c r="O36" i="4"/>
  <c r="AA16" i="4"/>
  <c r="AA17" i="4" s="1"/>
  <c r="Z16" i="4"/>
  <c r="Z17" i="4" s="1"/>
  <c r="L16" i="4"/>
  <c r="F19" i="4"/>
  <c r="F20" i="4" s="1"/>
  <c r="AB36" i="4"/>
  <c r="AB37" i="4"/>
  <c r="T37" i="4"/>
  <c r="T36" i="4"/>
  <c r="J21" i="4"/>
  <c r="O16" i="4"/>
  <c r="AA36" i="4"/>
  <c r="AA37" i="4"/>
  <c r="Z36" i="4"/>
  <c r="Z37" i="4"/>
  <c r="K37" i="4"/>
  <c r="K36" i="4"/>
  <c r="AG36" i="4"/>
  <c r="AG37" i="4"/>
  <c r="Y16" i="4"/>
  <c r="Y17" i="4" s="1"/>
  <c r="T16" i="4"/>
  <c r="T17" i="4" s="1"/>
  <c r="AC19" i="4"/>
  <c r="AC20" i="4" s="1"/>
  <c r="K16" i="4"/>
  <c r="AG18" i="4"/>
  <c r="AG19" i="4" s="1"/>
  <c r="AG20" i="4" s="1"/>
  <c r="Y36" i="4"/>
  <c r="Y37" i="4"/>
  <c r="C27" i="6"/>
  <c r="AH16" i="4"/>
  <c r="AH17" i="4" s="1"/>
  <c r="AC14" i="5"/>
  <c r="N147" i="6" s="1"/>
  <c r="Y18" i="4"/>
  <c r="Y21" i="4" s="1"/>
  <c r="E20" i="4"/>
  <c r="I37" i="4"/>
  <c r="I36" i="4"/>
  <c r="AF19" i="4"/>
  <c r="AF20" i="4" s="1"/>
  <c r="L18" i="4"/>
  <c r="L21" i="4" s="1"/>
  <c r="K18" i="4"/>
  <c r="K19" i="4" s="1"/>
  <c r="AG16" i="4"/>
  <c r="I18" i="4"/>
  <c r="AD34" i="4"/>
  <c r="AD14" i="5"/>
  <c r="N148" i="6" s="1"/>
  <c r="W16" i="4"/>
  <c r="N36" i="4"/>
  <c r="N37" i="4"/>
  <c r="X37" i="4"/>
  <c r="X36" i="4"/>
  <c r="G18" i="4"/>
  <c r="V17" i="4"/>
  <c r="V34" i="4" s="1"/>
  <c r="Q17" i="4"/>
  <c r="Q34" i="4" s="1"/>
  <c r="Z18" i="4"/>
  <c r="R17" i="4"/>
  <c r="R34" i="4" s="1"/>
  <c r="W37" i="4"/>
  <c r="W36" i="4"/>
  <c r="N16" i="4"/>
  <c r="N17" i="4" s="1"/>
  <c r="AF34" i="4"/>
  <c r="AF14" i="5"/>
  <c r="N150" i="6" s="1"/>
  <c r="G36" i="4"/>
  <c r="G37" i="4"/>
  <c r="D19" i="3"/>
  <c r="D5" i="4" s="1"/>
  <c r="V21" i="4"/>
  <c r="U14" i="5" l="1"/>
  <c r="N139" i="6" s="1"/>
  <c r="F124" i="6"/>
  <c r="F155" i="6"/>
  <c r="F139" i="6"/>
  <c r="F170" i="6"/>
  <c r="F148" i="6"/>
  <c r="F179" i="6"/>
  <c r="F150" i="6"/>
  <c r="F181" i="6"/>
  <c r="F136" i="6"/>
  <c r="F167" i="6"/>
  <c r="F147" i="6"/>
  <c r="F178" i="6"/>
  <c r="F123" i="6"/>
  <c r="F154" i="6"/>
  <c r="F135" i="6"/>
  <c r="F166" i="6"/>
  <c r="F14" i="5"/>
  <c r="N124" i="6" s="1"/>
  <c r="F140" i="6"/>
  <c r="F171" i="6"/>
  <c r="F142" i="6"/>
  <c r="F173" i="6"/>
  <c r="H34" i="4"/>
  <c r="Q22" i="4"/>
  <c r="Q23" i="4" s="1"/>
  <c r="H24" i="4"/>
  <c r="H25" i="4" s="1"/>
  <c r="H26" i="4" s="1"/>
  <c r="D27" i="4"/>
  <c r="D22" i="4"/>
  <c r="D23" i="4" s="1"/>
  <c r="AD22" i="4"/>
  <c r="D24" i="4"/>
  <c r="D25" i="4" s="1"/>
  <c r="D26" i="4" s="1"/>
  <c r="D29" i="4" s="1"/>
  <c r="AA19" i="4"/>
  <c r="AA22" i="4" s="1"/>
  <c r="AA23" i="4" s="1"/>
  <c r="L19" i="4"/>
  <c r="L20" i="4" s="1"/>
  <c r="Y19" i="4"/>
  <c r="Y20" i="4" s="1"/>
  <c r="AG21" i="4"/>
  <c r="AG22" i="4" s="1"/>
  <c r="AG23" i="4" s="1"/>
  <c r="AE20" i="4"/>
  <c r="AE22" i="4"/>
  <c r="AE23" i="4" s="1"/>
  <c r="AA24" i="4"/>
  <c r="S20" i="4"/>
  <c r="X24" i="4"/>
  <c r="X14" i="5"/>
  <c r="N142" i="6" s="1"/>
  <c r="R24" i="4"/>
  <c r="D37" i="4"/>
  <c r="D36" i="4"/>
  <c r="C29" i="6"/>
  <c r="I24" i="4"/>
  <c r="AC23" i="4"/>
  <c r="T24" i="4"/>
  <c r="O27" i="4"/>
  <c r="J24" i="4"/>
  <c r="S27" i="4"/>
  <c r="AE27" i="4"/>
  <c r="AH37" i="4"/>
  <c r="AH36" i="4"/>
  <c r="P21" i="4"/>
  <c r="P24" i="4" s="1"/>
  <c r="Y34" i="4"/>
  <c r="Y14" i="5"/>
  <c r="N143" i="6" s="1"/>
  <c r="Y27" i="4"/>
  <c r="S17" i="4"/>
  <c r="AE17" i="4"/>
  <c r="P19" i="4"/>
  <c r="P20" i="4" s="1"/>
  <c r="AC24" i="4"/>
  <c r="N19" i="4"/>
  <c r="N20" i="4" s="1"/>
  <c r="U24" i="4"/>
  <c r="AF22" i="4"/>
  <c r="AF23" i="4" s="1"/>
  <c r="K21" i="4"/>
  <c r="K20" i="4"/>
  <c r="Z34" i="4"/>
  <c r="Z14" i="5"/>
  <c r="N144" i="6" s="1"/>
  <c r="Z27" i="4"/>
  <c r="AB34" i="4"/>
  <c r="AB14" i="5"/>
  <c r="N146" i="6" s="1"/>
  <c r="AB27" i="4"/>
  <c r="B28" i="6"/>
  <c r="AC22" i="4"/>
  <c r="O19" i="4"/>
  <c r="O20" i="4" s="1"/>
  <c r="Q24" i="4"/>
  <c r="J22" i="4"/>
  <c r="J23" i="4" s="1"/>
  <c r="L27" i="4"/>
  <c r="N21" i="4"/>
  <c r="N24" i="4" s="1"/>
  <c r="J34" i="4"/>
  <c r="I34" i="4"/>
  <c r="I14" i="5"/>
  <c r="N127" i="6" s="1"/>
  <c r="I27" i="4"/>
  <c r="I21" i="4"/>
  <c r="L17" i="4"/>
  <c r="AB21" i="4"/>
  <c r="X22" i="4"/>
  <c r="X23" i="4" s="1"/>
  <c r="G27" i="4"/>
  <c r="Z21" i="4"/>
  <c r="Z24" i="4" s="1"/>
  <c r="Q14" i="5"/>
  <c r="N135" i="6" s="1"/>
  <c r="S21" i="4"/>
  <c r="K27" i="4"/>
  <c r="U22" i="4"/>
  <c r="U23" i="4" s="1"/>
  <c r="W19" i="4"/>
  <c r="W20" i="4" s="1"/>
  <c r="V22" i="4"/>
  <c r="O21" i="4"/>
  <c r="R14" i="5"/>
  <c r="N136" i="6" s="1"/>
  <c r="AH21" i="4"/>
  <c r="R22" i="4"/>
  <c r="AB19" i="4"/>
  <c r="AB20" i="4" s="1"/>
  <c r="H23" i="4"/>
  <c r="W21" i="4"/>
  <c r="G17" i="4"/>
  <c r="G34" i="4" s="1"/>
  <c r="F22" i="4"/>
  <c r="AH34" i="4"/>
  <c r="C28" i="6"/>
  <c r="AH14" i="5"/>
  <c r="AH27" i="4"/>
  <c r="K17" i="4"/>
  <c r="K34" i="4" s="1"/>
  <c r="AA34" i="4"/>
  <c r="AA14" i="5"/>
  <c r="N145" i="6" s="1"/>
  <c r="AA27" i="4"/>
  <c r="N34" i="4"/>
  <c r="N14" i="5"/>
  <c r="N132" i="6" s="1"/>
  <c r="N27" i="4"/>
  <c r="V24" i="4"/>
  <c r="I19" i="4"/>
  <c r="I20" i="4" s="1"/>
  <c r="P34" i="4"/>
  <c r="P14" i="5"/>
  <c r="N134" i="6" s="1"/>
  <c r="P27" i="4"/>
  <c r="M21" i="4"/>
  <c r="T19" i="4"/>
  <c r="T22" i="4" s="1"/>
  <c r="T23" i="4" s="1"/>
  <c r="M27" i="4"/>
  <c r="E25" i="4"/>
  <c r="E26" i="4" s="1"/>
  <c r="E30" i="4" s="1"/>
  <c r="E154" i="6" s="1"/>
  <c r="H234" i="6" s="1"/>
  <c r="B7" i="6"/>
  <c r="D7" i="6" s="1"/>
  <c r="Z19" i="4"/>
  <c r="Z20" i="4" s="1"/>
  <c r="Y24" i="4"/>
  <c r="G21" i="4"/>
  <c r="W27" i="4"/>
  <c r="AG27" i="4"/>
  <c r="G19" i="4"/>
  <c r="G20" i="4" s="1"/>
  <c r="W17" i="4"/>
  <c r="W14" i="5" s="1"/>
  <c r="N141" i="6" s="1"/>
  <c r="AG17" i="4"/>
  <c r="AG34" i="4" s="1"/>
  <c r="V14" i="5"/>
  <c r="N140" i="6" s="1"/>
  <c r="T34" i="4"/>
  <c r="T14" i="5"/>
  <c r="N138" i="6" s="1"/>
  <c r="T27" i="4"/>
  <c r="O17" i="4"/>
  <c r="M17" i="4"/>
  <c r="M34" i="4" s="1"/>
  <c r="F129" i="6" l="1"/>
  <c r="F160" i="6"/>
  <c r="F151" i="6"/>
  <c r="F182" i="6"/>
  <c r="F126" i="6"/>
  <c r="F157" i="6"/>
  <c r="F134" i="6"/>
  <c r="F165" i="6"/>
  <c r="F127" i="6"/>
  <c r="F158" i="6"/>
  <c r="F146" i="6"/>
  <c r="F177" i="6"/>
  <c r="F144" i="6"/>
  <c r="F175" i="6"/>
  <c r="F143" i="6"/>
  <c r="F174" i="6"/>
  <c r="F132" i="6"/>
  <c r="F163" i="6"/>
  <c r="F138" i="6"/>
  <c r="F169" i="6"/>
  <c r="F152" i="6"/>
  <c r="F183" i="6"/>
  <c r="F128" i="6"/>
  <c r="F159" i="6"/>
  <c r="F131" i="6"/>
  <c r="F162" i="6"/>
  <c r="F125" i="6"/>
  <c r="F156" i="6"/>
  <c r="F145" i="6"/>
  <c r="F176" i="6"/>
  <c r="L22" i="4"/>
  <c r="L23" i="4" s="1"/>
  <c r="AA20" i="4"/>
  <c r="D30" i="4"/>
  <c r="E153" i="6" s="1"/>
  <c r="H233" i="6" s="1"/>
  <c r="B29" i="6"/>
  <c r="AD25" i="4"/>
  <c r="AD26" i="4" s="1"/>
  <c r="AD23" i="4"/>
  <c r="D38" i="4"/>
  <c r="D14" i="5"/>
  <c r="B30" i="6" s="1"/>
  <c r="D35" i="4"/>
  <c r="D40" i="4" s="1"/>
  <c r="Y22" i="4"/>
  <c r="Y23" i="4" s="1"/>
  <c r="D28" i="4"/>
  <c r="AA25" i="4"/>
  <c r="AA26" i="4" s="1"/>
  <c r="AA30" i="4" s="1"/>
  <c r="E176" i="6" s="1"/>
  <c r="H256" i="6" s="1"/>
  <c r="AF25" i="4"/>
  <c r="AF26" i="4" s="1"/>
  <c r="AF29" i="4" s="1"/>
  <c r="E150" i="6" s="1"/>
  <c r="H230" i="6" s="1"/>
  <c r="X25" i="4"/>
  <c r="X26" i="4" s="1"/>
  <c r="X30" i="4" s="1"/>
  <c r="E173" i="6" s="1"/>
  <c r="H253" i="6" s="1"/>
  <c r="T20" i="4"/>
  <c r="H30" i="4"/>
  <c r="E157" i="6" s="1"/>
  <c r="H237" i="6" s="1"/>
  <c r="M14" i="5"/>
  <c r="N131" i="6" s="1"/>
  <c r="W34" i="4"/>
  <c r="H28" i="4"/>
  <c r="E29" i="4"/>
  <c r="O24" i="4"/>
  <c r="G24" i="4"/>
  <c r="G14" i="5"/>
  <c r="N125" i="6" s="1"/>
  <c r="Q25" i="4"/>
  <c r="Q26" i="4" s="1"/>
  <c r="F23" i="4"/>
  <c r="F25" i="4"/>
  <c r="F26" i="4" s="1"/>
  <c r="F30" i="4" s="1"/>
  <c r="E155" i="6" s="1"/>
  <c r="H235" i="6" s="1"/>
  <c r="AE24" i="4"/>
  <c r="AE25" i="4" s="1"/>
  <c r="AE14" i="5"/>
  <c r="N149" i="6" s="1"/>
  <c r="T25" i="4"/>
  <c r="T26" i="4" s="1"/>
  <c r="V23" i="4"/>
  <c r="W22" i="4"/>
  <c r="W23" i="4" s="1"/>
  <c r="S24" i="4"/>
  <c r="O34" i="4"/>
  <c r="K14" i="5"/>
  <c r="N129" i="6" s="1"/>
  <c r="L24" i="4"/>
  <c r="O14" i="5"/>
  <c r="N133" i="6" s="1"/>
  <c r="S14" i="5"/>
  <c r="N137" i="6" s="1"/>
  <c r="K24" i="4"/>
  <c r="AB22" i="4"/>
  <c r="AB23" i="4" s="1"/>
  <c r="AG24" i="4"/>
  <c r="AG25" i="4" s="1"/>
  <c r="AG26" i="4" s="1"/>
  <c r="N22" i="4"/>
  <c r="N23" i="4" s="1"/>
  <c r="AE34" i="4"/>
  <c r="V25" i="4"/>
  <c r="V26" i="4" s="1"/>
  <c r="AH22" i="4"/>
  <c r="AH23" i="4" s="1"/>
  <c r="S22" i="4"/>
  <c r="E28" i="4"/>
  <c r="L14" i="5"/>
  <c r="N130" i="6" s="1"/>
  <c r="C30" i="6"/>
  <c r="N152" i="6"/>
  <c r="L34" i="4"/>
  <c r="S34" i="4"/>
  <c r="AH24" i="4"/>
  <c r="AB24" i="4"/>
  <c r="G22" i="4"/>
  <c r="R23" i="4"/>
  <c r="W24" i="4"/>
  <c r="M24" i="4"/>
  <c r="I22" i="4"/>
  <c r="I25" i="4" s="1"/>
  <c r="I26" i="4" s="1"/>
  <c r="K22" i="4"/>
  <c r="R25" i="4"/>
  <c r="R26" i="4" s="1"/>
  <c r="J25" i="4"/>
  <c r="O22" i="4"/>
  <c r="O23" i="4" s="1"/>
  <c r="P22" i="4"/>
  <c r="P25" i="4" s="1"/>
  <c r="P26" i="4" s="1"/>
  <c r="U25" i="4"/>
  <c r="U26" i="4" s="1"/>
  <c r="H29" i="4"/>
  <c r="AG14" i="5"/>
  <c r="N151" i="6" s="1"/>
  <c r="M22" i="4"/>
  <c r="M23" i="4" s="1"/>
  <c r="Z22" i="4"/>
  <c r="Z25" i="4" s="1"/>
  <c r="Z26" i="4" s="1"/>
  <c r="AC25" i="4"/>
  <c r="AC26" i="4" s="1"/>
  <c r="AC29" i="4" s="1"/>
  <c r="AF35" i="4" l="1"/>
  <c r="AF40" i="4" s="1"/>
  <c r="AF28" i="4"/>
  <c r="AF31" i="5"/>
  <c r="AF32" i="5" s="1"/>
  <c r="F137" i="6"/>
  <c r="F168" i="6"/>
  <c r="X28" i="4"/>
  <c r="F130" i="6"/>
  <c r="F161" i="6"/>
  <c r="X29" i="4"/>
  <c r="X31" i="5" s="1"/>
  <c r="X32" i="5" s="1"/>
  <c r="AF38" i="4"/>
  <c r="AF11" i="5"/>
  <c r="AF15" i="5" s="1"/>
  <c r="F133" i="6"/>
  <c r="F164" i="6"/>
  <c r="AF30" i="4"/>
  <c r="F149" i="6"/>
  <c r="F180" i="6"/>
  <c r="F141" i="6"/>
  <c r="F172" i="6"/>
  <c r="D31" i="4"/>
  <c r="D32" i="4" s="1"/>
  <c r="AA28" i="4"/>
  <c r="AA29" i="4"/>
  <c r="AA11" i="5" s="1"/>
  <c r="P23" i="4"/>
  <c r="N122" i="6"/>
  <c r="AD28" i="4"/>
  <c r="AD29" i="4"/>
  <c r="AD30" i="4"/>
  <c r="E179" i="6" s="1"/>
  <c r="H259" i="6" s="1"/>
  <c r="Y25" i="4"/>
  <c r="Y26" i="4" s="1"/>
  <c r="Y30" i="4" s="1"/>
  <c r="E174" i="6" s="1"/>
  <c r="H254" i="6" s="1"/>
  <c r="W25" i="4"/>
  <c r="W26" i="4" s="1"/>
  <c r="W29" i="4" s="1"/>
  <c r="I23" i="4"/>
  <c r="I28" i="4" s="1"/>
  <c r="Z23" i="4"/>
  <c r="Z28" i="4" s="1"/>
  <c r="K25" i="4"/>
  <c r="K26" i="4" s="1"/>
  <c r="F28" i="4"/>
  <c r="AG29" i="4"/>
  <c r="AG30" i="4"/>
  <c r="E182" i="6" s="1"/>
  <c r="H262" i="6" s="1"/>
  <c r="T29" i="4"/>
  <c r="T28" i="4"/>
  <c r="T30" i="4"/>
  <c r="E169" i="6" s="1"/>
  <c r="H249" i="6" s="1"/>
  <c r="P30" i="4"/>
  <c r="E165" i="6" s="1"/>
  <c r="H245" i="6" s="1"/>
  <c r="P29" i="4"/>
  <c r="U30" i="4"/>
  <c r="E170" i="6" s="1"/>
  <c r="H250" i="6" s="1"/>
  <c r="U29" i="4"/>
  <c r="U28" i="4"/>
  <c r="AC38" i="4"/>
  <c r="E147" i="6"/>
  <c r="H227" i="6" s="1"/>
  <c r="AC11" i="5"/>
  <c r="AC31" i="5"/>
  <c r="AC32" i="5" s="1"/>
  <c r="AC35" i="4"/>
  <c r="AC40" i="4" s="1"/>
  <c r="Q30" i="4"/>
  <c r="E166" i="6" s="1"/>
  <c r="H246" i="6" s="1"/>
  <c r="Q29" i="4"/>
  <c r="Q28" i="4"/>
  <c r="J26" i="4"/>
  <c r="J30" i="4" s="1"/>
  <c r="E159" i="6" s="1"/>
  <c r="H239" i="6" s="1"/>
  <c r="R29" i="4"/>
  <c r="R30" i="4"/>
  <c r="E167" i="6" s="1"/>
  <c r="H247" i="6" s="1"/>
  <c r="R28" i="4"/>
  <c r="P28" i="4"/>
  <c r="AH25" i="4"/>
  <c r="AH26" i="4" s="1"/>
  <c r="AH29" i="4" s="1"/>
  <c r="E126" i="6"/>
  <c r="H206" i="6" s="1"/>
  <c r="H31" i="4"/>
  <c r="H38" i="4"/>
  <c r="H11" i="5"/>
  <c r="H31" i="5"/>
  <c r="H32" i="5" s="1"/>
  <c r="H35" i="4"/>
  <c r="H40" i="4" s="1"/>
  <c r="L25" i="4"/>
  <c r="AG28" i="4"/>
  <c r="G23" i="4"/>
  <c r="AB25" i="4"/>
  <c r="AB26" i="4" s="1"/>
  <c r="AB29" i="4" s="1"/>
  <c r="V29" i="4"/>
  <c r="V30" i="4"/>
  <c r="E171" i="6" s="1"/>
  <c r="H251" i="6" s="1"/>
  <c r="S23" i="4"/>
  <c r="V28" i="4"/>
  <c r="AC30" i="4"/>
  <c r="AE26" i="4"/>
  <c r="G25" i="4"/>
  <c r="G26" i="4" s="1"/>
  <c r="G30" i="4" s="1"/>
  <c r="E156" i="6" s="1"/>
  <c r="H236" i="6" s="1"/>
  <c r="S25" i="4"/>
  <c r="S26" i="4" s="1"/>
  <c r="M25" i="4"/>
  <c r="M26" i="4" s="1"/>
  <c r="M29" i="4" s="1"/>
  <c r="O25" i="4"/>
  <c r="N25" i="4"/>
  <c r="N26" i="4" s="1"/>
  <c r="N30" i="4" s="1"/>
  <c r="E163" i="6" s="1"/>
  <c r="H243" i="6" s="1"/>
  <c r="AC28" i="4"/>
  <c r="K23" i="4"/>
  <c r="F29" i="4"/>
  <c r="E123" i="6"/>
  <c r="H203" i="6" s="1"/>
  <c r="E38" i="4"/>
  <c r="E31" i="4"/>
  <c r="E11" i="5"/>
  <c r="E31" i="5"/>
  <c r="E32" i="5" s="1"/>
  <c r="E35" i="4"/>
  <c r="E40" i="4" s="1"/>
  <c r="AA31" i="4" l="1"/>
  <c r="X31" i="4"/>
  <c r="X32" i="4" s="1"/>
  <c r="AA38" i="4"/>
  <c r="E145" i="6"/>
  <c r="H225" i="6" s="1"/>
  <c r="AF21" i="5"/>
  <c r="AF20" i="5"/>
  <c r="M150" i="6"/>
  <c r="AF31" i="4"/>
  <c r="E181" i="6"/>
  <c r="H261" i="6" s="1"/>
  <c r="E142" i="6"/>
  <c r="H222" i="6" s="1"/>
  <c r="X11" i="5"/>
  <c r="M142" i="6" s="1"/>
  <c r="X35" i="4"/>
  <c r="X40" i="4" s="1"/>
  <c r="X38" i="4"/>
  <c r="AA31" i="5"/>
  <c r="AA32" i="5" s="1"/>
  <c r="AA35" i="4"/>
  <c r="AA40" i="4" s="1"/>
  <c r="AC31" i="4"/>
  <c r="AC32" i="4" s="1"/>
  <c r="E178" i="6"/>
  <c r="H258" i="6" s="1"/>
  <c r="Y28" i="4"/>
  <c r="K28" i="4"/>
  <c r="Y29" i="4"/>
  <c r="Y31" i="4" s="1"/>
  <c r="AD31" i="4"/>
  <c r="E148" i="6"/>
  <c r="H228" i="6" s="1"/>
  <c r="AD11" i="5"/>
  <c r="AD35" i="4"/>
  <c r="AD40" i="4" s="1"/>
  <c r="AD31" i="5"/>
  <c r="AD32" i="5" s="1"/>
  <c r="AD38" i="4"/>
  <c r="Z29" i="4"/>
  <c r="Z38" i="4" s="1"/>
  <c r="X12" i="5"/>
  <c r="Z30" i="4"/>
  <c r="E175" i="6" s="1"/>
  <c r="H255" i="6" s="1"/>
  <c r="I29" i="4"/>
  <c r="E127" i="6" s="1"/>
  <c r="H207" i="6" s="1"/>
  <c r="I30" i="4"/>
  <c r="E158" i="6" s="1"/>
  <c r="H238" i="6" s="1"/>
  <c r="J28" i="4"/>
  <c r="K30" i="4"/>
  <c r="E160" i="6" s="1"/>
  <c r="H240" i="6" s="1"/>
  <c r="E20" i="5"/>
  <c r="H20" i="5"/>
  <c r="M28" i="4"/>
  <c r="AH28" i="4"/>
  <c r="W30" i="4"/>
  <c r="AH30" i="4"/>
  <c r="AB28" i="4"/>
  <c r="W28" i="4"/>
  <c r="E146" i="6"/>
  <c r="H226" i="6" s="1"/>
  <c r="AB38" i="4"/>
  <c r="AB11" i="5"/>
  <c r="AB31" i="5"/>
  <c r="AB32" i="5" s="1"/>
  <c r="AB35" i="4"/>
  <c r="AB40" i="4" s="1"/>
  <c r="E131" i="6"/>
  <c r="H211" i="6" s="1"/>
  <c r="M38" i="4"/>
  <c r="M11" i="5"/>
  <c r="M20" i="5" s="1"/>
  <c r="M31" i="5"/>
  <c r="M32" i="5" s="1"/>
  <c r="M35" i="4"/>
  <c r="M40" i="4" s="1"/>
  <c r="E138" i="6"/>
  <c r="H218" i="6" s="1"/>
  <c r="T38" i="4"/>
  <c r="T31" i="4"/>
  <c r="T11" i="5"/>
  <c r="T31" i="5"/>
  <c r="T32" i="5" s="1"/>
  <c r="T35" i="4"/>
  <c r="T40" i="4" s="1"/>
  <c r="E139" i="6"/>
  <c r="H219" i="6" s="1"/>
  <c r="U38" i="4"/>
  <c r="U31" i="4"/>
  <c r="U11" i="5"/>
  <c r="U35" i="4"/>
  <c r="U40" i="4" s="1"/>
  <c r="U31" i="5"/>
  <c r="U32" i="5" s="1"/>
  <c r="M123" i="6"/>
  <c r="E15" i="5"/>
  <c r="E25" i="5" s="1"/>
  <c r="E21" i="5"/>
  <c r="AE30" i="4"/>
  <c r="E180" i="6" s="1"/>
  <c r="H260" i="6" s="1"/>
  <c r="AE29" i="4"/>
  <c r="R38" i="4"/>
  <c r="E136" i="6"/>
  <c r="H216" i="6" s="1"/>
  <c r="R31" i="4"/>
  <c r="R35" i="4"/>
  <c r="R40" i="4" s="1"/>
  <c r="R11" i="5"/>
  <c r="R31" i="5"/>
  <c r="R32" i="5" s="1"/>
  <c r="S30" i="4"/>
  <c r="E168" i="6" s="1"/>
  <c r="H248" i="6" s="1"/>
  <c r="S29" i="4"/>
  <c r="N29" i="4"/>
  <c r="M126" i="6"/>
  <c r="H15" i="5"/>
  <c r="H21" i="5"/>
  <c r="E134" i="6"/>
  <c r="H214" i="6" s="1"/>
  <c r="P31" i="4"/>
  <c r="P38" i="4"/>
  <c r="P11" i="5"/>
  <c r="P31" i="5"/>
  <c r="P32" i="5" s="1"/>
  <c r="P35" i="4"/>
  <c r="P40" i="4" s="1"/>
  <c r="AB30" i="4"/>
  <c r="AA32" i="4"/>
  <c r="AA12" i="5"/>
  <c r="AA35" i="5" s="1"/>
  <c r="E152" i="6"/>
  <c r="H232" i="6" s="1"/>
  <c r="AH38" i="4"/>
  <c r="C14" i="6"/>
  <c r="AH31" i="5"/>
  <c r="AH32" i="5" s="1"/>
  <c r="AH11" i="5"/>
  <c r="AH35" i="4"/>
  <c r="AH40" i="4" s="1"/>
  <c r="F38" i="4"/>
  <c r="F31" i="4"/>
  <c r="E124" i="6"/>
  <c r="H204" i="6" s="1"/>
  <c r="F35" i="4"/>
  <c r="F40" i="4" s="1"/>
  <c r="F11" i="5"/>
  <c r="F31" i="5"/>
  <c r="F32" i="5" s="1"/>
  <c r="E135" i="6"/>
  <c r="H215" i="6" s="1"/>
  <c r="Q31" i="4"/>
  <c r="Q38" i="4"/>
  <c r="Q11" i="5"/>
  <c r="Q31" i="5"/>
  <c r="Q32" i="5" s="1"/>
  <c r="Q35" i="4"/>
  <c r="Q40" i="4" s="1"/>
  <c r="L26" i="4"/>
  <c r="L30" i="4" s="1"/>
  <c r="E161" i="6" s="1"/>
  <c r="H241" i="6" s="1"/>
  <c r="AE28" i="4"/>
  <c r="S28" i="4"/>
  <c r="M30" i="4"/>
  <c r="E32" i="4"/>
  <c r="E12" i="5"/>
  <c r="E19" i="5" s="1"/>
  <c r="H32" i="4"/>
  <c r="H12" i="5"/>
  <c r="H19" i="5" s="1"/>
  <c r="O150" i="6"/>
  <c r="AF16" i="5"/>
  <c r="AF23" i="5"/>
  <c r="AF33" i="5"/>
  <c r="AF17" i="5"/>
  <c r="AF24" i="5"/>
  <c r="E140" i="6"/>
  <c r="H220" i="6" s="1"/>
  <c r="V31" i="4"/>
  <c r="V38" i="4"/>
  <c r="V31" i="5"/>
  <c r="V32" i="5" s="1"/>
  <c r="V35" i="4"/>
  <c r="V40" i="4" s="1"/>
  <c r="V11" i="5"/>
  <c r="E141" i="6"/>
  <c r="H221" i="6" s="1"/>
  <c r="W38" i="4"/>
  <c r="W35" i="4"/>
  <c r="W40" i="4" s="1"/>
  <c r="W31" i="5"/>
  <c r="W32" i="5" s="1"/>
  <c r="W11" i="5"/>
  <c r="N28" i="4"/>
  <c r="O26" i="4"/>
  <c r="O28" i="4" s="1"/>
  <c r="E151" i="6"/>
  <c r="H231" i="6" s="1"/>
  <c r="AG31" i="4"/>
  <c r="AG38" i="4"/>
  <c r="AG11" i="5"/>
  <c r="AG31" i="5"/>
  <c r="AG32" i="5" s="1"/>
  <c r="AG35" i="4"/>
  <c r="AG40" i="4" s="1"/>
  <c r="J29" i="4"/>
  <c r="M147" i="6"/>
  <c r="AC20" i="5"/>
  <c r="AC15" i="5"/>
  <c r="AC21" i="5"/>
  <c r="AF25" i="5"/>
  <c r="G29" i="4"/>
  <c r="K29" i="4"/>
  <c r="M145" i="6"/>
  <c r="AA20" i="5"/>
  <c r="AA21" i="5"/>
  <c r="AA15" i="5"/>
  <c r="G28" i="4"/>
  <c r="X20" i="5" l="1"/>
  <c r="Y38" i="4"/>
  <c r="Y11" i="5"/>
  <c r="M31" i="4"/>
  <c r="E162" i="6"/>
  <c r="H242" i="6" s="1"/>
  <c r="AB31" i="4"/>
  <c r="AB32" i="4" s="1"/>
  <c r="E177" i="6"/>
  <c r="H257" i="6" s="1"/>
  <c r="AC12" i="5"/>
  <c r="AC19" i="5" s="1"/>
  <c r="AC34" i="5" s="1"/>
  <c r="AF12" i="5"/>
  <c r="AF32" i="4"/>
  <c r="AH31" i="4"/>
  <c r="C15" i="6" s="1"/>
  <c r="E183" i="6"/>
  <c r="H263" i="6" s="1"/>
  <c r="X19" i="5"/>
  <c r="X15" i="5"/>
  <c r="W31" i="4"/>
  <c r="W32" i="4" s="1"/>
  <c r="E172" i="6"/>
  <c r="H252" i="6" s="1"/>
  <c r="X21" i="5"/>
  <c r="X35" i="5"/>
  <c r="Y35" i="4"/>
  <c r="Y40" i="4" s="1"/>
  <c r="E143" i="6"/>
  <c r="H223" i="6" s="1"/>
  <c r="I11" i="5"/>
  <c r="I15" i="5" s="1"/>
  <c r="I38" i="4"/>
  <c r="I31" i="4"/>
  <c r="I12" i="5" s="1"/>
  <c r="Y31" i="5"/>
  <c r="Y32" i="5" s="1"/>
  <c r="X34" i="5"/>
  <c r="I31" i="5"/>
  <c r="I32" i="5" s="1"/>
  <c r="I35" i="4"/>
  <c r="I40" i="4" s="1"/>
  <c r="Z31" i="5"/>
  <c r="Z32" i="5" s="1"/>
  <c r="Z11" i="5"/>
  <c r="Z20" i="5" s="1"/>
  <c r="Z35" i="4"/>
  <c r="Z40" i="4" s="1"/>
  <c r="Z31" i="4"/>
  <c r="Z32" i="4" s="1"/>
  <c r="AD20" i="5"/>
  <c r="AD15" i="5"/>
  <c r="M148" i="6"/>
  <c r="AD21" i="5"/>
  <c r="E144" i="6"/>
  <c r="H224" i="6" s="1"/>
  <c r="AD32" i="4"/>
  <c r="AD12" i="5"/>
  <c r="AD35" i="5" s="1"/>
  <c r="F20" i="5"/>
  <c r="L28" i="4"/>
  <c r="H35" i="5"/>
  <c r="M32" i="4"/>
  <c r="M12" i="5"/>
  <c r="M19" i="5" s="1"/>
  <c r="M131" i="6"/>
  <c r="M15" i="5"/>
  <c r="M21" i="5"/>
  <c r="G38" i="4"/>
  <c r="E125" i="6"/>
  <c r="H205" i="6" s="1"/>
  <c r="G31" i="4"/>
  <c r="G35" i="4"/>
  <c r="G40" i="4" s="1"/>
  <c r="G31" i="5"/>
  <c r="G32" i="5" s="1"/>
  <c r="G11" i="5"/>
  <c r="M138" i="6"/>
  <c r="T21" i="5"/>
  <c r="T20" i="5"/>
  <c r="T15" i="5"/>
  <c r="O126" i="6"/>
  <c r="H17" i="5"/>
  <c r="H16" i="5"/>
  <c r="H23" i="5"/>
  <c r="H33" i="5"/>
  <c r="H24" i="5"/>
  <c r="E35" i="5"/>
  <c r="T32" i="4"/>
  <c r="T12" i="5"/>
  <c r="T19" i="5" s="1"/>
  <c r="H25" i="5"/>
  <c r="M136" i="6"/>
  <c r="R20" i="5"/>
  <c r="R15" i="5"/>
  <c r="R21" i="5"/>
  <c r="O30" i="4"/>
  <c r="E164" i="6" s="1"/>
  <c r="H244" i="6" s="1"/>
  <c r="O29" i="4"/>
  <c r="V32" i="4"/>
  <c r="V12" i="5"/>
  <c r="V35" i="5" s="1"/>
  <c r="M135" i="6"/>
  <c r="Q20" i="5"/>
  <c r="Q15" i="5"/>
  <c r="Q25" i="5" s="1"/>
  <c r="Q21" i="5"/>
  <c r="W12" i="5"/>
  <c r="W35" i="5" s="1"/>
  <c r="M143" i="6"/>
  <c r="Y15" i="5"/>
  <c r="Y25" i="5" s="1"/>
  <c r="Y21" i="5"/>
  <c r="Y20" i="5"/>
  <c r="M124" i="6"/>
  <c r="F15" i="5"/>
  <c r="F25" i="5" s="1"/>
  <c r="F21" i="5"/>
  <c r="M152" i="6"/>
  <c r="C19" i="6"/>
  <c r="AH15" i="5"/>
  <c r="AH25" i="5" s="1"/>
  <c r="C25" i="6" s="1"/>
  <c r="AH20" i="5"/>
  <c r="AH21" i="5"/>
  <c r="M134" i="6"/>
  <c r="P15" i="5"/>
  <c r="P21" i="5"/>
  <c r="P20" i="5"/>
  <c r="S38" i="4"/>
  <c r="E137" i="6"/>
  <c r="H217" i="6" s="1"/>
  <c r="S31" i="4"/>
  <c r="S31" i="5"/>
  <c r="S32" i="5" s="1"/>
  <c r="S35" i="4"/>
  <c r="S40" i="4" s="1"/>
  <c r="S11" i="5"/>
  <c r="O145" i="6"/>
  <c r="AA24" i="5"/>
  <c r="AA16" i="5"/>
  <c r="AA23" i="5"/>
  <c r="AA33" i="5"/>
  <c r="AA17" i="5"/>
  <c r="Q32" i="4"/>
  <c r="Q12" i="5"/>
  <c r="Q19" i="5" s="1"/>
  <c r="AA19" i="5"/>
  <c r="AA34" i="5" s="1"/>
  <c r="O147" i="6"/>
  <c r="AC16" i="5"/>
  <c r="AC23" i="5"/>
  <c r="AC33" i="5"/>
  <c r="AC17" i="5"/>
  <c r="AC24" i="5"/>
  <c r="M139" i="6"/>
  <c r="U20" i="5"/>
  <c r="U21" i="5"/>
  <c r="U15" i="5"/>
  <c r="U25" i="5" s="1"/>
  <c r="M146" i="6"/>
  <c r="AB20" i="5"/>
  <c r="AB21" i="5"/>
  <c r="AB15" i="5"/>
  <c r="N38" i="4"/>
  <c r="N31" i="4"/>
  <c r="E132" i="6"/>
  <c r="H212" i="6" s="1"/>
  <c r="N11" i="5"/>
  <c r="N20" i="5" s="1"/>
  <c r="N35" i="4"/>
  <c r="N40" i="4" s="1"/>
  <c r="N31" i="5"/>
  <c r="N32" i="5" s="1"/>
  <c r="R32" i="4"/>
  <c r="R12" i="5"/>
  <c r="R35" i="5" s="1"/>
  <c r="AA25" i="5"/>
  <c r="AC25" i="5"/>
  <c r="M151" i="6"/>
  <c r="AG21" i="5"/>
  <c r="AG15" i="5"/>
  <c r="AG20" i="5"/>
  <c r="M140" i="6"/>
  <c r="V21" i="5"/>
  <c r="V20" i="5"/>
  <c r="V15" i="5"/>
  <c r="P32" i="4"/>
  <c r="P12" i="5"/>
  <c r="P35" i="5" s="1"/>
  <c r="AE38" i="4"/>
  <c r="AE31" i="4"/>
  <c r="E149" i="6"/>
  <c r="H229" i="6" s="1"/>
  <c r="AE31" i="5"/>
  <c r="AE32" i="5" s="1"/>
  <c r="AE11" i="5"/>
  <c r="AE35" i="4"/>
  <c r="AE40" i="4" s="1"/>
  <c r="U32" i="4"/>
  <c r="U12" i="5"/>
  <c r="U35" i="5" s="1"/>
  <c r="O123" i="6"/>
  <c r="E16" i="5"/>
  <c r="E23" i="5"/>
  <c r="E33" i="5"/>
  <c r="E17" i="5"/>
  <c r="E24" i="5"/>
  <c r="Y32" i="4"/>
  <c r="Y12" i="5"/>
  <c r="Y35" i="5" s="1"/>
  <c r="F32" i="4"/>
  <c r="F12" i="5"/>
  <c r="F35" i="5" s="1"/>
  <c r="E129" i="6"/>
  <c r="H209" i="6" s="1"/>
  <c r="K31" i="4"/>
  <c r="K38" i="4"/>
  <c r="K31" i="5"/>
  <c r="K32" i="5" s="1"/>
  <c r="K35" i="4"/>
  <c r="K40" i="4" s="1"/>
  <c r="K11" i="5"/>
  <c r="E128" i="6"/>
  <c r="H208" i="6" s="1"/>
  <c r="J31" i="4"/>
  <c r="J38" i="4"/>
  <c r="J35" i="4"/>
  <c r="J40" i="4" s="1"/>
  <c r="J11" i="5"/>
  <c r="J31" i="5"/>
  <c r="J32" i="5" s="1"/>
  <c r="H34" i="5"/>
  <c r="E34" i="5"/>
  <c r="M141" i="6"/>
  <c r="W20" i="5"/>
  <c r="W15" i="5"/>
  <c r="W25" i="5" s="1"/>
  <c r="W21" i="5"/>
  <c r="AG32" i="4"/>
  <c r="AG12" i="5"/>
  <c r="AG19" i="5" s="1"/>
  <c r="L29" i="4"/>
  <c r="AH32" i="4" l="1"/>
  <c r="C16" i="6" s="1"/>
  <c r="AB12" i="5"/>
  <c r="AB35" i="5" s="1"/>
  <c r="I21" i="5"/>
  <c r="M127" i="6"/>
  <c r="I35" i="5"/>
  <c r="AH12" i="5"/>
  <c r="C20" i="6" s="1"/>
  <c r="I20" i="5"/>
  <c r="Z12" i="5"/>
  <c r="Z35" i="5" s="1"/>
  <c r="I32" i="4"/>
  <c r="X25" i="5"/>
  <c r="X33" i="5"/>
  <c r="O142" i="6"/>
  <c r="X23" i="5"/>
  <c r="X17" i="5"/>
  <c r="X24" i="5"/>
  <c r="X16" i="5"/>
  <c r="AF35" i="5"/>
  <c r="AF19" i="5"/>
  <c r="AF34" i="5" s="1"/>
  <c r="AC35" i="5"/>
  <c r="M144" i="6"/>
  <c r="AD19" i="5"/>
  <c r="AD34" i="5" s="1"/>
  <c r="Z15" i="5"/>
  <c r="Z25" i="5" s="1"/>
  <c r="Z21" i="5"/>
  <c r="AD25" i="5"/>
  <c r="AD24" i="5"/>
  <c r="AD17" i="5"/>
  <c r="O148" i="6"/>
  <c r="AD16" i="5"/>
  <c r="AD33" i="5"/>
  <c r="AD23" i="5"/>
  <c r="G20" i="5"/>
  <c r="F19" i="5"/>
  <c r="F34" i="5" s="1"/>
  <c r="J20" i="5"/>
  <c r="I19" i="5"/>
  <c r="K20" i="5"/>
  <c r="T35" i="5"/>
  <c r="M35" i="5"/>
  <c r="AB19" i="5"/>
  <c r="W19" i="5"/>
  <c r="W34" i="5" s="1"/>
  <c r="Y19" i="5"/>
  <c r="AG35" i="5"/>
  <c r="R19" i="5"/>
  <c r="R34" i="5" s="1"/>
  <c r="U19" i="5"/>
  <c r="M34" i="5"/>
  <c r="AG34" i="5"/>
  <c r="T34" i="5"/>
  <c r="O138" i="6"/>
  <c r="T16" i="5"/>
  <c r="T23" i="5"/>
  <c r="T33" i="5"/>
  <c r="T17" i="5"/>
  <c r="T24" i="5"/>
  <c r="O141" i="6"/>
  <c r="W17" i="5"/>
  <c r="W33" i="5"/>
  <c r="W24" i="5"/>
  <c r="W16" i="5"/>
  <c r="W23" i="5"/>
  <c r="O135" i="6"/>
  <c r="Q16" i="5"/>
  <c r="Q23" i="5"/>
  <c r="Q33" i="5"/>
  <c r="Q17" i="5"/>
  <c r="Q24" i="5"/>
  <c r="O136" i="6"/>
  <c r="R16" i="5"/>
  <c r="R23" i="5"/>
  <c r="R17" i="5"/>
  <c r="R33" i="5"/>
  <c r="R24" i="5"/>
  <c r="J32" i="4"/>
  <c r="J12" i="5"/>
  <c r="J35" i="5" s="1"/>
  <c r="AE32" i="4"/>
  <c r="AE12" i="5"/>
  <c r="AE19" i="5" s="1"/>
  <c r="P19" i="5"/>
  <c r="P34" i="5" s="1"/>
  <c r="O143" i="6"/>
  <c r="Y33" i="5"/>
  <c r="Y17" i="5"/>
  <c r="Y24" i="5"/>
  <c r="Y16" i="5"/>
  <c r="Y23" i="5"/>
  <c r="Q34" i="5"/>
  <c r="Q35" i="5"/>
  <c r="O151" i="6"/>
  <c r="AG16" i="5"/>
  <c r="AG23" i="5"/>
  <c r="AG33" i="5"/>
  <c r="AG17" i="5"/>
  <c r="AG24" i="5"/>
  <c r="M132" i="6"/>
  <c r="N15" i="5"/>
  <c r="N25" i="5" s="1"/>
  <c r="N21" i="5"/>
  <c r="O131" i="6"/>
  <c r="M33" i="5"/>
  <c r="M17" i="5"/>
  <c r="M24" i="5"/>
  <c r="M23" i="5"/>
  <c r="M16" i="5"/>
  <c r="AG25" i="5"/>
  <c r="R25" i="5"/>
  <c r="T25" i="5"/>
  <c r="M25" i="5"/>
  <c r="O127" i="6"/>
  <c r="I16" i="5"/>
  <c r="I23" i="5"/>
  <c r="I33" i="5"/>
  <c r="I17" i="5"/>
  <c r="I24" i="5"/>
  <c r="M125" i="6"/>
  <c r="G21" i="5"/>
  <c r="G15" i="5"/>
  <c r="O140" i="6"/>
  <c r="V23" i="5"/>
  <c r="V33" i="5"/>
  <c r="V17" i="5"/>
  <c r="V24" i="5"/>
  <c r="V16" i="5"/>
  <c r="O38" i="4"/>
  <c r="O31" i="4"/>
  <c r="E133" i="6"/>
  <c r="H213" i="6" s="1"/>
  <c r="O11" i="5"/>
  <c r="O20" i="5" s="1"/>
  <c r="O31" i="5"/>
  <c r="O32" i="5" s="1"/>
  <c r="O35" i="4"/>
  <c r="O40" i="4" s="1"/>
  <c r="I25" i="5"/>
  <c r="M128" i="6"/>
  <c r="J15" i="5"/>
  <c r="J21" i="5"/>
  <c r="M149" i="6"/>
  <c r="AE15" i="5"/>
  <c r="AE21" i="5"/>
  <c r="AE20" i="5"/>
  <c r="V25" i="5"/>
  <c r="S32" i="4"/>
  <c r="S12" i="5"/>
  <c r="S35" i="5" s="1"/>
  <c r="O152" i="6"/>
  <c r="C21" i="6"/>
  <c r="AH23" i="5"/>
  <c r="C23" i="6" s="1"/>
  <c r="AH33" i="5"/>
  <c r="AH17" i="5"/>
  <c r="AH24" i="5"/>
  <c r="C24" i="6" s="1"/>
  <c r="AH16" i="5"/>
  <c r="C22" i="6" s="1"/>
  <c r="G32" i="4"/>
  <c r="G12" i="5"/>
  <c r="G19" i="5" s="1"/>
  <c r="M129" i="6"/>
  <c r="K21" i="5"/>
  <c r="K15" i="5"/>
  <c r="O139" i="6"/>
  <c r="U16" i="5"/>
  <c r="U23" i="5"/>
  <c r="U33" i="5"/>
  <c r="U17" i="5"/>
  <c r="U24" i="5"/>
  <c r="O134" i="6"/>
  <c r="P16" i="5"/>
  <c r="P23" i="5"/>
  <c r="P33" i="5"/>
  <c r="P17" i="5"/>
  <c r="P24" i="5"/>
  <c r="N32" i="4"/>
  <c r="N12" i="5"/>
  <c r="N35" i="5" s="1"/>
  <c r="P25" i="5"/>
  <c r="O124" i="6"/>
  <c r="F16" i="5"/>
  <c r="F33" i="5"/>
  <c r="F23" i="5"/>
  <c r="F24" i="5"/>
  <c r="F17" i="5"/>
  <c r="K32" i="4"/>
  <c r="K12" i="5"/>
  <c r="K35" i="5" s="1"/>
  <c r="O146" i="6"/>
  <c r="AB16" i="5"/>
  <c r="AB23" i="5"/>
  <c r="AB33" i="5"/>
  <c r="AB17" i="5"/>
  <c r="AB24" i="5"/>
  <c r="M137" i="6"/>
  <c r="S21" i="5"/>
  <c r="S20" i="5"/>
  <c r="S15" i="5"/>
  <c r="E130" i="6"/>
  <c r="H210" i="6" s="1"/>
  <c r="L31" i="4"/>
  <c r="L38" i="4"/>
  <c r="L11" i="5"/>
  <c r="L20" i="5" s="1"/>
  <c r="L31" i="5"/>
  <c r="L32" i="5" s="1"/>
  <c r="L35" i="4"/>
  <c r="L40" i="4" s="1"/>
  <c r="V19" i="5"/>
  <c r="V34" i="5" s="1"/>
  <c r="AB25" i="5"/>
  <c r="Z23" i="5" l="1"/>
  <c r="Z24" i="5"/>
  <c r="AH35" i="5"/>
  <c r="Z17" i="5"/>
  <c r="Z33" i="5"/>
  <c r="O144" i="6"/>
  <c r="Z19" i="5"/>
  <c r="Z34" i="5" s="1"/>
  <c r="AH19" i="5"/>
  <c r="AH34" i="5" s="1"/>
  <c r="Z16" i="5"/>
  <c r="I34" i="5"/>
  <c r="J19" i="5"/>
  <c r="J34" i="5" s="1"/>
  <c r="AB34" i="5"/>
  <c r="K19" i="5"/>
  <c r="K34" i="5" s="1"/>
  <c r="AE35" i="5"/>
  <c r="U34" i="5"/>
  <c r="Y34" i="5"/>
  <c r="G35" i="5"/>
  <c r="S19" i="5"/>
  <c r="S34" i="5" s="1"/>
  <c r="AE34" i="5"/>
  <c r="N19" i="5"/>
  <c r="N34" i="5" s="1"/>
  <c r="O149" i="6"/>
  <c r="AE16" i="5"/>
  <c r="AE23" i="5"/>
  <c r="AE24" i="5"/>
  <c r="AE33" i="5"/>
  <c r="AE17" i="5"/>
  <c r="AE25" i="5"/>
  <c r="O125" i="6"/>
  <c r="G16" i="5"/>
  <c r="G23" i="5"/>
  <c r="G24" i="5"/>
  <c r="G33" i="5"/>
  <c r="G17" i="5"/>
  <c r="O137" i="6"/>
  <c r="S23" i="5"/>
  <c r="S16" i="5"/>
  <c r="S24" i="5"/>
  <c r="S33" i="5"/>
  <c r="S17" i="5"/>
  <c r="G34" i="5"/>
  <c r="O129" i="6"/>
  <c r="K17" i="5"/>
  <c r="K33" i="5"/>
  <c r="K24" i="5"/>
  <c r="K16" i="5"/>
  <c r="K23" i="5"/>
  <c r="S25" i="5"/>
  <c r="M133" i="6"/>
  <c r="O21" i="5"/>
  <c r="O15" i="5"/>
  <c r="O25" i="5" s="1"/>
  <c r="K25" i="5"/>
  <c r="O32" i="4"/>
  <c r="O12" i="5"/>
  <c r="O35" i="5" s="1"/>
  <c r="M130" i="6"/>
  <c r="L15" i="5"/>
  <c r="L25" i="5" s="1"/>
  <c r="L21" i="5"/>
  <c r="O128" i="6"/>
  <c r="J23" i="5"/>
  <c r="J33" i="5"/>
  <c r="J17" i="5"/>
  <c r="J24" i="5"/>
  <c r="J16" i="5"/>
  <c r="G25" i="5"/>
  <c r="J25" i="5"/>
  <c r="L32" i="4"/>
  <c r="L12" i="5"/>
  <c r="L19" i="5" s="1"/>
  <c r="O132" i="6"/>
  <c r="N33" i="5"/>
  <c r="N17" i="5"/>
  <c r="N24" i="5"/>
  <c r="N16" i="5"/>
  <c r="N23" i="5"/>
  <c r="L35" i="5" l="1"/>
  <c r="O133" i="6"/>
  <c r="O24" i="5"/>
  <c r="O16" i="5"/>
  <c r="O23" i="5"/>
  <c r="O33" i="5"/>
  <c r="O17" i="5"/>
  <c r="O19" i="5"/>
  <c r="O34" i="5" s="1"/>
  <c r="O130" i="6"/>
  <c r="L24" i="5"/>
  <c r="L33" i="5"/>
  <c r="L17" i="5"/>
  <c r="L16" i="5"/>
  <c r="L23" i="5"/>
  <c r="L34" i="5"/>
  <c r="F122" i="6" l="1"/>
  <c r="D11" i="5" l="1"/>
  <c r="B14" i="6"/>
  <c r="D14" i="6" s="1"/>
  <c r="D31" i="5"/>
  <c r="D32" i="5" s="1"/>
  <c r="E122" i="6"/>
  <c r="H202" i="6" s="1"/>
  <c r="D15" i="5" l="1"/>
  <c r="D25" i="5" s="1"/>
  <c r="B25" i="6" s="1"/>
  <c r="D25" i="6" s="1"/>
  <c r="D20" i="5"/>
  <c r="D21" i="5"/>
  <c r="M122" i="6"/>
  <c r="B19" i="6"/>
  <c r="D19" i="6" s="1"/>
  <c r="B16" i="6"/>
  <c r="D16" i="6" s="1"/>
  <c r="D12" i="5"/>
  <c r="B20" i="6" s="1"/>
  <c r="D20" i="6" s="1"/>
  <c r="B15" i="6"/>
  <c r="D15" i="6" s="1"/>
  <c r="D35" i="5" l="1"/>
  <c r="D19" i="5"/>
  <c r="D39" i="5" s="1"/>
  <c r="D17" i="5"/>
  <c r="D16" i="5"/>
  <c r="B22" i="6" s="1"/>
  <c r="D22" i="6" s="1"/>
  <c r="O122" i="6"/>
  <c r="B21" i="6"/>
  <c r="D21" i="6" s="1"/>
  <c r="D23" i="5"/>
  <c r="B23" i="6" s="1"/>
  <c r="D23" i="6" s="1"/>
  <c r="D33" i="5"/>
  <c r="D24" i="5"/>
  <c r="B24" i="6" s="1"/>
  <c r="D24" i="6" s="1"/>
  <c r="D34" i="5" l="1"/>
</calcChain>
</file>

<file path=xl/sharedStrings.xml><?xml version="1.0" encoding="utf-8"?>
<sst xmlns="http://schemas.openxmlformats.org/spreadsheetml/2006/main" count="631" uniqueCount="369">
  <si>
    <t>Electricity Demand for Water Supply — Libya (2020–2050)</t>
  </si>
  <si>
    <t>Metric</t>
  </si>
  <si>
    <t>Units</t>
  </si>
  <si>
    <t>Notes</t>
  </si>
  <si>
    <t>EI local groundwater</t>
  </si>
  <si>
    <t>kWh/m³</t>
  </si>
  <si>
    <t>EI_GW_2020 × (1+rise)^(year-2020)</t>
  </si>
  <si>
    <t>EI pipeline (GMMR)</t>
  </si>
  <si>
    <t>EI_pipe × (1+rise)^(year-2020)</t>
  </si>
  <si>
    <t>EI desalination (SWRO)</t>
  </si>
  <si>
    <t>Linear from EI_2020 to EI_2050</t>
  </si>
  <si>
    <t>Energy: Local groundwater</t>
  </si>
  <si>
    <t>GWh/yr</t>
  </si>
  <si>
    <t>EI × volume (M m³)</t>
  </si>
  <si>
    <t>Energy: Pipeline (GMMR)</t>
  </si>
  <si>
    <t>EI × volume</t>
  </si>
  <si>
    <t>Energy: Desalination (total) (DESAL)</t>
  </si>
  <si>
    <t xml:space="preserve">  of which: for tree programme</t>
  </si>
  <si>
    <t>EI × incremental desal volume</t>
  </si>
  <si>
    <t>EI recycled water</t>
  </si>
  <si>
    <t>Energy: Recycled water (RW)</t>
  </si>
  <si>
    <t>EI × recycled water volume</t>
  </si>
  <si>
    <t>TOTAL electricity demand</t>
  </si>
  <si>
    <t>GW + GMMR + Desal</t>
  </si>
  <si>
    <t>TWh/yr</t>
  </si>
  <si>
    <t>GWh / 1000</t>
  </si>
  <si>
    <t>PJ/yr</t>
  </si>
  <si>
    <t>GW * × 0.0036 PJ/GWh</t>
  </si>
  <si>
    <t>BAU (no tree programme)</t>
  </si>
  <si>
    <t>GW + GMMR + desal (excl. tree programme) + RW</t>
  </si>
  <si>
    <t>Unconditional (incl. tree programme)</t>
  </si>
  <si>
    <t>GW + GMMR + desal (incl. tree) + RW</t>
  </si>
  <si>
    <t>Conditional (incl. tree programme)</t>
  </si>
  <si>
    <t>System-avg EI (kWh/m³)</t>
  </si>
  <si>
    <t>Total energy (GWh) / Total water (M m³)</t>
  </si>
  <si>
    <t>Electricity per capita</t>
  </si>
  <si>
    <t>kWh/cap/yr</t>
  </si>
  <si>
    <t>Total energy × 1e6 / Population</t>
  </si>
  <si>
    <t>Desalination share of energy</t>
  </si>
  <si>
    <t>%</t>
  </si>
  <si>
    <t>ADJUSTED SCENARIOS (v2 — from technical review)</t>
  </si>
  <si>
    <t>Adj: Groundwater (grid-electrified only)</t>
  </si>
  <si>
    <t>GW energy × Inputs!B60</t>
  </si>
  <si>
    <t>Adj: Thermal desal fleet share</t>
  </si>
  <si>
    <t>share</t>
  </si>
  <si>
    <t>Linear interp B61 → B62</t>
  </si>
  <si>
    <t>Adj: Fleet-blended desal EI</t>
  </si>
  <si>
    <t>(1-share)×SWRO + share×thermal</t>
  </si>
  <si>
    <t>Adj: Desal energy (fleet-blended)</t>
  </si>
  <si>
    <t>Blended EI × total desal volume</t>
  </si>
  <si>
    <t>Adj: TOTAL electricity (v2 fleet-blended)</t>
  </si>
  <si>
    <t>GridGW + GMMR + FleetDesal + RW</t>
  </si>
  <si>
    <t>% of Libya total generation (cross-check)</t>
  </si>
  <si>
    <t>Uncond total / Inputs!B65</t>
  </si>
  <si>
    <t>VALIDATION: Uncond − (BAU + tree incr)</t>
  </si>
  <si>
    <t>Should be 0 for all years</t>
  </si>
  <si>
    <t>VALIDATION: desal total − tree (≥ 0)</t>
  </si>
  <si>
    <t>Tree incr must be subset of total</t>
  </si>
  <si>
    <t>Libya Water–Energy Nexus Model (2020–2050)</t>
  </si>
  <si>
    <t>Purpose</t>
  </si>
  <si>
    <t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</si>
  <si>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>Country context</t>
  </si>
  <si>
    <t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</si>
  <si>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>Model logic</t>
  </si>
  <si>
    <t>1.  Population: linear interpolation between UN WPP 2024 medium-variant 2020 (6.735M) and 2050 (9.261M).</t>
  </si>
  <si>
    <t>2.  GDP per capita: user-specified CAGR (default 2.5%/yr).</t>
  </si>
  <si>
    <t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</si>
  <si>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</si>
  <si>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</si>
  <si>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</si>
  <si>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</si>
  <si>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</si>
  <si>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</si>
  <si>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</si>
  <si>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</si>
  <si>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>5.  Tree-program desalination burden is isolated by running the deficit calc twice, with and without the tree demand, and reporting the difference as 'Incremental desal for tree program'.</t>
  </si>
  <si>
    <t>6.  Energy = Σ (supply volume × specific energy intensity) for each source.</t>
  </si>
  <si>
    <t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</si>
  <si>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</si>
  <si>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</si>
  <si>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</si>
  <si>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</si>
  <si>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</si>
  <si>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>Data sources &amp; citations</t>
  </si>
  <si>
    <t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</si>
  <si>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</si>
  <si>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>• FAO AQUASTAT. Core database — water withdrawals by sector. https://www.fao.org/aquastat/en/databases/maindatabase/</t>
  </si>
  <si>
    <t>• UN DESA. World Population Prospects 2024, medium variant. https://population.un.org/wpp/</t>
  </si>
  <si>
    <t>• World Bank. Libya country data. https://data.worldbank.org/country/libya</t>
  </si>
  <si>
    <t>• IMF. Libya Article IV Staff Report, June 2025. https://www.imf.org/en/countries/lby</t>
  </si>
  <si>
    <t>• Middle East Institute (2024). What's next for Libya's Great Man-Made River Project? https://mei.edu/publication/whats-next-libyas-great-man-made-river-project/</t>
  </si>
  <si>
    <t>• Columbia State of the Planet (2011). Colonel Qaddafi and the Great Man-made River (aquifer depletion ~60 yr, Lonergan). https://news.climate.columbia.edu/2011/04/01/libya/</t>
  </si>
  <si>
    <t>• Brika, B. (2018). Water Resources and Desalination in Libya: A Review. https://www.mdpi.com/2504-3900/2/11/586</t>
  </si>
  <si>
    <t>• Qasem, Mittal &amp; Arafat (2021). Review of SWRO energy consumption, ScienceDirect. https://www.sciencedirect.com/science/article/abs/pii/S030626191931339X</t>
  </si>
  <si>
    <t>• IRENA (2015). Renewable Energy in the Water–Energy–Food Nexus (desalination 3.5–5 kWh/m³).</t>
  </si>
  <si>
    <t>• Becker, Sapkota, Kolusu et al. (2022). Afforesting arid land with renewable electricity and desalination, Nature Sustainability. https://www.nature.com/articles/s41893-022-01056-7</t>
  </si>
  <si>
    <t>• USU Forestry Extension. Drip Irrigation for Trees (arid landscape tree water demand). https://forestry.usu.edu/trees-cities-towns/tree-care/drip-irrigation</t>
  </si>
  <si>
    <t>100-million-tree programme — assumed parameters (editable on Inputs)</t>
  </si>
  <si>
    <t>• Programme start: 2026.  Planting ramp: 10 years (10 M trees/yr), so 100 M trees by 2036.</t>
  </si>
  <si>
    <t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</si>
  <si>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>• Implication: once fully established, programme demand ≈ 100 M × 15 L × 365 d ≈ 547 M m³/yr (~9% of national water use) and requires an equivalent incremental desalination plant fleet of ~1.5 M m³/day.</t>
  </si>
  <si>
    <t>Caveats</t>
  </si>
  <si>
    <t>• Libya's economy and water sector are highly disrupted by conflict; historical data are noisy.</t>
  </si>
  <si>
    <t>• GMMR actual delivery is already well below design capacity (2.5 vs 6.5 Mm³/day as of 2017–2024).</t>
  </si>
  <si>
    <t>• Local groundwater yield baseline is a residual estimate — treat as editable.</t>
  </si>
  <si>
    <t>• Industrial intensity is derived (AQUASTAT industrial share ÷ World Bank GDP) and very sensitive.</t>
  </si>
  <si>
    <t>• Thermal desalination (MSF/MED), still ~95% of Libya's legacy fleet per Brika (2018), would have higher equivalent electrical intensity (~15–25 kWh/m³). Default 3.5 kWh/m³ assumes new SWRO buildout.</t>
  </si>
  <si>
    <t>• Tree water demand is highly uncertain — depends on species, microclimate, mulching, drip efficiency, whether rainfall (56 mm/yr) is partially counted. Edit the 'Water per tree' assumption accordingly.</t>
  </si>
  <si>
    <t>• All trends are user-editable; the model is intentionally simple.</t>
  </si>
  <si>
    <t>Colour coding (in calculation sheets)</t>
  </si>
  <si>
    <t>• Blue text = hardcoded input number.  Black text = formula.  Green text = cross-sheet link.</t>
  </si>
  <si>
    <t>• Yellow fill = key assumption to review.  Light-blue fill = section header.  Green fill = total/result.</t>
  </si>
  <si>
    <t>• Light-green fill = 100-million-tree programme rows.</t>
  </si>
  <si>
    <t>UPDATE v2: recycled water and sector allocation logic added.</t>
  </si>
  <si>
    <t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</si>
  <si>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>UPDATE v3: allocation logic made more user-editable through new Inputs rows for recycled-water split and source-priority shares by sector.</t>
  </si>
  <si>
    <t>Libya Water-Energy Model — Inputs &amp; Assumptions</t>
  </si>
  <si>
    <t>Parameter</t>
  </si>
  <si>
    <t>Value</t>
  </si>
  <si>
    <t>Source / Note</t>
  </si>
  <si>
    <t>DEMOGRAPHICS &amp; ECONOMY</t>
  </si>
  <si>
    <t>Population 2020</t>
  </si>
  <si>
    <t>persons</t>
  </si>
  <si>
    <t>UN WPP 2024 medium variant</t>
  </si>
  <si>
    <t>*</t>
  </si>
  <si>
    <t>Population 2050</t>
  </si>
  <si>
    <t>GDP per capita 2020</t>
  </si>
  <si>
    <t>USD (current)</t>
  </si>
  <si>
    <t>World Bank WDI 2020 (volatile)</t>
  </si>
  <si>
    <t>GDP per capita CAGR</t>
  </si>
  <si>
    <t>per year</t>
  </si>
  <si>
    <t>WATER DEMAND INTENSITIES</t>
  </si>
  <si>
    <t>Domestic water use 2020</t>
  </si>
  <si>
    <t>L/cap/day</t>
  </si>
  <si>
    <t>UNICEF 2022 citing Libya VNR 2020</t>
  </si>
  <si>
    <t>Domestic efficiency trend</t>
  </si>
  <si>
    <t>Assumption: leak reduction, metering</t>
  </si>
  <si>
    <t>Industrial water intensity 2020</t>
  </si>
  <si>
    <t>m³ per $1000 GDP</t>
  </si>
  <si>
    <t>Derived: AQUASTAT industrial share ÷ WB GDP 2020</t>
  </si>
  <si>
    <t>Industrial efficiency trend</t>
  </si>
  <si>
    <t>Assumption: process efficiency</t>
  </si>
  <si>
    <t>Agricultural water use 2020</t>
  </si>
  <si>
    <t>UNICEF 2022 citing AQUASTAT (~83% of total)</t>
  </si>
  <si>
    <t>Agricultural efficiency trend</t>
  </si>
  <si>
    <t>Assumption: irrigation modernization</t>
  </si>
  <si>
    <t>SUPPLY CAPACITY &amp; TRENDS</t>
  </si>
  <si>
    <t>Local groundwater yield 2020</t>
  </si>
  <si>
    <t>M m³/yr</t>
  </si>
  <si>
    <t>Residual estimate: total use ~5.5 Gm³ − GMMR − desal</t>
  </si>
  <si>
    <t>Groundwater decline rate</t>
  </si>
  <si>
    <t>Overdraft &amp; coastal salinization</t>
  </si>
  <si>
    <t>GMMR pipeline delivery 2020</t>
  </si>
  <si>
    <t>2.5 Mm³/day × 365 (MEI 2024)</t>
  </si>
  <si>
    <t>Great Man Made River</t>
  </si>
  <si>
    <t>GMMR decline rate</t>
  </si>
  <si>
    <t>Aquifer depletion (Lonergan ~60 yr) + infra decay</t>
  </si>
  <si>
    <t>ENERGY INTENSITIES</t>
  </si>
  <si>
    <t>EI local groundwater 2020</t>
  </si>
  <si>
    <t>EI groundwater rise rate</t>
  </si>
  <si>
    <t>Water-table drawdown raises lift</t>
  </si>
  <si>
    <t>EI pipeline (GMMR) 2020</t>
  </si>
  <si>
    <t>Deep-well (500 m) + long conveyance; lit. 1.5-2.0</t>
  </si>
  <si>
    <t>EI pipeline rise rate</t>
  </si>
  <si>
    <t>Rising lift as Nubian aquifer draws down</t>
  </si>
  <si>
    <t>EI desalination 2020</t>
  </si>
  <si>
    <t>SWRO with ERDs (IRENA; ScienceDirect)</t>
  </si>
  <si>
    <t>EI desalination 2050</t>
  </si>
  <si>
    <t>Efficiency gains toward 2.8 state-of-art</t>
  </si>
  <si>
    <t>100-MILLION TREE AFFORESTATION PROGRAMME</t>
  </si>
  <si>
    <t>Programme start year</t>
  </si>
  <si>
    <t>year</t>
  </si>
  <si>
    <t>Assumption — edit to shift timeline</t>
  </si>
  <si>
    <t>Planting ramp (years)</t>
  </si>
  <si>
    <t>years</t>
  </si>
  <si>
    <t>Linear planting of target over this period</t>
  </si>
  <si>
    <t>Target trees</t>
  </si>
  <si>
    <t>trees</t>
  </si>
  <si>
    <t>Programme ambition (100 million)</t>
  </si>
  <si>
    <t>Water per tree</t>
  </si>
  <si>
    <t>L/tree/day</t>
  </si>
  <si>
    <t>Drip-irrigated drought-tolerant; Becker et al. 2022; USU ext. ~41 L/d for mature arid shade tree</t>
  </si>
  <si>
    <t>RECYCLED WATER &amp; ALLOCATION</t>
  </si>
  <si>
    <t>Urban wastewater recovery share 2020</t>
  </si>
  <si>
    <t>share of urban water demand met</t>
  </si>
  <si>
    <t>Assumption: recoverable municipal wastewater</t>
  </si>
  <si>
    <t>Urban wastewater recovery share 2050</t>
  </si>
  <si>
    <t>Assumption: better sewerage, treatment, and reuse</t>
  </si>
  <si>
    <t>Recycled water split to trees 2020</t>
  </si>
  <si>
    <t>share of recycled water</t>
  </si>
  <si>
    <t>Allocation priority from recycled water</t>
  </si>
  <si>
    <t>Recycled water split to trees 2050</t>
  </si>
  <si>
    <t>Less tree priority over time as ag reuse scales</t>
  </si>
  <si>
    <t>EI recycled water 2020</t>
  </si>
  <si>
    <t>Assumption: treatment + pumping for non-potable reuse</t>
  </si>
  <si>
    <t>EI recycled water 2050</t>
  </si>
  <si>
    <t>Efficiency improvement assumption</t>
  </si>
  <si>
    <t>EDITABLE ALLOCATION SHARES</t>
  </si>
  <si>
    <t>Editable share; remainder goes to agriculture</t>
  </si>
  <si>
    <t>Urban priority GW share</t>
  </si>
  <si>
    <t>share of urban demand</t>
  </si>
  <si>
    <t>Default strict priority</t>
  </si>
  <si>
    <t>Urban priority GMMR share</t>
  </si>
  <si>
    <t>share of urban residual</t>
  </si>
  <si>
    <t>Industrial priority GW share</t>
  </si>
  <si>
    <t>share of industrial demand</t>
  </si>
  <si>
    <t>Industrial priority GMMR share</t>
  </si>
  <si>
    <t>share of industrial residual</t>
  </si>
  <si>
    <t>Agriculture priority GW share</t>
  </si>
  <si>
    <t>share of ag residual demand</t>
  </si>
  <si>
    <t>Agriculture priority GMMR share</t>
  </si>
  <si>
    <t>share of ag residual after GW</t>
  </si>
  <si>
    <t>ADJUSTMENT FACTORS (v2 — technical review)</t>
  </si>
  <si>
    <t>Groundwater grid-electrified share</t>
  </si>
  <si>
    <t>share (0-1)</t>
  </si>
  <si>
    <t>FAO/WB: ~47% private-farm pumping unmetered/off-grid (diesel). 0.53 is metered share</t>
  </si>
  <si>
    <t>Thermal desal fleet share 2020</t>
  </si>
  <si>
    <t>README: Libya legacy fleet ~95% thermal (MSF/MED); Fadiel et al. 2025</t>
  </si>
  <si>
    <t>Thermal desal fleet share 2050</t>
  </si>
  <si>
    <t>Assumption: new SWRO turnover dominates by 2050</t>
  </si>
  <si>
    <t>EI thermal desal (electric-equiv)</t>
  </si>
  <si>
    <t>kWh-eq/m³</t>
  </si>
  <si>
    <t>Midpoint of 15-25 kWh-eq/m³ literature range for MSF/MED</t>
  </si>
  <si>
    <t>GWh → PJ conversion factor</t>
  </si>
  <si>
    <t>PJ/GWh</t>
  </si>
  <si>
    <t>3600 × 1e-6 = 3.6e-3. Used in Energy rows 17, 19-21, 32</t>
  </si>
  <si>
    <t>Libya total electricity generation (ref)</t>
  </si>
  <si>
    <t>IEA/OEC ~35 TWh (2021). Reference for Energy cross-check</t>
  </si>
  <si>
    <t>Water Demand Projections — Libya (2020–2050)</t>
  </si>
  <si>
    <t>Population</t>
  </si>
  <si>
    <t>Linear interp UN WPP 2024 (2020 ↔ 2050)</t>
  </si>
  <si>
    <t>GDP per capita</t>
  </si>
  <si>
    <t>USD</t>
  </si>
  <si>
    <t>GDP_pc_2020 × (1+CAGR)^(year-2020)</t>
  </si>
  <si>
    <t>Total GDP</t>
  </si>
  <si>
    <t>M USD</t>
  </si>
  <si>
    <t>Population × GDP per capita / 1e6</t>
  </si>
  <si>
    <t>Domestic intensity</t>
  </si>
  <si>
    <t>Base × (1+eff)^(year-2020)</t>
  </si>
  <si>
    <t>Industrial intensity</t>
  </si>
  <si>
    <t>m³/$1000 GDP</t>
  </si>
  <si>
    <t>Agricultural intensity</t>
  </si>
  <si>
    <t>Domestic demand</t>
  </si>
  <si>
    <t>Pop × lpcd × 365 / 1e9</t>
  </si>
  <si>
    <t>Industrial demand</t>
  </si>
  <si>
    <t>GDP(M USD) × (m³/$1000) / 1000</t>
  </si>
  <si>
    <t>Agricultural demand</t>
  </si>
  <si>
    <t>Active trees (100 M program)</t>
  </si>
  <si>
    <t>MIN(target, MAX(0, target×(year−start)/ramp))</t>
  </si>
  <si>
    <t>Tree programme demand</t>
  </si>
  <si>
    <t>Active trees × L/tree/day × 365 / 1e9</t>
  </si>
  <si>
    <t>TOTAL water demand</t>
  </si>
  <si>
    <t>Sum of sectors + tree program</t>
  </si>
  <si>
    <t>Water Supply Allocation — Libya (2020–2050)</t>
  </si>
  <si>
    <t>Total water demand</t>
  </si>
  <si>
    <t>link ← Demand row 19</t>
  </si>
  <si>
    <t>Of which tree programme</t>
  </si>
  <si>
    <t>link ← Demand row 17</t>
  </si>
  <si>
    <t>Local groundwater available</t>
  </si>
  <si>
    <t>GW_2020 × (1+decline)^(year-2020)</t>
  </si>
  <si>
    <t>Pipeline (GMMR) available</t>
  </si>
  <si>
    <t>GMMR_2020 × (1+decline)^(year-2020)</t>
  </si>
  <si>
    <t>Groundwater + Pipeline</t>
  </si>
  <si>
    <t>GW + GMMR</t>
  </si>
  <si>
    <t>link ← Demand domestic</t>
  </si>
  <si>
    <t>link ← Demand industrial</t>
  </si>
  <si>
    <t>link ← Demand agriculture</t>
  </si>
  <si>
    <t>Recycled water available</t>
  </si>
  <si>
    <t>Urban demand met × recovery share</t>
  </si>
  <si>
    <t>Recycled water to trees</t>
  </si>
  <si>
    <t>Allocated first from recycled water, capped by tree demand</t>
  </si>
  <si>
    <t>Recycled water to agriculture</t>
  </si>
  <si>
    <t>Residual recycled water after trees</t>
  </si>
  <si>
    <t>Urban from groundwater</t>
  </si>
  <si>
    <t>Urban first draw on GW</t>
  </si>
  <si>
    <t>Urban from GMMR</t>
  </si>
  <si>
    <t>Urban then GMMR</t>
  </si>
  <si>
    <t>Urban from desalination</t>
  </si>
  <si>
    <t>Urban residual desal</t>
  </si>
  <si>
    <t>Industrial from groundwater</t>
  </si>
  <si>
    <t>Industrial second draw on GW</t>
  </si>
  <si>
    <t>Industrial from GMMR</t>
  </si>
  <si>
    <t>Industrial then GMMR</t>
  </si>
  <si>
    <t>Industrial from desalination</t>
  </si>
  <si>
    <t>Industrial residual desal</t>
  </si>
  <si>
    <t>Agriculture from groundwater</t>
  </si>
  <si>
    <t>Agriculture draw on GW after recycled</t>
  </si>
  <si>
    <t>Agriculture from GMMR</t>
  </si>
  <si>
    <t>Agriculture then GMMR</t>
  </si>
  <si>
    <t>Agriculture from desalination</t>
  </si>
  <si>
    <t>Agriculture residual desal</t>
  </si>
  <si>
    <t>Trees from desalination</t>
  </si>
  <si>
    <t>Tree residual after recycled</t>
  </si>
  <si>
    <t>CHECK: allocated demand incl recycled</t>
  </si>
  <si>
    <t>Should equal total demand</t>
  </si>
  <si>
    <t>Desalination required (total)</t>
  </si>
  <si>
    <t>MAX(0, Total demand − GW − GMMR)</t>
  </si>
  <si>
    <t>Desalination if NO tree programme</t>
  </si>
  <si>
    <t>MAX(0, (Demand−Tree) − GW − GMMR)</t>
  </si>
  <si>
    <t>Incremental desal for tree programme</t>
  </si>
  <si>
    <t>Row 12 − Row 13</t>
  </si>
  <si>
    <t>→ equivalent SWRO capacity</t>
  </si>
  <si>
    <t>m³/day</t>
  </si>
  <si>
    <t>Row 14 × 1e6 / 365</t>
  </si>
  <si>
    <t>Recycled water used (total)</t>
  </si>
  <si>
    <t>Recycled water to trees + agriculture</t>
  </si>
  <si>
    <t>Total water supply (incl. recycled)</t>
  </si>
  <si>
    <t>GW + GMMR + desal + recycled</t>
  </si>
  <si>
    <t>Share: Local groundwater</t>
  </si>
  <si>
    <t>Share: GMMR pipeline</t>
  </si>
  <si>
    <t>Share: Desalination</t>
  </si>
  <si>
    <t>CHECK: Supply − Demand</t>
  </si>
  <si>
    <t>Should equal zero</t>
  </si>
  <si>
    <t>Libya Water-Energy Model — Summary (2020 vs 2050)</t>
  </si>
  <si>
    <t>2020</t>
  </si>
  <si>
    <t>2050</t>
  </si>
  <si>
    <t>CAGR</t>
  </si>
  <si>
    <t>GDP per capita (USD)</t>
  </si>
  <si>
    <t>Total GDP (M USD)</t>
  </si>
  <si>
    <t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</si>
  <si>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</si>
  <si>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</si>
  <si>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</si>
  <si>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</si>
  <si>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>~9% of national water use once fully established (2036+)</t>
  </si>
  <si>
    <t>Local groundwater (M m³/yr)</t>
  </si>
  <si>
    <t>GMMR pipeline (M m³/yr)</t>
  </si>
  <si>
    <t>Now declining at −2%/yr (was +recovery)</t>
  </si>
  <si>
    <t>Desalination required (M m³/yr)</t>
  </si>
  <si>
    <t>Makes up deficit</t>
  </si>
  <si>
    <t xml:space="preserve">  Incremental desal for trees</t>
  </si>
  <si>
    <t xml:space="preserve">  SWRO capacity for trees (m³/day)</t>
  </si>
  <si>
    <t>≈3× Libya's current operational desal fleet (~526 k m³/d, Brika 2018)</t>
  </si>
  <si>
    <t>Electricity: groundwater (GWh)</t>
  </si>
  <si>
    <t>Electricity: GMMR (GWh)</t>
  </si>
  <si>
    <t>Electricity: desalination (GWh)</t>
  </si>
  <si>
    <t xml:space="preserve">  of which: for tree programme (GWh)</t>
  </si>
  <si>
    <t>TOTAL electricity (GWh/yr)</t>
  </si>
  <si>
    <t>TOTAL electricity (TWh/yr)</t>
  </si>
  <si>
    <t>Electricity per capita (kWh/cap/yr)</t>
  </si>
  <si>
    <t>Desal share of energy (%)</t>
  </si>
  <si>
    <t>Recycled water available (M m³/yr)</t>
  </si>
  <si>
    <t>Recycled water to trees (M m³/yr)</t>
  </si>
  <si>
    <t>Recycled water to agriculture (M m³/yr)</t>
  </si>
  <si>
    <t>Electricity: recycled water (GWh)</t>
  </si>
  <si>
    <t>Note: Total demand rises over time; declining GW and GMMR are balanced by higher desalination and recycled water so total supply still matches demand.</t>
  </si>
  <si>
    <t>Sector water demand chart data</t>
  </si>
  <si>
    <t>Year</t>
  </si>
  <si>
    <t>Domestic</t>
  </si>
  <si>
    <t>Industrial</t>
  </si>
  <si>
    <t>Agriculture</t>
  </si>
  <si>
    <t>Trees</t>
  </si>
  <si>
    <t>Cleaned summary charts</t>
  </si>
  <si>
    <t>Total demand rises over time. Declining groundwater and GMMR are offset by desalination and treated wastewater, so total supply and total electricity demand both rise.</t>
  </si>
  <si>
    <t>Sector water demand full-period data</t>
  </si>
  <si>
    <t>Energy demand data</t>
  </si>
  <si>
    <t>Groundwater</t>
  </si>
  <si>
    <t>GMMR</t>
  </si>
  <si>
    <t>Desalination</t>
  </si>
  <si>
    <t>Treated wastewater</t>
  </si>
  <si>
    <t>Total</t>
  </si>
  <si>
    <t>Demand by sector data</t>
  </si>
  <si>
    <t xml:space="preserve">USGS/Denver 1.2-1.8 deep; 0.7 shallow/coastal
We assumed that the majoriry of private-farm groundwater runs on diesel gensets and is not billed through the grid, given that FAO/World Bank water-sector assessments for the countrt, we can assume  that private-farm pumping  is largely unmetered and off-grid (approx 50%). Thus the energy intensity of this is scaled to what it is actually being demanded by the electricity grid. </t>
  </si>
  <si>
    <t>Matched to SISEPUEDE</t>
  </si>
  <si>
    <t>Total demand</t>
  </si>
  <si>
    <t>Scenario</t>
  </si>
  <si>
    <t>Conditional</t>
  </si>
  <si>
    <t>BAU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</si>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</sst>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%"/>
    <numFmt numFmtId="167" formatCode="0.000"/>
  </numFmts>
  <fonts count="25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</font>
    <font>
      <b/>
      <sz val="13"/>
      <color rgb="FF000000"/>
      <name val="Arial"/>
      <family val="2"/>
    </font>
    <font>
      <sz val="11"/>
      <color rgb="FF0563C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8000"/>
      <name val="Arial"/>
      <family val="2"/>
    </font>
    <font>
      <sz val="11"/>
      <color rgb="FF0000FF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  <charset val="1"/>
    </font>
    <font>
      <b/>
      <sz val="11"/>
      <color rgb="FFC00000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E4F6E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9" fontId="17" fillId="0" borderId="0"/>
  </cellStyleXfs>
  <cellXfs count="9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3" fontId="11" fillId="0" borderId="0" xfId="0" applyNumberFormat="1" applyFont="1"/>
    <xf numFmtId="3" fontId="7" fillId="0" borderId="0" xfId="0" applyNumberFormat="1" applyFont="1"/>
    <xf numFmtId="164" fontId="11" fillId="0" borderId="0" xfId="0" applyNumberFormat="1" applyFont="1"/>
    <xf numFmtId="2" fontId="11" fillId="0" borderId="0" xfId="0" applyNumberFormat="1" applyFont="1"/>
    <xf numFmtId="165" fontId="7" fillId="0" borderId="0" xfId="0" applyNumberFormat="1" applyFont="1"/>
    <xf numFmtId="3" fontId="11" fillId="5" borderId="0" xfId="0" applyNumberFormat="1" applyFont="1" applyFill="1"/>
    <xf numFmtId="165" fontId="7" fillId="5" borderId="0" xfId="0" applyNumberFormat="1" applyFont="1" applyFill="1"/>
    <xf numFmtId="0" fontId="12" fillId="0" borderId="0" xfId="0" applyFont="1"/>
    <xf numFmtId="165" fontId="12" fillId="6" borderId="0" xfId="0" applyNumberFormat="1" applyFont="1" applyFill="1"/>
    <xf numFmtId="165" fontId="11" fillId="0" borderId="0" xfId="0" applyNumberFormat="1" applyFont="1"/>
    <xf numFmtId="165" fontId="11" fillId="5" borderId="0" xfId="0" applyNumberFormat="1" applyFont="1" applyFill="1"/>
    <xf numFmtId="165" fontId="12" fillId="5" borderId="0" xfId="0" applyNumberFormat="1" applyFont="1" applyFill="1"/>
    <xf numFmtId="166" fontId="7" fillId="0" borderId="0" xfId="0" applyNumberFormat="1" applyFont="1"/>
    <xf numFmtId="4" fontId="7" fillId="7" borderId="0" xfId="0" applyNumberFormat="1" applyFont="1" applyFill="1"/>
    <xf numFmtId="167" fontId="11" fillId="0" borderId="0" xfId="0" applyNumberFormat="1" applyFont="1"/>
    <xf numFmtId="2" fontId="12" fillId="6" borderId="0" xfId="0" applyNumberFormat="1" applyFont="1" applyFill="1"/>
    <xf numFmtId="167" fontId="7" fillId="0" borderId="0" xfId="0" applyNumberFormat="1" applyFont="1"/>
    <xf numFmtId="0" fontId="7" fillId="0" borderId="1" xfId="0" applyFont="1" applyBorder="1"/>
    <xf numFmtId="3" fontId="11" fillId="0" borderId="1" xfId="0" applyNumberFormat="1" applyFont="1" applyBorder="1"/>
    <xf numFmtId="10" fontId="7" fillId="0" borderId="1" xfId="0" applyNumberFormat="1" applyFont="1" applyBorder="1"/>
    <xf numFmtId="0" fontId="13" fillId="0" borderId="1" xfId="0" applyFont="1" applyBorder="1"/>
    <xf numFmtId="0" fontId="12" fillId="6" borderId="1" xfId="0" applyFont="1" applyFill="1" applyBorder="1"/>
    <xf numFmtId="165" fontId="14" fillId="6" borderId="1" xfId="0" applyNumberFormat="1" applyFont="1" applyFill="1" applyBorder="1"/>
    <xf numFmtId="10" fontId="12" fillId="6" borderId="1" xfId="0" applyNumberFormat="1" applyFont="1" applyFill="1" applyBorder="1"/>
    <xf numFmtId="0" fontId="13" fillId="6" borderId="1" xfId="0" applyFont="1" applyFill="1" applyBorder="1"/>
    <xf numFmtId="165" fontId="11" fillId="0" borderId="1" xfId="0" applyNumberFormat="1" applyFont="1" applyBorder="1"/>
    <xf numFmtId="0" fontId="7" fillId="5" borderId="1" xfId="0" applyFont="1" applyFill="1" applyBorder="1"/>
    <xf numFmtId="165" fontId="11" fillId="5" borderId="1" xfId="0" applyNumberFormat="1" applyFont="1" applyFill="1" applyBorder="1"/>
    <xf numFmtId="10" fontId="7" fillId="5" borderId="1" xfId="0" applyNumberFormat="1" applyFont="1" applyFill="1" applyBorder="1"/>
    <xf numFmtId="0" fontId="13" fillId="5" borderId="1" xfId="0" applyFont="1" applyFill="1" applyBorder="1"/>
    <xf numFmtId="0" fontId="12" fillId="0" borderId="1" xfId="0" applyFont="1" applyBorder="1"/>
    <xf numFmtId="165" fontId="14" fillId="0" borderId="1" xfId="0" applyNumberFormat="1" applyFont="1" applyBorder="1"/>
    <xf numFmtId="10" fontId="12" fillId="0" borderId="1" xfId="0" applyNumberFormat="1" applyFont="1" applyBorder="1"/>
    <xf numFmtId="3" fontId="11" fillId="5" borderId="1" xfId="0" applyNumberFormat="1" applyFont="1" applyFill="1" applyBorder="1"/>
    <xf numFmtId="3" fontId="14" fillId="6" borderId="1" xfId="0" applyNumberFormat="1" applyFont="1" applyFill="1" applyBorder="1"/>
    <xf numFmtId="2" fontId="14" fillId="6" borderId="1" xfId="0" applyNumberFormat="1" applyFont="1" applyFill="1" applyBorder="1"/>
    <xf numFmtId="2" fontId="11" fillId="0" borderId="1" xfId="0" applyNumberFormat="1" applyFont="1" applyBorder="1"/>
    <xf numFmtId="166" fontId="11" fillId="0" borderId="1" xfId="0" applyNumberFormat="1" applyFont="1" applyBorder="1"/>
    <xf numFmtId="0" fontId="15" fillId="8" borderId="0" xfId="0" applyFont="1" applyFill="1"/>
    <xf numFmtId="0" fontId="16" fillId="0" borderId="0" xfId="0" applyFont="1"/>
    <xf numFmtId="0" fontId="0" fillId="0" borderId="0" xfId="0" applyAlignment="1">
      <alignment wrapText="1"/>
    </xf>
    <xf numFmtId="0" fontId="9" fillId="9" borderId="0" xfId="0" applyFont="1" applyFill="1"/>
    <xf numFmtId="0" fontId="10" fillId="9" borderId="0" xfId="0" applyFont="1" applyFill="1"/>
    <xf numFmtId="0" fontId="7" fillId="10" borderId="0" xfId="0" applyFont="1" applyFill="1"/>
    <xf numFmtId="0" fontId="9" fillId="10" borderId="0" xfId="0" applyFont="1" applyFill="1"/>
    <xf numFmtId="0" fontId="10" fillId="10" borderId="0" xfId="0" applyFont="1" applyFill="1"/>
    <xf numFmtId="0" fontId="12" fillId="10" borderId="0" xfId="0" applyFont="1" applyFill="1"/>
    <xf numFmtId="2" fontId="12" fillId="11" borderId="0" xfId="0" applyNumberFormat="1" applyFont="1" applyFill="1"/>
    <xf numFmtId="2" fontId="12" fillId="0" borderId="0" xfId="0" applyNumberFormat="1" applyFont="1"/>
    <xf numFmtId="0" fontId="0" fillId="12" borderId="0" xfId="0" applyFill="1"/>
    <xf numFmtId="2" fontId="0" fillId="0" borderId="0" xfId="0" applyNumberFormat="1"/>
    <xf numFmtId="0" fontId="18" fillId="13" borderId="0" xfId="0" applyFont="1" applyFill="1"/>
    <xf numFmtId="0" fontId="19" fillId="0" borderId="0" xfId="0" applyFont="1"/>
    <xf numFmtId="0" fontId="20" fillId="14" borderId="0" xfId="0" applyFont="1" applyFill="1"/>
    <xf numFmtId="0" fontId="21" fillId="0" borderId="0" xfId="0" applyFont="1"/>
    <xf numFmtId="0" fontId="22" fillId="0" borderId="0" xfId="0" applyFont="1"/>
    <xf numFmtId="165" fontId="19" fillId="0" borderId="0" xfId="0" applyNumberFormat="1" applyFont="1"/>
    <xf numFmtId="166" fontId="19" fillId="0" borderId="0" xfId="1" applyNumberFormat="1" applyFont="1"/>
    <xf numFmtId="166" fontId="19" fillId="0" borderId="0" xfId="0" applyNumberFormat="1" applyFont="1"/>
    <xf numFmtId="2" fontId="19" fillId="0" borderId="0" xfId="0" applyNumberFormat="1" applyFont="1"/>
    <xf numFmtId="4" fontId="19" fillId="0" borderId="0" xfId="0" applyNumberFormat="1" applyFont="1"/>
    <xf numFmtId="0" fontId="23" fillId="0" borderId="0" xfId="0" applyFont="1"/>
    <xf numFmtId="167" fontId="19" fillId="0" borderId="0" xfId="0" applyNumberFormat="1" applyFont="1"/>
    <xf numFmtId="0" fontId="7" fillId="15" borderId="0" xfId="0" applyFont="1" applyFill="1"/>
    <xf numFmtId="0" fontId="9" fillId="15" borderId="0" xfId="0" applyFont="1" applyFill="1"/>
    <xf numFmtId="0" fontId="10" fillId="15" borderId="0" xfId="0" applyFont="1" applyFill="1"/>
    <xf numFmtId="3" fontId="8" fillId="4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165" fontId="7" fillId="15" borderId="0" xfId="0" applyNumberFormat="1" applyFont="1" applyFill="1"/>
    <xf numFmtId="9" fontId="17" fillId="15" borderId="0" xfId="1" applyFill="1"/>
    <xf numFmtId="0" fontId="24" fillId="0" borderId="0" xfId="0" applyFont="1"/>
    <xf numFmtId="2" fontId="15" fillId="8" borderId="0" xfId="0" applyNumberFormat="1" applyFont="1" applyFill="1"/>
    <xf numFmtId="165" fontId="19" fillId="5" borderId="0" xfId="0" applyNumberFormat="1" applyFont="1" applyFill="1"/>
    <xf numFmtId="0" fontId="6" fillId="3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16A9C"/>
      <rgbColor rgb="FFB4B4B4"/>
      <rgbColor rgb="FF878787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4F6E1"/>
      <rgbColor rgb="FFF9F9F9"/>
      <rgbColor rgb="FFAABAD7"/>
      <rgbColor rgb="FFFF99CC"/>
      <rgbColor rgb="FFCC99FF"/>
      <rgbColor rgb="FFFCE4D6"/>
      <rgbColor rgb="FF4A7EBB"/>
      <rgbColor rgb="FF46AAC4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MX"/>
              <a:t>Electricity Demand for Water Supply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Energy!$A$19:$C$19</c:f>
              <c:strCache>
                <c:ptCount val="3"/>
                <c:pt idx="0">
                  <c:v>BAU (no tree programme)</c:v>
                </c:pt>
                <c:pt idx="1">
                  <c:v>PJ/yr</c:v>
                </c:pt>
                <c:pt idx="2">
                  <c:v>GW + GMMR + desal (excl. tree programme) + RW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1-6C40-98A7-C4471499E7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Energy!$D$19:$AH$19</c:f>
              <c:numCache>
                <c:formatCode>0.00</c:formatCode>
                <c:ptCount val="31"/>
                <c:pt idx="0">
                  <c:v>16.844239192667125</c:v>
                </c:pt>
                <c:pt idx="1">
                  <c:v>18.401135565023377</c:v>
                </c:pt>
                <c:pt idx="2">
                  <c:v>19.918648519574688</c:v>
                </c:pt>
                <c:pt idx="3">
                  <c:v>21.397588863716479</c:v>
                </c:pt>
                <c:pt idx="4">
                  <c:v>22.838754351554094</c:v>
                </c:pt>
                <c:pt idx="5">
                  <c:v>24.242929901301487</c:v>
                </c:pt>
                <c:pt idx="6">
                  <c:v>25.610887808537562</c:v>
                </c:pt>
                <c:pt idx="7">
                  <c:v>27.040758770922118</c:v>
                </c:pt>
                <c:pt idx="8">
                  <c:v>28.34281710972774</c:v>
                </c:pt>
                <c:pt idx="9">
                  <c:v>29.610768817745932</c:v>
                </c:pt>
                <c:pt idx="10">
                  <c:v>30.845332685446365</c:v>
                </c:pt>
                <c:pt idx="11">
                  <c:v>32.047216149981949</c:v>
                </c:pt>
                <c:pt idx="12">
                  <c:v>33.217115479628198</c:v>
                </c:pt>
                <c:pt idx="13">
                  <c:v>34.355715954535256</c:v>
                </c:pt>
                <c:pt idx="14">
                  <c:v>35.46369204384083</c:v>
                </c:pt>
                <c:pt idx="15">
                  <c:v>36.541707579190692</c:v>
                </c:pt>
                <c:pt idx="16">
                  <c:v>37.590415924711891</c:v>
                </c:pt>
                <c:pt idx="17">
                  <c:v>38.610460143482797</c:v>
                </c:pt>
                <c:pt idx="18">
                  <c:v>39.602473160542239</c:v>
                </c:pt>
                <c:pt idx="19">
                  <c:v>40.567077922478795</c:v>
                </c:pt>
                <c:pt idx="20">
                  <c:v>41.504887553639712</c:v>
                </c:pt>
                <c:pt idx="21">
                  <c:v>42.416505508998</c:v>
                </c:pt>
                <c:pt idx="22">
                  <c:v>43.302525723714304</c:v>
                </c:pt>
                <c:pt idx="23">
                  <c:v>44.16353275942874</c:v>
                </c:pt>
                <c:pt idx="24">
                  <c:v>45.000101947317766</c:v>
                </c:pt>
                <c:pt idx="25">
                  <c:v>45.812799527947618</c:v>
                </c:pt>
                <c:pt idx="26">
                  <c:v>46.602182787956707</c:v>
                </c:pt>
                <c:pt idx="27">
                  <c:v>47.368800193596506</c:v>
                </c:pt>
                <c:pt idx="28">
                  <c:v>48.113191521159933</c:v>
                </c:pt>
                <c:pt idx="29">
                  <c:v>48.835887984324444</c:v>
                </c:pt>
                <c:pt idx="30">
                  <c:v>49.5374123584362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B34A-A27C-442236D998B1}"/>
            </c:ext>
          </c:extLst>
        </c:ser>
        <c:ser>
          <c:idx val="1"/>
          <c:order val="1"/>
          <c:tx>
            <c:strRef>
              <c:f>Energy!$A$20:$C$20</c:f>
              <c:strCache>
                <c:ptCount val="3"/>
                <c:pt idx="0">
                  <c:v>Unconditional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Energy!$D$20:$AH$20</c:f>
              <c:numCache>
                <c:formatCode>0.00</c:formatCode>
                <c:ptCount val="31"/>
                <c:pt idx="0">
                  <c:v>16.844239192667125</c:v>
                </c:pt>
                <c:pt idx="1">
                  <c:v>18.401135565023377</c:v>
                </c:pt>
                <c:pt idx="2">
                  <c:v>19.918648519574688</c:v>
                </c:pt>
                <c:pt idx="3">
                  <c:v>21.397588863716479</c:v>
                </c:pt>
                <c:pt idx="4">
                  <c:v>22.838754351554094</c:v>
                </c:pt>
                <c:pt idx="5">
                  <c:v>24.242929901301487</c:v>
                </c:pt>
                <c:pt idx="6">
                  <c:v>25.610887808537562</c:v>
                </c:pt>
                <c:pt idx="7">
                  <c:v>27.610242955379633</c:v>
                </c:pt>
                <c:pt idx="8">
                  <c:v>29.568318015631903</c:v>
                </c:pt>
                <c:pt idx="9">
                  <c:v>31.485848655966066</c:v>
                </c:pt>
                <c:pt idx="10">
                  <c:v>33.363558733188427</c:v>
                </c:pt>
                <c:pt idx="11">
                  <c:v>35.202160487647546</c:v>
                </c:pt>
                <c:pt idx="12">
                  <c:v>37.002354732833936</c:v>
                </c:pt>
                <c:pt idx="13">
                  <c:v>38.764831041222408</c:v>
                </c:pt>
                <c:pt idx="14">
                  <c:v>40.490267926406233</c:v>
                </c:pt>
                <c:pt idx="15">
                  <c:v>42.1793330215704</c:v>
                </c:pt>
                <c:pt idx="16">
                  <c:v>43.832683254349895</c:v>
                </c:pt>
                <c:pt idx="17">
                  <c:v>44.816960018117932</c:v>
                </c:pt>
                <c:pt idx="18">
                  <c:v>45.773374339747143</c:v>
                </c:pt>
                <c:pt idx="19">
                  <c:v>46.702552043885376</c:v>
                </c:pt>
                <c:pt idx="20">
                  <c:v>47.605108913786566</c:v>
                </c:pt>
                <c:pt idx="21">
                  <c:v>48.481650848735626</c:v>
                </c:pt>
                <c:pt idx="22">
                  <c:v>49.332774018104935</c:v>
                </c:pt>
                <c:pt idx="23">
                  <c:v>50.159065012078258</c:v>
                </c:pt>
                <c:pt idx="24">
                  <c:v>50.961100989077742</c:v>
                </c:pt>
                <c:pt idx="25">
                  <c:v>51.73944981992635</c:v>
                </c:pt>
                <c:pt idx="26">
                  <c:v>52.494670228778759</c:v>
                </c:pt>
                <c:pt idx="27">
                  <c:v>53.227311930850966</c:v>
                </c:pt>
                <c:pt idx="28">
                  <c:v>53.937915766978172</c:v>
                </c:pt>
                <c:pt idx="29">
                  <c:v>54.627013835029061</c:v>
                </c:pt>
                <c:pt idx="30">
                  <c:v>55.295129618203141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B34A-A27C-442236D998B1}"/>
            </c:ext>
          </c:extLst>
        </c:ser>
        <c:ser>
          <c:idx val="2"/>
          <c:order val="2"/>
          <c:tx>
            <c:strRef>
              <c:f>Energy!$A$21:$C$21</c:f>
              <c:strCache>
                <c:ptCount val="3"/>
                <c:pt idx="0">
                  <c:v>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01-6C40-98A7-C4471499E7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Energy!$D$21:$AH$21</c:f>
              <c:numCache>
                <c:formatCode>0.00</c:formatCode>
                <c:ptCount val="31"/>
                <c:pt idx="0">
                  <c:v>16.844239192667125</c:v>
                </c:pt>
                <c:pt idx="1">
                  <c:v>18.401135565023377</c:v>
                </c:pt>
                <c:pt idx="2">
                  <c:v>19.918648519574688</c:v>
                </c:pt>
                <c:pt idx="3">
                  <c:v>21.397588863716479</c:v>
                </c:pt>
                <c:pt idx="4">
                  <c:v>22.838754351554094</c:v>
                </c:pt>
                <c:pt idx="5">
                  <c:v>24.242929901301487</c:v>
                </c:pt>
                <c:pt idx="6">
                  <c:v>25.610887808537562</c:v>
                </c:pt>
                <c:pt idx="7">
                  <c:v>27.610242955379633</c:v>
                </c:pt>
                <c:pt idx="8">
                  <c:v>29.568318015631903</c:v>
                </c:pt>
                <c:pt idx="9">
                  <c:v>31.485848655966066</c:v>
                </c:pt>
                <c:pt idx="10">
                  <c:v>33.363558733188427</c:v>
                </c:pt>
                <c:pt idx="11">
                  <c:v>35.202160487647546</c:v>
                </c:pt>
                <c:pt idx="12">
                  <c:v>37.002354732833936</c:v>
                </c:pt>
                <c:pt idx="13">
                  <c:v>38.764831041222408</c:v>
                </c:pt>
                <c:pt idx="14">
                  <c:v>40.490267926406233</c:v>
                </c:pt>
                <c:pt idx="15">
                  <c:v>42.1793330215704</c:v>
                </c:pt>
                <c:pt idx="16">
                  <c:v>43.832683254349895</c:v>
                </c:pt>
                <c:pt idx="17">
                  <c:v>44.816960018117932</c:v>
                </c:pt>
                <c:pt idx="18">
                  <c:v>45.773374339747143</c:v>
                </c:pt>
                <c:pt idx="19">
                  <c:v>46.702552043885376</c:v>
                </c:pt>
                <c:pt idx="20">
                  <c:v>47.605108913786566</c:v>
                </c:pt>
                <c:pt idx="21">
                  <c:v>48.481650848735626</c:v>
                </c:pt>
                <c:pt idx="22">
                  <c:v>49.332774018104935</c:v>
                </c:pt>
                <c:pt idx="23">
                  <c:v>50.159065012078258</c:v>
                </c:pt>
                <c:pt idx="24">
                  <c:v>50.961100989077742</c:v>
                </c:pt>
                <c:pt idx="25">
                  <c:v>51.73944981992635</c:v>
                </c:pt>
                <c:pt idx="26">
                  <c:v>52.494670228778759</c:v>
                </c:pt>
                <c:pt idx="27">
                  <c:v>53.227311930850966</c:v>
                </c:pt>
                <c:pt idx="28">
                  <c:v>53.937915766978172</c:v>
                </c:pt>
                <c:pt idx="29">
                  <c:v>54.627013835029061</c:v>
                </c:pt>
                <c:pt idx="30">
                  <c:v>55.295129618203141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B34A-A27C-442236D99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678976"/>
        <c:axId val="1749666880"/>
      </c:lineChart>
      <c:catAx>
        <c:axId val="17496789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66880"/>
        <c:crosses val="autoZero"/>
        <c:auto val="1"/>
        <c:lblAlgn val="ctr"/>
        <c:lblOffset val="100"/>
        <c:noMultiLvlLbl val="0"/>
      </c:catAx>
      <c:valAx>
        <c:axId val="17496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Petejoules (PJ)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789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supply mix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E-5B4A-9DFF-0DB4708DD2F2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E-5B4A-9DFF-0DB4708DD2F2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515.48386360794939</c:v>
                </c:pt>
                <c:pt idx="1">
                  <c:v>646.7771863327655</c:v>
                </c:pt>
                <c:pt idx="2">
                  <c:v>776.12599923440655</c:v>
                </c:pt>
                <c:pt idx="3">
                  <c:v>903.56808999003488</c:v>
                </c:pt>
                <c:pt idx="4">
                  <c:v>1029.1409155044557</c:v>
                </c:pt>
                <c:pt idx="5">
                  <c:v>1152.8816116090993</c:v>
                </c:pt>
                <c:pt idx="6">
                  <c:v>1274.8270027069138</c:v>
                </c:pt>
                <c:pt idx="7">
                  <c:v>1449.7636113661974</c:v>
                </c:pt>
                <c:pt idx="8">
                  <c:v>1622.9776678663886</c:v>
                </c:pt>
                <c:pt idx="9">
                  <c:v>1794.50511969888</c:v>
                </c:pt>
                <c:pt idx="10">
                  <c:v>1964.3816410258278</c:v>
                </c:pt>
                <c:pt idx="11">
                  <c:v>2132.642642100011</c:v>
                </c:pt>
                <c:pt idx="12">
                  <c:v>2299.3232786487019</c:v>
                </c:pt>
                <c:pt idx="13">
                  <c:v>2464.4584612245744</c:v>
                </c:pt>
                <c:pt idx="14">
                  <c:v>2628.0828645266429</c:v>
                </c:pt>
                <c:pt idx="15">
                  <c:v>2790.2309366942195</c:v>
                </c:pt>
                <c:pt idx="16">
                  <c:v>2950.9369085768626</c:v>
                </c:pt>
                <c:pt idx="17">
                  <c:v>3055.4848029833456</c:v>
                </c:pt>
                <c:pt idx="18">
                  <c:v>3158.6584439125982</c:v>
                </c:pt>
                <c:pt idx="19">
                  <c:v>3260.4914657696377</c:v>
                </c:pt>
                <c:pt idx="20">
                  <c:v>3361.0173225694607</c:v>
                </c:pt>
                <c:pt idx="21">
                  <c:v>3460.2692971319148</c:v>
                </c:pt>
                <c:pt idx="22">
                  <c:v>3558.2805102705438</c:v>
                </c:pt>
                <c:pt idx="23">
                  <c:v>3655.0839299783925</c:v>
                </c:pt>
                <c:pt idx="24">
                  <c:v>3750.7123806138352</c:v>
                </c:pt>
                <c:pt idx="25">
                  <c:v>3845.1985520893941</c:v>
                </c:pt>
                <c:pt idx="26">
                  <c:v>3938.5750090666138</c:v>
                </c:pt>
                <c:pt idx="27">
                  <c:v>4030.8742001600176</c:v>
                </c:pt>
                <c:pt idx="28">
                  <c:v>4122.1284671532085</c:v>
                </c:pt>
                <c:pt idx="29">
                  <c:v>4212.3700542301631</c:v>
                </c:pt>
                <c:pt idx="30">
                  <c:v>4301.6311172248079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E-5B4A-9DFF-0DB4708DD2F2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10.20226083575</c:v>
                </c:pt>
                <c:pt idx="1">
                  <c:v>11.202463455800364</c:v>
                </c:pt>
                <c:pt idx="2">
                  <c:v>12.223832082506027</c:v>
                </c:pt>
                <c:pt idx="3">
                  <c:v>13.265972935288051</c:v>
                </c:pt>
                <c:pt idx="4">
                  <c:v>14.328496427800355</c:v>
                </c:pt>
                <c:pt idx="5">
                  <c:v>15.411017131904014</c:v>
                </c:pt>
                <c:pt idx="6">
                  <c:v>16.5131537419166</c:v>
                </c:pt>
                <c:pt idx="7">
                  <c:v>17.634529039134627</c:v>
                </c:pt>
                <c:pt idx="8">
                  <c:v>18.77476985662712</c:v>
                </c:pt>
                <c:pt idx="9">
                  <c:v>19.933507044298441</c:v>
                </c:pt>
                <c:pt idx="10">
                  <c:v>21.110375434218479</c:v>
                </c:pt>
                <c:pt idx="11">
                  <c:v>22.305013806218184</c:v>
                </c:pt>
                <c:pt idx="12">
                  <c:v>23.517064853748746</c:v>
                </c:pt>
                <c:pt idx="13">
                  <c:v>24.746175150002376</c:v>
                </c:pt>
                <c:pt idx="14">
                  <c:v>25.991995114292926</c:v>
                </c:pt>
                <c:pt idx="15">
                  <c:v>27.254178978694512</c:v>
                </c:pt>
                <c:pt idx="16">
                  <c:v>28.532384754936281</c:v>
                </c:pt>
                <c:pt idx="17">
                  <c:v>29.826274201551371</c:v>
                </c:pt>
                <c:pt idx="18">
                  <c:v>31.135512791278629</c:v>
                </c:pt>
                <c:pt idx="19">
                  <c:v>32.459769678714757</c:v>
                </c:pt>
                <c:pt idx="20">
                  <c:v>33.798717668215644</c:v>
                </c:pt>
                <c:pt idx="21">
                  <c:v>35.152033182044626</c:v>
                </c:pt>
                <c:pt idx="22">
                  <c:v>36.519396228766382</c:v>
                </c:pt>
                <c:pt idx="23">
                  <c:v>37.90049037188426</c:v>
                </c:pt>
                <c:pt idx="24">
                  <c:v>39.295002698719706</c:v>
                </c:pt>
                <c:pt idx="25">
                  <c:v>40.702623789531643</c:v>
                </c:pt>
                <c:pt idx="26">
                  <c:v>42.123047686874642</c:v>
                </c:pt>
                <c:pt idx="27">
                  <c:v>43.55597186519357</c:v>
                </c:pt>
                <c:pt idx="28">
                  <c:v>45.00109720065354</c:v>
                </c:pt>
                <c:pt idx="29">
                  <c:v>46.458127941203088</c:v>
                </c:pt>
                <c:pt idx="30">
                  <c:v>47.926771676869222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E-5B4A-9DFF-0DB4708DD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demand for water supply (GWh/yr)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Summary!$K$122:$K$152</c:f>
              <c:numCache>
                <c:formatCode>General</c:formatCode>
                <c:ptCount val="31"/>
                <c:pt idx="0">
                  <c:v>1225</c:v>
                </c:pt>
                <c:pt idx="1">
                  <c:v>1224.7243749999998</c:v>
                </c:pt>
                <c:pt idx="2">
                  <c:v>1224.4488120156245</c:v>
                </c:pt>
                <c:pt idx="3">
                  <c:v>1224.173311032921</c:v>
                </c:pt>
                <c:pt idx="4">
                  <c:v>1223.8978720379382</c:v>
                </c:pt>
                <c:pt idx="5">
                  <c:v>1223.6224950167295</c:v>
                </c:pt>
                <c:pt idx="6">
                  <c:v>1223.3471799553506</c:v>
                </c:pt>
                <c:pt idx="7">
                  <c:v>1223.0719268398607</c:v>
                </c:pt>
                <c:pt idx="8">
                  <c:v>1222.7967356563215</c:v>
                </c:pt>
                <c:pt idx="9">
                  <c:v>1222.5216063907985</c:v>
                </c:pt>
                <c:pt idx="10">
                  <c:v>1222.2465390293605</c:v>
                </c:pt>
                <c:pt idx="11">
                  <c:v>1221.9715335580788</c:v>
                </c:pt>
                <c:pt idx="12">
                  <c:v>1221.6965899630281</c:v>
                </c:pt>
                <c:pt idx="13">
                  <c:v>1221.4217082302864</c:v>
                </c:pt>
                <c:pt idx="14">
                  <c:v>1221.1468883459343</c:v>
                </c:pt>
                <c:pt idx="15">
                  <c:v>1220.872130296056</c:v>
                </c:pt>
                <c:pt idx="16">
                  <c:v>1220.5974340667392</c:v>
                </c:pt>
                <c:pt idx="17">
                  <c:v>1220.3227996440742</c:v>
                </c:pt>
                <c:pt idx="18">
                  <c:v>1220.048227014154</c:v>
                </c:pt>
                <c:pt idx="19">
                  <c:v>1219.7737161630757</c:v>
                </c:pt>
                <c:pt idx="20">
                  <c:v>1219.4992670769388</c:v>
                </c:pt>
                <c:pt idx="21">
                  <c:v>1219.2248797418465</c:v>
                </c:pt>
                <c:pt idx="22">
                  <c:v>1218.9505541439041</c:v>
                </c:pt>
                <c:pt idx="23">
                  <c:v>1218.6762902692219</c:v>
                </c:pt>
                <c:pt idx="24">
                  <c:v>1218.402088103911</c:v>
                </c:pt>
                <c:pt idx="25">
                  <c:v>1218.1279476340876</c:v>
                </c:pt>
                <c:pt idx="26">
                  <c:v>1217.8538688458696</c:v>
                </c:pt>
                <c:pt idx="27">
                  <c:v>1217.5798517253793</c:v>
                </c:pt>
                <c:pt idx="28">
                  <c:v>1217.3058962587406</c:v>
                </c:pt>
                <c:pt idx="29">
                  <c:v>1217.0320024320824</c:v>
                </c:pt>
                <c:pt idx="30">
                  <c:v>1216.7581702315351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6047-B92F-E5ED6595D3CE}"/>
            </c:ext>
          </c:extLst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Summary!$L$122:$L$152</c:f>
              <c:numCache>
                <c:formatCode>General</c:formatCode>
                <c:ptCount val="31"/>
                <c:pt idx="0">
                  <c:v>1641.6000000000001</c:v>
                </c:pt>
                <c:pt idx="1">
                  <c:v>1624.8556800000001</c:v>
                </c:pt>
                <c:pt idx="2">
                  <c:v>1608.282152064</c:v>
                </c:pt>
                <c:pt idx="3">
                  <c:v>1591.8776741129468</c:v>
                </c:pt>
                <c:pt idx="4">
                  <c:v>1575.640521836995</c:v>
                </c:pt>
                <c:pt idx="5">
                  <c:v>1559.5689885142574</c:v>
                </c:pt>
                <c:pt idx="6">
                  <c:v>1543.6613848314123</c:v>
                </c:pt>
                <c:pt idx="7">
                  <c:v>1527.9160387061313</c:v>
                </c:pt>
                <c:pt idx="8">
                  <c:v>1512.3312951113292</c:v>
                </c:pt>
                <c:pt idx="9">
                  <c:v>1496.9055159011939</c:v>
                </c:pt>
                <c:pt idx="10">
                  <c:v>1481.6370796390015</c:v>
                </c:pt>
                <c:pt idx="11">
                  <c:v>1466.5243814266832</c:v>
                </c:pt>
                <c:pt idx="12">
                  <c:v>1451.5658327361309</c:v>
                </c:pt>
                <c:pt idx="13">
                  <c:v>1436.7598612422223</c:v>
                </c:pt>
                <c:pt idx="14">
                  <c:v>1422.1049106575522</c:v>
                </c:pt>
                <c:pt idx="15">
                  <c:v>1407.5994405688446</c:v>
                </c:pt>
                <c:pt idx="16">
                  <c:v>1393.2419262750429</c:v>
                </c:pt>
                <c:pt idx="17">
                  <c:v>1379.0308586270376</c:v>
                </c:pt>
                <c:pt idx="18">
                  <c:v>1364.9647438690417</c:v>
                </c:pt>
                <c:pt idx="19">
                  <c:v>1351.0421034815772</c:v>
                </c:pt>
                <c:pt idx="20">
                  <c:v>1337.2614740260653</c:v>
                </c:pt>
                <c:pt idx="21">
                  <c:v>1323.621406990999</c:v>
                </c:pt>
                <c:pt idx="22">
                  <c:v>1310.1204686396914</c:v>
                </c:pt>
                <c:pt idx="23">
                  <c:v>1296.757239859566</c:v>
                </c:pt>
                <c:pt idx="24">
                  <c:v>1283.5303160129988</c:v>
                </c:pt>
                <c:pt idx="25">
                  <c:v>1270.4383067896663</c:v>
                </c:pt>
                <c:pt idx="26">
                  <c:v>1257.4798360604116</c:v>
                </c:pt>
                <c:pt idx="27">
                  <c:v>1244.6535417325947</c:v>
                </c:pt>
                <c:pt idx="28">
                  <c:v>1231.9580756069226</c:v>
                </c:pt>
                <c:pt idx="29">
                  <c:v>1219.3921032357321</c:v>
                </c:pt>
                <c:pt idx="30">
                  <c:v>1206.9543037827277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6047-B92F-E5ED6595D3CE}"/>
            </c:ext>
          </c:extLst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Summary!$M$122:$M$152</c:f>
              <c:numCache>
                <c:formatCode>General</c:formatCode>
                <c:ptCount val="31"/>
                <c:pt idx="0">
                  <c:v>1804.1935226278229</c:v>
                </c:pt>
                <c:pt idx="1">
                  <c:v>2252.9405323924666</c:v>
                </c:pt>
                <c:pt idx="2">
                  <c:v>2690.5701306792762</c:v>
                </c:pt>
                <c:pt idx="3">
                  <c:v>3117.3099104656203</c:v>
                </c:pt>
                <c:pt idx="4">
                  <c:v>3533.3838098986312</c:v>
                </c:pt>
                <c:pt idx="5">
                  <c:v>3939.0121729977559</c:v>
                </c:pt>
                <c:pt idx="6">
                  <c:v>4334.4118092035069</c:v>
                </c:pt>
                <c:pt idx="7">
                  <c:v>4905.033551788968</c:v>
                </c:pt>
                <c:pt idx="8">
                  <c:v>5464.0248151501755</c:v>
                </c:pt>
                <c:pt idx="9">
                  <c:v>6011.5921509912478</c:v>
                </c:pt>
                <c:pt idx="10">
                  <c:v>6547.9388034194262</c:v>
                </c:pt>
                <c:pt idx="11">
                  <c:v>7073.2647629650373</c:v>
                </c:pt>
                <c:pt idx="12">
                  <c:v>7587.7668195407159</c:v>
                </c:pt>
                <c:pt idx="13">
                  <c:v>8091.6386143540194</c:v>
                </c:pt>
                <c:pt idx="14">
                  <c:v>8585.0706907870335</c:v>
                </c:pt>
                <c:pt idx="15">
                  <c:v>9068.2505442562142</c:v>
                </c:pt>
                <c:pt idx="16">
                  <c:v>9541.3626710651897</c:v>
                </c:pt>
                <c:pt idx="17">
                  <c:v>9828.4761162630948</c:v>
                </c:pt>
                <c:pt idx="18">
                  <c:v>10107.707020520314</c:v>
                </c:pt>
                <c:pt idx="19">
                  <c:v>10379.231166033347</c:v>
                </c:pt>
                <c:pt idx="20">
                  <c:v>10643.221521469959</c:v>
                </c:pt>
                <c:pt idx="21">
                  <c:v>10899.848285965531</c:v>
                </c:pt>
                <c:pt idx="22">
                  <c:v>11149.278932181038</c:v>
                </c:pt>
                <c:pt idx="23">
                  <c:v>11391.678248432656</c:v>
                </c:pt>
                <c:pt idx="24">
                  <c:v>11627.20837990289</c:v>
                </c:pt>
                <c:pt idx="25">
                  <c:v>11856.0288689423</c:v>
                </c:pt>
                <c:pt idx="26">
                  <c:v>12078.296694470948</c:v>
                </c:pt>
                <c:pt idx="27">
                  <c:v>12294.166310488054</c:v>
                </c:pt>
                <c:pt idx="28">
                  <c:v>12503.789683698065</c:v>
                </c:pt>
                <c:pt idx="29">
                  <c:v>12707.316330260992</c:v>
                </c:pt>
                <c:pt idx="30">
                  <c:v>12904.893351674424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6047-B92F-E5ED6595D3CE}"/>
            </c:ext>
          </c:extLst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Summary!$N$122:$N$152</c:f>
              <c:numCache>
                <c:formatCode>General</c:formatCode>
                <c:ptCount val="31"/>
                <c:pt idx="0">
                  <c:v>8.1618086686000009</c:v>
                </c:pt>
                <c:pt idx="1">
                  <c:v>8.9059584473612894</c:v>
                </c:pt>
                <c:pt idx="2">
                  <c:v>9.6568273451797619</c:v>
                </c:pt>
                <c:pt idx="3">
                  <c:v>10.413788754201121</c:v>
                </c:pt>
                <c:pt idx="4">
                  <c:v>11.176227213684276</c:v>
                </c:pt>
                <c:pt idx="5">
                  <c:v>11.943538277225612</c:v>
                </c:pt>
                <c:pt idx="6">
                  <c:v>12.715128381275782</c:v>
                </c:pt>
                <c:pt idx="7">
                  <c:v>13.490414714937989</c:v>
                </c:pt>
                <c:pt idx="8">
                  <c:v>14.268825091036611</c:v>
                </c:pt>
                <c:pt idx="9">
                  <c:v>15.049797818445324</c:v>
                </c:pt>
                <c:pt idx="10">
                  <c:v>15.832781575663859</c:v>
                </c:pt>
                <c:pt idx="11">
                  <c:v>16.617235285632546</c:v>
                </c:pt>
                <c:pt idx="12">
                  <c:v>17.402627991774072</c:v>
                </c:pt>
                <c:pt idx="13">
                  <c:v>18.188438735251747</c:v>
                </c:pt>
                <c:pt idx="14">
                  <c:v>18.974156433433837</c:v>
                </c:pt>
                <c:pt idx="15">
                  <c:v>19.759279759553522</c:v>
                </c:pt>
                <c:pt idx="16">
                  <c:v>20.54331702355412</c:v>
                </c:pt>
                <c:pt idx="17">
                  <c:v>21.325786054109233</c:v>
                </c:pt>
                <c:pt idx="18">
                  <c:v>22.106214081807828</c:v>
                </c:pt>
                <c:pt idx="19">
                  <c:v>22.884137623493906</c:v>
                </c:pt>
                <c:pt idx="20">
                  <c:v>23.659102367750954</c:v>
                </c:pt>
                <c:pt idx="21">
                  <c:v>24.430663061521017</c:v>
                </c:pt>
                <c:pt idx="22">
                  <c:v>25.198383397848804</c:v>
                </c:pt>
                <c:pt idx="23">
                  <c:v>25.96183590474072</c:v>
                </c:pt>
                <c:pt idx="24">
                  <c:v>26.720601835129401</c:v>
                </c:pt>
                <c:pt idx="25">
                  <c:v>27.474271057933862</c:v>
                </c:pt>
                <c:pt idx="26">
                  <c:v>28.222441950206012</c:v>
                </c:pt>
                <c:pt idx="27">
                  <c:v>28.964721290353726</c:v>
                </c:pt>
                <c:pt idx="28">
                  <c:v>29.700724152431338</c:v>
                </c:pt>
                <c:pt idx="29">
                  <c:v>30.430073801488025</c:v>
                </c:pt>
                <c:pt idx="30">
                  <c:v>31.152401589964995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6047-B92F-E5ED6595D3CE}"/>
            </c:ext>
          </c:extLst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Summary!$O$122:$O$152</c:f>
              <c:numCache>
                <c:formatCode>General</c:formatCode>
                <c:ptCount val="31"/>
                <c:pt idx="0">
                  <c:v>4678.9553312964235</c:v>
                </c:pt>
                <c:pt idx="1">
                  <c:v>5111.4265458398277</c:v>
                </c:pt>
                <c:pt idx="2">
                  <c:v>5532.9579221040804</c:v>
                </c:pt>
                <c:pt idx="3">
                  <c:v>5943.7746843656887</c:v>
                </c:pt>
                <c:pt idx="4">
                  <c:v>6344.0984309872483</c:v>
                </c:pt>
                <c:pt idx="5">
                  <c:v>6734.1471948059689</c:v>
                </c:pt>
                <c:pt idx="6">
                  <c:v>7114.135502371545</c:v>
                </c:pt>
                <c:pt idx="7">
                  <c:v>7669.511932049898</c:v>
                </c:pt>
                <c:pt idx="8">
                  <c:v>8213.4216710088622</c:v>
                </c:pt>
                <c:pt idx="9">
                  <c:v>8746.069071101685</c:v>
                </c:pt>
                <c:pt idx="10">
                  <c:v>9267.655203663453</c:v>
                </c:pt>
                <c:pt idx="11">
                  <c:v>9778.3779132354302</c:v>
                </c:pt>
                <c:pt idx="12">
                  <c:v>10278.431870231649</c:v>
                </c:pt>
                <c:pt idx="13">
                  <c:v>10768.00862256178</c:v>
                </c:pt>
                <c:pt idx="14">
                  <c:v>11247.296646223955</c:v>
                </c:pt>
                <c:pt idx="15">
                  <c:v>11716.481394880668</c:v>
                </c:pt>
                <c:pt idx="16">
                  <c:v>12175.745348430526</c:v>
                </c:pt>
                <c:pt idx="17">
                  <c:v>12449.155560588315</c:v>
                </c:pt>
                <c:pt idx="18">
                  <c:v>12714.826205485318</c:v>
                </c:pt>
                <c:pt idx="19">
                  <c:v>12972.931123301494</c:v>
                </c:pt>
                <c:pt idx="20">
                  <c:v>13223.641364940713</c:v>
                </c:pt>
                <c:pt idx="21">
                  <c:v>13467.125235759897</c:v>
                </c:pt>
                <c:pt idx="22">
                  <c:v>13703.548338362481</c:v>
                </c:pt>
                <c:pt idx="23">
                  <c:v>13933.073614466184</c:v>
                </c:pt>
                <c:pt idx="24">
                  <c:v>14155.861385854929</c:v>
                </c:pt>
                <c:pt idx="25">
                  <c:v>14372.069394423987</c:v>
                </c:pt>
                <c:pt idx="26">
                  <c:v>14581.852841327434</c:v>
                </c:pt>
                <c:pt idx="27">
                  <c:v>14785.364425236379</c:v>
                </c:pt>
                <c:pt idx="28">
                  <c:v>14982.75437971616</c:v>
                </c:pt>
                <c:pt idx="29">
                  <c:v>15174.170509730295</c:v>
                </c:pt>
                <c:pt idx="30">
                  <c:v>15359.758227278651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91-6047-B92F-E5ED6595D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GWh/yr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demand by sector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1034.0735497661874</c:v>
                </c:pt>
                <c:pt idx="2">
                  <c:v>1047.7570356433737</c:v>
                </c:pt>
                <c:pt idx="3">
                  <c:v>1061.277834823044</c:v>
                </c:pt>
                <c:pt idx="4">
                  <c:v>1074.6372320850267</c:v>
                </c:pt>
                <c:pt idx="5">
                  <c:v>1087.8365034285187</c:v>
                </c:pt>
                <c:pt idx="6">
                  <c:v>1100.8769161277735</c:v>
                </c:pt>
                <c:pt idx="7">
                  <c:v>1113.7597287874503</c:v>
                </c:pt>
                <c:pt idx="8">
                  <c:v>1126.4861913976272</c:v>
                </c:pt>
                <c:pt idx="9">
                  <c:v>1139.0575453884824</c:v>
                </c:pt>
                <c:pt idx="10">
                  <c:v>1151.4750236846444</c:v>
                </c:pt>
                <c:pt idx="11">
                  <c:v>1163.7398507592097</c:v>
                </c:pt>
                <c:pt idx="12">
                  <c:v>1175.8532426874374</c:v>
                </c:pt>
                <c:pt idx="13">
                  <c:v>1187.8164072001141</c:v>
                </c:pt>
                <c:pt idx="14">
                  <c:v>1199.6305437365968</c:v>
                </c:pt>
                <c:pt idx="15">
                  <c:v>1211.2968434975342</c:v>
                </c:pt>
                <c:pt idx="16">
                  <c:v>1222.8164894972692</c:v>
                </c:pt>
                <c:pt idx="17">
                  <c:v>1234.1906566159191</c:v>
                </c:pt>
                <c:pt idx="18">
                  <c:v>1245.4205116511453</c:v>
                </c:pt>
                <c:pt idx="19">
                  <c:v>1256.507213369604</c:v>
                </c:pt>
                <c:pt idx="20">
                  <c:v>1267.4519125580866</c:v>
                </c:pt>
                <c:pt idx="21">
                  <c:v>1278.2557520743501</c:v>
                </c:pt>
                <c:pt idx="22">
                  <c:v>1288.9198668976371</c:v>
                </c:pt>
                <c:pt idx="23">
                  <c:v>1299.4453841788893</c:v>
                </c:pt>
                <c:pt idx="24">
                  <c:v>1309.8334232906568</c:v>
                </c:pt>
                <c:pt idx="25">
                  <c:v>1320.0850958767021</c:v>
                </c:pt>
                <c:pt idx="26">
                  <c:v>1330.2015059013047</c:v>
                </c:pt>
                <c:pt idx="27">
                  <c:v>1340.1837496982639</c:v>
                </c:pt>
                <c:pt idx="28">
                  <c:v>1350.0329160196065</c:v>
                </c:pt>
                <c:pt idx="29">
                  <c:v>1359.750086083993</c:v>
                </c:pt>
                <c:pt idx="30">
                  <c:v>1369.3363336248351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4-6D4C-81B9-01249528DABB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257.45178182457846</c:v>
                </c:pt>
                <c:pt idx="2">
                  <c:v>266.81502777975317</c:v>
                </c:pt>
                <c:pt idx="3">
                  <c:v>276.42926772400915</c:v>
                </c:pt>
                <c:pt idx="4">
                  <c:v>286.30045684007086</c:v>
                </c:pt>
                <c:pt idx="5">
                  <c:v>296.4346825506272</c:v>
                </c:pt>
                <c:pt idx="6">
                  <c:v>306.83816733499867</c:v>
                </c:pt>
                <c:pt idx="7">
                  <c:v>317.51727160410275</c:v>
                </c:pt>
                <c:pt idx="8">
                  <c:v>328.47849663490183</c:v>
                </c:pt>
                <c:pt idx="9">
                  <c:v>339.7284875655364</c:v>
                </c:pt>
                <c:pt idx="10">
                  <c:v>351.27403645237484</c:v>
                </c:pt>
                <c:pt idx="11">
                  <c:v>363.12208539023288</c:v>
                </c:pt>
                <c:pt idx="12">
                  <c:v>375.27972969704109</c:v>
                </c:pt>
                <c:pt idx="13">
                  <c:v>387.75422116426523</c:v>
                </c:pt>
                <c:pt idx="14">
                  <c:v>400.5529713744105</c:v>
                </c:pt>
                <c:pt idx="15">
                  <c:v>413.68355508696465</c:v>
                </c:pt>
                <c:pt idx="16">
                  <c:v>427.15371369416476</c:v>
                </c:pt>
                <c:pt idx="17">
                  <c:v>440.97135874800051</c:v>
                </c:pt>
                <c:pt idx="18">
                  <c:v>455.14457555989009</c:v>
                </c:pt>
                <c:pt idx="19">
                  <c:v>469.6816268745003</c:v>
                </c:pt>
                <c:pt idx="20">
                  <c:v>484.59095661920605</c:v>
                </c:pt>
                <c:pt idx="21">
                  <c:v>499.88119373071595</c:v>
                </c:pt>
                <c:pt idx="22">
                  <c:v>515.56115606042499</c:v>
                </c:pt>
                <c:pt idx="23">
                  <c:v>531.63985436007738</c:v>
                </c:pt>
                <c:pt idx="24">
                  <c:v>548.12649634936429</c:v>
                </c:pt>
                <c:pt idx="25">
                  <c:v>565.0304908671061</c:v>
                </c:pt>
                <c:pt idx="26">
                  <c:v>582.36145210770565</c:v>
                </c:pt>
                <c:pt idx="27">
                  <c:v>600.12920394458843</c:v>
                </c:pt>
                <c:pt idx="28">
                  <c:v>618.34378434238681</c:v>
                </c:pt>
                <c:pt idx="29">
                  <c:v>637.01544985965108</c:v>
                </c:pt>
                <c:pt idx="30">
                  <c:v>656.15468024391419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4-6D4C-81B9-01249528DABB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General</c:formatCode>
                <c:ptCount val="31"/>
                <c:pt idx="0">
                  <c:v>3669.1263367124998</c:v>
                </c:pt>
                <c:pt idx="1">
                  <c:v>3707.7143181977999</c:v>
                </c:pt>
                <c:pt idx="2">
                  <c:v>3745.4500678937852</c:v>
                </c:pt>
                <c:pt idx="3">
                  <c:v>3782.34475187827</c:v>
                </c:pt>
                <c:pt idx="4">
                  <c:v>3818.4094121146586</c:v>
                </c:pt>
                <c:pt idx="5">
                  <c:v>3853.6549677231446</c:v>
                </c:pt>
                <c:pt idx="6">
                  <c:v>3888.0922162395186</c:v>
                </c:pt>
                <c:pt idx="7">
                  <c:v>3921.7318348616973</c:v>
                </c:pt>
                <c:pt idx="8">
                  <c:v>3954.5843816840811</c:v>
                </c:pt>
                <c:pt idx="9">
                  <c:v>3986.6602969198766</c:v>
                </c:pt>
                <c:pt idx="10">
                  <c:v>4017.9699041114704</c:v>
                </c:pt>
                <c:pt idx="11">
                  <c:v>4048.5234113289962</c:v>
                </c:pt>
                <c:pt idx="12">
                  <c:v>4078.3309123571789</c:v>
                </c:pt>
                <c:pt idx="13">
                  <c:v>4107.4023878705857</c:v>
                </c:pt>
                <c:pt idx="14">
                  <c:v>4135.7477065973853</c:v>
                </c:pt>
                <c:pt idx="15">
                  <c:v>4163.3766264717342</c:v>
                </c:pt>
                <c:pt idx="16">
                  <c:v>4190.298795774871</c:v>
                </c:pt>
                <c:pt idx="17">
                  <c:v>4216.5237542650639</c:v>
                </c:pt>
                <c:pt idx="18">
                  <c:v>4242.0609342964826</c:v>
                </c:pt>
                <c:pt idx="19">
                  <c:v>4266.919661927127</c:v>
                </c:pt>
                <c:pt idx="20">
                  <c:v>4291.1091580158854</c:v>
                </c:pt>
                <c:pt idx="21">
                  <c:v>4314.6385393088603</c:v>
                </c:pt>
                <c:pt idx="22">
                  <c:v>4337.5168195150354</c:v>
                </c:pt>
                <c:pt idx="23">
                  <c:v>4359.752910371395</c:v>
                </c:pt>
                <c:pt idx="24">
                  <c:v>4381.3556226976043</c:v>
                </c:pt>
                <c:pt idx="25">
                  <c:v>4402.3336674403299</c:v>
                </c:pt>
                <c:pt idx="26">
                  <c:v>4422.6956567073203</c:v>
                </c:pt>
                <c:pt idx="27">
                  <c:v>4442.4501047913227</c:v>
                </c:pt>
                <c:pt idx="28">
                  <c:v>4461.6054291839509</c:v>
                </c:pt>
                <c:pt idx="29">
                  <c:v>4480.1699515795908</c:v>
                </c:pt>
                <c:pt idx="30">
                  <c:v>4498.1518988694324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4-6D4C-81B9-01249528DABB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4-6D4C-81B9-01249528D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Supply vs Demand (M m³/yr) -Conditional-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8-6B4C-82F3-5318F9B1D04B}"/>
            </c:ext>
          </c:extLst>
        </c:ser>
        <c:ser>
          <c:idx val="2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8-6B4C-82F3-5318F9B1D04B}"/>
            </c:ext>
          </c:extLst>
        </c:ser>
        <c:ser>
          <c:idx val="3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515.48386360794939</c:v>
                </c:pt>
                <c:pt idx="1">
                  <c:v>646.7771863327655</c:v>
                </c:pt>
                <c:pt idx="2">
                  <c:v>776.12599923440655</c:v>
                </c:pt>
                <c:pt idx="3">
                  <c:v>903.56808999003488</c:v>
                </c:pt>
                <c:pt idx="4">
                  <c:v>1029.1409155044557</c:v>
                </c:pt>
                <c:pt idx="5">
                  <c:v>1152.8816116090993</c:v>
                </c:pt>
                <c:pt idx="6">
                  <c:v>1274.8270027069138</c:v>
                </c:pt>
                <c:pt idx="7">
                  <c:v>1449.7636113661974</c:v>
                </c:pt>
                <c:pt idx="8">
                  <c:v>1622.9776678663886</c:v>
                </c:pt>
                <c:pt idx="9">
                  <c:v>1794.50511969888</c:v>
                </c:pt>
                <c:pt idx="10">
                  <c:v>1964.3816410258278</c:v>
                </c:pt>
                <c:pt idx="11">
                  <c:v>2132.642642100011</c:v>
                </c:pt>
                <c:pt idx="12">
                  <c:v>2299.3232786487019</c:v>
                </c:pt>
                <c:pt idx="13">
                  <c:v>2464.4584612245744</c:v>
                </c:pt>
                <c:pt idx="14">
                  <c:v>2628.0828645266429</c:v>
                </c:pt>
                <c:pt idx="15">
                  <c:v>2790.2309366942195</c:v>
                </c:pt>
                <c:pt idx="16">
                  <c:v>2950.9369085768626</c:v>
                </c:pt>
                <c:pt idx="17">
                  <c:v>3055.4848029833456</c:v>
                </c:pt>
                <c:pt idx="18">
                  <c:v>3158.6584439125982</c:v>
                </c:pt>
                <c:pt idx="19">
                  <c:v>3260.4914657696377</c:v>
                </c:pt>
                <c:pt idx="20">
                  <c:v>3361.0173225694607</c:v>
                </c:pt>
                <c:pt idx="21">
                  <c:v>3460.2692971319148</c:v>
                </c:pt>
                <c:pt idx="22">
                  <c:v>3558.2805102705438</c:v>
                </c:pt>
                <c:pt idx="23">
                  <c:v>3655.0839299783925</c:v>
                </c:pt>
                <c:pt idx="24">
                  <c:v>3750.7123806138352</c:v>
                </c:pt>
                <c:pt idx="25">
                  <c:v>3845.1985520893941</c:v>
                </c:pt>
                <c:pt idx="26">
                  <c:v>3938.5750090666138</c:v>
                </c:pt>
                <c:pt idx="27">
                  <c:v>4030.8742001600176</c:v>
                </c:pt>
                <c:pt idx="28">
                  <c:v>4122.1284671532085</c:v>
                </c:pt>
                <c:pt idx="29">
                  <c:v>4212.3700542301631</c:v>
                </c:pt>
                <c:pt idx="30">
                  <c:v>4301.6311172248079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B8-6B4C-82F3-5318F9B1D04B}"/>
            </c:ext>
          </c:extLst>
        </c:ser>
        <c:ser>
          <c:idx val="4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10.20226083575</c:v>
                </c:pt>
                <c:pt idx="1">
                  <c:v>11.202463455800364</c:v>
                </c:pt>
                <c:pt idx="2">
                  <c:v>12.223832082506027</c:v>
                </c:pt>
                <c:pt idx="3">
                  <c:v>13.265972935288051</c:v>
                </c:pt>
                <c:pt idx="4">
                  <c:v>14.328496427800355</c:v>
                </c:pt>
                <c:pt idx="5">
                  <c:v>15.411017131904014</c:v>
                </c:pt>
                <c:pt idx="6">
                  <c:v>16.5131537419166</c:v>
                </c:pt>
                <c:pt idx="7">
                  <c:v>17.634529039134627</c:v>
                </c:pt>
                <c:pt idx="8">
                  <c:v>18.77476985662712</c:v>
                </c:pt>
                <c:pt idx="9">
                  <c:v>19.933507044298441</c:v>
                </c:pt>
                <c:pt idx="10">
                  <c:v>21.110375434218479</c:v>
                </c:pt>
                <c:pt idx="11">
                  <c:v>22.305013806218184</c:v>
                </c:pt>
                <c:pt idx="12">
                  <c:v>23.517064853748746</c:v>
                </c:pt>
                <c:pt idx="13">
                  <c:v>24.746175150002376</c:v>
                </c:pt>
                <c:pt idx="14">
                  <c:v>25.991995114292926</c:v>
                </c:pt>
                <c:pt idx="15">
                  <c:v>27.254178978694512</c:v>
                </c:pt>
                <c:pt idx="16">
                  <c:v>28.532384754936281</c:v>
                </c:pt>
                <c:pt idx="17">
                  <c:v>29.826274201551371</c:v>
                </c:pt>
                <c:pt idx="18">
                  <c:v>31.135512791278629</c:v>
                </c:pt>
                <c:pt idx="19">
                  <c:v>32.459769678714757</c:v>
                </c:pt>
                <c:pt idx="20">
                  <c:v>33.798717668215644</c:v>
                </c:pt>
                <c:pt idx="21">
                  <c:v>35.152033182044626</c:v>
                </c:pt>
                <c:pt idx="22">
                  <c:v>36.519396228766382</c:v>
                </c:pt>
                <c:pt idx="23">
                  <c:v>37.90049037188426</c:v>
                </c:pt>
                <c:pt idx="24">
                  <c:v>39.295002698719706</c:v>
                </c:pt>
                <c:pt idx="25">
                  <c:v>40.702623789531643</c:v>
                </c:pt>
                <c:pt idx="26">
                  <c:v>42.123047686874642</c:v>
                </c:pt>
                <c:pt idx="27">
                  <c:v>43.55597186519357</c:v>
                </c:pt>
                <c:pt idx="28">
                  <c:v>45.00109720065354</c:v>
                </c:pt>
                <c:pt idx="29">
                  <c:v>46.458127941203088</c:v>
                </c:pt>
                <c:pt idx="30">
                  <c:v>47.926771676869222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B8-6B4C-82F3-5318F9B1D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014975"/>
        <c:axId val="643009599"/>
      </c:barChart>
      <c:lineChart>
        <c:grouping val="standard"/>
        <c:varyColors val="0"/>
        <c:ser>
          <c:idx val="5"/>
          <c:order val="4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Summary!$G$202:$G$232</c:f>
              <c:numCache>
                <c:formatCode>General</c:formatCode>
                <c:ptCount val="31"/>
                <c:pt idx="0">
                  <c:v>4937.6861244436996</c:v>
                </c:pt>
                <c:pt idx="1">
                  <c:v>4999.2396497885657</c:v>
                </c:pt>
                <c:pt idx="2">
                  <c:v>5060.0221313169122</c:v>
                </c:pt>
                <c:pt idx="3">
                  <c:v>5120.0518544253227</c:v>
                </c:pt>
                <c:pt idx="4">
                  <c:v>5179.3471010397561</c:v>
                </c:pt>
                <c:pt idx="5">
                  <c:v>5237.9261537022903</c:v>
                </c:pt>
                <c:pt idx="6">
                  <c:v>5295.8072997022909</c:v>
                </c:pt>
                <c:pt idx="7">
                  <c:v>5407.7588352532503</c:v>
                </c:pt>
                <c:pt idx="8">
                  <c:v>5519.0490697166097</c:v>
                </c:pt>
                <c:pt idx="9">
                  <c:v>5629.6963298738956</c:v>
                </c:pt>
                <c:pt idx="10">
                  <c:v>5739.71896424849</c:v>
                </c:pt>
                <c:pt idx="11">
                  <c:v>5849.1353474784391</c:v>
                </c:pt>
                <c:pt idx="12">
                  <c:v>5957.9638847416572</c:v>
                </c:pt>
                <c:pt idx="13">
                  <c:v>6066.2230162349651</c:v>
                </c:pt>
                <c:pt idx="14">
                  <c:v>6173.9312217083925</c:v>
                </c:pt>
                <c:pt idx="15">
                  <c:v>6281.1070250562334</c:v>
                </c:pt>
                <c:pt idx="16">
                  <c:v>6387.7689989663049</c:v>
                </c:pt>
                <c:pt idx="17">
                  <c:v>6439.1857696289835</c:v>
                </c:pt>
                <c:pt idx="18">
                  <c:v>6490.1260215075181</c:v>
                </c:pt>
                <c:pt idx="19">
                  <c:v>6540.6085021712315</c:v>
                </c:pt>
                <c:pt idx="20">
                  <c:v>6590.6520271931786</c:v>
                </c:pt>
                <c:pt idx="21">
                  <c:v>6640.2754851139262</c:v>
                </c:pt>
                <c:pt idx="22">
                  <c:v>6689.497842473098</c:v>
                </c:pt>
                <c:pt idx="23">
                  <c:v>6738.3381489103613</c:v>
                </c:pt>
                <c:pt idx="24">
                  <c:v>6786.8155423376256</c:v>
                </c:pt>
                <c:pt idx="25">
                  <c:v>6834.9492541841382</c:v>
                </c:pt>
                <c:pt idx="26">
                  <c:v>6882.7586147163311</c:v>
                </c:pt>
                <c:pt idx="27">
                  <c:v>6930.263058434175</c:v>
                </c:pt>
                <c:pt idx="28">
                  <c:v>6977.4821295459442</c:v>
                </c:pt>
                <c:pt idx="29">
                  <c:v>7024.4354875232348</c:v>
                </c:pt>
                <c:pt idx="30">
                  <c:v>7071.1429127381816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B8-6B4C-82F3-5318F9B1D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014975"/>
        <c:axId val="643009599"/>
      </c:lineChart>
      <c:catAx>
        <c:axId val="64301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09599"/>
        <c:crosses val="autoZero"/>
        <c:auto val="1"/>
        <c:lblAlgn val="ctr"/>
        <c:lblOffset val="100"/>
        <c:noMultiLvlLbl val="0"/>
      </c:catAx>
      <c:valAx>
        <c:axId val="6430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1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Supply vs Demand (M m³/yr) -BAU-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Summary!$C$153:$C$183</c:f>
              <c:numCache>
                <c:formatCode>General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0-7542-8E4A-450467D1E4B6}"/>
            </c:ext>
          </c:extLst>
        </c:ser>
        <c:ser>
          <c:idx val="2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Summary!$D$153:$D$183</c:f>
              <c:numCache>
                <c:formatCode>General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0-7542-8E4A-450467D1E4B6}"/>
            </c:ext>
          </c:extLst>
        </c:ser>
        <c:ser>
          <c:idx val="3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Summary!$E$153:$E$183</c:f>
              <c:numCache>
                <c:formatCode>General</c:formatCode>
                <c:ptCount val="31"/>
                <c:pt idx="0">
                  <c:v>515.48386360794939</c:v>
                </c:pt>
                <c:pt idx="1">
                  <c:v>646.7771863327655</c:v>
                </c:pt>
                <c:pt idx="2">
                  <c:v>776.12599923440655</c:v>
                </c:pt>
                <c:pt idx="3">
                  <c:v>903.56808999003488</c:v>
                </c:pt>
                <c:pt idx="4">
                  <c:v>1029.1409155044557</c:v>
                </c:pt>
                <c:pt idx="5">
                  <c:v>1152.8816116090993</c:v>
                </c:pt>
                <c:pt idx="6">
                  <c:v>1274.8270027069138</c:v>
                </c:pt>
                <c:pt idx="7">
                  <c:v>1403.0079311972718</c:v>
                </c:pt>
                <c:pt idx="8">
                  <c:v>1521.863731735682</c:v>
                </c:pt>
                <c:pt idx="9">
                  <c:v>1639.0258627983712</c:v>
                </c:pt>
                <c:pt idx="10">
                  <c:v>1754.5294703806558</c:v>
                </c:pt>
                <c:pt idx="11">
                  <c:v>1868.4094479906639</c:v>
                </c:pt>
                <c:pt idx="12">
                  <c:v>1980.7004458872764</c:v>
                </c:pt>
                <c:pt idx="13">
                  <c:v>2091.4368802865752</c:v>
                </c:pt>
                <c:pt idx="14">
                  <c:v>2200.6529425397885</c:v>
                </c:pt>
                <c:pt idx="15">
                  <c:v>2308.3826082856972</c:v>
                </c:pt>
                <c:pt idx="16">
                  <c:v>2414.659646580471</c:v>
                </c:pt>
                <c:pt idx="17">
                  <c:v>2519.5176290079453</c:v>
                </c:pt>
                <c:pt idx="18">
                  <c:v>2622.9899387732839</c:v>
                </c:pt>
                <c:pt idx="19">
                  <c:v>2725.1097797830244</c:v>
                </c:pt>
                <c:pt idx="20">
                  <c:v>2825.9101857144733</c:v>
                </c:pt>
                <c:pt idx="21">
                  <c:v>2925.4240290774505</c:v>
                </c:pt>
                <c:pt idx="22">
                  <c:v>3023.6840302713745</c:v>
                </c:pt>
                <c:pt idx="23">
                  <c:v>3120.7227666406457</c:v>
                </c:pt>
                <c:pt idx="24">
                  <c:v>3216.5726815314001</c:v>
                </c:pt>
                <c:pt idx="25">
                  <c:v>3311.2660933525713</c:v>
                </c:pt>
                <c:pt idx="26">
                  <c:v>3404.835204644326</c:v>
                </c:pt>
                <c:pt idx="27">
                  <c:v>3497.3121111568794</c:v>
                </c:pt>
                <c:pt idx="28">
                  <c:v>3588.7288109427468</c:v>
                </c:pt>
                <c:pt idx="29">
                  <c:v>3679.1172134654653</c:v>
                </c:pt>
                <c:pt idx="30">
                  <c:v>3768.5091487278683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0-7542-8E4A-450467D1E4B6}"/>
            </c:ext>
          </c:extLst>
        </c:ser>
        <c:ser>
          <c:idx val="4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Summary!$F$153:$F$183</c:f>
              <c:numCache>
                <c:formatCode>General</c:formatCode>
                <c:ptCount val="31"/>
                <c:pt idx="0">
                  <c:v>10.20226083575</c:v>
                </c:pt>
                <c:pt idx="1">
                  <c:v>11.202463455800364</c:v>
                </c:pt>
                <c:pt idx="2">
                  <c:v>12.223832082506027</c:v>
                </c:pt>
                <c:pt idx="3">
                  <c:v>13.265972935288051</c:v>
                </c:pt>
                <c:pt idx="4">
                  <c:v>14.328496427800355</c:v>
                </c:pt>
                <c:pt idx="5">
                  <c:v>15.411017131904014</c:v>
                </c:pt>
                <c:pt idx="6">
                  <c:v>16.5131537419166</c:v>
                </c:pt>
                <c:pt idx="7">
                  <c:v>9.6402092080602628</c:v>
                </c:pt>
                <c:pt idx="8">
                  <c:v>10.388705987333674</c:v>
                </c:pt>
                <c:pt idx="9">
                  <c:v>11.162763944807127</c:v>
                </c:pt>
                <c:pt idx="10">
                  <c:v>11.962546079390471</c:v>
                </c:pt>
                <c:pt idx="11">
                  <c:v>12.788207915565094</c:v>
                </c:pt>
                <c:pt idx="12">
                  <c:v>13.639897615174274</c:v>
                </c:pt>
                <c:pt idx="13">
                  <c:v>14.517756088001393</c:v>
                </c:pt>
                <c:pt idx="14">
                  <c:v>15.421917101147136</c:v>
                </c:pt>
                <c:pt idx="15">
                  <c:v>16.352507387216704</c:v>
                </c:pt>
                <c:pt idx="16">
                  <c:v>17.30964675132801</c:v>
                </c:pt>
                <c:pt idx="17">
                  <c:v>18.293448176951507</c:v>
                </c:pt>
                <c:pt idx="18">
                  <c:v>19.30401793059275</c:v>
                </c:pt>
                <c:pt idx="19">
                  <c:v>20.341455665327913</c:v>
                </c:pt>
                <c:pt idx="20">
                  <c:v>21.405854523203239</c:v>
                </c:pt>
                <c:pt idx="21">
                  <c:v>22.497301236508562</c:v>
                </c:pt>
                <c:pt idx="22">
                  <c:v>23.615876227935594</c:v>
                </c:pt>
                <c:pt idx="23">
                  <c:v>24.761653709631048</c:v>
                </c:pt>
                <c:pt idx="24">
                  <c:v>25.934701781155006</c:v>
                </c:pt>
                <c:pt idx="25">
                  <c:v>27.135082526354427</c:v>
                </c:pt>
                <c:pt idx="26">
                  <c:v>28.362852109162262</c:v>
                </c:pt>
                <c:pt idx="27">
                  <c:v>29.618060868331629</c:v>
                </c:pt>
                <c:pt idx="28">
                  <c:v>30.900753411115431</c:v>
                </c:pt>
                <c:pt idx="29">
                  <c:v>32.210968705900811</c:v>
                </c:pt>
                <c:pt idx="30">
                  <c:v>33.548740173808454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50-7542-8E4A-450467D1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014975"/>
        <c:axId val="643009599"/>
      </c:barChart>
      <c:lineChart>
        <c:grouping val="standard"/>
        <c:varyColors val="0"/>
        <c:ser>
          <c:idx val="5"/>
          <c:order val="4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Summary!$G$233:$G$263</c:f>
              <c:numCache>
                <c:formatCode>General</c:formatCode>
                <c:ptCount val="31"/>
                <c:pt idx="0">
                  <c:v>4937.6861244436996</c:v>
                </c:pt>
                <c:pt idx="1">
                  <c:v>4999.2396497885657</c:v>
                </c:pt>
                <c:pt idx="2">
                  <c:v>5060.0221313169122</c:v>
                </c:pt>
                <c:pt idx="3">
                  <c:v>5120.0518544253227</c:v>
                </c:pt>
                <c:pt idx="4">
                  <c:v>5179.3471010397561</c:v>
                </c:pt>
                <c:pt idx="5">
                  <c:v>5237.9261537022903</c:v>
                </c:pt>
                <c:pt idx="6">
                  <c:v>5295.8072997022909</c:v>
                </c:pt>
                <c:pt idx="7">
                  <c:v>5353.0088352532503</c:v>
                </c:pt>
                <c:pt idx="8">
                  <c:v>5409.5490697166097</c:v>
                </c:pt>
                <c:pt idx="9">
                  <c:v>5465.4463298738956</c:v>
                </c:pt>
                <c:pt idx="10">
                  <c:v>5520.71896424849</c:v>
                </c:pt>
                <c:pt idx="11">
                  <c:v>5575.3853474784391</c:v>
                </c:pt>
                <c:pt idx="12">
                  <c:v>5629.4638847416572</c:v>
                </c:pt>
                <c:pt idx="13">
                  <c:v>5682.9730162349651</c:v>
                </c:pt>
                <c:pt idx="14">
                  <c:v>5735.9312217083925</c:v>
                </c:pt>
                <c:pt idx="15">
                  <c:v>5788.3570250562334</c:v>
                </c:pt>
                <c:pt idx="16">
                  <c:v>5840.2689989663049</c:v>
                </c:pt>
                <c:pt idx="17">
                  <c:v>5891.6857696289835</c:v>
                </c:pt>
                <c:pt idx="18">
                  <c:v>5942.6260215075181</c:v>
                </c:pt>
                <c:pt idx="19">
                  <c:v>5993.1085021712315</c:v>
                </c:pt>
                <c:pt idx="20">
                  <c:v>6043.1520271931786</c:v>
                </c:pt>
                <c:pt idx="21">
                  <c:v>6092.7754851139262</c:v>
                </c:pt>
                <c:pt idx="22">
                  <c:v>6141.997842473098</c:v>
                </c:pt>
                <c:pt idx="23">
                  <c:v>6190.8381489103613</c:v>
                </c:pt>
                <c:pt idx="24">
                  <c:v>6239.3155423376256</c:v>
                </c:pt>
                <c:pt idx="25">
                  <c:v>6287.4492541841382</c:v>
                </c:pt>
                <c:pt idx="26">
                  <c:v>6335.2586147163311</c:v>
                </c:pt>
                <c:pt idx="27">
                  <c:v>6382.763058434175</c:v>
                </c:pt>
                <c:pt idx="28">
                  <c:v>6429.9821295459442</c:v>
                </c:pt>
                <c:pt idx="29">
                  <c:v>6476.9354875232348</c:v>
                </c:pt>
                <c:pt idx="30">
                  <c:v>6523.6429127381816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50-7542-8E4A-450467D1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014975"/>
        <c:axId val="643009599"/>
      </c:lineChart>
      <c:catAx>
        <c:axId val="64301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09599"/>
        <c:crosses val="autoZero"/>
        <c:auto val="1"/>
        <c:lblAlgn val="ctr"/>
        <c:lblOffset val="100"/>
        <c:noMultiLvlLbl val="0"/>
      </c:catAx>
      <c:valAx>
        <c:axId val="643009599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1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</a:t>
            </a:r>
            <a:r>
              <a:rPr lang="en-US" baseline="0"/>
              <a:t> by Source -Conditional-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1034.0735497661874</c:v>
                </c:pt>
                <c:pt idx="2">
                  <c:v>1047.7570356433737</c:v>
                </c:pt>
                <c:pt idx="3">
                  <c:v>1061.277834823044</c:v>
                </c:pt>
                <c:pt idx="4">
                  <c:v>1074.6372320850267</c:v>
                </c:pt>
                <c:pt idx="5">
                  <c:v>1087.8365034285187</c:v>
                </c:pt>
                <c:pt idx="6">
                  <c:v>1100.8769161277735</c:v>
                </c:pt>
                <c:pt idx="7">
                  <c:v>1113.7597287874503</c:v>
                </c:pt>
                <c:pt idx="8">
                  <c:v>1126.4861913976272</c:v>
                </c:pt>
                <c:pt idx="9">
                  <c:v>1139.0575453884824</c:v>
                </c:pt>
                <c:pt idx="10">
                  <c:v>1151.4750236846444</c:v>
                </c:pt>
                <c:pt idx="11">
                  <c:v>1163.7398507592097</c:v>
                </c:pt>
                <c:pt idx="12">
                  <c:v>1175.8532426874374</c:v>
                </c:pt>
                <c:pt idx="13">
                  <c:v>1187.8164072001141</c:v>
                </c:pt>
                <c:pt idx="14">
                  <c:v>1199.6305437365968</c:v>
                </c:pt>
                <c:pt idx="15">
                  <c:v>1211.2968434975342</c:v>
                </c:pt>
                <c:pt idx="16">
                  <c:v>1222.8164894972692</c:v>
                </c:pt>
                <c:pt idx="17">
                  <c:v>1234.1906566159191</c:v>
                </c:pt>
                <c:pt idx="18">
                  <c:v>1245.4205116511453</c:v>
                </c:pt>
                <c:pt idx="19">
                  <c:v>1256.507213369604</c:v>
                </c:pt>
                <c:pt idx="20">
                  <c:v>1267.4519125580866</c:v>
                </c:pt>
                <c:pt idx="21">
                  <c:v>1278.2557520743501</c:v>
                </c:pt>
                <c:pt idx="22">
                  <c:v>1288.9198668976371</c:v>
                </c:pt>
                <c:pt idx="23">
                  <c:v>1299.4453841788893</c:v>
                </c:pt>
                <c:pt idx="24">
                  <c:v>1309.8334232906568</c:v>
                </c:pt>
                <c:pt idx="25">
                  <c:v>1320.0850958767021</c:v>
                </c:pt>
                <c:pt idx="26">
                  <c:v>1330.2015059013047</c:v>
                </c:pt>
                <c:pt idx="27">
                  <c:v>1340.1837496982639</c:v>
                </c:pt>
                <c:pt idx="28">
                  <c:v>1350.0329160196065</c:v>
                </c:pt>
                <c:pt idx="29">
                  <c:v>1359.750086083993</c:v>
                </c:pt>
                <c:pt idx="30">
                  <c:v>1369.3363336248351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C-B74A-84EA-0F3124CBBE15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257.45178182457846</c:v>
                </c:pt>
                <c:pt idx="2">
                  <c:v>266.81502777975317</c:v>
                </c:pt>
                <c:pt idx="3">
                  <c:v>276.42926772400915</c:v>
                </c:pt>
                <c:pt idx="4">
                  <c:v>286.30045684007086</c:v>
                </c:pt>
                <c:pt idx="5">
                  <c:v>296.4346825506272</c:v>
                </c:pt>
                <c:pt idx="6">
                  <c:v>306.83816733499867</c:v>
                </c:pt>
                <c:pt idx="7">
                  <c:v>317.51727160410275</c:v>
                </c:pt>
                <c:pt idx="8">
                  <c:v>328.47849663490183</c:v>
                </c:pt>
                <c:pt idx="9">
                  <c:v>339.7284875655364</c:v>
                </c:pt>
                <c:pt idx="10">
                  <c:v>351.27403645237484</c:v>
                </c:pt>
                <c:pt idx="11">
                  <c:v>363.12208539023288</c:v>
                </c:pt>
                <c:pt idx="12">
                  <c:v>375.27972969704109</c:v>
                </c:pt>
                <c:pt idx="13">
                  <c:v>387.75422116426523</c:v>
                </c:pt>
                <c:pt idx="14">
                  <c:v>400.5529713744105</c:v>
                </c:pt>
                <c:pt idx="15">
                  <c:v>413.68355508696465</c:v>
                </c:pt>
                <c:pt idx="16">
                  <c:v>427.15371369416476</c:v>
                </c:pt>
                <c:pt idx="17">
                  <c:v>440.97135874800051</c:v>
                </c:pt>
                <c:pt idx="18">
                  <c:v>455.14457555989009</c:v>
                </c:pt>
                <c:pt idx="19">
                  <c:v>469.6816268745003</c:v>
                </c:pt>
                <c:pt idx="20">
                  <c:v>484.59095661920605</c:v>
                </c:pt>
                <c:pt idx="21">
                  <c:v>499.88119373071595</c:v>
                </c:pt>
                <c:pt idx="22">
                  <c:v>515.56115606042499</c:v>
                </c:pt>
                <c:pt idx="23">
                  <c:v>531.63985436007738</c:v>
                </c:pt>
                <c:pt idx="24">
                  <c:v>548.12649634936429</c:v>
                </c:pt>
                <c:pt idx="25">
                  <c:v>565.0304908671061</c:v>
                </c:pt>
                <c:pt idx="26">
                  <c:v>582.36145210770565</c:v>
                </c:pt>
                <c:pt idx="27">
                  <c:v>600.12920394458843</c:v>
                </c:pt>
                <c:pt idx="28">
                  <c:v>618.34378434238681</c:v>
                </c:pt>
                <c:pt idx="29">
                  <c:v>637.01544985965108</c:v>
                </c:pt>
                <c:pt idx="30">
                  <c:v>656.15468024391419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C-B74A-84EA-0F3124CBBE15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General</c:formatCode>
                <c:ptCount val="31"/>
                <c:pt idx="0">
                  <c:v>3669.1263367124998</c:v>
                </c:pt>
                <c:pt idx="1">
                  <c:v>3707.7143181977999</c:v>
                </c:pt>
                <c:pt idx="2">
                  <c:v>3745.4500678937852</c:v>
                </c:pt>
                <c:pt idx="3">
                  <c:v>3782.34475187827</c:v>
                </c:pt>
                <c:pt idx="4">
                  <c:v>3818.4094121146586</c:v>
                </c:pt>
                <c:pt idx="5">
                  <c:v>3853.6549677231446</c:v>
                </c:pt>
                <c:pt idx="6">
                  <c:v>3888.0922162395186</c:v>
                </c:pt>
                <c:pt idx="7">
                  <c:v>3921.7318348616973</c:v>
                </c:pt>
                <c:pt idx="8">
                  <c:v>3954.5843816840811</c:v>
                </c:pt>
                <c:pt idx="9">
                  <c:v>3986.6602969198766</c:v>
                </c:pt>
                <c:pt idx="10">
                  <c:v>4017.9699041114704</c:v>
                </c:pt>
                <c:pt idx="11">
                  <c:v>4048.5234113289962</c:v>
                </c:pt>
                <c:pt idx="12">
                  <c:v>4078.3309123571789</c:v>
                </c:pt>
                <c:pt idx="13">
                  <c:v>4107.4023878705857</c:v>
                </c:pt>
                <c:pt idx="14">
                  <c:v>4135.7477065973853</c:v>
                </c:pt>
                <c:pt idx="15">
                  <c:v>4163.3766264717342</c:v>
                </c:pt>
                <c:pt idx="16">
                  <c:v>4190.298795774871</c:v>
                </c:pt>
                <c:pt idx="17">
                  <c:v>4216.5237542650639</c:v>
                </c:pt>
                <c:pt idx="18">
                  <c:v>4242.0609342964826</c:v>
                </c:pt>
                <c:pt idx="19">
                  <c:v>4266.919661927127</c:v>
                </c:pt>
                <c:pt idx="20">
                  <c:v>4291.1091580158854</c:v>
                </c:pt>
                <c:pt idx="21">
                  <c:v>4314.6385393088603</c:v>
                </c:pt>
                <c:pt idx="22">
                  <c:v>4337.5168195150354</c:v>
                </c:pt>
                <c:pt idx="23">
                  <c:v>4359.752910371395</c:v>
                </c:pt>
                <c:pt idx="24">
                  <c:v>4381.3556226976043</c:v>
                </c:pt>
                <c:pt idx="25">
                  <c:v>4402.3336674403299</c:v>
                </c:pt>
                <c:pt idx="26">
                  <c:v>4422.6956567073203</c:v>
                </c:pt>
                <c:pt idx="27">
                  <c:v>4442.4501047913227</c:v>
                </c:pt>
                <c:pt idx="28">
                  <c:v>4461.6054291839509</c:v>
                </c:pt>
                <c:pt idx="29">
                  <c:v>4480.1699515795908</c:v>
                </c:pt>
                <c:pt idx="30">
                  <c:v>4498.1518988694324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C-B74A-84EA-0F3124CBBE15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C-B74A-84EA-0F3124CBB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742192"/>
        <c:axId val="1296743904"/>
      </c:areaChart>
      <c:catAx>
        <c:axId val="129674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96743904"/>
        <c:crosses val="autoZero"/>
        <c:auto val="1"/>
        <c:lblAlgn val="ctr"/>
        <c:lblOffset val="100"/>
        <c:noMultiLvlLbl val="0"/>
      </c:catAx>
      <c:valAx>
        <c:axId val="129674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9674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</a:t>
            </a:r>
            <a:r>
              <a:rPr lang="en-US" baseline="0"/>
              <a:t> by Source -BAU-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Summary!$C$233:$C$263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1034.0735497661874</c:v>
                </c:pt>
                <c:pt idx="2">
                  <c:v>1047.7570356433737</c:v>
                </c:pt>
                <c:pt idx="3">
                  <c:v>1061.277834823044</c:v>
                </c:pt>
                <c:pt idx="4">
                  <c:v>1074.6372320850267</c:v>
                </c:pt>
                <c:pt idx="5">
                  <c:v>1087.8365034285187</c:v>
                </c:pt>
                <c:pt idx="6">
                  <c:v>1100.8769161277735</c:v>
                </c:pt>
                <c:pt idx="7">
                  <c:v>1113.7597287874503</c:v>
                </c:pt>
                <c:pt idx="8">
                  <c:v>1126.4861913976272</c:v>
                </c:pt>
                <c:pt idx="9">
                  <c:v>1139.0575453884824</c:v>
                </c:pt>
                <c:pt idx="10">
                  <c:v>1151.4750236846444</c:v>
                </c:pt>
                <c:pt idx="11">
                  <c:v>1163.7398507592097</c:v>
                </c:pt>
                <c:pt idx="12">
                  <c:v>1175.8532426874374</c:v>
                </c:pt>
                <c:pt idx="13">
                  <c:v>1187.8164072001141</c:v>
                </c:pt>
                <c:pt idx="14">
                  <c:v>1199.6305437365968</c:v>
                </c:pt>
                <c:pt idx="15">
                  <c:v>1211.2968434975342</c:v>
                </c:pt>
                <c:pt idx="16">
                  <c:v>1222.8164894972692</c:v>
                </c:pt>
                <c:pt idx="17">
                  <c:v>1234.1906566159191</c:v>
                </c:pt>
                <c:pt idx="18">
                  <c:v>1245.4205116511453</c:v>
                </c:pt>
                <c:pt idx="19">
                  <c:v>1256.507213369604</c:v>
                </c:pt>
                <c:pt idx="20">
                  <c:v>1267.4519125580866</c:v>
                </c:pt>
                <c:pt idx="21">
                  <c:v>1278.2557520743501</c:v>
                </c:pt>
                <c:pt idx="22">
                  <c:v>1288.9198668976371</c:v>
                </c:pt>
                <c:pt idx="23">
                  <c:v>1299.4453841788893</c:v>
                </c:pt>
                <c:pt idx="24">
                  <c:v>1309.8334232906568</c:v>
                </c:pt>
                <c:pt idx="25">
                  <c:v>1320.0850958767021</c:v>
                </c:pt>
                <c:pt idx="26">
                  <c:v>1330.2015059013047</c:v>
                </c:pt>
                <c:pt idx="27">
                  <c:v>1340.1837496982639</c:v>
                </c:pt>
                <c:pt idx="28">
                  <c:v>1350.0329160196065</c:v>
                </c:pt>
                <c:pt idx="29">
                  <c:v>1359.750086083993</c:v>
                </c:pt>
                <c:pt idx="30">
                  <c:v>1369.3363336248351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B-7844-98E2-70C840FDC342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Summary!$D$233:$D$263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257.45178182457846</c:v>
                </c:pt>
                <c:pt idx="2">
                  <c:v>266.81502777975317</c:v>
                </c:pt>
                <c:pt idx="3">
                  <c:v>276.42926772400915</c:v>
                </c:pt>
                <c:pt idx="4">
                  <c:v>286.30045684007086</c:v>
                </c:pt>
                <c:pt idx="5">
                  <c:v>296.4346825506272</c:v>
                </c:pt>
                <c:pt idx="6">
                  <c:v>306.83816733499867</c:v>
                </c:pt>
                <c:pt idx="7">
                  <c:v>317.51727160410275</c:v>
                </c:pt>
                <c:pt idx="8">
                  <c:v>328.47849663490183</c:v>
                </c:pt>
                <c:pt idx="9">
                  <c:v>339.7284875655364</c:v>
                </c:pt>
                <c:pt idx="10">
                  <c:v>351.27403645237484</c:v>
                </c:pt>
                <c:pt idx="11">
                  <c:v>363.12208539023288</c:v>
                </c:pt>
                <c:pt idx="12">
                  <c:v>375.27972969704109</c:v>
                </c:pt>
                <c:pt idx="13">
                  <c:v>387.75422116426523</c:v>
                </c:pt>
                <c:pt idx="14">
                  <c:v>400.5529713744105</c:v>
                </c:pt>
                <c:pt idx="15">
                  <c:v>413.68355508696465</c:v>
                </c:pt>
                <c:pt idx="16">
                  <c:v>427.15371369416476</c:v>
                </c:pt>
                <c:pt idx="17">
                  <c:v>440.97135874800051</c:v>
                </c:pt>
                <c:pt idx="18">
                  <c:v>455.14457555989009</c:v>
                </c:pt>
                <c:pt idx="19">
                  <c:v>469.6816268745003</c:v>
                </c:pt>
                <c:pt idx="20">
                  <c:v>484.59095661920605</c:v>
                </c:pt>
                <c:pt idx="21">
                  <c:v>499.88119373071595</c:v>
                </c:pt>
                <c:pt idx="22">
                  <c:v>515.56115606042499</c:v>
                </c:pt>
                <c:pt idx="23">
                  <c:v>531.63985436007738</c:v>
                </c:pt>
                <c:pt idx="24">
                  <c:v>548.12649634936429</c:v>
                </c:pt>
                <c:pt idx="25">
                  <c:v>565.0304908671061</c:v>
                </c:pt>
                <c:pt idx="26">
                  <c:v>582.36145210770565</c:v>
                </c:pt>
                <c:pt idx="27">
                  <c:v>600.12920394458843</c:v>
                </c:pt>
                <c:pt idx="28">
                  <c:v>618.34378434238681</c:v>
                </c:pt>
                <c:pt idx="29">
                  <c:v>637.01544985965108</c:v>
                </c:pt>
                <c:pt idx="30">
                  <c:v>656.15468024391419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B-7844-98E2-70C840FDC342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Summary!$E$233:$E$263</c:f>
              <c:numCache>
                <c:formatCode>General</c:formatCode>
                <c:ptCount val="31"/>
                <c:pt idx="0">
                  <c:v>3669.1263367124998</c:v>
                </c:pt>
                <c:pt idx="1">
                  <c:v>3707.7143181977999</c:v>
                </c:pt>
                <c:pt idx="2">
                  <c:v>3745.4500678937852</c:v>
                </c:pt>
                <c:pt idx="3">
                  <c:v>3782.34475187827</c:v>
                </c:pt>
                <c:pt idx="4">
                  <c:v>3818.4094121146586</c:v>
                </c:pt>
                <c:pt idx="5">
                  <c:v>3853.6549677231446</c:v>
                </c:pt>
                <c:pt idx="6">
                  <c:v>3888.0922162395186</c:v>
                </c:pt>
                <c:pt idx="7">
                  <c:v>3921.7318348616973</c:v>
                </c:pt>
                <c:pt idx="8">
                  <c:v>3954.5843816840811</c:v>
                </c:pt>
                <c:pt idx="9">
                  <c:v>3986.6602969198766</c:v>
                </c:pt>
                <c:pt idx="10">
                  <c:v>4017.9699041114704</c:v>
                </c:pt>
                <c:pt idx="11">
                  <c:v>4048.5234113289962</c:v>
                </c:pt>
                <c:pt idx="12">
                  <c:v>4078.3309123571789</c:v>
                </c:pt>
                <c:pt idx="13">
                  <c:v>4107.4023878705857</c:v>
                </c:pt>
                <c:pt idx="14">
                  <c:v>4135.7477065973853</c:v>
                </c:pt>
                <c:pt idx="15">
                  <c:v>4163.3766264717342</c:v>
                </c:pt>
                <c:pt idx="16">
                  <c:v>4190.298795774871</c:v>
                </c:pt>
                <c:pt idx="17">
                  <c:v>4216.5237542650639</c:v>
                </c:pt>
                <c:pt idx="18">
                  <c:v>4242.0609342964826</c:v>
                </c:pt>
                <c:pt idx="19">
                  <c:v>4266.919661927127</c:v>
                </c:pt>
                <c:pt idx="20">
                  <c:v>4291.1091580158854</c:v>
                </c:pt>
                <c:pt idx="21">
                  <c:v>4314.6385393088603</c:v>
                </c:pt>
                <c:pt idx="22">
                  <c:v>4337.5168195150354</c:v>
                </c:pt>
                <c:pt idx="23">
                  <c:v>4359.752910371395</c:v>
                </c:pt>
                <c:pt idx="24">
                  <c:v>4381.3556226976043</c:v>
                </c:pt>
                <c:pt idx="25">
                  <c:v>4402.3336674403299</c:v>
                </c:pt>
                <c:pt idx="26">
                  <c:v>4422.6956567073203</c:v>
                </c:pt>
                <c:pt idx="27">
                  <c:v>4442.4501047913227</c:v>
                </c:pt>
                <c:pt idx="28">
                  <c:v>4461.6054291839509</c:v>
                </c:pt>
                <c:pt idx="29">
                  <c:v>4480.1699515795908</c:v>
                </c:pt>
                <c:pt idx="30">
                  <c:v>4498.1518988694324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B-7844-98E2-70C840FDC342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Summary!$F$233:$F$263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6B-7844-98E2-70C840FDC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742192"/>
        <c:axId val="1296743904"/>
      </c:areaChart>
      <c:catAx>
        <c:axId val="129674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96743904"/>
        <c:crosses val="autoZero"/>
        <c:auto val="1"/>
        <c:lblAlgn val="ctr"/>
        <c:lblOffset val="100"/>
        <c:noMultiLvlLbl val="0"/>
      </c:catAx>
      <c:valAx>
        <c:axId val="1296743904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29674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224115</xdr:colOff>
      <xdr:row>36</xdr:row>
      <xdr:rowOff>56027</xdr:rowOff>
    </xdr:from>
    <xdr:to>
      <xdr:col>15</xdr:col>
      <xdr:colOff>242793</xdr:colOff>
      <xdr:row>67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3C456-C820-DE4C-B40B-4E9F17B1F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1054100</xdr:colOff>
      <xdr:row>0</xdr:row>
      <xdr:rowOff>25400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262083</xdr:colOff>
      <xdr:row>14</xdr:row>
      <xdr:rowOff>17319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757712</xdr:colOff>
      <xdr:row>0</xdr:row>
      <xdr:rowOff>72573</xdr:rowOff>
    </xdr:from>
    <xdr:ext cx="54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14</xdr:col>
      <xdr:colOff>395452</xdr:colOff>
      <xdr:row>33</xdr:row>
      <xdr:rowOff>138215</xdr:rowOff>
    </xdr:from>
    <xdr:to>
      <xdr:col>24</xdr:col>
      <xdr:colOff>64032</xdr:colOff>
      <xdr:row>45</xdr:row>
      <xdr:rowOff>85378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2A9110-088E-EA8D-7853-73B8A1E49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1046172</xdr:colOff>
      <xdr:row>33</xdr:row>
      <xdr:rowOff>148345</xdr:rowOff>
    </xdr:from>
    <xdr:to>
      <xdr:col>14</xdr:col>
      <xdr:colOff>309496</xdr:colOff>
      <xdr:row>45</xdr:row>
      <xdr:rowOff>74706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A72516-E2A2-5C44-B6AC-B10B69B1D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387521</xdr:colOff>
      <xdr:row>45</xdr:row>
      <xdr:rowOff>168166</xdr:rowOff>
    </xdr:from>
    <xdr:to>
      <xdr:col>24</xdr:col>
      <xdr:colOff>121307</xdr:colOff>
      <xdr:row>68</xdr:row>
      <xdr:rowOff>137317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F0D032-E156-04BC-728A-0CE7B6AAF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1055098</xdr:colOff>
      <xdr:row>45</xdr:row>
      <xdr:rowOff>163382</xdr:rowOff>
    </xdr:from>
    <xdr:to>
      <xdr:col>14</xdr:col>
      <xdr:colOff>287440</xdr:colOff>
      <xdr:row>69</xdr:row>
      <xdr:rowOff>39845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C68A17-BF02-8947-9E20-387E1344F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21.75" customHeight="1" x14ac:dyDescent="0.2">
      <c r="A1" s="2" t="s">
        <v>58</v>
      </c>
    </row>
    <row r="2" spans="1:1" ht="15" customHeight="1" x14ac:dyDescent="0.2">
      <c r="A2" s="3"/>
    </row>
    <row r="3" spans="1:1" ht="15.75" customHeight="1" x14ac:dyDescent="0.2">
      <c r="A3" s="4" t="s">
        <v>59</v>
      </c>
    </row>
    <row r="4" spans="1:1" ht="34.5" customHeight="1" x14ac:dyDescent="0.2">
      <c r="A4" s="3" t="s">
        <v>60</v>
      </c>
    </row>
    <row r="5" spans="1:1" ht="15" customHeight="1" x14ac:dyDescent="0.2">
      <c r="A5" s="3"/>
    </row>
    <row r="6" spans="1:1" ht="15.75" customHeight="1" x14ac:dyDescent="0.2">
      <c r="A6" s="4" t="s">
        <v>61</v>
      </c>
    </row>
    <row r="7" spans="1:1" ht="79.5" customHeight="1" x14ac:dyDescent="0.2">
      <c r="A7" s="3" t="s">
        <v>62</v>
      </c>
    </row>
    <row r="8" spans="1:1" ht="15" customHeight="1" x14ac:dyDescent="0.2">
      <c r="A8" s="3"/>
    </row>
    <row r="9" spans="1:1" ht="15.75" customHeight="1" x14ac:dyDescent="0.2">
      <c r="A9" s="4" t="s">
        <v>63</v>
      </c>
    </row>
    <row r="10" spans="1:1" ht="15" customHeight="1" x14ac:dyDescent="0.2">
      <c r="A10" s="3" t="s">
        <v>64</v>
      </c>
    </row>
    <row r="11" spans="1:1" ht="15" customHeight="1" x14ac:dyDescent="0.2">
      <c r="A11" s="3" t="s">
        <v>65</v>
      </c>
    </row>
    <row r="12" spans="1:1" ht="15" customHeight="1" x14ac:dyDescent="0.2">
      <c r="A12" s="3" t="s">
        <v>66</v>
      </c>
    </row>
    <row r="13" spans="1:1" ht="15" customHeight="1" x14ac:dyDescent="0.2">
      <c r="A13" s="3" t="s">
        <v>67</v>
      </c>
    </row>
    <row r="14" spans="1:1" ht="15" customHeight="1" x14ac:dyDescent="0.2">
      <c r="A14" s="3" t="s">
        <v>68</v>
      </c>
    </row>
    <row r="15" spans="1:1" ht="15" customHeight="1" x14ac:dyDescent="0.2">
      <c r="A15" s="3" t="s">
        <v>69</v>
      </c>
    </row>
    <row r="16" spans="1:1" ht="15" customHeight="1" x14ac:dyDescent="0.2">
      <c r="A16" s="3" t="s">
        <v>70</v>
      </c>
    </row>
    <row r="17" spans="1:1" ht="15" customHeight="1" x14ac:dyDescent="0.2">
      <c r="A17" s="3" t="s">
        <v>71</v>
      </c>
    </row>
    <row r="18" spans="1:1" ht="15" customHeight="1" x14ac:dyDescent="0.2">
      <c r="A18" s="3" t="s">
        <v>72</v>
      </c>
    </row>
    <row r="19" spans="1:1" ht="15" customHeight="1" x14ac:dyDescent="0.2">
      <c r="A19" s="3" t="s">
        <v>73</v>
      </c>
    </row>
    <row r="20" spans="1:1" ht="15" customHeight="1" x14ac:dyDescent="0.2">
      <c r="A20" s="3" t="s">
        <v>74</v>
      </c>
    </row>
    <row r="21" spans="1:1" ht="23.25" customHeight="1" x14ac:dyDescent="0.2">
      <c r="A21" s="3" t="s">
        <v>75</v>
      </c>
    </row>
    <row r="22" spans="1:1" ht="15" customHeight="1" x14ac:dyDescent="0.2">
      <c r="A22" s="3" t="s">
        <v>76</v>
      </c>
    </row>
    <row r="23" spans="1:1" ht="15" customHeight="1" x14ac:dyDescent="0.2">
      <c r="A23" s="3"/>
    </row>
    <row r="24" spans="1:1" ht="15.75" customHeight="1" x14ac:dyDescent="0.2">
      <c r="A24" s="4" t="s">
        <v>77</v>
      </c>
    </row>
    <row r="25" spans="1:1" ht="15" customHeight="1" x14ac:dyDescent="0.2">
      <c r="A25" s="3" t="s">
        <v>78</v>
      </c>
    </row>
    <row r="26" spans="1:1" ht="15" customHeight="1" x14ac:dyDescent="0.2">
      <c r="A26" s="3" t="s">
        <v>79</v>
      </c>
    </row>
    <row r="27" spans="1:1" ht="15" customHeight="1" x14ac:dyDescent="0.2">
      <c r="A27" s="3" t="s">
        <v>80</v>
      </c>
    </row>
    <row r="28" spans="1:1" ht="15" customHeight="1" x14ac:dyDescent="0.2">
      <c r="A28" s="3" t="s">
        <v>81</v>
      </c>
    </row>
    <row r="29" spans="1:1" ht="15" customHeight="1" x14ac:dyDescent="0.2">
      <c r="A29" s="3" t="s">
        <v>82</v>
      </c>
    </row>
    <row r="30" spans="1:1" ht="15" customHeight="1" x14ac:dyDescent="0.2">
      <c r="A30" s="3"/>
    </row>
    <row r="31" spans="1:1" ht="15.75" customHeight="1" x14ac:dyDescent="0.2">
      <c r="A31" s="4" t="s">
        <v>83</v>
      </c>
    </row>
    <row r="32" spans="1:1" ht="15" customHeight="1" x14ac:dyDescent="0.2">
      <c r="A32" s="3" t="s">
        <v>84</v>
      </c>
    </row>
    <row r="33" spans="1:1" ht="39" customHeight="1" x14ac:dyDescent="0.2">
      <c r="A33" s="5" t="s">
        <v>85</v>
      </c>
    </row>
    <row r="34" spans="1:1" ht="26.25" customHeight="1" x14ac:dyDescent="0.2">
      <c r="A34" s="5" t="s">
        <v>86</v>
      </c>
    </row>
    <row r="35" spans="1:1" ht="15" customHeight="1" x14ac:dyDescent="0.2">
      <c r="A35" s="5" t="s">
        <v>87</v>
      </c>
    </row>
    <row r="36" spans="1:1" ht="15" customHeight="1" x14ac:dyDescent="0.2">
      <c r="A36" s="5" t="s">
        <v>88</v>
      </c>
    </row>
    <row r="37" spans="1:1" ht="15" customHeight="1" x14ac:dyDescent="0.2">
      <c r="A37" s="5" t="s">
        <v>89</v>
      </c>
    </row>
    <row r="38" spans="1:1" ht="26.25" customHeight="1" x14ac:dyDescent="0.2">
      <c r="A38" s="5" t="s">
        <v>90</v>
      </c>
    </row>
    <row r="39" spans="1:1" ht="26.25" customHeight="1" x14ac:dyDescent="0.2">
      <c r="A39" s="5" t="s">
        <v>91</v>
      </c>
    </row>
    <row r="40" spans="1:1" ht="15" customHeight="1" x14ac:dyDescent="0.2">
      <c r="A40" s="5" t="s">
        <v>92</v>
      </c>
    </row>
    <row r="41" spans="1:1" ht="26.25" customHeight="1" x14ac:dyDescent="0.2">
      <c r="A41" s="5" t="s">
        <v>93</v>
      </c>
    </row>
    <row r="42" spans="1:1" ht="15" customHeight="1" x14ac:dyDescent="0.2">
      <c r="A42" s="3" t="s">
        <v>94</v>
      </c>
    </row>
    <row r="43" spans="1:1" ht="26.25" customHeight="1" x14ac:dyDescent="0.2">
      <c r="A43" s="5" t="s">
        <v>95</v>
      </c>
    </row>
    <row r="44" spans="1:1" ht="26.25" customHeight="1" x14ac:dyDescent="0.2">
      <c r="A44" s="5" t="s">
        <v>96</v>
      </c>
    </row>
    <row r="45" spans="1:1" ht="15" customHeight="1" x14ac:dyDescent="0.2">
      <c r="A45" s="3"/>
    </row>
    <row r="46" spans="1:1" ht="15.75" customHeight="1" x14ac:dyDescent="0.2">
      <c r="A46" s="4" t="s">
        <v>97</v>
      </c>
    </row>
    <row r="47" spans="1:1" ht="15" customHeight="1" x14ac:dyDescent="0.2">
      <c r="A47" s="3" t="s">
        <v>98</v>
      </c>
    </row>
    <row r="48" spans="1:1" ht="34.5" customHeight="1" x14ac:dyDescent="0.2">
      <c r="A48" s="3" t="s">
        <v>99</v>
      </c>
    </row>
    <row r="49" spans="1:1" ht="23.25" customHeight="1" x14ac:dyDescent="0.2">
      <c r="A49" s="3" t="s">
        <v>100</v>
      </c>
    </row>
    <row r="50" spans="1:1" ht="15" customHeight="1" x14ac:dyDescent="0.2">
      <c r="A50" s="3"/>
    </row>
    <row r="51" spans="1:1" ht="15.75" customHeight="1" x14ac:dyDescent="0.2">
      <c r="A51" s="4" t="s">
        <v>101</v>
      </c>
    </row>
    <row r="52" spans="1:1" ht="15" customHeight="1" x14ac:dyDescent="0.2">
      <c r="A52" s="3" t="s">
        <v>102</v>
      </c>
    </row>
    <row r="53" spans="1:1" ht="15" customHeight="1" x14ac:dyDescent="0.2">
      <c r="A53" s="3" t="s">
        <v>103</v>
      </c>
    </row>
    <row r="54" spans="1:1" ht="15" customHeight="1" x14ac:dyDescent="0.2">
      <c r="A54" s="3" t="s">
        <v>104</v>
      </c>
    </row>
    <row r="55" spans="1:1" ht="15" customHeight="1" x14ac:dyDescent="0.2">
      <c r="A55" s="3" t="s">
        <v>105</v>
      </c>
    </row>
    <row r="56" spans="1:1" ht="23.25" customHeight="1" x14ac:dyDescent="0.2">
      <c r="A56" s="3" t="s">
        <v>106</v>
      </c>
    </row>
    <row r="57" spans="1:1" ht="23.25" customHeight="1" x14ac:dyDescent="0.2">
      <c r="A57" s="3" t="s">
        <v>107</v>
      </c>
    </row>
    <row r="58" spans="1:1" ht="15" customHeight="1" x14ac:dyDescent="0.2">
      <c r="A58" s="3" t="s">
        <v>108</v>
      </c>
    </row>
    <row r="59" spans="1:1" ht="15" customHeight="1" x14ac:dyDescent="0.2">
      <c r="A59" s="3"/>
    </row>
    <row r="60" spans="1:1" ht="15.75" customHeight="1" x14ac:dyDescent="0.2">
      <c r="A60" s="4" t="s">
        <v>109</v>
      </c>
    </row>
    <row r="61" spans="1:1" ht="15" customHeight="1" x14ac:dyDescent="0.2">
      <c r="A61" s="3" t="s">
        <v>110</v>
      </c>
    </row>
    <row r="62" spans="1:1" ht="15" customHeight="1" x14ac:dyDescent="0.2">
      <c r="A62" s="3" t="s">
        <v>111</v>
      </c>
    </row>
    <row r="63" spans="1:1" ht="15" customHeight="1" x14ac:dyDescent="0.2">
      <c r="A63" s="3" t="s">
        <v>112</v>
      </c>
    </row>
    <row r="65" spans="1:1" x14ac:dyDescent="0.2">
      <c r="A65" t="s">
        <v>113</v>
      </c>
    </row>
    <row r="68" spans="1:1" x14ac:dyDescent="0.2">
      <c r="A68" t="s">
        <v>114</v>
      </c>
    </row>
    <row r="70" spans="1:1" x14ac:dyDescent="0.2">
      <c r="A70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topLeftCell="A28" zoomScale="170" zoomScaleNormal="170" workbookViewId="0">
      <selection activeCell="B42" sqref="B42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20" customWidth="1"/>
    <col min="4" max="4" width="60" customWidth="1"/>
  </cols>
  <sheetData>
    <row r="1" spans="1:5" ht="17.25" customHeight="1" x14ac:dyDescent="0.2">
      <c r="A1" s="91" t="s">
        <v>116</v>
      </c>
      <c r="B1" s="90"/>
      <c r="C1" s="90"/>
      <c r="D1" s="90"/>
    </row>
    <row r="3" spans="1:5" ht="15" customHeight="1" x14ac:dyDescent="0.2">
      <c r="A3" s="6" t="s">
        <v>117</v>
      </c>
      <c r="B3" s="6" t="s">
        <v>118</v>
      </c>
      <c r="C3" s="6" t="s">
        <v>2</v>
      </c>
      <c r="D3" s="6" t="s">
        <v>119</v>
      </c>
    </row>
    <row r="5" spans="1:5" ht="15" customHeight="1" x14ac:dyDescent="0.2">
      <c r="A5" s="89" t="s">
        <v>120</v>
      </c>
      <c r="B5" s="90"/>
      <c r="C5" s="90"/>
      <c r="D5" s="90"/>
    </row>
    <row r="6" spans="1:5" ht="15" customHeight="1" x14ac:dyDescent="0.2">
      <c r="A6" s="7" t="s">
        <v>121</v>
      </c>
      <c r="B6" s="82">
        <v>6735277</v>
      </c>
      <c r="C6" s="9" t="s">
        <v>122</v>
      </c>
      <c r="D6" s="10" t="s">
        <v>123</v>
      </c>
      <c r="E6" t="s">
        <v>124</v>
      </c>
    </row>
    <row r="7" spans="1:5" ht="15" customHeight="1" x14ac:dyDescent="0.2">
      <c r="A7" s="7" t="s">
        <v>125</v>
      </c>
      <c r="B7" s="82">
        <v>10506952</v>
      </c>
      <c r="C7" s="9" t="s">
        <v>122</v>
      </c>
      <c r="D7" s="10" t="s">
        <v>363</v>
      </c>
      <c r="E7" t="s">
        <v>124</v>
      </c>
    </row>
    <row r="8" spans="1:5" ht="15" customHeight="1" x14ac:dyDescent="0.2">
      <c r="A8" s="7" t="s">
        <v>126</v>
      </c>
      <c r="B8" s="8">
        <v>6357</v>
      </c>
      <c r="C8" s="9" t="s">
        <v>127</v>
      </c>
      <c r="D8" s="10" t="s">
        <v>128</v>
      </c>
      <c r="E8" t="s">
        <v>124</v>
      </c>
    </row>
    <row r="9" spans="1:5" ht="15" customHeight="1" x14ac:dyDescent="0.2">
      <c r="A9" s="7" t="s">
        <v>129</v>
      </c>
      <c r="B9" s="8">
        <v>2.8000000000000001E-2</v>
      </c>
      <c r="C9" s="9" t="s">
        <v>130</v>
      </c>
      <c r="D9" s="10" t="s">
        <v>363</v>
      </c>
      <c r="E9" t="s">
        <v>124</v>
      </c>
    </row>
    <row r="11" spans="1:5" ht="15" customHeight="1" x14ac:dyDescent="0.2">
      <c r="A11" s="89" t="s">
        <v>131</v>
      </c>
      <c r="B11" s="90"/>
      <c r="C11" s="90"/>
      <c r="D11" s="90"/>
    </row>
    <row r="12" spans="1:5" ht="15" customHeight="1" x14ac:dyDescent="0.2">
      <c r="A12" s="7" t="s">
        <v>132</v>
      </c>
      <c r="B12" s="8">
        <v>415</v>
      </c>
      <c r="C12" s="9" t="s">
        <v>133</v>
      </c>
      <c r="D12" s="10" t="s">
        <v>134</v>
      </c>
    </row>
    <row r="13" spans="1:5" ht="15" customHeight="1" x14ac:dyDescent="0.2">
      <c r="A13" s="7" t="s">
        <v>135</v>
      </c>
      <c r="B13" s="8">
        <v>-5.0000000000000001E-3</v>
      </c>
      <c r="C13" s="9" t="s">
        <v>130</v>
      </c>
      <c r="D13" s="10" t="s">
        <v>136</v>
      </c>
    </row>
    <row r="14" spans="1:5" ht="15" customHeight="1" x14ac:dyDescent="0.2">
      <c r="A14" s="7" t="s">
        <v>137</v>
      </c>
      <c r="B14" s="8">
        <v>5.8</v>
      </c>
      <c r="C14" s="9" t="s">
        <v>138</v>
      </c>
      <c r="D14" s="10" t="s">
        <v>139</v>
      </c>
    </row>
    <row r="15" spans="1:5" ht="15" customHeight="1" x14ac:dyDescent="0.2">
      <c r="A15" s="7" t="s">
        <v>140</v>
      </c>
      <c r="B15" s="8">
        <v>-0.01</v>
      </c>
      <c r="C15" s="9" t="s">
        <v>130</v>
      </c>
      <c r="D15" s="10" t="s">
        <v>141</v>
      </c>
    </row>
    <row r="16" spans="1:5" ht="15" customHeight="1" x14ac:dyDescent="0.2">
      <c r="A16" s="7" t="s">
        <v>142</v>
      </c>
      <c r="B16" s="8">
        <f>1990*0.75</f>
        <v>1492.5</v>
      </c>
      <c r="C16" s="9" t="s">
        <v>133</v>
      </c>
      <c r="D16" s="10" t="s">
        <v>143</v>
      </c>
    </row>
    <row r="17" spans="1:5" ht="15" customHeight="1" x14ac:dyDescent="0.2">
      <c r="A17" s="7" t="s">
        <v>144</v>
      </c>
      <c r="B17" s="8">
        <v>-8.0000000000000002E-3</v>
      </c>
      <c r="C17" s="9" t="s">
        <v>130</v>
      </c>
      <c r="D17" s="10" t="s">
        <v>145</v>
      </c>
    </row>
    <row r="19" spans="1:5" ht="15" customHeight="1" x14ac:dyDescent="0.2">
      <c r="A19" s="89" t="s">
        <v>146</v>
      </c>
      <c r="B19" s="90"/>
      <c r="C19" s="90"/>
      <c r="D19" s="90"/>
    </row>
    <row r="20" spans="1:5" ht="15" customHeight="1" x14ac:dyDescent="0.2">
      <c r="A20" s="7" t="s">
        <v>147</v>
      </c>
      <c r="B20" s="8">
        <v>3500</v>
      </c>
      <c r="C20" s="9" t="s">
        <v>148</v>
      </c>
      <c r="D20" s="10" t="s">
        <v>149</v>
      </c>
    </row>
    <row r="21" spans="1:5" ht="15" customHeight="1" x14ac:dyDescent="0.2">
      <c r="A21" s="7" t="s">
        <v>150</v>
      </c>
      <c r="B21" s="8">
        <v>-1.4999999999999999E-2</v>
      </c>
      <c r="C21" s="9" t="s">
        <v>130</v>
      </c>
      <c r="D21" s="10" t="s">
        <v>151</v>
      </c>
    </row>
    <row r="22" spans="1:5" ht="15" customHeight="1" x14ac:dyDescent="0.2">
      <c r="A22" s="7" t="s">
        <v>152</v>
      </c>
      <c r="B22" s="8">
        <v>912</v>
      </c>
      <c r="C22" s="9" t="s">
        <v>148</v>
      </c>
      <c r="D22" s="10" t="s">
        <v>153</v>
      </c>
      <c r="E22" t="s">
        <v>154</v>
      </c>
    </row>
    <row r="23" spans="1:5" ht="15" customHeight="1" x14ac:dyDescent="0.2">
      <c r="A23" s="7" t="s">
        <v>155</v>
      </c>
      <c r="B23" s="8">
        <v>-0.02</v>
      </c>
      <c r="C23" s="9" t="s">
        <v>130</v>
      </c>
      <c r="D23" s="10" t="s">
        <v>156</v>
      </c>
    </row>
    <row r="25" spans="1:5" ht="15" customHeight="1" x14ac:dyDescent="0.2">
      <c r="A25" s="89" t="s">
        <v>157</v>
      </c>
      <c r="B25" s="90"/>
      <c r="C25" s="90"/>
      <c r="D25" s="90"/>
    </row>
    <row r="26" spans="1:5" ht="98" x14ac:dyDescent="0.2">
      <c r="A26" s="7" t="s">
        <v>158</v>
      </c>
      <c r="B26" s="8">
        <f>0.7*0.5</f>
        <v>0.35</v>
      </c>
      <c r="C26" s="9" t="s">
        <v>5</v>
      </c>
      <c r="D26" s="10" t="s">
        <v>362</v>
      </c>
    </row>
    <row r="27" spans="1:5" ht="15" customHeight="1" x14ac:dyDescent="0.2">
      <c r="A27" s="7" t="s">
        <v>159</v>
      </c>
      <c r="B27" s="8">
        <v>1.4999999999999999E-2</v>
      </c>
      <c r="C27" s="9" t="s">
        <v>130</v>
      </c>
      <c r="D27" s="10" t="s">
        <v>160</v>
      </c>
    </row>
    <row r="28" spans="1:5" ht="15" customHeight="1" x14ac:dyDescent="0.2">
      <c r="A28" s="7" t="s">
        <v>161</v>
      </c>
      <c r="B28" s="8">
        <v>1.8</v>
      </c>
      <c r="C28" s="9" t="s">
        <v>5</v>
      </c>
      <c r="D28" s="10" t="s">
        <v>162</v>
      </c>
    </row>
    <row r="29" spans="1:5" ht="15" customHeight="1" x14ac:dyDescent="0.2">
      <c r="A29" s="7" t="s">
        <v>163</v>
      </c>
      <c r="B29" s="8">
        <v>0.01</v>
      </c>
      <c r="C29" s="9" t="s">
        <v>130</v>
      </c>
      <c r="D29" s="10" t="s">
        <v>164</v>
      </c>
    </row>
    <row r="30" spans="1:5" ht="15" customHeight="1" x14ac:dyDescent="0.2">
      <c r="A30" s="7" t="s">
        <v>165</v>
      </c>
      <c r="B30" s="8">
        <v>3.5</v>
      </c>
      <c r="C30" s="9" t="s">
        <v>5</v>
      </c>
      <c r="D30" s="10" t="s">
        <v>166</v>
      </c>
    </row>
    <row r="31" spans="1:5" ht="15" customHeight="1" x14ac:dyDescent="0.2">
      <c r="A31" s="7" t="s">
        <v>167</v>
      </c>
      <c r="B31" s="8">
        <v>3</v>
      </c>
      <c r="C31" s="9" t="s">
        <v>5</v>
      </c>
      <c r="D31" s="10" t="s">
        <v>168</v>
      </c>
    </row>
    <row r="33" spans="1:4" ht="15" customHeight="1" x14ac:dyDescent="0.2">
      <c r="A33" s="89" t="s">
        <v>169</v>
      </c>
      <c r="B33" s="90"/>
      <c r="C33" s="90"/>
      <c r="D33" s="90"/>
    </row>
    <row r="34" spans="1:4" ht="15" customHeight="1" x14ac:dyDescent="0.2">
      <c r="A34" s="7" t="s">
        <v>170</v>
      </c>
      <c r="B34" s="8">
        <v>2026</v>
      </c>
      <c r="C34" s="9" t="s">
        <v>171</v>
      </c>
      <c r="D34" s="10" t="s">
        <v>172</v>
      </c>
    </row>
    <row r="35" spans="1:4" ht="15" customHeight="1" x14ac:dyDescent="0.2">
      <c r="A35" s="7" t="s">
        <v>173</v>
      </c>
      <c r="B35" s="8">
        <v>10</v>
      </c>
      <c r="C35" s="9" t="s">
        <v>174</v>
      </c>
      <c r="D35" s="10" t="s">
        <v>175</v>
      </c>
    </row>
    <row r="36" spans="1:4" ht="15" customHeight="1" x14ac:dyDescent="0.2">
      <c r="A36" s="7" t="s">
        <v>176</v>
      </c>
      <c r="B36" s="8">
        <v>100000000</v>
      </c>
      <c r="C36" s="9" t="s">
        <v>177</v>
      </c>
      <c r="D36" s="10" t="s">
        <v>178</v>
      </c>
    </row>
    <row r="37" spans="1:4" ht="23.25" customHeight="1" x14ac:dyDescent="0.2">
      <c r="A37" s="7" t="s">
        <v>179</v>
      </c>
      <c r="B37" s="8">
        <v>15</v>
      </c>
      <c r="C37" s="9" t="s">
        <v>180</v>
      </c>
      <c r="D37" s="10" t="s">
        <v>181</v>
      </c>
    </row>
    <row r="39" spans="1:4" x14ac:dyDescent="0.2">
      <c r="A39" t="s">
        <v>182</v>
      </c>
    </row>
    <row r="40" spans="1:4" x14ac:dyDescent="0.2">
      <c r="A40" t="s">
        <v>117</v>
      </c>
      <c r="B40" t="s">
        <v>118</v>
      </c>
      <c r="C40" t="s">
        <v>2</v>
      </c>
      <c r="D40" t="s">
        <v>119</v>
      </c>
    </row>
    <row r="41" spans="1:4" x14ac:dyDescent="0.2">
      <c r="A41" t="s">
        <v>183</v>
      </c>
      <c r="B41" s="87">
        <v>0.01</v>
      </c>
      <c r="C41" t="s">
        <v>184</v>
      </c>
      <c r="D41" t="s">
        <v>185</v>
      </c>
    </row>
    <row r="42" spans="1:4" x14ac:dyDescent="0.2">
      <c r="A42" t="s">
        <v>186</v>
      </c>
      <c r="B42" s="87">
        <f>0.35*0.1</f>
        <v>3.4999999999999996E-2</v>
      </c>
      <c r="C42" t="s">
        <v>184</v>
      </c>
      <c r="D42" t="s">
        <v>187</v>
      </c>
    </row>
    <row r="43" spans="1:4" x14ac:dyDescent="0.2">
      <c r="A43" t="s">
        <v>188</v>
      </c>
      <c r="B43" s="54">
        <v>0.5</v>
      </c>
      <c r="C43" t="s">
        <v>189</v>
      </c>
      <c r="D43" t="s">
        <v>190</v>
      </c>
    </row>
    <row r="44" spans="1:4" x14ac:dyDescent="0.2">
      <c r="A44" t="s">
        <v>191</v>
      </c>
      <c r="B44" s="54">
        <v>0.3</v>
      </c>
      <c r="C44" t="s">
        <v>189</v>
      </c>
      <c r="D44" t="s">
        <v>192</v>
      </c>
    </row>
    <row r="45" spans="1:4" x14ac:dyDescent="0.2">
      <c r="A45" t="s">
        <v>193</v>
      </c>
      <c r="B45" s="54">
        <v>0.8</v>
      </c>
      <c r="C45" t="s">
        <v>5</v>
      </c>
      <c r="D45" t="s">
        <v>194</v>
      </c>
    </row>
    <row r="46" spans="1:4" x14ac:dyDescent="0.2">
      <c r="A46" t="s">
        <v>195</v>
      </c>
      <c r="B46" s="54">
        <v>0.65</v>
      </c>
      <c r="C46" t="s">
        <v>5</v>
      </c>
      <c r="D46" t="s">
        <v>196</v>
      </c>
    </row>
    <row r="48" spans="1:4" x14ac:dyDescent="0.2">
      <c r="A48" t="s">
        <v>197</v>
      </c>
    </row>
    <row r="49" spans="1:4" x14ac:dyDescent="0.2">
      <c r="A49" t="s">
        <v>117</v>
      </c>
      <c r="B49" t="s">
        <v>118</v>
      </c>
      <c r="C49" t="s">
        <v>2</v>
      </c>
      <c r="D49" t="s">
        <v>119</v>
      </c>
    </row>
    <row r="50" spans="1:4" x14ac:dyDescent="0.2">
      <c r="A50" t="s">
        <v>188</v>
      </c>
      <c r="B50" s="54">
        <v>0.5</v>
      </c>
      <c r="C50" t="s">
        <v>189</v>
      </c>
      <c r="D50" t="s">
        <v>198</v>
      </c>
    </row>
    <row r="51" spans="1:4" x14ac:dyDescent="0.2">
      <c r="A51" t="s">
        <v>191</v>
      </c>
      <c r="B51" s="54">
        <v>0.3</v>
      </c>
      <c r="C51" t="s">
        <v>189</v>
      </c>
      <c r="D51" t="s">
        <v>198</v>
      </c>
    </row>
    <row r="52" spans="1:4" x14ac:dyDescent="0.2">
      <c r="A52" t="s">
        <v>199</v>
      </c>
      <c r="B52" s="54">
        <v>1</v>
      </c>
      <c r="C52" t="s">
        <v>200</v>
      </c>
      <c r="D52" t="s">
        <v>201</v>
      </c>
    </row>
    <row r="53" spans="1:4" x14ac:dyDescent="0.2">
      <c r="A53" t="s">
        <v>202</v>
      </c>
      <c r="B53" s="54">
        <v>1</v>
      </c>
      <c r="C53" t="s">
        <v>203</v>
      </c>
      <c r="D53" t="s">
        <v>201</v>
      </c>
    </row>
    <row r="54" spans="1:4" x14ac:dyDescent="0.2">
      <c r="A54" t="s">
        <v>204</v>
      </c>
      <c r="B54" s="54">
        <v>1</v>
      </c>
      <c r="C54" t="s">
        <v>205</v>
      </c>
      <c r="D54" t="s">
        <v>201</v>
      </c>
    </row>
    <row r="55" spans="1:4" x14ac:dyDescent="0.2">
      <c r="A55" t="s">
        <v>206</v>
      </c>
      <c r="B55" s="54">
        <v>1</v>
      </c>
      <c r="C55" t="s">
        <v>207</v>
      </c>
      <c r="D55" t="s">
        <v>201</v>
      </c>
    </row>
    <row r="56" spans="1:4" x14ac:dyDescent="0.2">
      <c r="A56" t="s">
        <v>208</v>
      </c>
      <c r="B56" s="54">
        <v>1</v>
      </c>
      <c r="C56" t="s">
        <v>209</v>
      </c>
      <c r="D56" t="s">
        <v>201</v>
      </c>
    </row>
    <row r="57" spans="1:4" x14ac:dyDescent="0.2">
      <c r="A57" t="s">
        <v>210</v>
      </c>
      <c r="B57" s="54">
        <v>1</v>
      </c>
      <c r="C57" t="s">
        <v>211</v>
      </c>
      <c r="D57" t="s">
        <v>201</v>
      </c>
    </row>
    <row r="59" spans="1:4" x14ac:dyDescent="0.2">
      <c r="A59" s="67" t="s">
        <v>212</v>
      </c>
    </row>
    <row r="60" spans="1:4" x14ac:dyDescent="0.2">
      <c r="A60" s="68" t="s">
        <v>213</v>
      </c>
      <c r="B60" s="69">
        <v>0.53</v>
      </c>
      <c r="C60" s="68" t="s">
        <v>214</v>
      </c>
      <c r="D60" s="70" t="s">
        <v>215</v>
      </c>
    </row>
    <row r="61" spans="1:4" x14ac:dyDescent="0.2">
      <c r="A61" s="68" t="s">
        <v>216</v>
      </c>
      <c r="B61" s="69">
        <v>0.95</v>
      </c>
      <c r="C61" s="68" t="s">
        <v>44</v>
      </c>
      <c r="D61" s="70" t="s">
        <v>217</v>
      </c>
    </row>
    <row r="62" spans="1:4" x14ac:dyDescent="0.2">
      <c r="A62" s="68" t="s">
        <v>218</v>
      </c>
      <c r="B62" s="69">
        <v>0.1</v>
      </c>
      <c r="C62" s="68" t="s">
        <v>44</v>
      </c>
      <c r="D62" s="70" t="s">
        <v>219</v>
      </c>
    </row>
    <row r="63" spans="1:4" x14ac:dyDescent="0.2">
      <c r="A63" s="68" t="s">
        <v>220</v>
      </c>
      <c r="B63" s="69">
        <v>15</v>
      </c>
      <c r="C63" s="68" t="s">
        <v>221</v>
      </c>
      <c r="D63" s="70" t="s">
        <v>222</v>
      </c>
    </row>
    <row r="64" spans="1:4" x14ac:dyDescent="0.2">
      <c r="A64" s="68" t="s">
        <v>223</v>
      </c>
      <c r="B64" s="69">
        <v>3.5999999999999999E-3</v>
      </c>
      <c r="C64" s="68" t="s">
        <v>224</v>
      </c>
      <c r="D64" s="70" t="s">
        <v>225</v>
      </c>
    </row>
    <row r="65" spans="1:4" x14ac:dyDescent="0.2">
      <c r="A65" s="68" t="s">
        <v>226</v>
      </c>
      <c r="B65" s="69">
        <v>35000</v>
      </c>
      <c r="C65" s="68" t="s">
        <v>12</v>
      </c>
      <c r="D65" s="70" t="s">
        <v>227</v>
      </c>
    </row>
  </sheetData>
  <mergeCells count="6">
    <mergeCell ref="A33:D33"/>
    <mergeCell ref="A1:D1"/>
    <mergeCell ref="A5:D5"/>
    <mergeCell ref="A25:D25"/>
    <mergeCell ref="A19:D1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zoomScale="165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9" sqref="C9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35.83203125" bestFit="1" customWidth="1"/>
    <col min="4" max="16" width="10" customWidth="1"/>
    <col min="17" max="34" width="11.33203125" customWidth="1"/>
  </cols>
  <sheetData>
    <row r="1" spans="1:34" ht="17.25" customHeight="1" x14ac:dyDescent="0.2">
      <c r="A1" s="1" t="s">
        <v>228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229</v>
      </c>
      <c r="B5" s="14" t="s">
        <v>122</v>
      </c>
      <c r="C5" s="15" t="s">
        <v>230</v>
      </c>
      <c r="D5" s="16">
        <f>Inputs!$B$6+(Inputs!$B$7-Inputs!$B$6)*(D$3-2020)/30</f>
        <v>6735277</v>
      </c>
      <c r="E5" s="16">
        <f>Inputs!$B$6+(Inputs!$B$7-Inputs!$B$6)*(E$3-2020)/30</f>
        <v>6860999.5</v>
      </c>
      <c r="F5" s="16">
        <f>Inputs!$B$6+(Inputs!$B$7-Inputs!$B$6)*(F$3-2020)/30</f>
        <v>6986722</v>
      </c>
      <c r="G5" s="16">
        <f>Inputs!$B$6+(Inputs!$B$7-Inputs!$B$6)*(G$3-2020)/30</f>
        <v>7112444.5</v>
      </c>
      <c r="H5" s="16">
        <f>Inputs!$B$6+(Inputs!$B$7-Inputs!$B$6)*(H$3-2020)/30</f>
        <v>7238167</v>
      </c>
      <c r="I5" s="16">
        <f>Inputs!$B$6+(Inputs!$B$7-Inputs!$B$6)*(I$3-2020)/30</f>
        <v>7363889.5</v>
      </c>
      <c r="J5" s="16">
        <f>Inputs!$B$6+(Inputs!$B$7-Inputs!$B$6)*(J$3-2020)/30</f>
        <v>7489612</v>
      </c>
      <c r="K5" s="16">
        <f>Inputs!$B$6+(Inputs!$B$7-Inputs!$B$6)*(K$3-2020)/30</f>
        <v>7615334.5</v>
      </c>
      <c r="L5" s="16">
        <f>Inputs!$B$6+(Inputs!$B$7-Inputs!$B$6)*(L$3-2020)/30</f>
        <v>7741057</v>
      </c>
      <c r="M5" s="16">
        <f>Inputs!$B$6+(Inputs!$B$7-Inputs!$B$6)*(M$3-2020)/30</f>
        <v>7866779.5</v>
      </c>
      <c r="N5" s="16">
        <f>Inputs!$B$6+(Inputs!$B$7-Inputs!$B$6)*(N$3-2020)/30</f>
        <v>7992502</v>
      </c>
      <c r="O5" s="16">
        <f>Inputs!$B$6+(Inputs!$B$7-Inputs!$B$6)*(O$3-2020)/30</f>
        <v>8118224.5</v>
      </c>
      <c r="P5" s="16">
        <f>Inputs!$B$6+(Inputs!$B$7-Inputs!$B$6)*(P$3-2020)/30</f>
        <v>8243947</v>
      </c>
      <c r="Q5" s="16">
        <f>Inputs!$B$6+(Inputs!$B$7-Inputs!$B$6)*(Q$3-2020)/30</f>
        <v>8369669.5</v>
      </c>
      <c r="R5" s="16">
        <f>Inputs!$B$6+(Inputs!$B$7-Inputs!$B$6)*(R$3-2020)/30</f>
        <v>8495392</v>
      </c>
      <c r="S5" s="16">
        <f>Inputs!$B$6+(Inputs!$B$7-Inputs!$B$6)*(S$3-2020)/30</f>
        <v>8621114.5</v>
      </c>
      <c r="T5" s="16">
        <f>Inputs!$B$6+(Inputs!$B$7-Inputs!$B$6)*(T$3-2020)/30</f>
        <v>8746837</v>
      </c>
      <c r="U5" s="16">
        <f>Inputs!$B$6+(Inputs!$B$7-Inputs!$B$6)*(U$3-2020)/30</f>
        <v>8872559.5</v>
      </c>
      <c r="V5" s="16">
        <f>Inputs!$B$6+(Inputs!$B$7-Inputs!$B$6)*(V$3-2020)/30</f>
        <v>8998282</v>
      </c>
      <c r="W5" s="16">
        <f>Inputs!$B$6+(Inputs!$B$7-Inputs!$B$6)*(W$3-2020)/30</f>
        <v>9124004.5</v>
      </c>
      <c r="X5" s="16">
        <f>Inputs!$B$6+(Inputs!$B$7-Inputs!$B$6)*(X$3-2020)/30</f>
        <v>9249727</v>
      </c>
      <c r="Y5" s="16">
        <f>Inputs!$B$6+(Inputs!$B$7-Inputs!$B$6)*(Y$3-2020)/30</f>
        <v>9375449.5</v>
      </c>
      <c r="Z5" s="16">
        <f>Inputs!$B$6+(Inputs!$B$7-Inputs!$B$6)*(Z$3-2020)/30</f>
        <v>9501172</v>
      </c>
      <c r="AA5" s="16">
        <f>Inputs!$B$6+(Inputs!$B$7-Inputs!$B$6)*(AA$3-2020)/30</f>
        <v>9626894.5</v>
      </c>
      <c r="AB5" s="16">
        <f>Inputs!$B$6+(Inputs!$B$7-Inputs!$B$6)*(AB$3-2020)/30</f>
        <v>9752617</v>
      </c>
      <c r="AC5" s="16">
        <f>Inputs!$B$6+(Inputs!$B$7-Inputs!$B$6)*(AC$3-2020)/30</f>
        <v>9878339.5</v>
      </c>
      <c r="AD5" s="16">
        <f>Inputs!$B$6+(Inputs!$B$7-Inputs!$B$6)*(AD$3-2020)/30</f>
        <v>10004062</v>
      </c>
      <c r="AE5" s="16">
        <f>Inputs!$B$6+(Inputs!$B$7-Inputs!$B$6)*(AE$3-2020)/30</f>
        <v>10129784.5</v>
      </c>
      <c r="AF5" s="16">
        <f>Inputs!$B$6+(Inputs!$B$7-Inputs!$B$6)*(AF$3-2020)/30</f>
        <v>10255507</v>
      </c>
      <c r="AG5" s="16">
        <f>Inputs!$B$6+(Inputs!$B$7-Inputs!$B$6)*(AG$3-2020)/30</f>
        <v>10381229.5</v>
      </c>
      <c r="AH5" s="16">
        <f>Inputs!$B$6+(Inputs!$B$7-Inputs!$B$6)*(AH$3-2020)/30</f>
        <v>10506952</v>
      </c>
    </row>
    <row r="6" spans="1:34" ht="15" customHeight="1" x14ac:dyDescent="0.2">
      <c r="A6" s="13" t="s">
        <v>231</v>
      </c>
      <c r="B6" s="14" t="s">
        <v>232</v>
      </c>
      <c r="C6" s="15" t="s">
        <v>233</v>
      </c>
      <c r="D6" s="16">
        <f>Inputs!$B$8*(1+Inputs!$B$9)^(D$3-2020)</f>
        <v>6357</v>
      </c>
      <c r="E6" s="16">
        <f>Inputs!$B$8*(1+Inputs!$B$9)^(E$3-2020)</f>
        <v>6534.9960000000001</v>
      </c>
      <c r="F6" s="16">
        <f>Inputs!$B$8*(1+Inputs!$B$9)^(F$3-2020)</f>
        <v>6717.9758879999999</v>
      </c>
      <c r="G6" s="16">
        <f>Inputs!$B$8*(1+Inputs!$B$9)^(G$3-2020)</f>
        <v>6906.0792128639996</v>
      </c>
      <c r="H6" s="16">
        <f>Inputs!$B$8*(1+Inputs!$B$9)^(H$3-2020)</f>
        <v>7099.4494308241919</v>
      </c>
      <c r="I6" s="16">
        <f>Inputs!$B$8*(1+Inputs!$B$9)^(I$3-2020)</f>
        <v>7298.234014887269</v>
      </c>
      <c r="J6" s="16">
        <f>Inputs!$B$8*(1+Inputs!$B$9)^(J$3-2020)</f>
        <v>7502.5845673041131</v>
      </c>
      <c r="K6" s="16">
        <f>Inputs!$B$8*(1+Inputs!$B$9)^(K$3-2020)</f>
        <v>7712.6569351886283</v>
      </c>
      <c r="L6" s="16">
        <f>Inputs!$B$8*(1+Inputs!$B$9)^(L$3-2020)</f>
        <v>7928.6113293739099</v>
      </c>
      <c r="M6" s="16">
        <f>Inputs!$B$8*(1+Inputs!$B$9)^(M$3-2020)</f>
        <v>8150.6124465963794</v>
      </c>
      <c r="N6" s="16">
        <f>Inputs!$B$8*(1+Inputs!$B$9)^(N$3-2020)</f>
        <v>8378.8295951010768</v>
      </c>
      <c r="O6" s="16">
        <f>Inputs!$B$8*(1+Inputs!$B$9)^(O$3-2020)</f>
        <v>8613.4368237639083</v>
      </c>
      <c r="P6" s="16">
        <f>Inputs!$B$8*(1+Inputs!$B$9)^(P$3-2020)</f>
        <v>8854.6130548292986</v>
      </c>
      <c r="Q6" s="16">
        <f>Inputs!$B$8*(1+Inputs!$B$9)^(Q$3-2020)</f>
        <v>9102.5422203645176</v>
      </c>
      <c r="R6" s="16">
        <f>Inputs!$B$8*(1+Inputs!$B$9)^(R$3-2020)</f>
        <v>9357.413402534723</v>
      </c>
      <c r="S6" s="16">
        <f>Inputs!$B$8*(1+Inputs!$B$9)^(S$3-2020)</f>
        <v>9619.4209778056975</v>
      </c>
      <c r="T6" s="16">
        <f>Inputs!$B$8*(1+Inputs!$B$9)^(T$3-2020)</f>
        <v>9888.7647651842562</v>
      </c>
      <c r="U6" s="16">
        <f>Inputs!$B$8*(1+Inputs!$B$9)^(U$3-2020)</f>
        <v>10165.650178609416</v>
      </c>
      <c r="V6" s="16">
        <f>Inputs!$B$8*(1+Inputs!$B$9)^(V$3-2020)</f>
        <v>10450.288383610477</v>
      </c>
      <c r="W6" s="16">
        <f>Inputs!$B$8*(1+Inputs!$B$9)^(W$3-2020)</f>
        <v>10742.896458351572</v>
      </c>
      <c r="X6" s="16">
        <f>Inputs!$B$8*(1+Inputs!$B$9)^(X$3-2020)</f>
        <v>11043.697559185415</v>
      </c>
      <c r="Y6" s="16">
        <f>Inputs!$B$8*(1+Inputs!$B$9)^(Y$3-2020)</f>
        <v>11352.921090842607</v>
      </c>
      <c r="Z6" s="16">
        <f>Inputs!$B$8*(1+Inputs!$B$9)^(Z$3-2020)</f>
        <v>11670.802881386202</v>
      </c>
      <c r="AA6" s="16">
        <f>Inputs!$B$8*(1+Inputs!$B$9)^(AA$3-2020)</f>
        <v>11997.585362065014</v>
      </c>
      <c r="AB6" s="16">
        <f>Inputs!$B$8*(1+Inputs!$B$9)^(AB$3-2020)</f>
        <v>12333.517752202835</v>
      </c>
      <c r="AC6" s="16">
        <f>Inputs!$B$8*(1+Inputs!$B$9)^(AC$3-2020)</f>
        <v>12678.856249264514</v>
      </c>
      <c r="AD6" s="16">
        <f>Inputs!$B$8*(1+Inputs!$B$9)^(AD$3-2020)</f>
        <v>13033.86422424392</v>
      </c>
      <c r="AE6" s="16">
        <f>Inputs!$B$8*(1+Inputs!$B$9)^(AE$3-2020)</f>
        <v>13398.812422522751</v>
      </c>
      <c r="AF6" s="16">
        <f>Inputs!$B$8*(1+Inputs!$B$9)^(AF$3-2020)</f>
        <v>13773.97917035339</v>
      </c>
      <c r="AG6" s="16">
        <f>Inputs!$B$8*(1+Inputs!$B$9)^(AG$3-2020)</f>
        <v>14159.650587123282</v>
      </c>
      <c r="AH6" s="16">
        <f>Inputs!$B$8*(1+Inputs!$B$9)^(AH$3-2020)</f>
        <v>14556.120803562733</v>
      </c>
    </row>
    <row r="7" spans="1:34" ht="15" customHeight="1" x14ac:dyDescent="0.2">
      <c r="A7" s="13" t="s">
        <v>234</v>
      </c>
      <c r="B7" s="14" t="s">
        <v>235</v>
      </c>
      <c r="C7" s="15" t="s">
        <v>236</v>
      </c>
      <c r="D7" s="17">
        <f t="shared" ref="D7:AH7" si="0">D5*D6/1000000</f>
        <v>42816.155889000001</v>
      </c>
      <c r="E7" s="17">
        <f t="shared" si="0"/>
        <v>44836.604288502</v>
      </c>
      <c r="F7" s="17">
        <f t="shared" si="0"/>
        <v>46936.629932159136</v>
      </c>
      <c r="G7" s="17">
        <f t="shared" si="0"/>
        <v>49119.105114098886</v>
      </c>
      <c r="H7" s="17">
        <f t="shared" si="0"/>
        <v>51387.000588360454</v>
      </c>
      <c r="I7" s="17">
        <f t="shared" si="0"/>
        <v>53743.388830771204</v>
      </c>
      <c r="J7" s="17">
        <f t="shared" si="0"/>
        <v>56191.447406295694</v>
      </c>
      <c r="K7" s="17">
        <f t="shared" si="0"/>
        <v>58734.46244520622</v>
      </c>
      <c r="L7" s="17">
        <f t="shared" si="0"/>
        <v>61375.83223152921</v>
      </c>
      <c r="M7" s="17">
        <f t="shared" si="0"/>
        <v>64119.070907329238</v>
      </c>
      <c r="N7" s="17">
        <f t="shared" si="0"/>
        <v>66967.812296504548</v>
      </c>
      <c r="O7" s="17">
        <f t="shared" si="0"/>
        <v>69925.81385188234</v>
      </c>
      <c r="P7" s="17">
        <f t="shared" si="0"/>
        <v>72996.960729520826</v>
      </c>
      <c r="Q7" s="17">
        <f t="shared" si="0"/>
        <v>76185.269994247181</v>
      </c>
      <c r="R7" s="17">
        <f t="shared" si="0"/>
        <v>79494.894960586258</v>
      </c>
      <c r="S7" s="17">
        <f t="shared" si="0"/>
        <v>82930.129673364878</v>
      </c>
      <c r="T7" s="17">
        <f t="shared" si="0"/>
        <v>86495.413532409962</v>
      </c>
      <c r="U7" s="17">
        <f t="shared" si="0"/>
        <v>90195.336065897674</v>
      </c>
      <c r="V7" s="17">
        <f t="shared" si="0"/>
        <v>94034.641857051261</v>
      </c>
      <c r="W7" s="17">
        <f t="shared" si="0"/>
        <v>98018.235629033792</v>
      </c>
      <c r="X7" s="17">
        <f t="shared" si="0"/>
        <v>102151.18749303144</v>
      </c>
      <c r="Y7" s="17">
        <f t="shared" si="0"/>
        <v>106438.73836467977</v>
      </c>
      <c r="Z7" s="17">
        <f t="shared" si="0"/>
        <v>110886.3055541459</v>
      </c>
      <c r="AA7" s="17">
        <f t="shared" si="0"/>
        <v>115499.48853534419</v>
      </c>
      <c r="AB7" s="17">
        <f t="shared" si="0"/>
        <v>120284.07489993516</v>
      </c>
      <c r="AC7" s="17">
        <f t="shared" si="0"/>
        <v>125246.0465019315</v>
      </c>
      <c r="AD7" s="17">
        <f t="shared" si="0"/>
        <v>130391.58579891808</v>
      </c>
      <c r="AE7" s="17">
        <f t="shared" si="0"/>
        <v>135727.08239607842</v>
      </c>
      <c r="AF7" s="17">
        <f t="shared" si="0"/>
        <v>141259.13979941339</v>
      </c>
      <c r="AG7" s="17">
        <f t="shared" si="0"/>
        <v>146994.58238473654</v>
      </c>
      <c r="AH7" s="17">
        <f t="shared" si="0"/>
        <v>152940.46258923507</v>
      </c>
    </row>
    <row r="9" spans="1:34" ht="15" customHeight="1" x14ac:dyDescent="0.2">
      <c r="A9" s="13" t="s">
        <v>237</v>
      </c>
      <c r="B9" s="14" t="s">
        <v>133</v>
      </c>
      <c r="C9" s="15" t="s">
        <v>238</v>
      </c>
      <c r="D9" s="18">
        <f>Inputs!$B$12*(1+Inputs!$B$13)^(D$3-2020)</f>
        <v>415</v>
      </c>
      <c r="E9" s="18">
        <f>Inputs!$B$12*(1+Inputs!$B$13)^(E$3-2020)</f>
        <v>412.92500000000001</v>
      </c>
      <c r="F9" s="18">
        <f>Inputs!$B$12*(1+Inputs!$B$13)^(F$3-2020)</f>
        <v>410.86037500000003</v>
      </c>
      <c r="G9" s="18">
        <f>Inputs!$B$12*(1+Inputs!$B$13)^(G$3-2020)</f>
        <v>408.80607312500001</v>
      </c>
      <c r="H9" s="18">
        <f>Inputs!$B$12*(1+Inputs!$B$13)^(H$3-2020)</f>
        <v>406.76204275937505</v>
      </c>
      <c r="I9" s="18">
        <f>Inputs!$B$12*(1+Inputs!$B$13)^(I$3-2020)</f>
        <v>404.72823254557818</v>
      </c>
      <c r="J9" s="18">
        <f>Inputs!$B$12*(1+Inputs!$B$13)^(J$3-2020)</f>
        <v>402.70459138285025</v>
      </c>
      <c r="K9" s="18">
        <f>Inputs!$B$12*(1+Inputs!$B$13)^(K$3-2020)</f>
        <v>400.69106842593601</v>
      </c>
      <c r="L9" s="18">
        <f>Inputs!$B$12*(1+Inputs!$B$13)^(L$3-2020)</f>
        <v>398.68761308380635</v>
      </c>
      <c r="M9" s="18">
        <f>Inputs!$B$12*(1+Inputs!$B$13)^(M$3-2020)</f>
        <v>396.69417501838728</v>
      </c>
      <c r="N9" s="18">
        <f>Inputs!$B$12*(1+Inputs!$B$13)^(N$3-2020)</f>
        <v>394.71070414329535</v>
      </c>
      <c r="O9" s="18">
        <f>Inputs!$B$12*(1+Inputs!$B$13)^(O$3-2020)</f>
        <v>392.73715062257889</v>
      </c>
      <c r="P9" s="18">
        <f>Inputs!$B$12*(1+Inputs!$B$13)^(P$3-2020)</f>
        <v>390.77346486946601</v>
      </c>
      <c r="Q9" s="18">
        <f>Inputs!$B$12*(1+Inputs!$B$13)^(Q$3-2020)</f>
        <v>388.81959754511871</v>
      </c>
      <c r="R9" s="18">
        <f>Inputs!$B$12*(1+Inputs!$B$13)^(R$3-2020)</f>
        <v>386.87549955739314</v>
      </c>
      <c r="S9" s="18">
        <f>Inputs!$B$12*(1+Inputs!$B$13)^(S$3-2020)</f>
        <v>384.94112205960613</v>
      </c>
      <c r="T9" s="18">
        <f>Inputs!$B$12*(1+Inputs!$B$13)^(T$3-2020)</f>
        <v>383.01641644930811</v>
      </c>
      <c r="U9" s="18">
        <f>Inputs!$B$12*(1+Inputs!$B$13)^(U$3-2020)</f>
        <v>381.10133436706155</v>
      </c>
      <c r="V9" s="18">
        <f>Inputs!$B$12*(1+Inputs!$B$13)^(V$3-2020)</f>
        <v>379.19582769522623</v>
      </c>
      <c r="W9" s="18">
        <f>Inputs!$B$12*(1+Inputs!$B$13)^(W$3-2020)</f>
        <v>377.29984855675013</v>
      </c>
      <c r="X9" s="18">
        <f>Inputs!$B$12*(1+Inputs!$B$13)^(X$3-2020)</f>
        <v>375.41334931396636</v>
      </c>
      <c r="Y9" s="18">
        <f>Inputs!$B$12*(1+Inputs!$B$13)^(Y$3-2020)</f>
        <v>373.53628256739654</v>
      </c>
      <c r="Z9" s="18">
        <f>Inputs!$B$12*(1+Inputs!$B$13)^(Z$3-2020)</f>
        <v>371.66860115455955</v>
      </c>
      <c r="AA9" s="18">
        <f>Inputs!$B$12*(1+Inputs!$B$13)^(AA$3-2020)</f>
        <v>369.81025814878677</v>
      </c>
      <c r="AB9" s="18">
        <f>Inputs!$B$12*(1+Inputs!$B$13)^(AB$3-2020)</f>
        <v>367.96120685804283</v>
      </c>
      <c r="AC9" s="18">
        <f>Inputs!$B$12*(1+Inputs!$B$13)^(AC$3-2020)</f>
        <v>366.12140082375265</v>
      </c>
      <c r="AD9" s="18">
        <f>Inputs!$B$12*(1+Inputs!$B$13)^(AD$3-2020)</f>
        <v>364.2907938196339</v>
      </c>
      <c r="AE9" s="18">
        <f>Inputs!$B$12*(1+Inputs!$B$13)^(AE$3-2020)</f>
        <v>362.46933985053568</v>
      </c>
      <c r="AF9" s="18">
        <f>Inputs!$B$12*(1+Inputs!$B$13)^(AF$3-2020)</f>
        <v>360.65699315128307</v>
      </c>
      <c r="AG9" s="18">
        <f>Inputs!$B$12*(1+Inputs!$B$13)^(AG$3-2020)</f>
        <v>358.85370818552667</v>
      </c>
      <c r="AH9" s="18">
        <f>Inputs!$B$12*(1+Inputs!$B$13)^(AH$3-2020)</f>
        <v>357.05943964459902</v>
      </c>
    </row>
    <row r="10" spans="1:34" ht="15" customHeight="1" x14ac:dyDescent="0.2">
      <c r="A10" s="13" t="s">
        <v>239</v>
      </c>
      <c r="B10" s="14" t="s">
        <v>240</v>
      </c>
      <c r="C10" s="15" t="s">
        <v>238</v>
      </c>
      <c r="D10" s="19">
        <f>Inputs!$B$14*(1+Inputs!$B$15)^(D$3-2020)</f>
        <v>5.8</v>
      </c>
      <c r="E10" s="19">
        <f>Inputs!$B$14*(1+Inputs!$B$15)^(E$3-2020)</f>
        <v>5.742</v>
      </c>
      <c r="F10" s="19">
        <f>Inputs!$B$14*(1+Inputs!$B$15)^(F$3-2020)</f>
        <v>5.6845799999999995</v>
      </c>
      <c r="G10" s="19">
        <f>Inputs!$B$14*(1+Inputs!$B$15)^(G$3-2020)</f>
        <v>5.627734199999999</v>
      </c>
      <c r="H10" s="19">
        <f>Inputs!$B$14*(1+Inputs!$B$15)^(H$3-2020)</f>
        <v>5.5714568579999995</v>
      </c>
      <c r="I10" s="19">
        <f>Inputs!$B$14*(1+Inputs!$B$15)^(I$3-2020)</f>
        <v>5.5157422894199994</v>
      </c>
      <c r="J10" s="19">
        <f>Inputs!$B$14*(1+Inputs!$B$15)^(J$3-2020)</f>
        <v>5.4605848665257994</v>
      </c>
      <c r="K10" s="19">
        <f>Inputs!$B$14*(1+Inputs!$B$15)^(K$3-2020)</f>
        <v>5.4059790178605409</v>
      </c>
      <c r="L10" s="19">
        <f>Inputs!$B$14*(1+Inputs!$B$15)^(L$3-2020)</f>
        <v>5.3519192276819352</v>
      </c>
      <c r="M10" s="19">
        <f>Inputs!$B$14*(1+Inputs!$B$15)^(M$3-2020)</f>
        <v>5.2984000354051162</v>
      </c>
      <c r="N10" s="19">
        <f>Inputs!$B$14*(1+Inputs!$B$15)^(N$3-2020)</f>
        <v>5.2454160350510648</v>
      </c>
      <c r="O10" s="19">
        <f>Inputs!$B$14*(1+Inputs!$B$15)^(O$3-2020)</f>
        <v>5.1929618747005541</v>
      </c>
      <c r="P10" s="19">
        <f>Inputs!$B$14*(1+Inputs!$B$15)^(P$3-2020)</f>
        <v>5.1410322559535491</v>
      </c>
      <c r="Q10" s="19">
        <f>Inputs!$B$14*(1+Inputs!$B$15)^(Q$3-2020)</f>
        <v>5.0896219333940129</v>
      </c>
      <c r="R10" s="19">
        <f>Inputs!$B$14*(1+Inputs!$B$15)^(R$3-2020)</f>
        <v>5.0387257140600727</v>
      </c>
      <c r="S10" s="19">
        <f>Inputs!$B$14*(1+Inputs!$B$15)^(S$3-2020)</f>
        <v>4.9883384569194718</v>
      </c>
      <c r="T10" s="19">
        <f>Inputs!$B$14*(1+Inputs!$B$15)^(T$3-2020)</f>
        <v>4.9384550723502771</v>
      </c>
      <c r="U10" s="19">
        <f>Inputs!$B$14*(1+Inputs!$B$15)^(U$3-2020)</f>
        <v>4.889070521626774</v>
      </c>
      <c r="V10" s="19">
        <f>Inputs!$B$14*(1+Inputs!$B$15)^(V$3-2020)</f>
        <v>4.8401798164105063</v>
      </c>
      <c r="W10" s="19">
        <f>Inputs!$B$14*(1+Inputs!$B$15)^(W$3-2020)</f>
        <v>4.7917780182464007</v>
      </c>
      <c r="X10" s="19">
        <f>Inputs!$B$14*(1+Inputs!$B$15)^(X$3-2020)</f>
        <v>4.7438602380639381</v>
      </c>
      <c r="Y10" s="19">
        <f>Inputs!$B$14*(1+Inputs!$B$15)^(Y$3-2020)</f>
        <v>4.696421635683298</v>
      </c>
      <c r="Z10" s="19">
        <f>Inputs!$B$14*(1+Inputs!$B$15)^(Z$3-2020)</f>
        <v>4.6494574193264642</v>
      </c>
      <c r="AA10" s="19">
        <f>Inputs!$B$14*(1+Inputs!$B$15)^(AA$3-2020)</f>
        <v>4.6029628451332005</v>
      </c>
      <c r="AB10" s="19">
        <f>Inputs!$B$14*(1+Inputs!$B$15)^(AB$3-2020)</f>
        <v>4.5569332166818679</v>
      </c>
      <c r="AC10" s="19">
        <f>Inputs!$B$14*(1+Inputs!$B$15)^(AC$3-2020)</f>
        <v>4.511363884515049</v>
      </c>
      <c r="AD10" s="19">
        <f>Inputs!$B$14*(1+Inputs!$B$15)^(AD$3-2020)</f>
        <v>4.4662502456698991</v>
      </c>
      <c r="AE10" s="19">
        <f>Inputs!$B$14*(1+Inputs!$B$15)^(AE$3-2020)</f>
        <v>4.4215877432132</v>
      </c>
      <c r="AF10" s="19">
        <f>Inputs!$B$14*(1+Inputs!$B$15)^(AF$3-2020)</f>
        <v>4.3773718657810674</v>
      </c>
      <c r="AG10" s="19">
        <f>Inputs!$B$14*(1+Inputs!$B$15)^(AG$3-2020)</f>
        <v>4.3335981471232561</v>
      </c>
      <c r="AH10" s="19">
        <f>Inputs!$B$14*(1+Inputs!$B$15)^(AH$3-2020)</f>
        <v>4.2902621656520248</v>
      </c>
    </row>
    <row r="11" spans="1:34" ht="15" customHeight="1" x14ac:dyDescent="0.2">
      <c r="A11" s="13" t="s">
        <v>241</v>
      </c>
      <c r="B11" s="14" t="s">
        <v>133</v>
      </c>
      <c r="C11" s="15" t="s">
        <v>238</v>
      </c>
      <c r="D11" s="18">
        <f>Inputs!$B$16*(1+Inputs!$B$17)^(D$3-2020)</f>
        <v>1492.5</v>
      </c>
      <c r="E11" s="18">
        <f>Inputs!$B$16*(1+Inputs!$B$17)^(E$3-2020)</f>
        <v>1480.56</v>
      </c>
      <c r="F11" s="18">
        <f>Inputs!$B$16*(1+Inputs!$B$17)^(F$3-2020)</f>
        <v>1468.71552</v>
      </c>
      <c r="G11" s="18">
        <f>Inputs!$B$16*(1+Inputs!$B$17)^(G$3-2020)</f>
        <v>1456.9657958399998</v>
      </c>
      <c r="H11" s="18">
        <f>Inputs!$B$16*(1+Inputs!$B$17)^(H$3-2020)</f>
        <v>1445.3100694732798</v>
      </c>
      <c r="I11" s="18">
        <f>Inputs!$B$16*(1+Inputs!$B$17)^(I$3-2020)</f>
        <v>1433.7475889174937</v>
      </c>
      <c r="J11" s="18">
        <f>Inputs!$B$16*(1+Inputs!$B$17)^(J$3-2020)</f>
        <v>1422.2776082061534</v>
      </c>
      <c r="K11" s="18">
        <f>Inputs!$B$16*(1+Inputs!$B$17)^(K$3-2020)</f>
        <v>1410.8993873405043</v>
      </c>
      <c r="L11" s="18">
        <f>Inputs!$B$16*(1+Inputs!$B$17)^(L$3-2020)</f>
        <v>1399.6121922417801</v>
      </c>
      <c r="M11" s="18">
        <f>Inputs!$B$16*(1+Inputs!$B$17)^(M$3-2020)</f>
        <v>1388.415294703846</v>
      </c>
      <c r="N11" s="18">
        <f>Inputs!$B$16*(1+Inputs!$B$17)^(N$3-2020)</f>
        <v>1377.3079723462151</v>
      </c>
      <c r="O11" s="18">
        <f>Inputs!$B$16*(1+Inputs!$B$17)^(O$3-2020)</f>
        <v>1366.2895085674454</v>
      </c>
      <c r="P11" s="18">
        <f>Inputs!$B$16*(1+Inputs!$B$17)^(P$3-2020)</f>
        <v>1355.3591924989057</v>
      </c>
      <c r="Q11" s="18">
        <f>Inputs!$B$16*(1+Inputs!$B$17)^(Q$3-2020)</f>
        <v>1344.5163189589146</v>
      </c>
      <c r="R11" s="18">
        <f>Inputs!$B$16*(1+Inputs!$B$17)^(R$3-2020)</f>
        <v>1333.760188407243</v>
      </c>
      <c r="S11" s="18">
        <f>Inputs!$B$16*(1+Inputs!$B$17)^(S$3-2020)</f>
        <v>1323.0901068999851</v>
      </c>
      <c r="T11" s="18">
        <f>Inputs!$B$16*(1+Inputs!$B$17)^(T$3-2020)</f>
        <v>1312.5053860447852</v>
      </c>
      <c r="U11" s="18">
        <f>Inputs!$B$16*(1+Inputs!$B$17)^(U$3-2020)</f>
        <v>1302.0053429564271</v>
      </c>
      <c r="V11" s="18">
        <f>Inputs!$B$16*(1+Inputs!$B$17)^(V$3-2020)</f>
        <v>1291.5893002127755</v>
      </c>
      <c r="W11" s="18">
        <f>Inputs!$B$16*(1+Inputs!$B$17)^(W$3-2020)</f>
        <v>1281.2565858110731</v>
      </c>
      <c r="X11" s="18">
        <f>Inputs!$B$16*(1+Inputs!$B$17)^(X$3-2020)</f>
        <v>1271.0065331245846</v>
      </c>
      <c r="Y11" s="18">
        <f>Inputs!$B$16*(1+Inputs!$B$17)^(Y$3-2020)</f>
        <v>1260.8384808595879</v>
      </c>
      <c r="Z11" s="18">
        <f>Inputs!$B$16*(1+Inputs!$B$17)^(Z$3-2020)</f>
        <v>1250.7517730127111</v>
      </c>
      <c r="AA11" s="18">
        <f>Inputs!$B$16*(1+Inputs!$B$17)^(AA$3-2020)</f>
        <v>1240.7457588286093</v>
      </c>
      <c r="AB11" s="18">
        <f>Inputs!$B$16*(1+Inputs!$B$17)^(AB$3-2020)</f>
        <v>1230.8197927579804</v>
      </c>
      <c r="AC11" s="18">
        <f>Inputs!$B$16*(1+Inputs!$B$17)^(AC$3-2020)</f>
        <v>1220.9732344159165</v>
      </c>
      <c r="AD11" s="18">
        <f>Inputs!$B$16*(1+Inputs!$B$17)^(AD$3-2020)</f>
        <v>1211.2054485405893</v>
      </c>
      <c r="AE11" s="18">
        <f>Inputs!$B$16*(1+Inputs!$B$17)^(AE$3-2020)</f>
        <v>1201.5158049522645</v>
      </c>
      <c r="AF11" s="18">
        <f>Inputs!$B$16*(1+Inputs!$B$17)^(AF$3-2020)</f>
        <v>1191.9036785126464</v>
      </c>
      <c r="AG11" s="18">
        <f>Inputs!$B$16*(1+Inputs!$B$17)^(AG$3-2020)</f>
        <v>1182.3684490845451</v>
      </c>
      <c r="AH11" s="18">
        <f>Inputs!$B$16*(1+Inputs!$B$17)^(AH$3-2020)</f>
        <v>1172.9095014918687</v>
      </c>
    </row>
    <row r="13" spans="1:34" ht="15" customHeight="1" x14ac:dyDescent="0.2">
      <c r="A13" s="13" t="s">
        <v>242</v>
      </c>
      <c r="B13" s="14" t="s">
        <v>148</v>
      </c>
      <c r="C13" s="15" t="s">
        <v>243</v>
      </c>
      <c r="D13" s="20">
        <f t="shared" ref="D13:AH13" si="1">D5*D9*365/1000000000</f>
        <v>1020.226083575</v>
      </c>
      <c r="E13" s="20">
        <f t="shared" si="1"/>
        <v>1034.0735497661874</v>
      </c>
      <c r="F13" s="20">
        <f t="shared" si="1"/>
        <v>1047.7570356433737</v>
      </c>
      <c r="G13" s="20">
        <f t="shared" si="1"/>
        <v>1061.277834823044</v>
      </c>
      <c r="H13" s="20">
        <f t="shared" si="1"/>
        <v>1074.6372320850267</v>
      </c>
      <c r="I13" s="20">
        <f t="shared" si="1"/>
        <v>1087.8365034285187</v>
      </c>
      <c r="J13" s="20">
        <f t="shared" si="1"/>
        <v>1100.8769161277735</v>
      </c>
      <c r="K13" s="20">
        <f t="shared" si="1"/>
        <v>1113.7597287874503</v>
      </c>
      <c r="L13" s="20">
        <f t="shared" si="1"/>
        <v>1126.4861913976272</v>
      </c>
      <c r="M13" s="20">
        <f t="shared" si="1"/>
        <v>1139.0575453884824</v>
      </c>
      <c r="N13" s="20">
        <f t="shared" si="1"/>
        <v>1151.4750236846444</v>
      </c>
      <c r="O13" s="20">
        <f t="shared" si="1"/>
        <v>1163.7398507592097</v>
      </c>
      <c r="P13" s="20">
        <f t="shared" si="1"/>
        <v>1175.8532426874374</v>
      </c>
      <c r="Q13" s="20">
        <f t="shared" si="1"/>
        <v>1187.8164072001141</v>
      </c>
      <c r="R13" s="20">
        <f t="shared" si="1"/>
        <v>1199.6305437365968</v>
      </c>
      <c r="S13" s="20">
        <f t="shared" si="1"/>
        <v>1211.2968434975342</v>
      </c>
      <c r="T13" s="20">
        <f t="shared" si="1"/>
        <v>1222.8164894972692</v>
      </c>
      <c r="U13" s="20">
        <f t="shared" si="1"/>
        <v>1234.1906566159191</v>
      </c>
      <c r="V13" s="20">
        <f t="shared" si="1"/>
        <v>1245.4205116511453</v>
      </c>
      <c r="W13" s="20">
        <f t="shared" si="1"/>
        <v>1256.507213369604</v>
      </c>
      <c r="X13" s="20">
        <f t="shared" si="1"/>
        <v>1267.4519125580866</v>
      </c>
      <c r="Y13" s="20">
        <f t="shared" si="1"/>
        <v>1278.2557520743501</v>
      </c>
      <c r="Z13" s="20">
        <f t="shared" si="1"/>
        <v>1288.9198668976371</v>
      </c>
      <c r="AA13" s="20">
        <f t="shared" si="1"/>
        <v>1299.4453841788893</v>
      </c>
      <c r="AB13" s="20">
        <f t="shared" si="1"/>
        <v>1309.8334232906568</v>
      </c>
      <c r="AC13" s="20">
        <f t="shared" si="1"/>
        <v>1320.0850958767021</v>
      </c>
      <c r="AD13" s="20">
        <f t="shared" si="1"/>
        <v>1330.2015059013047</v>
      </c>
      <c r="AE13" s="20">
        <f t="shared" si="1"/>
        <v>1340.1837496982639</v>
      </c>
      <c r="AF13" s="20">
        <f t="shared" si="1"/>
        <v>1350.0329160196065</v>
      </c>
      <c r="AG13" s="20">
        <f t="shared" si="1"/>
        <v>1359.750086083993</v>
      </c>
      <c r="AH13" s="20">
        <f t="shared" si="1"/>
        <v>1369.3363336248351</v>
      </c>
    </row>
    <row r="14" spans="1:34" ht="15" customHeight="1" x14ac:dyDescent="0.2">
      <c r="A14" s="13" t="s">
        <v>244</v>
      </c>
      <c r="B14" s="14" t="s">
        <v>148</v>
      </c>
      <c r="C14" s="15" t="s">
        <v>245</v>
      </c>
      <c r="D14" s="20">
        <f t="shared" ref="D14:AH14" si="2">D7*D10/1000</f>
        <v>248.33370415619999</v>
      </c>
      <c r="E14" s="20">
        <f t="shared" si="2"/>
        <v>257.45178182457846</v>
      </c>
      <c r="F14" s="20">
        <f t="shared" si="2"/>
        <v>266.81502777975317</v>
      </c>
      <c r="G14" s="20">
        <f t="shared" si="2"/>
        <v>276.42926772400915</v>
      </c>
      <c r="H14" s="20">
        <f t="shared" si="2"/>
        <v>286.30045684007086</v>
      </c>
      <c r="I14" s="20">
        <f t="shared" si="2"/>
        <v>296.4346825506272</v>
      </c>
      <c r="J14" s="20">
        <f t="shared" si="2"/>
        <v>306.83816733499867</v>
      </c>
      <c r="K14" s="20">
        <f t="shared" si="2"/>
        <v>317.51727160410275</v>
      </c>
      <c r="L14" s="20">
        <f t="shared" si="2"/>
        <v>328.47849663490183</v>
      </c>
      <c r="M14" s="20">
        <f t="shared" si="2"/>
        <v>339.7284875655364</v>
      </c>
      <c r="N14" s="20">
        <f t="shared" si="2"/>
        <v>351.27403645237484</v>
      </c>
      <c r="O14" s="20">
        <f t="shared" si="2"/>
        <v>363.12208539023288</v>
      </c>
      <c r="P14" s="20">
        <f t="shared" si="2"/>
        <v>375.27972969704109</v>
      </c>
      <c r="Q14" s="20">
        <f t="shared" si="2"/>
        <v>387.75422116426523</v>
      </c>
      <c r="R14" s="20">
        <f t="shared" si="2"/>
        <v>400.5529713744105</v>
      </c>
      <c r="S14" s="20">
        <f t="shared" si="2"/>
        <v>413.68355508696465</v>
      </c>
      <c r="T14" s="20">
        <f t="shared" si="2"/>
        <v>427.15371369416476</v>
      </c>
      <c r="U14" s="20">
        <f t="shared" si="2"/>
        <v>440.97135874800051</v>
      </c>
      <c r="V14" s="20">
        <f t="shared" si="2"/>
        <v>455.14457555989009</v>
      </c>
      <c r="W14" s="20">
        <f t="shared" si="2"/>
        <v>469.6816268745003</v>
      </c>
      <c r="X14" s="20">
        <f t="shared" si="2"/>
        <v>484.59095661920605</v>
      </c>
      <c r="Y14" s="20">
        <f t="shared" si="2"/>
        <v>499.88119373071595</v>
      </c>
      <c r="Z14" s="20">
        <f t="shared" si="2"/>
        <v>515.56115606042499</v>
      </c>
      <c r="AA14" s="20">
        <f t="shared" si="2"/>
        <v>531.63985436007738</v>
      </c>
      <c r="AB14" s="20">
        <f t="shared" si="2"/>
        <v>548.12649634936429</v>
      </c>
      <c r="AC14" s="20">
        <f t="shared" si="2"/>
        <v>565.0304908671061</v>
      </c>
      <c r="AD14" s="20">
        <f t="shared" si="2"/>
        <v>582.36145210770565</v>
      </c>
      <c r="AE14" s="20">
        <f t="shared" si="2"/>
        <v>600.12920394458843</v>
      </c>
      <c r="AF14" s="20">
        <f t="shared" si="2"/>
        <v>618.34378434238681</v>
      </c>
      <c r="AG14" s="20">
        <f t="shared" si="2"/>
        <v>637.01544985965108</v>
      </c>
      <c r="AH14" s="20">
        <f t="shared" si="2"/>
        <v>656.15468024391419</v>
      </c>
    </row>
    <row r="15" spans="1:34" ht="15" customHeight="1" x14ac:dyDescent="0.2">
      <c r="A15" s="13" t="s">
        <v>246</v>
      </c>
      <c r="B15" s="14" t="s">
        <v>148</v>
      </c>
      <c r="C15" s="15" t="s">
        <v>243</v>
      </c>
      <c r="D15" s="20">
        <f>D5*D11*365/1000000000</f>
        <v>3669.1263367124998</v>
      </c>
      <c r="E15" s="20">
        <f t="shared" ref="E15:AH15" si="3">E5*E11*365/1000000000</f>
        <v>3707.7143181977999</v>
      </c>
      <c r="F15" s="20">
        <f t="shared" si="3"/>
        <v>3745.4500678937852</v>
      </c>
      <c r="G15" s="20">
        <f t="shared" si="3"/>
        <v>3782.34475187827</v>
      </c>
      <c r="H15" s="20">
        <f t="shared" si="3"/>
        <v>3818.4094121146586</v>
      </c>
      <c r="I15" s="20">
        <f t="shared" si="3"/>
        <v>3853.6549677231446</v>
      </c>
      <c r="J15" s="20">
        <f t="shared" si="3"/>
        <v>3888.0922162395186</v>
      </c>
      <c r="K15" s="20">
        <f t="shared" si="3"/>
        <v>3921.7318348616973</v>
      </c>
      <c r="L15" s="20">
        <f t="shared" si="3"/>
        <v>3954.5843816840811</v>
      </c>
      <c r="M15" s="20">
        <f t="shared" si="3"/>
        <v>3986.6602969198766</v>
      </c>
      <c r="N15" s="20">
        <f t="shared" si="3"/>
        <v>4017.9699041114704</v>
      </c>
      <c r="O15" s="20">
        <f t="shared" si="3"/>
        <v>4048.5234113289962</v>
      </c>
      <c r="P15" s="20">
        <f t="shared" si="3"/>
        <v>4078.3309123571789</v>
      </c>
      <c r="Q15" s="20">
        <f t="shared" si="3"/>
        <v>4107.4023878705857</v>
      </c>
      <c r="R15" s="20">
        <f t="shared" si="3"/>
        <v>4135.7477065973853</v>
      </c>
      <c r="S15" s="20">
        <f t="shared" si="3"/>
        <v>4163.3766264717342</v>
      </c>
      <c r="T15" s="20">
        <f t="shared" si="3"/>
        <v>4190.298795774871</v>
      </c>
      <c r="U15" s="20">
        <f t="shared" si="3"/>
        <v>4216.5237542650639</v>
      </c>
      <c r="V15" s="20">
        <f t="shared" si="3"/>
        <v>4242.0609342964826</v>
      </c>
      <c r="W15" s="20">
        <f t="shared" si="3"/>
        <v>4266.919661927127</v>
      </c>
      <c r="X15" s="20">
        <f t="shared" si="3"/>
        <v>4291.1091580158854</v>
      </c>
      <c r="Y15" s="20">
        <f t="shared" si="3"/>
        <v>4314.6385393088603</v>
      </c>
      <c r="Z15" s="20">
        <f t="shared" si="3"/>
        <v>4337.5168195150354</v>
      </c>
      <c r="AA15" s="20">
        <f t="shared" si="3"/>
        <v>4359.752910371395</v>
      </c>
      <c r="AB15" s="20">
        <f t="shared" si="3"/>
        <v>4381.3556226976043</v>
      </c>
      <c r="AC15" s="20">
        <f t="shared" si="3"/>
        <v>4402.3336674403299</v>
      </c>
      <c r="AD15" s="20">
        <f t="shared" si="3"/>
        <v>4422.6956567073203</v>
      </c>
      <c r="AE15" s="20">
        <f t="shared" si="3"/>
        <v>4442.4501047913227</v>
      </c>
      <c r="AF15" s="20">
        <f t="shared" si="3"/>
        <v>4461.6054291839509</v>
      </c>
      <c r="AG15" s="20">
        <f t="shared" si="3"/>
        <v>4480.1699515795908</v>
      </c>
      <c r="AH15" s="20">
        <f t="shared" si="3"/>
        <v>4498.1518988694324</v>
      </c>
    </row>
    <row r="16" spans="1:34" ht="15" customHeight="1" x14ac:dyDescent="0.2">
      <c r="A16" s="13" t="s">
        <v>247</v>
      </c>
      <c r="B16" s="14" t="s">
        <v>177</v>
      </c>
      <c r="C16" s="15" t="s">
        <v>248</v>
      </c>
      <c r="D16" s="21">
        <f>Inputs!$B$36*MIN(1,MAX(0,(D$3-Inputs!$B$34)/Inputs!$B$35))</f>
        <v>0</v>
      </c>
      <c r="E16" s="21">
        <f>Inputs!$B$36*MIN(1,MAX(0,(E$3-Inputs!$B$34)/Inputs!$B$35))</f>
        <v>0</v>
      </c>
      <c r="F16" s="21">
        <f>Inputs!$B$36*MIN(1,MAX(0,(F$3-Inputs!$B$34)/Inputs!$B$35))</f>
        <v>0</v>
      </c>
      <c r="G16" s="21">
        <f>Inputs!$B$36*MIN(1,MAX(0,(G$3-Inputs!$B$34)/Inputs!$B$35))</f>
        <v>0</v>
      </c>
      <c r="H16" s="21">
        <f>Inputs!$B$36*MIN(1,MAX(0,(H$3-Inputs!$B$34)/Inputs!$B$35))</f>
        <v>0</v>
      </c>
      <c r="I16" s="21">
        <f>Inputs!$B$36*MIN(1,MAX(0,(I$3-Inputs!$B$34)/Inputs!$B$35))</f>
        <v>0</v>
      </c>
      <c r="J16" s="21">
        <f>Inputs!$B$36*MIN(1,MAX(0,(J$3-Inputs!$B$34)/Inputs!$B$35))</f>
        <v>0</v>
      </c>
      <c r="K16" s="21">
        <f>Inputs!$B$36*MIN(1,MAX(0,(K$3-Inputs!$B$34)/Inputs!$B$35))</f>
        <v>10000000</v>
      </c>
      <c r="L16" s="21">
        <f>Inputs!$B$36*MIN(1,MAX(0,(L$3-Inputs!$B$34)/Inputs!$B$35))</f>
        <v>20000000</v>
      </c>
      <c r="M16" s="21">
        <f>Inputs!$B$36*MIN(1,MAX(0,(M$3-Inputs!$B$34)/Inputs!$B$35))</f>
        <v>30000000</v>
      </c>
      <c r="N16" s="21">
        <f>Inputs!$B$36*MIN(1,MAX(0,(N$3-Inputs!$B$34)/Inputs!$B$35))</f>
        <v>40000000</v>
      </c>
      <c r="O16" s="21">
        <f>Inputs!$B$36*MIN(1,MAX(0,(O$3-Inputs!$B$34)/Inputs!$B$35))</f>
        <v>50000000</v>
      </c>
      <c r="P16" s="21">
        <f>Inputs!$B$36*MIN(1,MAX(0,(P$3-Inputs!$B$34)/Inputs!$B$35))</f>
        <v>60000000</v>
      </c>
      <c r="Q16" s="21">
        <f>Inputs!$B$36*MIN(1,MAX(0,(Q$3-Inputs!$B$34)/Inputs!$B$35))</f>
        <v>70000000</v>
      </c>
      <c r="R16" s="21">
        <f>Inputs!$B$36*MIN(1,MAX(0,(R$3-Inputs!$B$34)/Inputs!$B$35))</f>
        <v>80000000</v>
      </c>
      <c r="S16" s="21">
        <f>Inputs!$B$36*MIN(1,MAX(0,(S$3-Inputs!$B$34)/Inputs!$B$35))</f>
        <v>90000000</v>
      </c>
      <c r="T16" s="21">
        <f>Inputs!$B$36*MIN(1,MAX(0,(T$3-Inputs!$B$34)/Inputs!$B$35))</f>
        <v>100000000</v>
      </c>
      <c r="U16" s="21">
        <f>Inputs!$B$36*MIN(1,MAX(0,(U$3-Inputs!$B$34)/Inputs!$B$35))</f>
        <v>100000000</v>
      </c>
      <c r="V16" s="21">
        <f>Inputs!$B$36*MIN(1,MAX(0,(V$3-Inputs!$B$34)/Inputs!$B$35))</f>
        <v>100000000</v>
      </c>
      <c r="W16" s="21">
        <f>Inputs!$B$36*MIN(1,MAX(0,(W$3-Inputs!$B$34)/Inputs!$B$35))</f>
        <v>100000000</v>
      </c>
      <c r="X16" s="21">
        <f>Inputs!$B$36*MIN(1,MAX(0,(X$3-Inputs!$B$34)/Inputs!$B$35))</f>
        <v>100000000</v>
      </c>
      <c r="Y16" s="21">
        <f>Inputs!$B$36*MIN(1,MAX(0,(Y$3-Inputs!$B$34)/Inputs!$B$35))</f>
        <v>100000000</v>
      </c>
      <c r="Z16" s="21">
        <f>Inputs!$B$36*MIN(1,MAX(0,(Z$3-Inputs!$B$34)/Inputs!$B$35))</f>
        <v>100000000</v>
      </c>
      <c r="AA16" s="21">
        <f>Inputs!$B$36*MIN(1,MAX(0,(AA$3-Inputs!$B$34)/Inputs!$B$35))</f>
        <v>100000000</v>
      </c>
      <c r="AB16" s="21">
        <f>Inputs!$B$36*MIN(1,MAX(0,(AB$3-Inputs!$B$34)/Inputs!$B$35))</f>
        <v>100000000</v>
      </c>
      <c r="AC16" s="21">
        <f>Inputs!$B$36*MIN(1,MAX(0,(AC$3-Inputs!$B$34)/Inputs!$B$35))</f>
        <v>100000000</v>
      </c>
      <c r="AD16" s="21">
        <f>Inputs!$B$36*MIN(1,MAX(0,(AD$3-Inputs!$B$34)/Inputs!$B$35))</f>
        <v>100000000</v>
      </c>
      <c r="AE16" s="21">
        <f>Inputs!$B$36*MIN(1,MAX(0,(AE$3-Inputs!$B$34)/Inputs!$B$35))</f>
        <v>100000000</v>
      </c>
      <c r="AF16" s="21">
        <f>Inputs!$B$36*MIN(1,MAX(0,(AF$3-Inputs!$B$34)/Inputs!$B$35))</f>
        <v>100000000</v>
      </c>
      <c r="AG16" s="21">
        <f>Inputs!$B$36*MIN(1,MAX(0,(AG$3-Inputs!$B$34)/Inputs!$B$35))</f>
        <v>100000000</v>
      </c>
      <c r="AH16" s="21">
        <f>Inputs!$B$36*MIN(1,MAX(0,(AH$3-Inputs!$B$34)/Inputs!$B$35))</f>
        <v>100000000</v>
      </c>
    </row>
    <row r="17" spans="1:34" ht="15" customHeight="1" x14ac:dyDescent="0.2">
      <c r="A17" s="13" t="s">
        <v>249</v>
      </c>
      <c r="B17" s="14" t="s">
        <v>148</v>
      </c>
      <c r="C17" s="15" t="s">
        <v>250</v>
      </c>
      <c r="D17" s="22">
        <f>D16*Inputs!$B$37*365/1000000000</f>
        <v>0</v>
      </c>
      <c r="E17" s="22">
        <f>E16*Inputs!$B$37*365/1000000000</f>
        <v>0</v>
      </c>
      <c r="F17" s="22">
        <f>F16*Inputs!$B$37*365/1000000000</f>
        <v>0</v>
      </c>
      <c r="G17" s="22">
        <f>G16*Inputs!$B$37*365/1000000000</f>
        <v>0</v>
      </c>
      <c r="H17" s="22">
        <f>H16*Inputs!$B$37*365/1000000000</f>
        <v>0</v>
      </c>
      <c r="I17" s="22">
        <f>I16*Inputs!$B$37*365/1000000000</f>
        <v>0</v>
      </c>
      <c r="J17" s="22">
        <f>J16*Inputs!$B$37*365/1000000000</f>
        <v>0</v>
      </c>
      <c r="K17" s="22">
        <f>K16*Inputs!$B$37*365/1000000000</f>
        <v>54.75</v>
      </c>
      <c r="L17" s="22">
        <f>L16*Inputs!$B$37*365/1000000000</f>
        <v>109.5</v>
      </c>
      <c r="M17" s="22">
        <f>M16*Inputs!$B$37*365/1000000000</f>
        <v>164.25</v>
      </c>
      <c r="N17" s="22">
        <f>N16*Inputs!$B$37*365/1000000000</f>
        <v>219</v>
      </c>
      <c r="O17" s="22">
        <f>O16*Inputs!$B$37*365/1000000000</f>
        <v>273.75</v>
      </c>
      <c r="P17" s="22">
        <f>P16*Inputs!$B$37*365/1000000000</f>
        <v>328.5</v>
      </c>
      <c r="Q17" s="22">
        <f>Q16*Inputs!$B$37*365/1000000000</f>
        <v>383.25</v>
      </c>
      <c r="R17" s="22">
        <f>R16*Inputs!$B$37*365/1000000000</f>
        <v>438</v>
      </c>
      <c r="S17" s="22">
        <f>S16*Inputs!$B$37*365/1000000000</f>
        <v>492.75</v>
      </c>
      <c r="T17" s="22">
        <f>T16*Inputs!$B$37*365/1000000000</f>
        <v>547.5</v>
      </c>
      <c r="U17" s="22">
        <f>U16*Inputs!$B$37*365/1000000000</f>
        <v>547.5</v>
      </c>
      <c r="V17" s="22">
        <f>V16*Inputs!$B$37*365/1000000000</f>
        <v>547.5</v>
      </c>
      <c r="W17" s="22">
        <f>W16*Inputs!$B$37*365/1000000000</f>
        <v>547.5</v>
      </c>
      <c r="X17" s="22">
        <f>X16*Inputs!$B$37*365/1000000000</f>
        <v>547.5</v>
      </c>
      <c r="Y17" s="22">
        <f>Y16*Inputs!$B$37*365/1000000000</f>
        <v>547.5</v>
      </c>
      <c r="Z17" s="22">
        <f>Z16*Inputs!$B$37*365/1000000000</f>
        <v>547.5</v>
      </c>
      <c r="AA17" s="22">
        <f>AA16*Inputs!$B$37*365/1000000000</f>
        <v>547.5</v>
      </c>
      <c r="AB17" s="22">
        <f>AB16*Inputs!$B$37*365/1000000000</f>
        <v>547.5</v>
      </c>
      <c r="AC17" s="22">
        <f>AC16*Inputs!$B$37*365/1000000000</f>
        <v>547.5</v>
      </c>
      <c r="AD17" s="22">
        <f>AD16*Inputs!$B$37*365/1000000000</f>
        <v>547.5</v>
      </c>
      <c r="AE17" s="22">
        <f>AE16*Inputs!$B$37*365/1000000000</f>
        <v>547.5</v>
      </c>
      <c r="AF17" s="22">
        <f>AF16*Inputs!$B$37*365/1000000000</f>
        <v>547.5</v>
      </c>
      <c r="AG17" s="22">
        <f>AG16*Inputs!$B$37*365/1000000000</f>
        <v>547.5</v>
      </c>
      <c r="AH17" s="22">
        <f>AH16*Inputs!$B$37*365/1000000000</f>
        <v>547.5</v>
      </c>
    </row>
    <row r="19" spans="1:34" ht="15" customHeight="1" x14ac:dyDescent="0.2">
      <c r="A19" s="23" t="s">
        <v>251</v>
      </c>
      <c r="B19" s="14" t="s">
        <v>148</v>
      </c>
      <c r="C19" s="15" t="s">
        <v>252</v>
      </c>
      <c r="D19" s="24">
        <f t="shared" ref="D19:AH19" si="4">D13+D14+D15+D17</f>
        <v>4937.6861244436996</v>
      </c>
      <c r="E19" s="24">
        <f t="shared" si="4"/>
        <v>4999.2396497885657</v>
      </c>
      <c r="F19" s="24">
        <f t="shared" si="4"/>
        <v>5060.0221313169122</v>
      </c>
      <c r="G19" s="24">
        <f t="shared" si="4"/>
        <v>5120.0518544253227</v>
      </c>
      <c r="H19" s="24">
        <f t="shared" si="4"/>
        <v>5179.3471010397561</v>
      </c>
      <c r="I19" s="24">
        <f t="shared" si="4"/>
        <v>5237.9261537022903</v>
      </c>
      <c r="J19" s="24">
        <f t="shared" si="4"/>
        <v>5295.8072997022909</v>
      </c>
      <c r="K19" s="24">
        <f t="shared" si="4"/>
        <v>5407.7588352532503</v>
      </c>
      <c r="L19" s="24">
        <f t="shared" si="4"/>
        <v>5519.0490697166097</v>
      </c>
      <c r="M19" s="24">
        <f t="shared" si="4"/>
        <v>5629.6963298738956</v>
      </c>
      <c r="N19" s="24">
        <f t="shared" si="4"/>
        <v>5739.71896424849</v>
      </c>
      <c r="O19" s="24">
        <f t="shared" si="4"/>
        <v>5849.1353474784391</v>
      </c>
      <c r="P19" s="24">
        <f t="shared" si="4"/>
        <v>5957.9638847416572</v>
      </c>
      <c r="Q19" s="24">
        <f t="shared" si="4"/>
        <v>6066.2230162349651</v>
      </c>
      <c r="R19" s="24">
        <f t="shared" si="4"/>
        <v>6173.9312217083925</v>
      </c>
      <c r="S19" s="24">
        <f t="shared" si="4"/>
        <v>6281.1070250562334</v>
      </c>
      <c r="T19" s="24">
        <f t="shared" si="4"/>
        <v>6387.7689989663049</v>
      </c>
      <c r="U19" s="24">
        <f t="shared" si="4"/>
        <v>6439.1857696289835</v>
      </c>
      <c r="V19" s="24">
        <f t="shared" si="4"/>
        <v>6490.1260215075181</v>
      </c>
      <c r="W19" s="24">
        <f t="shared" si="4"/>
        <v>6540.6085021712315</v>
      </c>
      <c r="X19" s="24">
        <f t="shared" si="4"/>
        <v>6590.6520271931786</v>
      </c>
      <c r="Y19" s="24">
        <f t="shared" si="4"/>
        <v>6640.2754851139262</v>
      </c>
      <c r="Z19" s="24">
        <f t="shared" si="4"/>
        <v>6689.497842473098</v>
      </c>
      <c r="AA19" s="24">
        <f t="shared" si="4"/>
        <v>6738.3381489103613</v>
      </c>
      <c r="AB19" s="24">
        <f t="shared" si="4"/>
        <v>6786.8155423376256</v>
      </c>
      <c r="AC19" s="24">
        <f t="shared" si="4"/>
        <v>6834.9492541841382</v>
      </c>
      <c r="AD19" s="24">
        <f t="shared" si="4"/>
        <v>6882.7586147163311</v>
      </c>
      <c r="AE19" s="24">
        <f t="shared" si="4"/>
        <v>6930.263058434175</v>
      </c>
      <c r="AF19" s="24">
        <f t="shared" si="4"/>
        <v>6977.4821295459442</v>
      </c>
      <c r="AG19" s="24">
        <f t="shared" si="4"/>
        <v>7024.4354875232348</v>
      </c>
      <c r="AH19" s="24">
        <f t="shared" si="4"/>
        <v>7071.1429127381816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0"/>
  <sheetViews>
    <sheetView zoomScale="130" zoomScaleNormal="130" workbookViewId="0">
      <pane xSplit="3" ySplit="3" topLeftCell="D18" activePane="bottomRight" state="frozen"/>
      <selection pane="topRight" activeCell="D1" sqref="D1"/>
      <selection pane="bottomLeft" activeCell="A4" sqref="A4"/>
      <selection pane="bottomRight" activeCell="D23" sqref="D23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34" customWidth="1"/>
    <col min="4" max="34" width="10" customWidth="1"/>
  </cols>
  <sheetData>
    <row r="1" spans="1:34" ht="17.25" customHeight="1" x14ac:dyDescent="0.2">
      <c r="A1" s="1" t="s">
        <v>253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254</v>
      </c>
      <c r="B5" s="14" t="s">
        <v>148</v>
      </c>
      <c r="C5" s="15" t="s">
        <v>255</v>
      </c>
      <c r="D5" s="25">
        <f>Demand!D19</f>
        <v>4937.6861244436996</v>
      </c>
      <c r="E5" s="25">
        <f>Demand!E19</f>
        <v>4999.2396497885657</v>
      </c>
      <c r="F5" s="25">
        <f>Demand!F19</f>
        <v>5060.0221313169122</v>
      </c>
      <c r="G5" s="25">
        <f>Demand!G19</f>
        <v>5120.0518544253227</v>
      </c>
      <c r="H5" s="25">
        <f>Demand!H19</f>
        <v>5179.3471010397561</v>
      </c>
      <c r="I5" s="25">
        <f>Demand!I19</f>
        <v>5237.9261537022903</v>
      </c>
      <c r="J5" s="25">
        <f>Demand!J19</f>
        <v>5295.8072997022909</v>
      </c>
      <c r="K5" s="25">
        <f>Demand!K19</f>
        <v>5407.7588352532503</v>
      </c>
      <c r="L5" s="25">
        <f>Demand!L19</f>
        <v>5519.0490697166097</v>
      </c>
      <c r="M5" s="25">
        <f>Demand!M19</f>
        <v>5629.6963298738956</v>
      </c>
      <c r="N5" s="25">
        <f>Demand!N19</f>
        <v>5739.71896424849</v>
      </c>
      <c r="O5" s="25">
        <f>Demand!O19</f>
        <v>5849.1353474784391</v>
      </c>
      <c r="P5" s="25">
        <f>Demand!P19</f>
        <v>5957.9638847416572</v>
      </c>
      <c r="Q5" s="25">
        <f>Demand!Q19</f>
        <v>6066.2230162349651</v>
      </c>
      <c r="R5" s="25">
        <f>Demand!R19</f>
        <v>6173.9312217083925</v>
      </c>
      <c r="S5" s="25">
        <f>Demand!S19</f>
        <v>6281.1070250562334</v>
      </c>
      <c r="T5" s="25">
        <f>Demand!T19</f>
        <v>6387.7689989663049</v>
      </c>
      <c r="U5" s="25">
        <f>Demand!U19</f>
        <v>6439.1857696289835</v>
      </c>
      <c r="V5" s="25">
        <f>Demand!V19</f>
        <v>6490.1260215075181</v>
      </c>
      <c r="W5" s="25">
        <f>Demand!W19</f>
        <v>6540.6085021712315</v>
      </c>
      <c r="X5" s="25">
        <f>Demand!X19</f>
        <v>6590.6520271931786</v>
      </c>
      <c r="Y5" s="25">
        <f>Demand!Y19</f>
        <v>6640.2754851139262</v>
      </c>
      <c r="Z5" s="25">
        <f>Demand!Z19</f>
        <v>6689.497842473098</v>
      </c>
      <c r="AA5" s="25">
        <f>Demand!AA19</f>
        <v>6738.3381489103613</v>
      </c>
      <c r="AB5" s="25">
        <f>Demand!AB19</f>
        <v>6786.8155423376256</v>
      </c>
      <c r="AC5" s="25">
        <f>Demand!AC19</f>
        <v>6834.9492541841382</v>
      </c>
      <c r="AD5" s="25">
        <f>Demand!AD19</f>
        <v>6882.7586147163311</v>
      </c>
      <c r="AE5" s="25">
        <f>Demand!AE19</f>
        <v>6930.263058434175</v>
      </c>
      <c r="AF5" s="25">
        <f>Demand!AF19</f>
        <v>6977.4821295459442</v>
      </c>
      <c r="AG5" s="25">
        <f>Demand!AG19</f>
        <v>7024.4354875232348</v>
      </c>
      <c r="AH5" s="25">
        <f>Demand!AH19</f>
        <v>7071.1429127381816</v>
      </c>
    </row>
    <row r="6" spans="1:34" ht="15" customHeight="1" x14ac:dyDescent="0.2">
      <c r="A6" s="13" t="s">
        <v>256</v>
      </c>
      <c r="B6" s="14" t="s">
        <v>148</v>
      </c>
      <c r="C6" s="15" t="s">
        <v>257</v>
      </c>
      <c r="D6" s="26">
        <f>Demand!D17</f>
        <v>0</v>
      </c>
      <c r="E6" s="26">
        <f>Demand!E17</f>
        <v>0</v>
      </c>
      <c r="F6" s="26">
        <f>Demand!F17</f>
        <v>0</v>
      </c>
      <c r="G6" s="26">
        <f>Demand!G17</f>
        <v>0</v>
      </c>
      <c r="H6" s="26">
        <f>Demand!H17</f>
        <v>0</v>
      </c>
      <c r="I6" s="26">
        <f>Demand!I17</f>
        <v>0</v>
      </c>
      <c r="J6" s="26">
        <f>Demand!J17</f>
        <v>0</v>
      </c>
      <c r="K6" s="26">
        <f>Demand!K17</f>
        <v>54.75</v>
      </c>
      <c r="L6" s="26">
        <f>Demand!L17</f>
        <v>109.5</v>
      </c>
      <c r="M6" s="26">
        <f>Demand!M17</f>
        <v>164.25</v>
      </c>
      <c r="N6" s="26">
        <f>Demand!N17</f>
        <v>219</v>
      </c>
      <c r="O6" s="26">
        <f>Demand!O17</f>
        <v>273.75</v>
      </c>
      <c r="P6" s="26">
        <f>Demand!P17</f>
        <v>328.5</v>
      </c>
      <c r="Q6" s="26">
        <f>Demand!Q17</f>
        <v>383.25</v>
      </c>
      <c r="R6" s="26">
        <f>Demand!R17</f>
        <v>438</v>
      </c>
      <c r="S6" s="26">
        <f>Demand!S17</f>
        <v>492.75</v>
      </c>
      <c r="T6" s="26">
        <f>Demand!T17</f>
        <v>547.5</v>
      </c>
      <c r="U6" s="26">
        <f>Demand!U17</f>
        <v>547.5</v>
      </c>
      <c r="V6" s="26">
        <f>Demand!V17</f>
        <v>547.5</v>
      </c>
      <c r="W6" s="26">
        <f>Demand!W17</f>
        <v>547.5</v>
      </c>
      <c r="X6" s="26">
        <f>Demand!X17</f>
        <v>547.5</v>
      </c>
      <c r="Y6" s="26">
        <f>Demand!Y17</f>
        <v>547.5</v>
      </c>
      <c r="Z6" s="26">
        <f>Demand!Z17</f>
        <v>547.5</v>
      </c>
      <c r="AA6" s="26">
        <f>Demand!AA17</f>
        <v>547.5</v>
      </c>
      <c r="AB6" s="26">
        <f>Demand!AB17</f>
        <v>547.5</v>
      </c>
      <c r="AC6" s="26">
        <f>Demand!AC17</f>
        <v>547.5</v>
      </c>
      <c r="AD6" s="26">
        <f>Demand!AD17</f>
        <v>547.5</v>
      </c>
      <c r="AE6" s="26">
        <f>Demand!AE17</f>
        <v>547.5</v>
      </c>
      <c r="AF6" s="26">
        <f>Demand!AF17</f>
        <v>547.5</v>
      </c>
      <c r="AG6" s="26">
        <f>Demand!AG17</f>
        <v>547.5</v>
      </c>
      <c r="AH6" s="26">
        <f>Demand!AH17</f>
        <v>547.5</v>
      </c>
    </row>
    <row r="7" spans="1:34" x14ac:dyDescent="0.2"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</row>
    <row r="8" spans="1:34" ht="15" customHeight="1" x14ac:dyDescent="0.2">
      <c r="A8" s="13" t="s">
        <v>258</v>
      </c>
      <c r="B8" s="14" t="s">
        <v>148</v>
      </c>
      <c r="C8" s="15" t="s">
        <v>259</v>
      </c>
      <c r="D8" s="25">
        <f>Inputs!$B$20*(1+Inputs!$B$21)^(D$3-2020)</f>
        <v>3500</v>
      </c>
      <c r="E8" s="25">
        <f>Inputs!$B$20*(1+Inputs!$B$21)^(E$3-2020)</f>
        <v>3447.5</v>
      </c>
      <c r="F8" s="25">
        <f>Inputs!$B$20*(1+Inputs!$B$21)^(F$3-2020)</f>
        <v>3395.7874999999999</v>
      </c>
      <c r="G8" s="25">
        <f>Inputs!$B$20*(1+Inputs!$B$21)^(G$3-2020)</f>
        <v>3344.8506875000003</v>
      </c>
      <c r="H8" s="25">
        <f>Inputs!$B$20*(1+Inputs!$B$21)^(H$3-2020)</f>
        <v>3294.6779271874998</v>
      </c>
      <c r="I8" s="25">
        <f>Inputs!$B$20*(1+Inputs!$B$21)^(I$3-2020)</f>
        <v>3245.2577582796876</v>
      </c>
      <c r="J8" s="25">
        <f>Inputs!$B$20*(1+Inputs!$B$21)^(J$3-2020)</f>
        <v>3196.5788919054921</v>
      </c>
      <c r="K8" s="25">
        <f>Inputs!$B$20*(1+Inputs!$B$21)^(K$3-2020)</f>
        <v>3148.6302085269099</v>
      </c>
      <c r="L8" s="25">
        <f>Inputs!$B$20*(1+Inputs!$B$21)^(L$3-2020)</f>
        <v>3101.4007553990064</v>
      </c>
      <c r="M8" s="25">
        <f>Inputs!$B$20*(1+Inputs!$B$21)^(M$3-2020)</f>
        <v>3054.879744068021</v>
      </c>
      <c r="N8" s="25">
        <f>Inputs!$B$20*(1+Inputs!$B$21)^(N$3-2020)</f>
        <v>3009.056547907001</v>
      </c>
      <c r="O8" s="25">
        <f>Inputs!$B$20*(1+Inputs!$B$21)^(O$3-2020)</f>
        <v>2963.9206996883959</v>
      </c>
      <c r="P8" s="25">
        <f>Inputs!$B$20*(1+Inputs!$B$21)^(P$3-2020)</f>
        <v>2919.46188919307</v>
      </c>
      <c r="Q8" s="25">
        <f>Inputs!$B$20*(1+Inputs!$B$21)^(Q$3-2020)</f>
        <v>2875.6699608551739</v>
      </c>
      <c r="R8" s="25">
        <f>Inputs!$B$20*(1+Inputs!$B$21)^(R$3-2020)</f>
        <v>2832.5349114423466</v>
      </c>
      <c r="S8" s="25">
        <f>Inputs!$B$20*(1+Inputs!$B$21)^(S$3-2020)</f>
        <v>2790.0468877707108</v>
      </c>
      <c r="T8" s="25">
        <f>Inputs!$B$20*(1+Inputs!$B$21)^(T$3-2020)</f>
        <v>2748.1961844541502</v>
      </c>
      <c r="U8" s="25">
        <f>Inputs!$B$20*(1+Inputs!$B$21)^(U$3-2020)</f>
        <v>2706.973241687338</v>
      </c>
      <c r="V8" s="25">
        <f>Inputs!$B$20*(1+Inputs!$B$21)^(V$3-2020)</f>
        <v>2666.3686430620278</v>
      </c>
      <c r="W8" s="25">
        <f>Inputs!$B$20*(1+Inputs!$B$21)^(W$3-2020)</f>
        <v>2626.3731134160976</v>
      </c>
      <c r="X8" s="25">
        <f>Inputs!$B$20*(1+Inputs!$B$21)^(X$3-2020)</f>
        <v>2586.9775167148564</v>
      </c>
      <c r="Y8" s="25">
        <f>Inputs!$B$20*(1+Inputs!$B$21)^(Y$3-2020)</f>
        <v>2548.1728539641335</v>
      </c>
      <c r="Z8" s="25">
        <f>Inputs!$B$20*(1+Inputs!$B$21)^(Z$3-2020)</f>
        <v>2509.9502611546714</v>
      </c>
      <c r="AA8" s="25">
        <f>Inputs!$B$20*(1+Inputs!$B$21)^(AA$3-2020)</f>
        <v>2472.3010072373513</v>
      </c>
      <c r="AB8" s="25">
        <f>Inputs!$B$20*(1+Inputs!$B$21)^(AB$3-2020)</f>
        <v>2435.2164921287908</v>
      </c>
      <c r="AC8" s="25">
        <f>Inputs!$B$20*(1+Inputs!$B$21)^(AC$3-2020)</f>
        <v>2398.6882447468593</v>
      </c>
      <c r="AD8" s="25">
        <f>Inputs!$B$20*(1+Inputs!$B$21)^(AD$3-2020)</f>
        <v>2362.707921075656</v>
      </c>
      <c r="AE8" s="25">
        <f>Inputs!$B$20*(1+Inputs!$B$21)^(AE$3-2020)</f>
        <v>2327.2673022595213</v>
      </c>
      <c r="AF8" s="25">
        <f>Inputs!$B$20*(1+Inputs!$B$21)^(AF$3-2020)</f>
        <v>2292.3582927256284</v>
      </c>
      <c r="AG8" s="25">
        <f>Inputs!$B$20*(1+Inputs!$B$21)^(AG$3-2020)</f>
        <v>2257.972918334744</v>
      </c>
      <c r="AH8" s="25">
        <f>Inputs!$B$20*(1+Inputs!$B$21)^(AH$3-2020)</f>
        <v>2224.1033245597232</v>
      </c>
    </row>
    <row r="9" spans="1:34" ht="15" customHeight="1" x14ac:dyDescent="0.2">
      <c r="A9" s="13" t="s">
        <v>260</v>
      </c>
      <c r="B9" s="14" t="s">
        <v>148</v>
      </c>
      <c r="C9" s="15" t="s">
        <v>261</v>
      </c>
      <c r="D9" s="25">
        <f>Inputs!$B$22*(1+Inputs!$B$23)^(D$3-2020)</f>
        <v>912</v>
      </c>
      <c r="E9" s="25">
        <f>Inputs!$B$22*(1+Inputs!$B$23)^(E$3-2020)</f>
        <v>893.76</v>
      </c>
      <c r="F9" s="25">
        <f>Inputs!$B$22*(1+Inputs!$B$23)^(F$3-2020)</f>
        <v>875.88479999999993</v>
      </c>
      <c r="G9" s="25">
        <f>Inputs!$B$22*(1+Inputs!$B$23)^(G$3-2020)</f>
        <v>858.36710399999993</v>
      </c>
      <c r="H9" s="25">
        <f>Inputs!$B$22*(1+Inputs!$B$23)^(H$3-2020)</f>
        <v>841.1997619199999</v>
      </c>
      <c r="I9" s="25">
        <f>Inputs!$B$22*(1+Inputs!$B$23)^(I$3-2020)</f>
        <v>824.37576668159988</v>
      </c>
      <c r="J9" s="25">
        <f>Inputs!$B$22*(1+Inputs!$B$23)^(J$3-2020)</f>
        <v>807.88825134796787</v>
      </c>
      <c r="K9" s="25">
        <f>Inputs!$B$22*(1+Inputs!$B$23)^(K$3-2020)</f>
        <v>791.73048632100847</v>
      </c>
      <c r="L9" s="25">
        <f>Inputs!$B$22*(1+Inputs!$B$23)^(L$3-2020)</f>
        <v>775.89587659458823</v>
      </c>
      <c r="M9" s="25">
        <f>Inputs!$B$22*(1+Inputs!$B$23)^(M$3-2020)</f>
        <v>760.3779590626965</v>
      </c>
      <c r="N9" s="25">
        <f>Inputs!$B$22*(1+Inputs!$B$23)^(N$3-2020)</f>
        <v>745.17039988144245</v>
      </c>
      <c r="O9" s="25">
        <f>Inputs!$B$22*(1+Inputs!$B$23)^(O$3-2020)</f>
        <v>730.2669918838136</v>
      </c>
      <c r="P9" s="25">
        <f>Inputs!$B$22*(1+Inputs!$B$23)^(P$3-2020)</f>
        <v>715.66165204613731</v>
      </c>
      <c r="Q9" s="25">
        <f>Inputs!$B$22*(1+Inputs!$B$23)^(Q$3-2020)</f>
        <v>701.34841900521451</v>
      </c>
      <c r="R9" s="25">
        <f>Inputs!$B$22*(1+Inputs!$B$23)^(R$3-2020)</f>
        <v>687.32145062511029</v>
      </c>
      <c r="S9" s="25">
        <f>Inputs!$B$22*(1+Inputs!$B$23)^(S$3-2020)</f>
        <v>673.575021612608</v>
      </c>
      <c r="T9" s="25">
        <f>Inputs!$B$22*(1+Inputs!$B$23)^(T$3-2020)</f>
        <v>660.10352118035587</v>
      </c>
      <c r="U9" s="25">
        <f>Inputs!$B$22*(1+Inputs!$B$23)^(U$3-2020)</f>
        <v>646.90145075674877</v>
      </c>
      <c r="V9" s="25">
        <f>Inputs!$B$22*(1+Inputs!$B$23)^(V$3-2020)</f>
        <v>633.96342174161373</v>
      </c>
      <c r="W9" s="25">
        <f>Inputs!$B$22*(1+Inputs!$B$23)^(W$3-2020)</f>
        <v>621.28415330678149</v>
      </c>
      <c r="X9" s="25">
        <f>Inputs!$B$22*(1+Inputs!$B$23)^(X$3-2020)</f>
        <v>608.85847024064583</v>
      </c>
      <c r="Y9" s="25">
        <f>Inputs!$B$22*(1+Inputs!$B$23)^(Y$3-2020)</f>
        <v>596.68130083583287</v>
      </c>
      <c r="Z9" s="25">
        <f>Inputs!$B$22*(1+Inputs!$B$23)^(Z$3-2020)</f>
        <v>584.74767481911624</v>
      </c>
      <c r="AA9" s="25">
        <f>Inputs!$B$22*(1+Inputs!$B$23)^(AA$3-2020)</f>
        <v>573.05272132273387</v>
      </c>
      <c r="AB9" s="25">
        <f>Inputs!$B$22*(1+Inputs!$B$23)^(AB$3-2020)</f>
        <v>561.59166689627921</v>
      </c>
      <c r="AC9" s="25">
        <f>Inputs!$B$22*(1+Inputs!$B$23)^(AC$3-2020)</f>
        <v>550.35983355835356</v>
      </c>
      <c r="AD9" s="25">
        <f>Inputs!$B$22*(1+Inputs!$B$23)^(AD$3-2020)</f>
        <v>539.35263688718646</v>
      </c>
      <c r="AE9" s="25">
        <f>Inputs!$B$22*(1+Inputs!$B$23)^(AE$3-2020)</f>
        <v>528.56558414944266</v>
      </c>
      <c r="AF9" s="25">
        <f>Inputs!$B$22*(1+Inputs!$B$23)^(AF$3-2020)</f>
        <v>517.99427246645382</v>
      </c>
      <c r="AG9" s="25">
        <f>Inputs!$B$22*(1+Inputs!$B$23)^(AG$3-2020)</f>
        <v>507.63438701712477</v>
      </c>
      <c r="AH9" s="25">
        <f>Inputs!$B$22*(1+Inputs!$B$23)^(AH$3-2020)</f>
        <v>497.48169927678225</v>
      </c>
    </row>
    <row r="10" spans="1:34" ht="15" customHeight="1" x14ac:dyDescent="0.2">
      <c r="A10" s="13" t="s">
        <v>262</v>
      </c>
      <c r="B10" s="14" t="s">
        <v>148</v>
      </c>
      <c r="C10" s="15" t="s">
        <v>263</v>
      </c>
      <c r="D10" s="20">
        <f t="shared" ref="D10:AH10" si="0">D8+D9</f>
        <v>4412</v>
      </c>
      <c r="E10" s="20">
        <f t="shared" si="0"/>
        <v>4341.26</v>
      </c>
      <c r="F10" s="20">
        <f t="shared" si="0"/>
        <v>4271.6723000000002</v>
      </c>
      <c r="G10" s="20">
        <f t="shared" si="0"/>
        <v>4203.2177915000002</v>
      </c>
      <c r="H10" s="20">
        <f t="shared" si="0"/>
        <v>4135.8776891074995</v>
      </c>
      <c r="I10" s="20">
        <f t="shared" si="0"/>
        <v>4069.6335249612875</v>
      </c>
      <c r="J10" s="20">
        <f t="shared" si="0"/>
        <v>4004.4671432534601</v>
      </c>
      <c r="K10" s="20">
        <f t="shared" si="0"/>
        <v>3940.3606948479182</v>
      </c>
      <c r="L10" s="20">
        <f t="shared" si="0"/>
        <v>3877.2966319935945</v>
      </c>
      <c r="M10" s="20">
        <f t="shared" si="0"/>
        <v>3815.2577031307173</v>
      </c>
      <c r="N10" s="20">
        <f t="shared" si="0"/>
        <v>3754.2269477884433</v>
      </c>
      <c r="O10" s="20">
        <f t="shared" si="0"/>
        <v>3694.1876915722096</v>
      </c>
      <c r="P10" s="20">
        <f t="shared" si="0"/>
        <v>3635.123541239207</v>
      </c>
      <c r="Q10" s="20">
        <f t="shared" si="0"/>
        <v>3577.0183798603884</v>
      </c>
      <c r="R10" s="20">
        <f t="shared" si="0"/>
        <v>3519.8563620674568</v>
      </c>
      <c r="S10" s="20">
        <f t="shared" si="0"/>
        <v>3463.6219093833188</v>
      </c>
      <c r="T10" s="20">
        <f t="shared" si="0"/>
        <v>3408.2997056345062</v>
      </c>
      <c r="U10" s="20">
        <f t="shared" si="0"/>
        <v>3353.8746924440866</v>
      </c>
      <c r="V10" s="20">
        <f t="shared" si="0"/>
        <v>3300.3320648036415</v>
      </c>
      <c r="W10" s="20">
        <f t="shared" si="0"/>
        <v>3247.6572667228793</v>
      </c>
      <c r="X10" s="20">
        <f t="shared" si="0"/>
        <v>3195.8359869555024</v>
      </c>
      <c r="Y10" s="20">
        <f t="shared" si="0"/>
        <v>3144.8541547999666</v>
      </c>
      <c r="Z10" s="20">
        <f t="shared" si="0"/>
        <v>3094.6979359737875</v>
      </c>
      <c r="AA10" s="20">
        <f t="shared" si="0"/>
        <v>3045.3537285600851</v>
      </c>
      <c r="AB10" s="20">
        <f t="shared" si="0"/>
        <v>2996.8081590250699</v>
      </c>
      <c r="AC10" s="20">
        <f t="shared" si="0"/>
        <v>2949.0480783052126</v>
      </c>
      <c r="AD10" s="20">
        <f t="shared" si="0"/>
        <v>2902.0605579628427</v>
      </c>
      <c r="AE10" s="20">
        <f t="shared" si="0"/>
        <v>2855.832886408964</v>
      </c>
      <c r="AF10" s="20">
        <f t="shared" si="0"/>
        <v>2810.3525651920822</v>
      </c>
      <c r="AG10" s="20">
        <f t="shared" si="0"/>
        <v>2765.6073053518689</v>
      </c>
      <c r="AH10" s="20">
        <f t="shared" si="0"/>
        <v>2721.5850238365056</v>
      </c>
    </row>
    <row r="11" spans="1:34" x14ac:dyDescent="0.2"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</row>
    <row r="12" spans="1:34" ht="15" customHeight="1" x14ac:dyDescent="0.2">
      <c r="A12" t="s">
        <v>242</v>
      </c>
      <c r="B12" t="s">
        <v>148</v>
      </c>
      <c r="C12" t="s">
        <v>264</v>
      </c>
      <c r="D12" s="83">
        <f>Demand!D13</f>
        <v>1020.226083575</v>
      </c>
      <c r="E12" s="83">
        <f>Demand!E13</f>
        <v>1034.0735497661874</v>
      </c>
      <c r="F12" s="83">
        <f>Demand!F13</f>
        <v>1047.7570356433737</v>
      </c>
      <c r="G12" s="83">
        <f>Demand!G13</f>
        <v>1061.277834823044</v>
      </c>
      <c r="H12" s="83">
        <f>Demand!H13</f>
        <v>1074.6372320850267</v>
      </c>
      <c r="I12" s="83">
        <f>Demand!I13</f>
        <v>1087.8365034285187</v>
      </c>
      <c r="J12" s="83">
        <f>Demand!J13</f>
        <v>1100.8769161277735</v>
      </c>
      <c r="K12" s="83">
        <f>Demand!K13</f>
        <v>1113.7597287874503</v>
      </c>
      <c r="L12" s="83">
        <f>Demand!L13</f>
        <v>1126.4861913976272</v>
      </c>
      <c r="M12" s="83">
        <f>Demand!M13</f>
        <v>1139.0575453884824</v>
      </c>
      <c r="N12" s="83">
        <f>Demand!N13</f>
        <v>1151.4750236846444</v>
      </c>
      <c r="O12" s="83">
        <f>Demand!O13</f>
        <v>1163.7398507592097</v>
      </c>
      <c r="P12" s="83">
        <f>Demand!P13</f>
        <v>1175.8532426874374</v>
      </c>
      <c r="Q12" s="83">
        <f>Demand!Q13</f>
        <v>1187.8164072001141</v>
      </c>
      <c r="R12" s="83">
        <f>Demand!R13</f>
        <v>1199.6305437365968</v>
      </c>
      <c r="S12" s="83">
        <f>Demand!S13</f>
        <v>1211.2968434975342</v>
      </c>
      <c r="T12" s="83">
        <f>Demand!T13</f>
        <v>1222.8164894972692</v>
      </c>
      <c r="U12" s="83">
        <f>Demand!U13</f>
        <v>1234.1906566159191</v>
      </c>
      <c r="V12" s="83">
        <f>Demand!V13</f>
        <v>1245.4205116511453</v>
      </c>
      <c r="W12" s="83">
        <f>Demand!W13</f>
        <v>1256.507213369604</v>
      </c>
      <c r="X12" s="83">
        <f>Demand!X13</f>
        <v>1267.4519125580866</v>
      </c>
      <c r="Y12" s="83">
        <f>Demand!Y13</f>
        <v>1278.2557520743501</v>
      </c>
      <c r="Z12" s="83">
        <f>Demand!Z13</f>
        <v>1288.9198668976371</v>
      </c>
      <c r="AA12" s="83">
        <f>Demand!AA13</f>
        <v>1299.4453841788893</v>
      </c>
      <c r="AB12" s="83">
        <f>Demand!AB13</f>
        <v>1309.8334232906568</v>
      </c>
      <c r="AC12" s="83">
        <f>Demand!AC13</f>
        <v>1320.0850958767021</v>
      </c>
      <c r="AD12" s="83">
        <f>Demand!AD13</f>
        <v>1330.2015059013047</v>
      </c>
      <c r="AE12" s="83">
        <f>Demand!AE13</f>
        <v>1340.1837496982639</v>
      </c>
      <c r="AF12" s="83">
        <f>Demand!AF13</f>
        <v>1350.0329160196065</v>
      </c>
      <c r="AG12" s="83">
        <f>Demand!AG13</f>
        <v>1359.750086083993</v>
      </c>
      <c r="AH12" s="83">
        <f>Demand!AH13</f>
        <v>1369.3363336248351</v>
      </c>
    </row>
    <row r="13" spans="1:34" ht="15" customHeight="1" x14ac:dyDescent="0.2">
      <c r="A13" t="s">
        <v>244</v>
      </c>
      <c r="B13" t="s">
        <v>148</v>
      </c>
      <c r="C13" t="s">
        <v>265</v>
      </c>
      <c r="D13" s="83">
        <f>Demand!D14</f>
        <v>248.33370415619999</v>
      </c>
      <c r="E13" s="83">
        <f>Demand!E14</f>
        <v>257.45178182457846</v>
      </c>
      <c r="F13" s="83">
        <f>Demand!F14</f>
        <v>266.81502777975317</v>
      </c>
      <c r="G13" s="83">
        <f>Demand!G14</f>
        <v>276.42926772400915</v>
      </c>
      <c r="H13" s="83">
        <f>Demand!H14</f>
        <v>286.30045684007086</v>
      </c>
      <c r="I13" s="83">
        <f>Demand!I14</f>
        <v>296.4346825506272</v>
      </c>
      <c r="J13" s="83">
        <f>Demand!J14</f>
        <v>306.83816733499867</v>
      </c>
      <c r="K13" s="83">
        <f>Demand!K14</f>
        <v>317.51727160410275</v>
      </c>
      <c r="L13" s="83">
        <f>Demand!L14</f>
        <v>328.47849663490183</v>
      </c>
      <c r="M13" s="83">
        <f>Demand!M14</f>
        <v>339.7284875655364</v>
      </c>
      <c r="N13" s="83">
        <f>Demand!N14</f>
        <v>351.27403645237484</v>
      </c>
      <c r="O13" s="83">
        <f>Demand!O14</f>
        <v>363.12208539023288</v>
      </c>
      <c r="P13" s="83">
        <f>Demand!P14</f>
        <v>375.27972969704109</v>
      </c>
      <c r="Q13" s="83">
        <f>Demand!Q14</f>
        <v>387.75422116426523</v>
      </c>
      <c r="R13" s="83">
        <f>Demand!R14</f>
        <v>400.5529713744105</v>
      </c>
      <c r="S13" s="83">
        <f>Demand!S14</f>
        <v>413.68355508696465</v>
      </c>
      <c r="T13" s="83">
        <f>Demand!T14</f>
        <v>427.15371369416476</v>
      </c>
      <c r="U13" s="83">
        <f>Demand!U14</f>
        <v>440.97135874800051</v>
      </c>
      <c r="V13" s="83">
        <f>Demand!V14</f>
        <v>455.14457555989009</v>
      </c>
      <c r="W13" s="83">
        <f>Demand!W14</f>
        <v>469.6816268745003</v>
      </c>
      <c r="X13" s="83">
        <f>Demand!X14</f>
        <v>484.59095661920605</v>
      </c>
      <c r="Y13" s="83">
        <f>Demand!Y14</f>
        <v>499.88119373071595</v>
      </c>
      <c r="Z13" s="83">
        <f>Demand!Z14</f>
        <v>515.56115606042499</v>
      </c>
      <c r="AA13" s="83">
        <f>Demand!AA14</f>
        <v>531.63985436007738</v>
      </c>
      <c r="AB13" s="83">
        <f>Demand!AB14</f>
        <v>548.12649634936429</v>
      </c>
      <c r="AC13" s="83">
        <f>Demand!AC14</f>
        <v>565.0304908671061</v>
      </c>
      <c r="AD13" s="83">
        <f>Demand!AD14</f>
        <v>582.36145210770565</v>
      </c>
      <c r="AE13" s="83">
        <f>Demand!AE14</f>
        <v>600.12920394458843</v>
      </c>
      <c r="AF13" s="83">
        <f>Demand!AF14</f>
        <v>618.34378434238681</v>
      </c>
      <c r="AG13" s="83">
        <f>Demand!AG14</f>
        <v>637.01544985965108</v>
      </c>
      <c r="AH13" s="83">
        <f>Demand!AH14</f>
        <v>656.15468024391419</v>
      </c>
    </row>
    <row r="14" spans="1:34" ht="15" customHeight="1" x14ac:dyDescent="0.2">
      <c r="A14" t="s">
        <v>246</v>
      </c>
      <c r="B14" t="s">
        <v>148</v>
      </c>
      <c r="C14" t="s">
        <v>266</v>
      </c>
      <c r="D14" s="84">
        <f>Demand!D15</f>
        <v>3669.1263367124998</v>
      </c>
      <c r="E14" s="84">
        <f>Demand!E15</f>
        <v>3707.7143181977999</v>
      </c>
      <c r="F14" s="84">
        <f>Demand!F15</f>
        <v>3745.4500678937852</v>
      </c>
      <c r="G14" s="84">
        <f>Demand!G15</f>
        <v>3782.34475187827</v>
      </c>
      <c r="H14" s="84">
        <f>Demand!H15</f>
        <v>3818.4094121146586</v>
      </c>
      <c r="I14" s="84">
        <f>Demand!I15</f>
        <v>3853.6549677231446</v>
      </c>
      <c r="J14" s="84">
        <f>Demand!J15</f>
        <v>3888.0922162395186</v>
      </c>
      <c r="K14" s="84">
        <f>Demand!K15</f>
        <v>3921.7318348616973</v>
      </c>
      <c r="L14" s="84">
        <f>Demand!L15</f>
        <v>3954.5843816840811</v>
      </c>
      <c r="M14" s="84">
        <f>Demand!M15</f>
        <v>3986.6602969198766</v>
      </c>
      <c r="N14" s="84">
        <f>Demand!N15</f>
        <v>4017.9699041114704</v>
      </c>
      <c r="O14" s="84">
        <f>Demand!O15</f>
        <v>4048.5234113289962</v>
      </c>
      <c r="P14" s="84">
        <f>Demand!P15</f>
        <v>4078.3309123571789</v>
      </c>
      <c r="Q14" s="84">
        <f>Demand!Q15</f>
        <v>4107.4023878705857</v>
      </c>
      <c r="R14" s="84">
        <f>Demand!R15</f>
        <v>4135.7477065973853</v>
      </c>
      <c r="S14" s="84">
        <f>Demand!S15</f>
        <v>4163.3766264717342</v>
      </c>
      <c r="T14" s="84">
        <f>Demand!T15</f>
        <v>4190.298795774871</v>
      </c>
      <c r="U14" s="84">
        <f>Demand!U15</f>
        <v>4216.5237542650639</v>
      </c>
      <c r="V14" s="84">
        <f>Demand!V15</f>
        <v>4242.0609342964826</v>
      </c>
      <c r="W14" s="84">
        <f>Demand!W15</f>
        <v>4266.919661927127</v>
      </c>
      <c r="X14" s="84">
        <f>Demand!X15</f>
        <v>4291.1091580158854</v>
      </c>
      <c r="Y14" s="84">
        <f>Demand!Y15</f>
        <v>4314.6385393088603</v>
      </c>
      <c r="Z14" s="84">
        <f>Demand!Z15</f>
        <v>4337.5168195150354</v>
      </c>
      <c r="AA14" s="84">
        <f>Demand!AA15</f>
        <v>4359.752910371395</v>
      </c>
      <c r="AB14" s="84">
        <f>Demand!AB15</f>
        <v>4381.3556226976043</v>
      </c>
      <c r="AC14" s="84">
        <f>Demand!AC15</f>
        <v>4402.3336674403299</v>
      </c>
      <c r="AD14" s="84">
        <f>Demand!AD15</f>
        <v>4422.6956567073203</v>
      </c>
      <c r="AE14" s="84">
        <f>Demand!AE15</f>
        <v>4442.4501047913227</v>
      </c>
      <c r="AF14" s="84">
        <f>Demand!AF15</f>
        <v>4461.6054291839509</v>
      </c>
      <c r="AG14" s="84">
        <f>Demand!AG15</f>
        <v>4480.1699515795908</v>
      </c>
      <c r="AH14" s="84">
        <f>Demand!AH15</f>
        <v>4498.1518988694324</v>
      </c>
    </row>
    <row r="15" spans="1:34" ht="15" customHeight="1" x14ac:dyDescent="0.2">
      <c r="A15" t="s">
        <v>267</v>
      </c>
      <c r="B15" t="s">
        <v>148</v>
      </c>
      <c r="C15" t="s">
        <v>268</v>
      </c>
      <c r="D15" s="83">
        <f>Demand!D13*(Inputs!B41+(Inputs!B42-Inputs!B41)*(D3-2020)/30)</f>
        <v>10.20226083575</v>
      </c>
      <c r="E15" s="83">
        <f>Demand!E13*(Inputs!B41+(Inputs!B42-Inputs!B41)*(E3-2020)/30)</f>
        <v>11.202463455800364</v>
      </c>
      <c r="F15" s="83">
        <f>Demand!F13*(Inputs!B41+(Inputs!B42-Inputs!B41)*(F3-2020)/30)</f>
        <v>12.223832082506027</v>
      </c>
      <c r="G15" s="83">
        <f>Demand!G13*(Inputs!B41+(Inputs!B42-Inputs!B41)*(G3-2020)/30)</f>
        <v>13.265972935288051</v>
      </c>
      <c r="H15" s="83">
        <f>Demand!H13*(Inputs!B41+(Inputs!B42-Inputs!B41)*(H3-2020)/30)</f>
        <v>14.328496427800355</v>
      </c>
      <c r="I15" s="83">
        <f>Demand!I13*(Inputs!B41+(Inputs!B42-Inputs!B41)*(I3-2020)/30)</f>
        <v>15.411017131904014</v>
      </c>
      <c r="J15" s="83">
        <f>Demand!J13*(Inputs!B41+(Inputs!B42-Inputs!B41)*(J3-2020)/30)</f>
        <v>16.5131537419166</v>
      </c>
      <c r="K15" s="83">
        <f>Demand!K13*(Inputs!B41+(Inputs!B42-Inputs!B41)*(K3-2020)/30)</f>
        <v>17.634529039134627</v>
      </c>
      <c r="L15" s="83">
        <f>Demand!L13*(Inputs!B41+(Inputs!B42-Inputs!B41)*(L3-2020)/30)</f>
        <v>18.77476985662712</v>
      </c>
      <c r="M15" s="83">
        <f>Demand!M13*(Inputs!B41+(Inputs!B42-Inputs!B41)*(M3-2020)/30)</f>
        <v>19.933507044298441</v>
      </c>
      <c r="N15" s="83">
        <f>Demand!N13*(Inputs!B41+(Inputs!B42-Inputs!B41)*(N3-2020)/30)</f>
        <v>21.110375434218479</v>
      </c>
      <c r="O15" s="83">
        <f>Demand!O13*(Inputs!B41+(Inputs!B42-Inputs!B41)*(O3-2020)/30)</f>
        <v>22.305013806218184</v>
      </c>
      <c r="P15" s="83">
        <f>Demand!P13*(Inputs!B41+(Inputs!B42-Inputs!B41)*(P3-2020)/30)</f>
        <v>23.517064853748746</v>
      </c>
      <c r="Q15" s="83">
        <f>Demand!Q13*(Inputs!B41+(Inputs!B42-Inputs!B41)*(Q3-2020)/30)</f>
        <v>24.746175150002376</v>
      </c>
      <c r="R15" s="83">
        <f>Demand!R13*(Inputs!B41+(Inputs!B42-Inputs!B41)*(R3-2020)/30)</f>
        <v>25.991995114292926</v>
      </c>
      <c r="S15" s="83">
        <f>Demand!S13*(Inputs!B41+(Inputs!B42-Inputs!B41)*(S3-2020)/30)</f>
        <v>27.254178978694512</v>
      </c>
      <c r="T15" s="83">
        <f>Demand!T13*(Inputs!B41+(Inputs!B42-Inputs!B41)*(T3-2020)/30)</f>
        <v>28.532384754936277</v>
      </c>
      <c r="U15" s="83">
        <f>Demand!U13*(Inputs!B41+(Inputs!B42-Inputs!B41)*(U3-2020)/30)</f>
        <v>29.826274201551374</v>
      </c>
      <c r="V15" s="83">
        <f>Demand!V13*(Inputs!B41+(Inputs!B42-Inputs!B41)*(V3-2020)/30)</f>
        <v>31.135512791278625</v>
      </c>
      <c r="W15" s="83">
        <f>Demand!W13*(Inputs!B41+(Inputs!B42-Inputs!B41)*(W3-2020)/30)</f>
        <v>32.459769678714757</v>
      </c>
      <c r="X15" s="83">
        <f>Demand!X13*(Inputs!B41+(Inputs!B42-Inputs!B41)*(X3-2020)/30)</f>
        <v>33.798717668215644</v>
      </c>
      <c r="Y15" s="83">
        <f>Demand!Y13*(Inputs!B41+(Inputs!B42-Inputs!B41)*(Y3-2020)/30)</f>
        <v>35.152033182044626</v>
      </c>
      <c r="Z15" s="83">
        <f>Demand!Z13*(Inputs!B41+(Inputs!B42-Inputs!B41)*(Z3-2020)/30)</f>
        <v>36.519396228766382</v>
      </c>
      <c r="AA15" s="83">
        <f>Demand!AA13*(Inputs!B41+(Inputs!B42-Inputs!B41)*(AA3-2020)/30)</f>
        <v>37.90049037188426</v>
      </c>
      <c r="AB15" s="83">
        <f>Demand!AB13*(Inputs!B41+(Inputs!B42-Inputs!B41)*(AB3-2020)/30)</f>
        <v>39.295002698719706</v>
      </c>
      <c r="AC15" s="83">
        <f>Demand!AC13*(Inputs!B41+(Inputs!B42-Inputs!B41)*(AC3-2020)/30)</f>
        <v>40.702623789531643</v>
      </c>
      <c r="AD15" s="83">
        <f>Demand!AD13*(Inputs!B41+(Inputs!B42-Inputs!B41)*(AD3-2020)/30)</f>
        <v>42.123047686874642</v>
      </c>
      <c r="AE15" s="83">
        <f>Demand!AE13*(Inputs!B41+(Inputs!B42-Inputs!B41)*(AE3-2020)/30)</f>
        <v>43.55597186519357</v>
      </c>
      <c r="AF15" s="83">
        <f>Demand!AF13*(Inputs!B41+(Inputs!B42-Inputs!B41)*(AF3-2020)/30)</f>
        <v>45.00109720065354</v>
      </c>
      <c r="AG15" s="83">
        <f>Demand!AG13*(Inputs!B41+(Inputs!B42-Inputs!B41)*(AG3-2020)/30)</f>
        <v>46.458127941203088</v>
      </c>
      <c r="AH15" s="83">
        <f>Demand!AH13*(Inputs!B41+(Inputs!B42-Inputs!B41)*(AH3-2020)/30)</f>
        <v>47.926771676869215</v>
      </c>
    </row>
    <row r="16" spans="1:34" x14ac:dyDescent="0.2">
      <c r="A16" t="s">
        <v>269</v>
      </c>
      <c r="B16" t="s">
        <v>148</v>
      </c>
      <c r="C16" t="s">
        <v>270</v>
      </c>
      <c r="D16" s="83">
        <f>MIN(Supply!D6,Supply!D15*(Inputs!B50+(Inputs!B51-Inputs!B50)*(D3-2020)/30))</f>
        <v>0</v>
      </c>
      <c r="E16" s="83">
        <f>MIN(Supply!E6,Supply!E15*(Inputs!B50+(Inputs!B51-Inputs!B50)*(E3-2020)/30))</f>
        <v>0</v>
      </c>
      <c r="F16" s="83">
        <f>MIN(Supply!F6,Supply!F15*(Inputs!B50+(Inputs!B51-Inputs!B50)*(F3-2020)/30))</f>
        <v>0</v>
      </c>
      <c r="G16" s="83">
        <f>MIN(Supply!G6,Supply!G15*(Inputs!B50+(Inputs!B51-Inputs!B50)*(G3-2020)/30))</f>
        <v>0</v>
      </c>
      <c r="H16" s="83">
        <f>MIN(Supply!H6,Supply!H15*(Inputs!B50+(Inputs!B51-Inputs!B50)*(H3-2020)/30))</f>
        <v>0</v>
      </c>
      <c r="I16" s="83">
        <f>MIN(Supply!I6,Supply!I15*(Inputs!B50+(Inputs!B51-Inputs!B50)*(I3-2020)/30))</f>
        <v>0</v>
      </c>
      <c r="J16" s="83">
        <f>MIN(Supply!J6,Supply!J15*(Inputs!B50+(Inputs!B51-Inputs!B50)*(J3-2020)/30))</f>
        <v>0</v>
      </c>
      <c r="K16" s="83">
        <f>MIN(Supply!K6,Supply!K15*(Inputs!B50+(Inputs!B51-Inputs!B50)*(K3-2020)/30))</f>
        <v>7.9943198310743639</v>
      </c>
      <c r="L16" s="83">
        <f>MIN(Supply!L6,Supply!L15*(Inputs!B50+(Inputs!B51-Inputs!B50)*(L3-2020)/30))</f>
        <v>8.3860638692934462</v>
      </c>
      <c r="M16" s="83">
        <f>MIN(Supply!M6,Supply!M15*(Inputs!B50+(Inputs!B51-Inputs!B50)*(M3-2020)/30))</f>
        <v>8.7707430994913143</v>
      </c>
      <c r="N16" s="83">
        <f>MIN(Supply!N6,Supply!N15*(Inputs!B50+(Inputs!B51-Inputs!B50)*(N3-2020)/30))</f>
        <v>9.1478293548280085</v>
      </c>
      <c r="O16" s="83">
        <f>MIN(Supply!O6,Supply!O15*(Inputs!B50+(Inputs!B51-Inputs!B50)*(O3-2020)/30))</f>
        <v>9.5168058906530906</v>
      </c>
      <c r="P16" s="83">
        <f>MIN(Supply!P6,Supply!P15*(Inputs!B50+(Inputs!B51-Inputs!B50)*(P3-2020)/30))</f>
        <v>9.8771672385744722</v>
      </c>
      <c r="Q16" s="83">
        <f>MIN(Supply!Q6,Supply!Q15*(Inputs!B50+(Inputs!B51-Inputs!B50)*(Q3-2020)/30))</f>
        <v>10.228419062000983</v>
      </c>
      <c r="R16" s="83">
        <f>MIN(Supply!R6,Supply!R15*(Inputs!B50+(Inputs!B51-Inputs!B50)*(R3-2020)/30))</f>
        <v>10.570078013145791</v>
      </c>
      <c r="S16" s="83">
        <f>MIN(Supply!S6,Supply!S15*(Inputs!B50+(Inputs!B51-Inputs!B50)*(S3-2020)/30))</f>
        <v>10.901671591477806</v>
      </c>
      <c r="T16" s="83">
        <f>MIN(Supply!T6,Supply!T15*(Inputs!B50+(Inputs!B51-Inputs!B50)*(T3-2020)/30))</f>
        <v>11.222738003608269</v>
      </c>
      <c r="U16" s="83">
        <f>MIN(Supply!U6,Supply!U15*(Inputs!B50+(Inputs!B51-Inputs!B50)*(U3-2020)/30))</f>
        <v>11.532826024599865</v>
      </c>
      <c r="V16" s="83">
        <f>MIN(Supply!V6,Supply!V15*(Inputs!B50+(Inputs!B51-Inputs!B50)*(V3-2020)/30))</f>
        <v>11.831494860685877</v>
      </c>
      <c r="W16" s="83">
        <f>MIN(Supply!W6,Supply!W15*(Inputs!B50+(Inputs!B51-Inputs!B50)*(W3-2020)/30))</f>
        <v>12.118314013386842</v>
      </c>
      <c r="X16" s="83">
        <f>MIN(Supply!X6,Supply!X15*(Inputs!B50+(Inputs!B51-Inputs!B50)*(X3-2020)/30))</f>
        <v>12.392863145012404</v>
      </c>
      <c r="Y16" s="83">
        <f>MIN(Supply!Y6,Supply!Y15*(Inputs!B50+(Inputs!B51-Inputs!B50)*(Y3-2020)/30))</f>
        <v>12.654731945536065</v>
      </c>
      <c r="Z16" s="83">
        <f>MIN(Supply!Z6,Supply!Z15*(Inputs!B50+(Inputs!B51-Inputs!B50)*(Z3-2020)/30))</f>
        <v>12.903520000830788</v>
      </c>
      <c r="AA16" s="83">
        <f>MIN(Supply!AA6,Supply!AA15*(Inputs!B50+(Inputs!B51-Inputs!B50)*(AA3-2020)/30))</f>
        <v>13.13883666225321</v>
      </c>
      <c r="AB16" s="83">
        <f>MIN(Supply!AB6,Supply!AB15*(Inputs!B50+(Inputs!B51-Inputs!B50)*(AB3-2020)/30))</f>
        <v>13.360300917564699</v>
      </c>
      <c r="AC16" s="83">
        <f>MIN(Supply!AC6,Supply!AC15*(Inputs!B50+(Inputs!B51-Inputs!B50)*(AC3-2020)/30))</f>
        <v>13.567541263177215</v>
      </c>
      <c r="AD16" s="83">
        <f>MIN(Supply!AD6,Supply!AD15*(Inputs!B50+(Inputs!B51-Inputs!B50)*(AD3-2020)/30))</f>
        <v>13.760195577712382</v>
      </c>
      <c r="AE16" s="83">
        <f>MIN(Supply!AE6,Supply!AE15*(Inputs!B50+(Inputs!B51-Inputs!B50)*(AE3-2020)/30))</f>
        <v>13.937910996861941</v>
      </c>
      <c r="AF16" s="83">
        <f>MIN(Supply!AF6,Supply!AF15*(Inputs!B50+(Inputs!B51-Inputs!B50)*(AF3-2020)/30))</f>
        <v>14.10034378953811</v>
      </c>
      <c r="AG16" s="83">
        <f>MIN(Supply!AG6,Supply!AG15*(Inputs!B50+(Inputs!B51-Inputs!B50)*(AG3-2020)/30))</f>
        <v>14.247159235302279</v>
      </c>
      <c r="AH16" s="83">
        <f>MIN(Supply!AH6,Supply!AH15*(Inputs!B50+(Inputs!B51-Inputs!B50)*(AH3-2020)/30))</f>
        <v>14.378031503060765</v>
      </c>
    </row>
    <row r="17" spans="1:34" ht="15" customHeight="1" x14ac:dyDescent="0.2">
      <c r="A17" t="s">
        <v>271</v>
      </c>
      <c r="B17" t="s">
        <v>148</v>
      </c>
      <c r="C17" t="s">
        <v>272</v>
      </c>
      <c r="D17" s="84">
        <f>MIN(Supply!D14,MAX(Supply!D15-Supply!D16,0))</f>
        <v>10.20226083575</v>
      </c>
      <c r="E17" s="83">
        <f>MIN(Supply!E14,MAX(Supply!E15-Supply!E16,0))</f>
        <v>11.202463455800364</v>
      </c>
      <c r="F17" s="83">
        <f>MIN(Supply!F14,MAX(Supply!F15-Supply!F16,0))</f>
        <v>12.223832082506027</v>
      </c>
      <c r="G17" s="83">
        <f>MIN(Supply!G14,MAX(Supply!G15-Supply!G16,0))</f>
        <v>13.265972935288051</v>
      </c>
      <c r="H17" s="83">
        <f>MIN(Supply!H14,MAX(Supply!H15-Supply!H16,0))</f>
        <v>14.328496427800355</v>
      </c>
      <c r="I17" s="83">
        <f>MIN(Supply!I14,MAX(Supply!I15-Supply!I16,0))</f>
        <v>15.411017131904014</v>
      </c>
      <c r="J17" s="83">
        <f>MIN(Supply!J14,MAX(Supply!J15-Supply!J16,0))</f>
        <v>16.5131537419166</v>
      </c>
      <c r="K17" s="83">
        <f>MIN(Supply!K14,MAX(Supply!K15-Supply!K16,0))</f>
        <v>9.6402092080602628</v>
      </c>
      <c r="L17" s="83">
        <f>MIN(Supply!L14,MAX(Supply!L15-Supply!L16,0))</f>
        <v>10.388705987333674</v>
      </c>
      <c r="M17" s="83">
        <f>MIN(Supply!M14,MAX(Supply!M15-Supply!M16,0))</f>
        <v>11.162763944807127</v>
      </c>
      <c r="N17" s="83">
        <f>MIN(Supply!N14,MAX(Supply!N15-Supply!N16,0))</f>
        <v>11.962546079390471</v>
      </c>
      <c r="O17" s="83">
        <f>MIN(Supply!O14,MAX(Supply!O15-Supply!O16,0))</f>
        <v>12.788207915565094</v>
      </c>
      <c r="P17" s="83">
        <f>MIN(Supply!P14,MAX(Supply!P15-Supply!P16,0))</f>
        <v>13.639897615174274</v>
      </c>
      <c r="Q17" s="83">
        <f>MIN(Supply!Q14,MAX(Supply!Q15-Supply!Q16,0))</f>
        <v>14.517756088001393</v>
      </c>
      <c r="R17" s="83">
        <f>MIN(Supply!R14,MAX(Supply!R15-Supply!R16,0))</f>
        <v>15.421917101147136</v>
      </c>
      <c r="S17" s="83">
        <f>MIN(Supply!S14,MAX(Supply!S15-Supply!S16,0))</f>
        <v>16.352507387216704</v>
      </c>
      <c r="T17" s="83">
        <f>MIN(Supply!T14,MAX(Supply!T15-Supply!T16,0))</f>
        <v>17.30964675132801</v>
      </c>
      <c r="U17" s="83">
        <f>MIN(Supply!U14,MAX(Supply!U15-Supply!U16,0))</f>
        <v>18.293448176951507</v>
      </c>
      <c r="V17" s="83">
        <f>MIN(Supply!V14,MAX(Supply!V15-Supply!V16,0))</f>
        <v>19.30401793059275</v>
      </c>
      <c r="W17" s="83">
        <f>MIN(Supply!W14,MAX(Supply!W15-Supply!W16,0))</f>
        <v>20.341455665327913</v>
      </c>
      <c r="X17" s="83">
        <f>MIN(Supply!X14,MAX(Supply!X15-Supply!X16,0))</f>
        <v>21.405854523203239</v>
      </c>
      <c r="Y17" s="83">
        <f>MIN(Supply!Y14,MAX(Supply!Y15-Supply!Y16,0))</f>
        <v>22.497301236508562</v>
      </c>
      <c r="Z17" s="83">
        <f>MIN(Supply!Z14,MAX(Supply!Z15-Supply!Z16,0))</f>
        <v>23.615876227935594</v>
      </c>
      <c r="AA17" s="83">
        <f>MIN(Supply!AA14,MAX(Supply!AA15-Supply!AA16,0))</f>
        <v>24.761653709631048</v>
      </c>
      <c r="AB17" s="83">
        <f>MIN(Supply!AB14,MAX(Supply!AB15-Supply!AB16,0))</f>
        <v>25.934701781155006</v>
      </c>
      <c r="AC17" s="83">
        <f>MIN(Supply!AC14,MAX(Supply!AC15-Supply!AC16,0))</f>
        <v>27.135082526354427</v>
      </c>
      <c r="AD17" s="83">
        <f>MIN(Supply!AD14,MAX(Supply!AD15-Supply!AD16,0))</f>
        <v>28.362852109162262</v>
      </c>
      <c r="AE17" s="83">
        <f>MIN(Supply!AE14,MAX(Supply!AE15-Supply!AE16,0))</f>
        <v>29.618060868331629</v>
      </c>
      <c r="AF17" s="83">
        <f>MIN(Supply!AF14,MAX(Supply!AF15-Supply!AF16,0))</f>
        <v>30.900753411115431</v>
      </c>
      <c r="AG17" s="83">
        <f>MIN(Supply!AG14,MAX(Supply!AG15-Supply!AG16,0))</f>
        <v>32.210968705900811</v>
      </c>
      <c r="AH17" s="83">
        <f>MIN(Supply!AH14,MAX(Supply!AH15-Supply!AH16,0))</f>
        <v>33.548740173808454</v>
      </c>
    </row>
    <row r="18" spans="1:34" ht="15" customHeight="1" x14ac:dyDescent="0.2">
      <c r="A18" t="s">
        <v>273</v>
      </c>
      <c r="B18" t="s">
        <v>148</v>
      </c>
      <c r="C18" t="s">
        <v>274</v>
      </c>
      <c r="D18" s="83">
        <f>MIN(Supply!D12*Inputs!B52,Supply!D8)</f>
        <v>1020.226083575</v>
      </c>
      <c r="E18" s="83">
        <f>MIN(Supply!E12*Inputs!B52,Supply!E8)</f>
        <v>1034.0735497661874</v>
      </c>
      <c r="F18" s="83">
        <f>MIN(Supply!F12*Inputs!B52,Supply!F8)</f>
        <v>1047.7570356433737</v>
      </c>
      <c r="G18" s="83">
        <f>MIN(Supply!G12*Inputs!B52,Supply!G8)</f>
        <v>1061.277834823044</v>
      </c>
      <c r="H18" s="83">
        <f>MIN(Supply!H12*Inputs!B52,Supply!H8)</f>
        <v>1074.6372320850267</v>
      </c>
      <c r="I18" s="83">
        <f>MIN(Supply!I12*Inputs!B52,Supply!I8)</f>
        <v>1087.8365034285187</v>
      </c>
      <c r="J18" s="83">
        <f>MIN(Supply!J12*Inputs!B52,Supply!J8)</f>
        <v>1100.8769161277735</v>
      </c>
      <c r="K18" s="83">
        <f>MIN(Supply!K12*Inputs!B52,Supply!K8)</f>
        <v>1113.7597287874503</v>
      </c>
      <c r="L18" s="83">
        <f>MIN(Supply!L12*Inputs!B52,Supply!L8)</f>
        <v>1126.4861913976272</v>
      </c>
      <c r="M18" s="83">
        <f>MIN(Supply!M12*Inputs!B52,Supply!M8)</f>
        <v>1139.0575453884824</v>
      </c>
      <c r="N18" s="83">
        <f>MIN(Supply!N12*Inputs!B52,Supply!N8)</f>
        <v>1151.4750236846444</v>
      </c>
      <c r="O18" s="83">
        <f>MIN(Supply!O12*Inputs!B52,Supply!O8)</f>
        <v>1163.7398507592097</v>
      </c>
      <c r="P18" s="83">
        <f>MIN(Supply!P12*Inputs!B52,Supply!P8)</f>
        <v>1175.8532426874374</v>
      </c>
      <c r="Q18" s="83">
        <f>MIN(Supply!Q12*Inputs!B52,Supply!Q8)</f>
        <v>1187.8164072001141</v>
      </c>
      <c r="R18" s="83">
        <f>MIN(Supply!R12*Inputs!B52,Supply!R8)</f>
        <v>1199.6305437365968</v>
      </c>
      <c r="S18" s="83">
        <f>MIN(Supply!S12*Inputs!B52,Supply!S8)</f>
        <v>1211.2968434975342</v>
      </c>
      <c r="T18" s="83">
        <f>MIN(Supply!T12*Inputs!B52,Supply!T8)</f>
        <v>1222.8164894972692</v>
      </c>
      <c r="U18" s="83">
        <f>MIN(Supply!U12*Inputs!B52,Supply!U8)</f>
        <v>1234.1906566159191</v>
      </c>
      <c r="V18" s="83">
        <f>MIN(Supply!V12*Inputs!B52,Supply!V8)</f>
        <v>1245.4205116511453</v>
      </c>
      <c r="W18" s="83">
        <f>MIN(Supply!W12*Inputs!B52,Supply!W8)</f>
        <v>1256.507213369604</v>
      </c>
      <c r="X18" s="83">
        <f>MIN(Supply!X12*Inputs!B52,Supply!X8)</f>
        <v>1267.4519125580866</v>
      </c>
      <c r="Y18" s="83">
        <f>MIN(Supply!Y12*Inputs!B52,Supply!Y8)</f>
        <v>1278.2557520743501</v>
      </c>
      <c r="Z18" s="83">
        <f>MIN(Supply!Z12*Inputs!B52,Supply!Z8)</f>
        <v>1288.9198668976371</v>
      </c>
      <c r="AA18" s="83">
        <f>MIN(Supply!AA12*Inputs!B52,Supply!AA8)</f>
        <v>1299.4453841788893</v>
      </c>
      <c r="AB18" s="83">
        <f>MIN(Supply!AB12*Inputs!B52,Supply!AB8)</f>
        <v>1309.8334232906568</v>
      </c>
      <c r="AC18" s="83">
        <f>MIN(Supply!AC12*Inputs!B52,Supply!AC8)</f>
        <v>1320.0850958767021</v>
      </c>
      <c r="AD18" s="83">
        <f>MIN(Supply!AD12*Inputs!B52,Supply!AD8)</f>
        <v>1330.2015059013047</v>
      </c>
      <c r="AE18" s="83">
        <f>MIN(Supply!AE12*Inputs!B52,Supply!AE8)</f>
        <v>1340.1837496982639</v>
      </c>
      <c r="AF18" s="83">
        <f>MIN(Supply!AF12*Inputs!B52,Supply!AF8)</f>
        <v>1350.0329160196065</v>
      </c>
      <c r="AG18" s="83">
        <f>MIN(Supply!AG12*Inputs!B52,Supply!AG8)</f>
        <v>1359.750086083993</v>
      </c>
      <c r="AH18" s="83">
        <f>MIN(Supply!AH12*Inputs!B52,Supply!AH8)</f>
        <v>1369.3363336248351</v>
      </c>
    </row>
    <row r="19" spans="1:34" ht="15" customHeight="1" x14ac:dyDescent="0.2">
      <c r="A19" t="s">
        <v>275</v>
      </c>
      <c r="B19" t="s">
        <v>148</v>
      </c>
      <c r="C19" t="s">
        <v>276</v>
      </c>
      <c r="D19" s="83">
        <f>MIN(MAX(Supply!D12-D18,0)*Inputs!B53,MAX(Supply!D9,0))</f>
        <v>0</v>
      </c>
      <c r="E19" s="83">
        <f>MIN(MAX(Supply!E12-E18,0)*Inputs!B53,MAX(Supply!E9,0))</f>
        <v>0</v>
      </c>
      <c r="F19" s="83">
        <f>MIN(MAX(Supply!F12-F18,0)*Inputs!B53,MAX(Supply!F9,0))</f>
        <v>0</v>
      </c>
      <c r="G19" s="83">
        <f>MIN(MAX(Supply!G12-G18,0)*Inputs!B53,MAX(Supply!G9,0))</f>
        <v>0</v>
      </c>
      <c r="H19" s="83">
        <f>MIN(MAX(Supply!H12-H18,0)*Inputs!B53,MAX(Supply!H9,0))</f>
        <v>0</v>
      </c>
      <c r="I19" s="83">
        <f>MIN(MAX(Supply!I12-I18,0)*Inputs!B53,MAX(Supply!I9,0))</f>
        <v>0</v>
      </c>
      <c r="J19" s="83">
        <f>MIN(MAX(Supply!J12-J18,0)*Inputs!B53,MAX(Supply!J9,0))</f>
        <v>0</v>
      </c>
      <c r="K19" s="83">
        <f>MIN(MAX(Supply!K12-K18,0)*Inputs!B53,MAX(Supply!K9,0))</f>
        <v>0</v>
      </c>
      <c r="L19" s="83">
        <f>MIN(MAX(Supply!L12-L18,0)*Inputs!B53,MAX(Supply!L9,0))</f>
        <v>0</v>
      </c>
      <c r="M19" s="83">
        <f>MIN(MAX(Supply!M12-M18,0)*Inputs!B53,MAX(Supply!M9,0))</f>
        <v>0</v>
      </c>
      <c r="N19" s="83">
        <f>MIN(MAX(Supply!N12-N18,0)*Inputs!B53,MAX(Supply!N9,0))</f>
        <v>0</v>
      </c>
      <c r="O19" s="83">
        <f>MIN(MAX(Supply!O12-O18,0)*Inputs!B53,MAX(Supply!O9,0))</f>
        <v>0</v>
      </c>
      <c r="P19" s="83">
        <f>MIN(MAX(Supply!P12-P18,0)*Inputs!B53,MAX(Supply!P9,0))</f>
        <v>0</v>
      </c>
      <c r="Q19" s="83">
        <f>MIN(MAX(Supply!Q12-Q18,0)*Inputs!B53,MAX(Supply!Q9,0))</f>
        <v>0</v>
      </c>
      <c r="R19" s="83">
        <f>MIN(MAX(Supply!R12-R18,0)*Inputs!B53,MAX(Supply!R9,0))</f>
        <v>0</v>
      </c>
      <c r="S19" s="83">
        <f>MIN(MAX(Supply!S12-S18,0)*Inputs!B53,MAX(Supply!S9,0))</f>
        <v>0</v>
      </c>
      <c r="T19" s="83">
        <f>MIN(MAX(Supply!T12-T18,0)*Inputs!B53,MAX(Supply!T9,0))</f>
        <v>0</v>
      </c>
      <c r="U19" s="83">
        <f>MIN(MAX(Supply!U12-U18,0)*Inputs!B53,MAX(Supply!U9,0))</f>
        <v>0</v>
      </c>
      <c r="V19" s="83">
        <f>MIN(MAX(Supply!V12-V18,0)*Inputs!B53,MAX(Supply!V9,0))</f>
        <v>0</v>
      </c>
      <c r="W19" s="83">
        <f>MIN(MAX(Supply!W12-W18,0)*Inputs!B53,MAX(Supply!W9,0))</f>
        <v>0</v>
      </c>
      <c r="X19" s="83">
        <f>MIN(MAX(Supply!X12-X18,0)*Inputs!B53,MAX(Supply!X9,0))</f>
        <v>0</v>
      </c>
      <c r="Y19" s="83">
        <f>MIN(MAX(Supply!Y12-Y18,0)*Inputs!B53,MAX(Supply!Y9,0))</f>
        <v>0</v>
      </c>
      <c r="Z19" s="83">
        <f>MIN(MAX(Supply!Z12-Z18,0)*Inputs!B53,MAX(Supply!Z9,0))</f>
        <v>0</v>
      </c>
      <c r="AA19" s="83">
        <f>MIN(MAX(Supply!AA12-AA18,0)*Inputs!B53,MAX(Supply!AA9,0))</f>
        <v>0</v>
      </c>
      <c r="AB19" s="83">
        <f>MIN(MAX(Supply!AB12-AB18,0)*Inputs!B53,MAX(Supply!AB9,0))</f>
        <v>0</v>
      </c>
      <c r="AC19" s="83">
        <f>MIN(MAX(Supply!AC12-AC18,0)*Inputs!B53,MAX(Supply!AC9,0))</f>
        <v>0</v>
      </c>
      <c r="AD19" s="83">
        <f>MIN(MAX(Supply!AD12-AD18,0)*Inputs!B53,MAX(Supply!AD9,0))</f>
        <v>0</v>
      </c>
      <c r="AE19" s="83">
        <f>MIN(MAX(Supply!AE12-AE18,0)*Inputs!B53,MAX(Supply!AE9,0))</f>
        <v>0</v>
      </c>
      <c r="AF19" s="83">
        <f>MIN(MAX(Supply!AF12-AF18,0)*Inputs!B53,MAX(Supply!AF9,0))</f>
        <v>0</v>
      </c>
      <c r="AG19" s="83">
        <f>MIN(MAX(Supply!AG12-AG18,0)*Inputs!B53,MAX(Supply!AG9,0))</f>
        <v>0</v>
      </c>
      <c r="AH19" s="83">
        <f>MIN(MAX(Supply!AH12-AH18,0)*Inputs!B53,MAX(Supply!AH9,0))</f>
        <v>0</v>
      </c>
    </row>
    <row r="20" spans="1:34" x14ac:dyDescent="0.2">
      <c r="A20" t="s">
        <v>277</v>
      </c>
      <c r="B20" t="s">
        <v>148</v>
      </c>
      <c r="C20" t="s">
        <v>278</v>
      </c>
      <c r="D20" s="83">
        <f>MAX(Supply!D12-D18-D19,0)</f>
        <v>0</v>
      </c>
      <c r="E20" s="83">
        <f>MAX(Supply!E12-E18-E19,0)</f>
        <v>0</v>
      </c>
      <c r="F20" s="83">
        <f>MAX(Supply!F12-F18-F19,0)</f>
        <v>0</v>
      </c>
      <c r="G20" s="83">
        <f>MAX(Supply!G12-G18-G19,0)</f>
        <v>0</v>
      </c>
      <c r="H20" s="83">
        <f>MAX(Supply!H12-H18-H19,0)</f>
        <v>0</v>
      </c>
      <c r="I20" s="83">
        <f>MAX(Supply!I12-I18-I19,0)</f>
        <v>0</v>
      </c>
      <c r="J20" s="83">
        <f>MAX(Supply!J12-J18-J19,0)</f>
        <v>0</v>
      </c>
      <c r="K20" s="83">
        <f>MAX(Supply!K12-K18-K19,0)</f>
        <v>0</v>
      </c>
      <c r="L20" s="83">
        <f>MAX(Supply!L12-L18-L19,0)</f>
        <v>0</v>
      </c>
      <c r="M20" s="83">
        <f>MAX(Supply!M12-M18-M19,0)</f>
        <v>0</v>
      </c>
      <c r="N20" s="83">
        <f>MAX(Supply!N12-N18-N19,0)</f>
        <v>0</v>
      </c>
      <c r="O20" s="83">
        <f>MAX(Supply!O12-O18-O19,0)</f>
        <v>0</v>
      </c>
      <c r="P20" s="83">
        <f>MAX(Supply!P12-P18-P19,0)</f>
        <v>0</v>
      </c>
      <c r="Q20" s="83">
        <f>MAX(Supply!Q12-Q18-Q19,0)</f>
        <v>0</v>
      </c>
      <c r="R20" s="83">
        <f>MAX(Supply!R12-R18-R19,0)</f>
        <v>0</v>
      </c>
      <c r="S20" s="83">
        <f>MAX(Supply!S12-S18-S19,0)</f>
        <v>0</v>
      </c>
      <c r="T20" s="83">
        <f>MAX(Supply!T12-T18-T19,0)</f>
        <v>0</v>
      </c>
      <c r="U20" s="83">
        <f>MAX(Supply!U12-U18-U19,0)</f>
        <v>0</v>
      </c>
      <c r="V20" s="83">
        <f>MAX(Supply!V12-V18-V19,0)</f>
        <v>0</v>
      </c>
      <c r="W20" s="83">
        <f>MAX(Supply!W12-W18-W19,0)</f>
        <v>0</v>
      </c>
      <c r="X20" s="83">
        <f>MAX(Supply!X12-X18-X19,0)</f>
        <v>0</v>
      </c>
      <c r="Y20" s="83">
        <f>MAX(Supply!Y12-Y18-Y19,0)</f>
        <v>0</v>
      </c>
      <c r="Z20" s="83">
        <f>MAX(Supply!Z12-Z18-Z19,0)</f>
        <v>0</v>
      </c>
      <c r="AA20" s="83">
        <f>MAX(Supply!AA12-AA18-AA19,0)</f>
        <v>0</v>
      </c>
      <c r="AB20" s="83">
        <f>MAX(Supply!AB12-AB18-AB19,0)</f>
        <v>0</v>
      </c>
      <c r="AC20" s="83">
        <f>MAX(Supply!AC12-AC18-AC19,0)</f>
        <v>0</v>
      </c>
      <c r="AD20" s="83">
        <f>MAX(Supply!AD12-AD18-AD19,0)</f>
        <v>0</v>
      </c>
      <c r="AE20" s="83">
        <f>MAX(Supply!AE12-AE18-AE19,0)</f>
        <v>0</v>
      </c>
      <c r="AF20" s="83">
        <f>MAX(Supply!AF12-AF18-AF19,0)</f>
        <v>0</v>
      </c>
      <c r="AG20" s="83">
        <f>MAX(Supply!AG12-AG18-AG19,0)</f>
        <v>0</v>
      </c>
      <c r="AH20" s="83">
        <f>MAX(Supply!AH12-AH18-AH19,0)</f>
        <v>0</v>
      </c>
    </row>
    <row r="21" spans="1:34" ht="15" customHeight="1" x14ac:dyDescent="0.2">
      <c r="A21" t="s">
        <v>279</v>
      </c>
      <c r="B21" t="s">
        <v>148</v>
      </c>
      <c r="C21" t="s">
        <v>280</v>
      </c>
      <c r="D21" s="83">
        <f>MIN(Supply!D13*Inputs!B54,MAX(Supply!D8-D18,0))</f>
        <v>248.33370415619999</v>
      </c>
      <c r="E21" s="83">
        <f>MIN(Supply!E13*Inputs!B54,MAX(Supply!E8-E18,0))</f>
        <v>257.45178182457846</v>
      </c>
      <c r="F21" s="83">
        <f>MIN(Supply!F13*Inputs!B54,MAX(Supply!F8-F18,0))</f>
        <v>266.81502777975317</v>
      </c>
      <c r="G21" s="83">
        <f>MIN(Supply!G13*Inputs!B54,MAX(Supply!G8-G18,0))</f>
        <v>276.42926772400915</v>
      </c>
      <c r="H21" s="83">
        <f>MIN(Supply!H13*Inputs!B54,MAX(Supply!H8-H18,0))</f>
        <v>286.30045684007086</v>
      </c>
      <c r="I21" s="83">
        <f>MIN(Supply!I13*Inputs!B54,MAX(Supply!I8-I18,0))</f>
        <v>296.4346825506272</v>
      </c>
      <c r="J21" s="83">
        <f>MIN(Supply!J13*Inputs!B54,MAX(Supply!J8-J18,0))</f>
        <v>306.83816733499867</v>
      </c>
      <c r="K21" s="83">
        <f>MIN(Supply!K13*Inputs!B54,MAX(Supply!K8-K18,0))</f>
        <v>317.51727160410275</v>
      </c>
      <c r="L21" s="83">
        <f>MIN(Supply!L13*Inputs!B54,MAX(Supply!L8-L18,0))</f>
        <v>328.47849663490183</v>
      </c>
      <c r="M21" s="83">
        <f>MIN(Supply!M13*Inputs!B54,MAX(Supply!M8-M18,0))</f>
        <v>339.7284875655364</v>
      </c>
      <c r="N21" s="83">
        <f>MIN(Supply!N13*Inputs!B54,MAX(Supply!N8-N18,0))</f>
        <v>351.27403645237484</v>
      </c>
      <c r="O21" s="83">
        <f>MIN(Supply!O13*Inputs!B54,MAX(Supply!O8-O18,0))</f>
        <v>363.12208539023288</v>
      </c>
      <c r="P21" s="83">
        <f>MIN(Supply!P13*Inputs!B54,MAX(Supply!P8-P18,0))</f>
        <v>375.27972969704109</v>
      </c>
      <c r="Q21" s="83">
        <f>MIN(Supply!Q13*Inputs!B54,MAX(Supply!Q8-Q18,0))</f>
        <v>387.75422116426523</v>
      </c>
      <c r="R21" s="83">
        <f>MIN(Supply!R13*Inputs!B54,MAX(Supply!R8-R18,0))</f>
        <v>400.5529713744105</v>
      </c>
      <c r="S21" s="83">
        <f>MIN(Supply!S13*Inputs!B54,MAX(Supply!S8-S18,0))</f>
        <v>413.68355508696465</v>
      </c>
      <c r="T21" s="83">
        <f>MIN(Supply!T13*Inputs!B54,MAX(Supply!T8-T18,0))</f>
        <v>427.15371369416476</v>
      </c>
      <c r="U21" s="83">
        <f>MIN(Supply!U13*Inputs!B54,MAX(Supply!U8-U18,0))</f>
        <v>440.97135874800051</v>
      </c>
      <c r="V21" s="83">
        <f>MIN(Supply!V13*Inputs!B54,MAX(Supply!V8-V18,0))</f>
        <v>455.14457555989009</v>
      </c>
      <c r="W21" s="83">
        <f>MIN(Supply!W13*Inputs!B54,MAX(Supply!W8-W18,0))</f>
        <v>469.6816268745003</v>
      </c>
      <c r="X21" s="83">
        <f>MIN(Supply!X13*Inputs!B54,MAX(Supply!X8-X18,0))</f>
        <v>484.59095661920605</v>
      </c>
      <c r="Y21" s="83">
        <f>MIN(Supply!Y13*Inputs!B54,MAX(Supply!Y8-Y18,0))</f>
        <v>499.88119373071595</v>
      </c>
      <c r="Z21" s="83">
        <f>MIN(Supply!Z13*Inputs!B54,MAX(Supply!Z8-Z18,0))</f>
        <v>515.56115606042499</v>
      </c>
      <c r="AA21" s="83">
        <f>MIN(Supply!AA13*Inputs!B54,MAX(Supply!AA8-AA18,0))</f>
        <v>531.63985436007738</v>
      </c>
      <c r="AB21" s="83">
        <f>MIN(Supply!AB13*Inputs!B54,MAX(Supply!AB8-AB18,0))</f>
        <v>548.12649634936429</v>
      </c>
      <c r="AC21" s="83">
        <f>MIN(Supply!AC13*Inputs!B54,MAX(Supply!AC8-AC18,0))</f>
        <v>565.0304908671061</v>
      </c>
      <c r="AD21" s="83">
        <f>MIN(Supply!AD13*Inputs!B54,MAX(Supply!AD8-AD18,0))</f>
        <v>582.36145210770565</v>
      </c>
      <c r="AE21" s="83">
        <f>MIN(Supply!AE13*Inputs!B54,MAX(Supply!AE8-AE18,0))</f>
        <v>600.12920394458843</v>
      </c>
      <c r="AF21" s="83">
        <f>MIN(Supply!AF13*Inputs!B54,MAX(Supply!AF8-AF18,0))</f>
        <v>618.34378434238681</v>
      </c>
      <c r="AG21" s="83">
        <f>MIN(Supply!AG13*Inputs!B54,MAX(Supply!AG8-AG18,0))</f>
        <v>637.01544985965108</v>
      </c>
      <c r="AH21" s="83">
        <f>MIN(Supply!AH13*Inputs!B54,MAX(Supply!AH8-AH18,0))</f>
        <v>656.15468024391419</v>
      </c>
    </row>
    <row r="22" spans="1:34" x14ac:dyDescent="0.2">
      <c r="A22" t="s">
        <v>281</v>
      </c>
      <c r="B22" t="s">
        <v>148</v>
      </c>
      <c r="C22" t="s">
        <v>282</v>
      </c>
      <c r="D22" s="83">
        <f>MIN(MAX(Supply!D13-D21,0)*Inputs!B55,MAX(Supply!D9-D19,0))</f>
        <v>0</v>
      </c>
      <c r="E22" s="83">
        <f>MIN(MAX(Supply!E13-E21,0)*Inputs!B55,MAX(Supply!E9-E19,0))</f>
        <v>0</v>
      </c>
      <c r="F22" s="83">
        <f>MIN(MAX(Supply!F13-F21,0)*Inputs!B55,MAX(Supply!F9-F19,0))</f>
        <v>0</v>
      </c>
      <c r="G22" s="83">
        <f>MIN(MAX(Supply!G13-G21,0)*Inputs!B55,MAX(Supply!G9-G19,0))</f>
        <v>0</v>
      </c>
      <c r="H22" s="83">
        <f>MIN(MAX(Supply!H13-H21,0)*Inputs!B55,MAX(Supply!H9-H19,0))</f>
        <v>0</v>
      </c>
      <c r="I22" s="83">
        <f>MIN(MAX(Supply!I13-I21,0)*Inputs!B55,MAX(Supply!I9-I19,0))</f>
        <v>0</v>
      </c>
      <c r="J22" s="83">
        <f>MIN(MAX(Supply!J13-J21,0)*Inputs!B55,MAX(Supply!J9-J19,0))</f>
        <v>0</v>
      </c>
      <c r="K22" s="83">
        <f>MIN(MAX(Supply!K13-K21,0)*Inputs!B55,MAX(Supply!K9-K19,0))</f>
        <v>0</v>
      </c>
      <c r="L22" s="83">
        <f>MIN(MAX(Supply!L13-L21,0)*Inputs!B55,MAX(Supply!L9-L19,0))</f>
        <v>0</v>
      </c>
      <c r="M22" s="83">
        <f>MIN(MAX(Supply!M13-M21,0)*Inputs!B55,MAX(Supply!M9-M19,0))</f>
        <v>0</v>
      </c>
      <c r="N22" s="83">
        <f>MIN(MAX(Supply!N13-N21,0)*Inputs!B55,MAX(Supply!N9-N19,0))</f>
        <v>0</v>
      </c>
      <c r="O22" s="83">
        <f>MIN(MAX(Supply!O13-O21,0)*Inputs!B55,MAX(Supply!O9-O19,0))</f>
        <v>0</v>
      </c>
      <c r="P22" s="83">
        <f>MIN(MAX(Supply!P13-P21,0)*Inputs!B55,MAX(Supply!P9-P19,0))</f>
        <v>0</v>
      </c>
      <c r="Q22" s="83">
        <f>MIN(MAX(Supply!Q13-Q21,0)*Inputs!B55,MAX(Supply!Q9-Q19,0))</f>
        <v>0</v>
      </c>
      <c r="R22" s="83">
        <f>MIN(MAX(Supply!R13-R21,0)*Inputs!B55,MAX(Supply!R9-R19,0))</f>
        <v>0</v>
      </c>
      <c r="S22" s="83">
        <f>MIN(MAX(Supply!S13-S21,0)*Inputs!B55,MAX(Supply!S9-S19,0))</f>
        <v>0</v>
      </c>
      <c r="T22" s="83">
        <f>MIN(MAX(Supply!T13-T21,0)*Inputs!B55,MAX(Supply!T9-T19,0))</f>
        <v>0</v>
      </c>
      <c r="U22" s="83">
        <f>MIN(MAX(Supply!U13-U21,0)*Inputs!B55,MAX(Supply!U9-U19,0))</f>
        <v>0</v>
      </c>
      <c r="V22" s="83">
        <f>MIN(MAX(Supply!V13-V21,0)*Inputs!B55,MAX(Supply!V9-V19,0))</f>
        <v>0</v>
      </c>
      <c r="W22" s="83">
        <f>MIN(MAX(Supply!W13-W21,0)*Inputs!B55,MAX(Supply!W9-W19,0))</f>
        <v>0</v>
      </c>
      <c r="X22" s="83">
        <f>MIN(MAX(Supply!X13-X21,0)*Inputs!B55,MAX(Supply!X9-X19,0))</f>
        <v>0</v>
      </c>
      <c r="Y22" s="83">
        <f>MIN(MAX(Supply!Y13-Y21,0)*Inputs!B55,MAX(Supply!Y9-Y19,0))</f>
        <v>0</v>
      </c>
      <c r="Z22" s="83">
        <f>MIN(MAX(Supply!Z13-Z21,0)*Inputs!B55,MAX(Supply!Z9-Z19,0))</f>
        <v>0</v>
      </c>
      <c r="AA22" s="83">
        <f>MIN(MAX(Supply!AA13-AA21,0)*Inputs!B55,MAX(Supply!AA9-AA19,0))</f>
        <v>0</v>
      </c>
      <c r="AB22" s="83">
        <f>MIN(MAX(Supply!AB13-AB21,0)*Inputs!B55,MAX(Supply!AB9-AB19,0))</f>
        <v>0</v>
      </c>
      <c r="AC22" s="83">
        <f>MIN(MAX(Supply!AC13-AC21,0)*Inputs!B55,MAX(Supply!AC9-AC19,0))</f>
        <v>0</v>
      </c>
      <c r="AD22" s="83">
        <f>MIN(MAX(Supply!AD13-AD21,0)*Inputs!B55,MAX(Supply!AD9-AD19,0))</f>
        <v>0</v>
      </c>
      <c r="AE22" s="83">
        <f>MIN(MAX(Supply!AE13-AE21,0)*Inputs!B55,MAX(Supply!AE9-AE19,0))</f>
        <v>0</v>
      </c>
      <c r="AF22" s="83">
        <f>MIN(MAX(Supply!AF13-AF21,0)*Inputs!B55,MAX(Supply!AF9-AF19,0))</f>
        <v>0</v>
      </c>
      <c r="AG22" s="83">
        <f>MIN(MAX(Supply!AG13-AG21,0)*Inputs!B55,MAX(Supply!AG9-AG19,0))</f>
        <v>0</v>
      </c>
      <c r="AH22" s="83">
        <f>MIN(MAX(Supply!AH13-AH21,0)*Inputs!B55,MAX(Supply!AH9-AH19,0))</f>
        <v>0</v>
      </c>
    </row>
    <row r="23" spans="1:34" x14ac:dyDescent="0.2">
      <c r="A23" t="s">
        <v>283</v>
      </c>
      <c r="B23" t="s">
        <v>148</v>
      </c>
      <c r="C23" t="s">
        <v>284</v>
      </c>
      <c r="D23" s="83">
        <f>MAX(Supply!D13-D21-D22,0)</f>
        <v>0</v>
      </c>
      <c r="E23" s="83">
        <f>MAX(Supply!E13-E21-E22,0)</f>
        <v>0</v>
      </c>
      <c r="F23" s="83">
        <f>MAX(Supply!F13-F21-F22,0)</f>
        <v>0</v>
      </c>
      <c r="G23" s="83">
        <f>MAX(Supply!G13-G21-G22,0)</f>
        <v>0</v>
      </c>
      <c r="H23" s="83">
        <f>MAX(Supply!H13-H21-H22,0)</f>
        <v>0</v>
      </c>
      <c r="I23" s="83">
        <f>MAX(Supply!I13-I21-I22,0)</f>
        <v>0</v>
      </c>
      <c r="J23" s="83">
        <f>MAX(Supply!J13-J21-J22,0)</f>
        <v>0</v>
      </c>
      <c r="K23" s="83">
        <f>MAX(Supply!K13-K21-K22,0)</f>
        <v>0</v>
      </c>
      <c r="L23" s="83">
        <f>MAX(Supply!L13-L21-L22,0)</f>
        <v>0</v>
      </c>
      <c r="M23" s="83">
        <f>MAX(Supply!M13-M21-M22,0)</f>
        <v>0</v>
      </c>
      <c r="N23" s="83">
        <f>MAX(Supply!N13-N21-N22,0)</f>
        <v>0</v>
      </c>
      <c r="O23" s="83">
        <f>MAX(Supply!O13-O21-O22,0)</f>
        <v>0</v>
      </c>
      <c r="P23" s="83">
        <f>MAX(Supply!P13-P21-P22,0)</f>
        <v>0</v>
      </c>
      <c r="Q23" s="83">
        <f>MAX(Supply!Q13-Q21-Q22,0)</f>
        <v>0</v>
      </c>
      <c r="R23" s="83">
        <f>MAX(Supply!R13-R21-R22,0)</f>
        <v>0</v>
      </c>
      <c r="S23" s="83">
        <f>MAX(Supply!S13-S21-S22,0)</f>
        <v>0</v>
      </c>
      <c r="T23" s="83">
        <f>MAX(Supply!T13-T21-T22,0)</f>
        <v>0</v>
      </c>
      <c r="U23" s="83">
        <f>MAX(Supply!U13-U21-U22,0)</f>
        <v>0</v>
      </c>
      <c r="V23" s="83">
        <f>MAX(Supply!V13-V21-V22,0)</f>
        <v>0</v>
      </c>
      <c r="W23" s="83">
        <f>MAX(Supply!W13-W21-W22,0)</f>
        <v>0</v>
      </c>
      <c r="X23" s="83">
        <f>MAX(Supply!X13-X21-X22,0)</f>
        <v>0</v>
      </c>
      <c r="Y23" s="83">
        <f>MAX(Supply!Y13-Y21-Y22,0)</f>
        <v>0</v>
      </c>
      <c r="Z23" s="83">
        <f>MAX(Supply!Z13-Z21-Z22,0)</f>
        <v>0</v>
      </c>
      <c r="AA23" s="83">
        <f>MAX(Supply!AA13-AA21-AA22,0)</f>
        <v>0</v>
      </c>
      <c r="AB23" s="83">
        <f>MAX(Supply!AB13-AB21-AB22,0)</f>
        <v>0</v>
      </c>
      <c r="AC23" s="83">
        <f>MAX(Supply!AC13-AC21-AC22,0)</f>
        <v>0</v>
      </c>
      <c r="AD23" s="83">
        <f>MAX(Supply!AD13-AD21-AD22,0)</f>
        <v>0</v>
      </c>
      <c r="AE23" s="83">
        <f>MAX(Supply!AE13-AE21-AE22,0)</f>
        <v>0</v>
      </c>
      <c r="AF23" s="83">
        <f>MAX(Supply!AF13-AF21-AF22,0)</f>
        <v>0</v>
      </c>
      <c r="AG23" s="83">
        <f>MAX(Supply!AG13-AG21-AG22,0)</f>
        <v>0</v>
      </c>
      <c r="AH23" s="83">
        <f>MAX(Supply!AH13-AH21-AH22,0)</f>
        <v>0</v>
      </c>
    </row>
    <row r="24" spans="1:34" x14ac:dyDescent="0.2">
      <c r="A24" t="s">
        <v>285</v>
      </c>
      <c r="B24" t="s">
        <v>148</v>
      </c>
      <c r="C24" t="s">
        <v>286</v>
      </c>
      <c r="D24" s="84">
        <f>MIN(MAX(Supply!D14-Supply!D17,0)*Inputs!B56,MAX(Supply!D8-D18-D21,0))</f>
        <v>2231.4402122688002</v>
      </c>
      <c r="E24" s="83">
        <f>MIN(MAX(Supply!E14-Supply!E17,0)*Inputs!B56,MAX(Supply!E8-E18-E21,0))</f>
        <v>2155.9746684092343</v>
      </c>
      <c r="F24" s="83">
        <f>MIN(MAX(Supply!F14-Supply!F17,0)*Inputs!B56,MAX(Supply!F8-F18-F21,0))</f>
        <v>2081.2154365768729</v>
      </c>
      <c r="G24" s="83">
        <f>MIN(MAX(Supply!G14-Supply!G17,0)*Inputs!B56,MAX(Supply!G8-G18-G21,0))</f>
        <v>2007.1435849529471</v>
      </c>
      <c r="H24" s="83">
        <f>MIN(MAX(Supply!H14-Supply!H17,0)*Inputs!B56,MAX(Supply!H8-H18-H21,0))</f>
        <v>1933.7402382624025</v>
      </c>
      <c r="I24" s="83">
        <f>MIN(MAX(Supply!I14-Supply!I17,0)*Inputs!B56,MAX(Supply!I8-I18-I21,0))</f>
        <v>1860.9865723005414</v>
      </c>
      <c r="J24" s="83">
        <f>MIN(MAX(Supply!J14-Supply!J17,0)*Inputs!B56,MAX(Supply!J8-J18-J21,0))</f>
        <v>1788.8638084427203</v>
      </c>
      <c r="K24" s="83">
        <f>MIN(MAX(Supply!K14-Supply!K17,0)*Inputs!B56,MAX(Supply!K8-K18-K21,0))</f>
        <v>1717.3532081353569</v>
      </c>
      <c r="L24" s="83">
        <f>MIN(MAX(Supply!L14-Supply!L17,0)*Inputs!B56,MAX(Supply!L8-L18-L21,0))</f>
        <v>1646.4360673664773</v>
      </c>
      <c r="M24" s="83">
        <f>MIN(MAX(Supply!M14-Supply!M17,0)*Inputs!B56,MAX(Supply!M8-M18-M21,0))</f>
        <v>1576.0937111140022</v>
      </c>
      <c r="N24" s="83">
        <f>MIN(MAX(Supply!N14-Supply!N17,0)*Inputs!B56,MAX(Supply!N8-N18-N21,0))</f>
        <v>1506.3074877699819</v>
      </c>
      <c r="O24" s="83">
        <f>MIN(MAX(Supply!O14-Supply!O17,0)*Inputs!B56,MAX(Supply!O8-O18-O21,0))</f>
        <v>1437.0587635389534</v>
      </c>
      <c r="P24" s="83">
        <f>MIN(MAX(Supply!P14-Supply!P17,0)*Inputs!B56,MAX(Supply!P8-P18-P21,0))</f>
        <v>1368.3289168085914</v>
      </c>
      <c r="Q24" s="83">
        <f>MIN(MAX(Supply!Q14-Supply!Q17,0)*Inputs!B56,MAX(Supply!Q8-Q18-Q21,0))</f>
        <v>1300.0993324907945</v>
      </c>
      <c r="R24" s="83">
        <f>MIN(MAX(Supply!R14-Supply!R17,0)*Inputs!B56,MAX(Supply!R8-R18-R21,0))</f>
        <v>1232.3513963313394</v>
      </c>
      <c r="S24" s="83">
        <f>MIN(MAX(Supply!S14-Supply!S17,0)*Inputs!B56,MAX(Supply!S8-S18-S21,0))</f>
        <v>1165.066489186212</v>
      </c>
      <c r="T24" s="83">
        <f>MIN(MAX(Supply!T14-Supply!T17,0)*Inputs!B56,MAX(Supply!T8-T18-T21,0))</f>
        <v>1098.2259812627162</v>
      </c>
      <c r="U24" s="83">
        <f>MIN(MAX(Supply!U14-Supply!U17,0)*Inputs!B56,MAX(Supply!U8-U18-U21,0))</f>
        <v>1031.8112263234184</v>
      </c>
      <c r="V24" s="83">
        <f>MIN(MAX(Supply!V14-Supply!V17,0)*Inputs!B56,MAX(Supply!V8-V18-V21,0))</f>
        <v>965.80355585099244</v>
      </c>
      <c r="W24" s="83">
        <f>MIN(MAX(Supply!W14-Supply!W17,0)*Inputs!B56,MAX(Supply!W8-W18-W21,0))</f>
        <v>900.18427317199325</v>
      </c>
      <c r="X24" s="83">
        <f>MIN(MAX(Supply!X14-Supply!X17,0)*Inputs!B56,MAX(Supply!X8-X18-X21,0))</f>
        <v>834.93464753756371</v>
      </c>
      <c r="Y24" s="83">
        <f>MIN(MAX(Supply!Y14-Supply!Y17,0)*Inputs!B56,MAX(Supply!Y8-Y18-Y21,0))</f>
        <v>770.0359081590675</v>
      </c>
      <c r="Z24" s="83">
        <f>MIN(MAX(Supply!Z14-Supply!Z17,0)*Inputs!B56,MAX(Supply!Z8-Z18-Z21,0))</f>
        <v>705.46923819660924</v>
      </c>
      <c r="AA24" s="83">
        <f>MIN(MAX(Supply!AA14-Supply!AA17,0)*Inputs!B56,MAX(Supply!AA8-AA18-AA21,0))</f>
        <v>641.21576869838464</v>
      </c>
      <c r="AB24" s="83">
        <f>MIN(MAX(Supply!AB14-Supply!AB17,0)*Inputs!B56,MAX(Supply!AB8-AB18-AB21,0))</f>
        <v>577.25657248876973</v>
      </c>
      <c r="AC24" s="83">
        <f>MIN(MAX(Supply!AC14-Supply!AC17,0)*Inputs!B56,MAX(Supply!AC8-AC18-AC21,0))</f>
        <v>513.57265800305106</v>
      </c>
      <c r="AD24" s="83">
        <f>MIN(MAX(Supply!AD14-Supply!AD17,0)*Inputs!B56,MAX(Supply!AD8-AD18-AD21,0))</f>
        <v>450.14496306664569</v>
      </c>
      <c r="AE24" s="83">
        <f>MIN(MAX(Supply!AE14-Supply!AE17,0)*Inputs!B56,MAX(Supply!AE8-AE18-AE21,0))</f>
        <v>386.95434861666899</v>
      </c>
      <c r="AF24" s="83">
        <f>MIN(MAX(Supply!AF14-Supply!AF17,0)*Inputs!B56,MAX(Supply!AF8-AF18-AF21,0))</f>
        <v>323.98159236363506</v>
      </c>
      <c r="AG24" s="83">
        <f>MIN(MAX(Supply!AG14-Supply!AG17,0)*Inputs!B56,MAX(Supply!AG8-AG18-AG21,0))</f>
        <v>261.20738239109994</v>
      </c>
      <c r="AH24" s="83">
        <f>MIN(MAX(Supply!AH14-Supply!AH17,0)*Inputs!B56,MAX(Supply!AH8-AH18-AH21,0))</f>
        <v>198.61231069097391</v>
      </c>
    </row>
    <row r="25" spans="1:34" x14ac:dyDescent="0.2">
      <c r="A25" t="s">
        <v>287</v>
      </c>
      <c r="B25" t="s">
        <v>148</v>
      </c>
      <c r="C25" t="s">
        <v>288</v>
      </c>
      <c r="D25" s="84">
        <f>MIN(MAX(MAX(D14-D17,0)-D24,0)*Inputs!B57,MAX(D9-D19-D22,0))</f>
        <v>912</v>
      </c>
      <c r="E25" s="83">
        <f>MIN(MAX(MAX(Supply!E14-Supply!E17,0)-E24,0)*Inputs!B57,MAX(Supply!E9-E19-E22,0))</f>
        <v>893.76</v>
      </c>
      <c r="F25" s="83">
        <f>MIN(MAX(MAX(Supply!F14-Supply!F17,0)-F24,0)*Inputs!B57,MAX(Supply!F9-F19-F22,0))</f>
        <v>875.88479999999993</v>
      </c>
      <c r="G25" s="83">
        <f>MIN(MAX(MAX(Supply!G14-Supply!G17,0)-G24,0)*Inputs!B57,MAX(Supply!G9-G19-G22,0))</f>
        <v>858.36710399999993</v>
      </c>
      <c r="H25" s="83">
        <f>MIN(MAX(MAX(Supply!H14-Supply!H17,0)-H24,0)*Inputs!B57,MAX(Supply!H9-H19-H22,0))</f>
        <v>841.1997619199999</v>
      </c>
      <c r="I25" s="83">
        <f>MIN(MAX(MAX(Supply!I14-Supply!I17,0)-I24,0)*Inputs!B57,MAX(Supply!I9-I19-I22,0))</f>
        <v>824.37576668159988</v>
      </c>
      <c r="J25" s="83">
        <f>MIN(MAX(MAX(Supply!J14-Supply!J17,0)-J24,0)*Inputs!B57,MAX(Supply!J9-J19-J22,0))</f>
        <v>807.88825134796787</v>
      </c>
      <c r="K25" s="83">
        <f>MIN(MAX(MAX(Supply!K14-Supply!K17,0)-K24,0)*Inputs!B57,MAX(Supply!K9-K19-K22,0))</f>
        <v>791.73048632100847</v>
      </c>
      <c r="L25" s="83">
        <f>MIN(MAX(MAX(Supply!L14-Supply!L17,0)-L24,0)*Inputs!B57,MAX(Supply!L9-L19-L22,0))</f>
        <v>775.89587659458823</v>
      </c>
      <c r="M25" s="83">
        <f>MIN(MAX(MAX(Supply!M14-Supply!M17,0)-M24,0)*Inputs!B57,MAX(Supply!M9-M19-M22,0))</f>
        <v>760.3779590626965</v>
      </c>
      <c r="N25" s="83">
        <f>MIN(MAX(MAX(Supply!N14-Supply!N17,0)-N24,0)*Inputs!B57,MAX(Supply!N9-N19-N22,0))</f>
        <v>745.17039988144245</v>
      </c>
      <c r="O25" s="83">
        <f>MIN(MAX(MAX(Supply!O14-Supply!O17,0)-O24,0)*Inputs!B57,MAX(Supply!O9-O19-O22,0))</f>
        <v>730.2669918838136</v>
      </c>
      <c r="P25" s="83">
        <f>MIN(MAX(MAX(Supply!P14-Supply!P17,0)-P24,0)*Inputs!B57,MAX(Supply!P9-P19-P22,0))</f>
        <v>715.66165204613731</v>
      </c>
      <c r="Q25" s="83">
        <f>MIN(MAX(MAX(Supply!Q14-Supply!Q17,0)-Q24,0)*Inputs!B57,MAX(Supply!Q9-Q19-Q22,0))</f>
        <v>701.34841900521451</v>
      </c>
      <c r="R25" s="83">
        <f>MIN(MAX(MAX(Supply!R14-Supply!R17,0)-R24,0)*Inputs!B57,MAX(Supply!R9-R19-R22,0))</f>
        <v>687.32145062511029</v>
      </c>
      <c r="S25" s="83">
        <f>MIN(MAX(MAX(Supply!S14-Supply!S17,0)-S24,0)*Inputs!B57,MAX(Supply!S9-S19-S22,0))</f>
        <v>673.575021612608</v>
      </c>
      <c r="T25" s="83">
        <f>MIN(MAX(MAX(Supply!T14-Supply!T17,0)-T24,0)*Inputs!B57,MAX(Supply!T9-T19-T22,0))</f>
        <v>660.10352118035587</v>
      </c>
      <c r="U25" s="83">
        <f>MIN(MAX(MAX(Supply!U14-Supply!U17,0)-U24,0)*Inputs!B57,MAX(Supply!U9-U19-U22,0))</f>
        <v>646.90145075674877</v>
      </c>
      <c r="V25" s="83">
        <f>MIN(MAX(MAX(Supply!V14-Supply!V17,0)-V24,0)*Inputs!B57,MAX(Supply!V9-V19-V22,0))</f>
        <v>633.96342174161373</v>
      </c>
      <c r="W25" s="83">
        <f>MIN(MAX(MAX(Supply!W14-Supply!W17,0)-W24,0)*Inputs!B57,MAX(Supply!W9-W19-W22,0))</f>
        <v>621.28415330678149</v>
      </c>
      <c r="X25" s="83">
        <f>MIN(MAX(MAX(Supply!X14-Supply!X17,0)-X24,0)*Inputs!B57,MAX(Supply!X9-X19-X22,0))</f>
        <v>608.85847024064583</v>
      </c>
      <c r="Y25" s="83">
        <f>MIN(MAX(MAX(Supply!Y14-Supply!Y17,0)-Y24,0)*Inputs!B57,MAX(Supply!Y9-Y19-Y22,0))</f>
        <v>596.68130083583287</v>
      </c>
      <c r="Z25" s="83">
        <f>MIN(MAX(MAX(Supply!Z14-Supply!Z17,0)-Z24,0)*Inputs!B57,MAX(Supply!Z9-Z19-Z22,0))</f>
        <v>584.74767481911624</v>
      </c>
      <c r="AA25" s="83">
        <f>MIN(MAX(MAX(Supply!AA14-Supply!AA17,0)-AA24,0)*Inputs!B57,MAX(Supply!AA9-AA19-AA22,0))</f>
        <v>573.05272132273387</v>
      </c>
      <c r="AB25" s="83">
        <f>MIN(MAX(MAX(Supply!AB14-Supply!AB17,0)-AB24,0)*Inputs!B57,MAX(Supply!AB9-AB19-AB22,0))</f>
        <v>561.59166689627921</v>
      </c>
      <c r="AC25" s="83">
        <f>MIN(MAX(MAX(Supply!AC14-Supply!AC17,0)-AC24,0)*Inputs!B57,MAX(Supply!AC9-AC19-AC22,0))</f>
        <v>550.35983355835356</v>
      </c>
      <c r="AD25" s="83">
        <f>MIN(MAX(MAX(Supply!AD14-Supply!AD17,0)-AD24,0)*Inputs!B57,MAX(Supply!AD9-AD19-AD22,0))</f>
        <v>539.35263688718646</v>
      </c>
      <c r="AE25" s="83">
        <f>MIN(MAX(MAX(Supply!AE14-Supply!AE17,0)-AE24,0)*Inputs!B57,MAX(Supply!AE9-AE19-AE22,0))</f>
        <v>528.56558414944266</v>
      </c>
      <c r="AF25" s="83">
        <f>MIN(MAX(MAX(Supply!AF14-Supply!AF17,0)-AF24,0)*Inputs!B57,MAX(Supply!AF9-AF19-AF22,0))</f>
        <v>517.99427246645382</v>
      </c>
      <c r="AG25" s="83">
        <f>MIN(MAX(MAX(Supply!AG14-Supply!AG17,0)-AG24,0)*Inputs!B57,MAX(Supply!AG9-AG19-AG22,0))</f>
        <v>507.63438701712477</v>
      </c>
      <c r="AH25" s="83">
        <f>MIN(MAX(MAX(Supply!AH14-Supply!AH17,0)-AH24,0)*Inputs!B57,MAX(Supply!AH9-AH19-AH22,0))</f>
        <v>497.48169927678225</v>
      </c>
    </row>
    <row r="26" spans="1:34" x14ac:dyDescent="0.2">
      <c r="A26" t="s">
        <v>289</v>
      </c>
      <c r="B26" t="s">
        <v>148</v>
      </c>
      <c r="C26" t="s">
        <v>290</v>
      </c>
      <c r="D26" s="20">
        <f>MAX(MAX(D14-D17,0)-D24-D25,0)</f>
        <v>515.48386360794939</v>
      </c>
      <c r="E26" s="83">
        <f>MAX(MAX(Supply!E14-Supply!E17,0)-E24-E25,0)</f>
        <v>646.7771863327655</v>
      </c>
      <c r="F26" s="83">
        <f>MAX(MAX(Supply!F14-Supply!F17,0)-F24-F25,0)</f>
        <v>776.12599923440655</v>
      </c>
      <c r="G26" s="83">
        <f>MAX(MAX(Supply!G14-Supply!G17,0)-G24-G25,0)</f>
        <v>903.56808999003488</v>
      </c>
      <c r="H26" s="83">
        <f>MAX(MAX(Supply!H14-Supply!H17,0)-H24-H25,0)</f>
        <v>1029.1409155044557</v>
      </c>
      <c r="I26" s="83">
        <f>MAX(MAX(Supply!I14-Supply!I17,0)-I24-I25,0)</f>
        <v>1152.8816116090993</v>
      </c>
      <c r="J26" s="83">
        <f>MAX(MAX(Supply!J14-Supply!J17,0)-J24-J25,0)</f>
        <v>1274.8270027069138</v>
      </c>
      <c r="K26" s="83">
        <f>MAX(MAX(Supply!K14-Supply!K17,0)-K24-K25,0)</f>
        <v>1403.0079311972718</v>
      </c>
      <c r="L26" s="83">
        <f>MAX(MAX(Supply!L14-Supply!L17,0)-L24-L25,0)</f>
        <v>1521.863731735682</v>
      </c>
      <c r="M26" s="83">
        <f>MAX(MAX(Supply!M14-Supply!M17,0)-M24-M25,0)</f>
        <v>1639.0258627983712</v>
      </c>
      <c r="N26" s="83">
        <f>MAX(MAX(Supply!N14-Supply!N17,0)-N24-N25,0)</f>
        <v>1754.5294703806558</v>
      </c>
      <c r="O26" s="83">
        <f>MAX(MAX(Supply!O14-Supply!O17,0)-O24-O25,0)</f>
        <v>1868.4094479906639</v>
      </c>
      <c r="P26" s="83">
        <f>MAX(MAX(Supply!P14-Supply!P17,0)-P24-P25,0)</f>
        <v>1980.7004458872764</v>
      </c>
      <c r="Q26" s="83">
        <f>MAX(MAX(Supply!Q14-Supply!Q17,0)-Q24-Q25,0)</f>
        <v>2091.4368802865752</v>
      </c>
      <c r="R26" s="83">
        <f>MAX(MAX(Supply!R14-Supply!R17,0)-R24-R25,0)</f>
        <v>2200.6529425397885</v>
      </c>
      <c r="S26" s="83">
        <f>MAX(MAX(Supply!S14-Supply!S17,0)-S24-S25,0)</f>
        <v>2308.3826082856972</v>
      </c>
      <c r="T26" s="83">
        <f>MAX(MAX(Supply!T14-Supply!T17,0)-T24-T25,0)</f>
        <v>2414.659646580471</v>
      </c>
      <c r="U26" s="83">
        <f>MAX(MAX(Supply!U14-Supply!U17,0)-U24-U25,0)</f>
        <v>2519.5176290079453</v>
      </c>
      <c r="V26" s="83">
        <f>MAX(MAX(Supply!V14-Supply!V17,0)-V24-V25,0)</f>
        <v>2622.9899387732839</v>
      </c>
      <c r="W26" s="83">
        <f>MAX(MAX(Supply!W14-Supply!W17,0)-W24-W25,0)</f>
        <v>2725.1097797830244</v>
      </c>
      <c r="X26" s="83">
        <f>MAX(MAX(Supply!X14-Supply!X17,0)-X24-X25,0)</f>
        <v>2825.9101857144733</v>
      </c>
      <c r="Y26" s="83">
        <f>MAX(MAX(Supply!Y14-Supply!Y17,0)-Y24-Y25,0)</f>
        <v>2925.4240290774505</v>
      </c>
      <c r="Z26" s="83">
        <f>MAX(MAX(Supply!Z14-Supply!Z17,0)-Z24-Z25,0)</f>
        <v>3023.6840302713745</v>
      </c>
      <c r="AA26" s="83">
        <f>MAX(MAX(Supply!AA14-Supply!AA17,0)-AA24-AA25,0)</f>
        <v>3120.7227666406457</v>
      </c>
      <c r="AB26" s="83">
        <f>MAX(MAX(Supply!AB14-Supply!AB17,0)-AB24-AB25,0)</f>
        <v>3216.5726815314001</v>
      </c>
      <c r="AC26" s="83">
        <f>MAX(MAX(Supply!AC14-Supply!AC17,0)-AC24-AC25,0)</f>
        <v>3311.2660933525713</v>
      </c>
      <c r="AD26" s="83">
        <f>MAX(MAX(Supply!AD14-Supply!AD17,0)-AD24-AD25,0)</f>
        <v>3404.835204644326</v>
      </c>
      <c r="AE26" s="83">
        <f>MAX(MAX(Supply!AE14-Supply!AE17,0)-AE24-AE25,0)</f>
        <v>3497.3121111568794</v>
      </c>
      <c r="AF26" s="83">
        <f>MAX(MAX(Supply!AF14-Supply!AF17,0)-AF24-AF25,0)</f>
        <v>3588.7288109427468</v>
      </c>
      <c r="AG26" s="83">
        <f>MAX(MAX(Supply!AG14-Supply!AG17,0)-AG24-AG25,0)</f>
        <v>3679.1172134654653</v>
      </c>
      <c r="AH26" s="83">
        <f>MAX(MAX(Supply!AH14-Supply!AH17,0)-AH24-AH25,0)</f>
        <v>3768.5091487278683</v>
      </c>
    </row>
    <row r="27" spans="1:34" x14ac:dyDescent="0.2">
      <c r="A27" t="s">
        <v>291</v>
      </c>
      <c r="B27" t="s">
        <v>148</v>
      </c>
      <c r="C27" t="s">
        <v>292</v>
      </c>
      <c r="D27" s="83">
        <f>MAX(Supply!D6-Supply!D16,0)</f>
        <v>0</v>
      </c>
      <c r="E27" s="83">
        <f>MAX(Supply!E6-Supply!E16,0)</f>
        <v>0</v>
      </c>
      <c r="F27" s="83">
        <f>MAX(Supply!F6-Supply!F16,0)</f>
        <v>0</v>
      </c>
      <c r="G27" s="83">
        <f>MAX(Supply!G6-Supply!G16,0)</f>
        <v>0</v>
      </c>
      <c r="H27" s="83">
        <f>MAX(Supply!H6-Supply!H16,0)</f>
        <v>0</v>
      </c>
      <c r="I27" s="83">
        <f>MAX(Supply!I6-Supply!I16,0)</f>
        <v>0</v>
      </c>
      <c r="J27" s="83">
        <f>MAX(Supply!J6-Supply!J16,0)</f>
        <v>0</v>
      </c>
      <c r="K27" s="83">
        <f>MAX(Supply!K6-Supply!K16,0)</f>
        <v>46.755680168925636</v>
      </c>
      <c r="L27" s="83">
        <f>MAX(Supply!L6-Supply!L16,0)</f>
        <v>101.11393613070655</v>
      </c>
      <c r="M27" s="83">
        <f>MAX(Supply!M6-Supply!M16,0)</f>
        <v>155.47925690050869</v>
      </c>
      <c r="N27" s="83">
        <f>MAX(Supply!N6-Supply!N16,0)</f>
        <v>209.85217064517198</v>
      </c>
      <c r="O27" s="83">
        <f>MAX(Supply!O6-Supply!O16,0)</f>
        <v>264.23319410934693</v>
      </c>
      <c r="P27" s="83">
        <f>MAX(Supply!P6-Supply!P16,0)</f>
        <v>318.62283276142551</v>
      </c>
      <c r="Q27" s="83">
        <f>MAX(Supply!Q6-Supply!Q16,0)</f>
        <v>373.02158093799903</v>
      </c>
      <c r="R27" s="83">
        <f>MAX(Supply!R6-Supply!R16,0)</f>
        <v>427.4299219868542</v>
      </c>
      <c r="S27" s="83">
        <f>MAX(Supply!S6-Supply!S16,0)</f>
        <v>481.84832840852221</v>
      </c>
      <c r="T27" s="83">
        <f>MAX(Supply!T6-Supply!T16,0)</f>
        <v>536.27726199639176</v>
      </c>
      <c r="U27" s="83">
        <f>MAX(Supply!U6-Supply!U16,0)</f>
        <v>535.9671739754001</v>
      </c>
      <c r="V27" s="83">
        <f>MAX(Supply!V6-Supply!V16,0)</f>
        <v>535.66850513931411</v>
      </c>
      <c r="W27" s="83">
        <f>MAX(Supply!W6-Supply!W16,0)</f>
        <v>535.38168598661321</v>
      </c>
      <c r="X27" s="83">
        <f>MAX(Supply!X6-Supply!X16,0)</f>
        <v>535.10713685498763</v>
      </c>
      <c r="Y27" s="83">
        <f>MAX(Supply!Y6-Supply!Y16,0)</f>
        <v>534.84526805446399</v>
      </c>
      <c r="Z27" s="83">
        <f>MAX(Supply!Z6-Supply!Z16,0)</f>
        <v>534.59647999916922</v>
      </c>
      <c r="AA27" s="83">
        <f>MAX(Supply!AA6-Supply!AA16,0)</f>
        <v>534.3611633377468</v>
      </c>
      <c r="AB27" s="83">
        <f>MAX(Supply!AB6-Supply!AB16,0)</f>
        <v>534.1396990824353</v>
      </c>
      <c r="AC27" s="83">
        <f>MAX(Supply!AC6-Supply!AC16,0)</f>
        <v>533.93245873682281</v>
      </c>
      <c r="AD27" s="83">
        <f>MAX(Supply!AD6-Supply!AD16,0)</f>
        <v>533.73980442228765</v>
      </c>
      <c r="AE27" s="83">
        <f>MAX(Supply!AE6-Supply!AE16,0)</f>
        <v>533.56208900313811</v>
      </c>
      <c r="AF27" s="83">
        <f>MAX(Supply!AF6-Supply!AF16,0)</f>
        <v>533.3996562104619</v>
      </c>
      <c r="AG27" s="83">
        <f>MAX(Supply!AG6-Supply!AG16,0)</f>
        <v>533.25284076469768</v>
      </c>
      <c r="AH27" s="83">
        <f>MAX(Supply!AH6-Supply!AH16,0)</f>
        <v>533.12196849693919</v>
      </c>
    </row>
    <row r="28" spans="1:34" x14ac:dyDescent="0.2">
      <c r="A28" t="s">
        <v>293</v>
      </c>
      <c r="B28" t="s">
        <v>148</v>
      </c>
      <c r="C28" t="s">
        <v>294</v>
      </c>
      <c r="D28" s="83">
        <f t="shared" ref="D28" si="1">D18+D19+D20+D21+D22+D23+D17+D24+D25+D26+D16+D27</f>
        <v>4937.6861244436996</v>
      </c>
      <c r="E28" s="83">
        <f t="shared" ref="E28:AH28" si="2">E18+E19+E20+E21+E22+E23+E17+E24+E25+E26+E16+E27</f>
        <v>4999.2396497885657</v>
      </c>
      <c r="F28" s="83">
        <f t="shared" si="2"/>
        <v>5060.0221313169122</v>
      </c>
      <c r="G28" s="83">
        <f t="shared" si="2"/>
        <v>5120.0518544253227</v>
      </c>
      <c r="H28" s="83">
        <f t="shared" si="2"/>
        <v>5179.3471010397561</v>
      </c>
      <c r="I28" s="83">
        <f t="shared" si="2"/>
        <v>5237.9261537022903</v>
      </c>
      <c r="J28" s="83">
        <f t="shared" si="2"/>
        <v>5295.80729970229</v>
      </c>
      <c r="K28" s="83">
        <f t="shared" si="2"/>
        <v>5407.7588352532503</v>
      </c>
      <c r="L28" s="83">
        <f t="shared" si="2"/>
        <v>5519.0490697166097</v>
      </c>
      <c r="M28" s="83">
        <f t="shared" si="2"/>
        <v>5629.6963298738956</v>
      </c>
      <c r="N28" s="83">
        <f t="shared" si="2"/>
        <v>5739.71896424849</v>
      </c>
      <c r="O28" s="83">
        <f t="shared" si="2"/>
        <v>5849.1353474784391</v>
      </c>
      <c r="P28" s="83">
        <f t="shared" si="2"/>
        <v>5957.9638847416581</v>
      </c>
      <c r="Q28" s="83">
        <f t="shared" si="2"/>
        <v>6066.2230162349651</v>
      </c>
      <c r="R28" s="83">
        <f t="shared" si="2"/>
        <v>6173.9312217083916</v>
      </c>
      <c r="S28" s="83">
        <f t="shared" si="2"/>
        <v>6281.1070250562334</v>
      </c>
      <c r="T28" s="83">
        <f t="shared" si="2"/>
        <v>6387.7689989663049</v>
      </c>
      <c r="U28" s="83">
        <f t="shared" si="2"/>
        <v>6439.1857696289835</v>
      </c>
      <c r="V28" s="83">
        <f t="shared" si="2"/>
        <v>6490.1260215075181</v>
      </c>
      <c r="W28" s="83">
        <f t="shared" si="2"/>
        <v>6540.6085021712315</v>
      </c>
      <c r="X28" s="83">
        <f t="shared" si="2"/>
        <v>6590.6520271931786</v>
      </c>
      <c r="Y28" s="83">
        <f t="shared" si="2"/>
        <v>6640.2754851139252</v>
      </c>
      <c r="Z28" s="83">
        <f t="shared" si="2"/>
        <v>6689.497842473098</v>
      </c>
      <c r="AA28" s="83">
        <f t="shared" si="2"/>
        <v>6738.3381489103613</v>
      </c>
      <c r="AB28" s="83">
        <f t="shared" si="2"/>
        <v>6786.8155423376247</v>
      </c>
      <c r="AC28" s="83">
        <f t="shared" si="2"/>
        <v>6834.9492541841382</v>
      </c>
      <c r="AD28" s="83">
        <f t="shared" si="2"/>
        <v>6882.7586147163311</v>
      </c>
      <c r="AE28" s="83">
        <f t="shared" si="2"/>
        <v>6930.263058434175</v>
      </c>
      <c r="AF28" s="83">
        <f t="shared" si="2"/>
        <v>6977.4821295459442</v>
      </c>
      <c r="AG28" s="83">
        <f t="shared" si="2"/>
        <v>7024.4354875232348</v>
      </c>
      <c r="AH28" s="83">
        <f t="shared" si="2"/>
        <v>7071.1429127381816</v>
      </c>
    </row>
    <row r="29" spans="1:34" x14ac:dyDescent="0.2">
      <c r="A29" s="79" t="s">
        <v>295</v>
      </c>
      <c r="B29" s="80" t="s">
        <v>148</v>
      </c>
      <c r="C29" s="81" t="s">
        <v>296</v>
      </c>
      <c r="D29" s="20">
        <f>D20+D23+D26+D27</f>
        <v>515.48386360794939</v>
      </c>
      <c r="E29" s="20">
        <f>Supply!E20+Supply!E23+Supply!E26+Supply!E27</f>
        <v>646.7771863327655</v>
      </c>
      <c r="F29" s="20">
        <f>Supply!F20+Supply!F23+Supply!F26+Supply!F27</f>
        <v>776.12599923440655</v>
      </c>
      <c r="G29" s="20">
        <f>Supply!G20+Supply!G23+Supply!G26+Supply!G27</f>
        <v>903.56808999003488</v>
      </c>
      <c r="H29" s="20">
        <f>Supply!H20+Supply!H23+Supply!H26+Supply!H27</f>
        <v>1029.1409155044557</v>
      </c>
      <c r="I29" s="20">
        <f>Supply!I20+Supply!I23+Supply!I26+Supply!I27</f>
        <v>1152.8816116090993</v>
      </c>
      <c r="J29" s="20">
        <f>Supply!J20+Supply!J23+Supply!J26+Supply!J27</f>
        <v>1274.8270027069138</v>
      </c>
      <c r="K29" s="20">
        <f>Supply!K20+Supply!K23+Supply!K26+Supply!K27</f>
        <v>1449.7636113661974</v>
      </c>
      <c r="L29" s="20">
        <f>Supply!L20+Supply!L23+Supply!L26+Supply!L27</f>
        <v>1622.9776678663886</v>
      </c>
      <c r="M29" s="20">
        <f>Supply!M20+Supply!M23+Supply!M26+Supply!M27</f>
        <v>1794.50511969888</v>
      </c>
      <c r="N29" s="20">
        <f>Supply!N20+Supply!N23+Supply!N26+Supply!N27</f>
        <v>1964.3816410258278</v>
      </c>
      <c r="O29" s="20">
        <f>Supply!O20+Supply!O23+Supply!O26+Supply!O27</f>
        <v>2132.642642100011</v>
      </c>
      <c r="P29" s="20">
        <f>Supply!P20+Supply!P23+Supply!P26+Supply!P27</f>
        <v>2299.3232786487019</v>
      </c>
      <c r="Q29" s="20">
        <f>Supply!Q20+Supply!Q23+Supply!Q26+Supply!Q27</f>
        <v>2464.4584612245744</v>
      </c>
      <c r="R29" s="20">
        <f>Supply!R20+Supply!R23+Supply!R26+Supply!R27</f>
        <v>2628.0828645266429</v>
      </c>
      <c r="S29" s="20">
        <f>Supply!S20+Supply!S23+Supply!S26+Supply!S27</f>
        <v>2790.2309366942195</v>
      </c>
      <c r="T29" s="20">
        <f>Supply!T20+Supply!T23+Supply!T26+Supply!T27</f>
        <v>2950.9369085768626</v>
      </c>
      <c r="U29" s="20">
        <f>Supply!U20+Supply!U23+Supply!U26+Supply!U27</f>
        <v>3055.4848029833456</v>
      </c>
      <c r="V29" s="20">
        <f>Supply!V20+Supply!V23+Supply!V26+Supply!V27</f>
        <v>3158.6584439125982</v>
      </c>
      <c r="W29" s="20">
        <f>Supply!W20+Supply!W23+Supply!W26+Supply!W27</f>
        <v>3260.4914657696377</v>
      </c>
      <c r="X29" s="20">
        <f>Supply!X20+Supply!X23+Supply!X26+Supply!X27</f>
        <v>3361.0173225694607</v>
      </c>
      <c r="Y29" s="20">
        <f>Supply!Y20+Supply!Y23+Supply!Y26+Supply!Y27</f>
        <v>3460.2692971319148</v>
      </c>
      <c r="Z29" s="20">
        <f>Supply!Z20+Supply!Z23+Supply!Z26+Supply!Z27</f>
        <v>3558.2805102705438</v>
      </c>
      <c r="AA29" s="20">
        <f>Supply!AA20+Supply!AA23+Supply!AA26+Supply!AA27</f>
        <v>3655.0839299783925</v>
      </c>
      <c r="AB29" s="20">
        <f>Supply!AB20+Supply!AB23+Supply!AB26+Supply!AB27</f>
        <v>3750.7123806138352</v>
      </c>
      <c r="AC29" s="20">
        <f>Supply!AC20+Supply!AC23+Supply!AC26+Supply!AC27</f>
        <v>3845.1985520893941</v>
      </c>
      <c r="AD29" s="20">
        <f>Supply!AD20+Supply!AD23+Supply!AD26+Supply!AD27</f>
        <v>3938.5750090666138</v>
      </c>
      <c r="AE29" s="20">
        <f>Supply!AE20+Supply!AE23+Supply!AE26+Supply!AE27</f>
        <v>4030.8742001600176</v>
      </c>
      <c r="AF29" s="20">
        <f>Supply!AF20+Supply!AF23+Supply!AF26+Supply!AF27</f>
        <v>4122.1284671532085</v>
      </c>
      <c r="AG29" s="20">
        <f>Supply!AG20+Supply!AG23+Supply!AG26+Supply!AG27</f>
        <v>4212.3700542301631</v>
      </c>
      <c r="AH29" s="20">
        <f>Supply!AH20+Supply!AH23+Supply!AH26+Supply!AH27</f>
        <v>4301.6311172248079</v>
      </c>
    </row>
    <row r="30" spans="1:34" x14ac:dyDescent="0.2">
      <c r="A30" s="13" t="s">
        <v>297</v>
      </c>
      <c r="B30" s="14" t="s">
        <v>148</v>
      </c>
      <c r="C30" s="15" t="s">
        <v>298</v>
      </c>
      <c r="D30" s="20">
        <f>D20+D23+D26</f>
        <v>515.48386360794939</v>
      </c>
      <c r="E30" s="20">
        <f t="shared" ref="E30:L30" si="3">E20+E23+E26</f>
        <v>646.7771863327655</v>
      </c>
      <c r="F30" s="20">
        <f t="shared" si="3"/>
        <v>776.12599923440655</v>
      </c>
      <c r="G30" s="20">
        <f t="shared" si="3"/>
        <v>903.56808999003488</v>
      </c>
      <c r="H30" s="20">
        <f t="shared" si="3"/>
        <v>1029.1409155044557</v>
      </c>
      <c r="I30" s="20">
        <f t="shared" si="3"/>
        <v>1152.8816116090993</v>
      </c>
      <c r="J30" s="20">
        <f t="shared" si="3"/>
        <v>1274.8270027069138</v>
      </c>
      <c r="K30" s="20">
        <f t="shared" si="3"/>
        <v>1403.0079311972718</v>
      </c>
      <c r="L30" s="20">
        <f t="shared" si="3"/>
        <v>1521.863731735682</v>
      </c>
      <c r="M30" s="20">
        <f>Supply!M20+Supply!M23+Supply!M26</f>
        <v>1639.0258627983712</v>
      </c>
      <c r="N30" s="20">
        <f>Supply!N20+Supply!N23+Supply!N26</f>
        <v>1754.5294703806558</v>
      </c>
      <c r="O30" s="20">
        <f>Supply!O20+Supply!O23+Supply!O26</f>
        <v>1868.4094479906639</v>
      </c>
      <c r="P30" s="20">
        <f>Supply!P20+Supply!P23+Supply!P26</f>
        <v>1980.7004458872764</v>
      </c>
      <c r="Q30" s="20">
        <f>Supply!Q20+Supply!Q23+Supply!Q26</f>
        <v>2091.4368802865752</v>
      </c>
      <c r="R30" s="20">
        <f>Supply!R20+Supply!R23+Supply!R26</f>
        <v>2200.6529425397885</v>
      </c>
      <c r="S30" s="20">
        <f>Supply!S20+Supply!S23+Supply!S26</f>
        <v>2308.3826082856972</v>
      </c>
      <c r="T30" s="20">
        <f>Supply!T20+Supply!T23+Supply!T26</f>
        <v>2414.659646580471</v>
      </c>
      <c r="U30" s="20">
        <f>Supply!U20+Supply!U23+Supply!U26</f>
        <v>2519.5176290079453</v>
      </c>
      <c r="V30" s="20">
        <f>Supply!V20+Supply!V23+Supply!V26</f>
        <v>2622.9899387732839</v>
      </c>
      <c r="W30" s="20">
        <f>Supply!W20+Supply!W23+Supply!W26</f>
        <v>2725.1097797830244</v>
      </c>
      <c r="X30" s="20">
        <f>Supply!X20+Supply!X23+Supply!X26</f>
        <v>2825.9101857144733</v>
      </c>
      <c r="Y30" s="20">
        <f>Supply!Y20+Supply!Y23+Supply!Y26</f>
        <v>2925.4240290774505</v>
      </c>
      <c r="Z30" s="20">
        <f>Supply!Z20+Supply!Z23+Supply!Z26</f>
        <v>3023.6840302713745</v>
      </c>
      <c r="AA30" s="20">
        <f>Supply!AA20+Supply!AA23+Supply!AA26</f>
        <v>3120.7227666406457</v>
      </c>
      <c r="AB30" s="20">
        <f>Supply!AB20+Supply!AB23+Supply!AB26</f>
        <v>3216.5726815314001</v>
      </c>
      <c r="AC30" s="20">
        <f>Supply!AC20+Supply!AC23+Supply!AC26</f>
        <v>3311.2660933525713</v>
      </c>
      <c r="AD30" s="20">
        <f>Supply!AD20+Supply!AD23+Supply!AD26</f>
        <v>3404.835204644326</v>
      </c>
      <c r="AE30" s="20">
        <f>Supply!AE20+Supply!AE23+Supply!AE26</f>
        <v>3497.3121111568794</v>
      </c>
      <c r="AF30" s="20">
        <f>Supply!AF20+Supply!AF23+Supply!AF26</f>
        <v>3588.7288109427468</v>
      </c>
      <c r="AG30" s="20">
        <f>Supply!AG20+Supply!AG23+Supply!AG26</f>
        <v>3679.1172134654653</v>
      </c>
      <c r="AH30" s="20">
        <f>Supply!AH20+Supply!AH23+Supply!AH26</f>
        <v>3768.5091487278683</v>
      </c>
    </row>
    <row r="31" spans="1:34" x14ac:dyDescent="0.2">
      <c r="A31" s="23" t="s">
        <v>299</v>
      </c>
      <c r="B31" s="14" t="s">
        <v>148</v>
      </c>
      <c r="C31" s="15" t="s">
        <v>300</v>
      </c>
      <c r="D31" s="27">
        <f>D29-D30</f>
        <v>0</v>
      </c>
      <c r="E31" s="27">
        <f>Supply!E29-Supply!E30</f>
        <v>0</v>
      </c>
      <c r="F31" s="27">
        <f>Supply!F29-Supply!F30</f>
        <v>0</v>
      </c>
      <c r="G31" s="27">
        <f>Supply!G29-Supply!G30</f>
        <v>0</v>
      </c>
      <c r="H31" s="27">
        <f>Supply!H29-Supply!H30</f>
        <v>0</v>
      </c>
      <c r="I31" s="27">
        <f>Supply!I29-Supply!I30</f>
        <v>0</v>
      </c>
      <c r="J31" s="27">
        <f>Supply!J29-Supply!J30</f>
        <v>0</v>
      </c>
      <c r="K31" s="27">
        <f>Supply!K29-Supply!K30</f>
        <v>46.755680168925664</v>
      </c>
      <c r="L31" s="27">
        <f>Supply!L29-Supply!L30</f>
        <v>101.11393613070663</v>
      </c>
      <c r="M31" s="27">
        <f>Supply!M29-Supply!M30</f>
        <v>155.47925690050874</v>
      </c>
      <c r="N31" s="27">
        <f>Supply!N29-Supply!N30</f>
        <v>209.85217064517201</v>
      </c>
      <c r="O31" s="27">
        <f>Supply!O29-Supply!O30</f>
        <v>264.2331941093471</v>
      </c>
      <c r="P31" s="27">
        <f>Supply!P29-Supply!P30</f>
        <v>318.62283276142557</v>
      </c>
      <c r="Q31" s="27">
        <f>Supply!Q29-Supply!Q30</f>
        <v>373.02158093799926</v>
      </c>
      <c r="R31" s="27">
        <f>Supply!R29-Supply!R30</f>
        <v>427.42992198685442</v>
      </c>
      <c r="S31" s="27">
        <f>Supply!S29-Supply!S30</f>
        <v>481.84832840852232</v>
      </c>
      <c r="T31" s="27">
        <f>Supply!T29-Supply!T30</f>
        <v>536.27726199639164</v>
      </c>
      <c r="U31" s="27">
        <f>Supply!U29-Supply!U30</f>
        <v>535.96717397540033</v>
      </c>
      <c r="V31" s="27">
        <f>Supply!V29-Supply!V30</f>
        <v>535.66850513931422</v>
      </c>
      <c r="W31" s="27">
        <f>Supply!W29-Supply!W30</f>
        <v>535.38168598661332</v>
      </c>
      <c r="X31" s="27">
        <f>Supply!X29-Supply!X30</f>
        <v>535.1071368549874</v>
      </c>
      <c r="Y31" s="27">
        <f>Supply!Y29-Supply!Y30</f>
        <v>534.84526805446421</v>
      </c>
      <c r="Z31" s="27">
        <f>Supply!Z29-Supply!Z30</f>
        <v>534.59647999916933</v>
      </c>
      <c r="AA31" s="27">
        <f>Supply!AA29-Supply!AA30</f>
        <v>534.3611633377468</v>
      </c>
      <c r="AB31" s="27">
        <f>Supply!AB29-Supply!AB30</f>
        <v>534.13969908243507</v>
      </c>
      <c r="AC31" s="27">
        <f>Supply!AC29-Supply!AC30</f>
        <v>533.93245873682281</v>
      </c>
      <c r="AD31" s="27">
        <f>Supply!AD29-Supply!AD30</f>
        <v>533.73980442228776</v>
      </c>
      <c r="AE31" s="27">
        <f>Supply!AE29-Supply!AE30</f>
        <v>533.56208900313823</v>
      </c>
      <c r="AF31" s="27">
        <f>Supply!AF29-Supply!AF30</f>
        <v>533.39965621046167</v>
      </c>
      <c r="AG31" s="27">
        <f>Supply!AG29-Supply!AG30</f>
        <v>533.25284076469779</v>
      </c>
      <c r="AH31" s="27">
        <f>Supply!AH29-Supply!AH30</f>
        <v>533.12196849693964</v>
      </c>
    </row>
    <row r="32" spans="1:34" x14ac:dyDescent="0.2">
      <c r="A32" s="13" t="s">
        <v>301</v>
      </c>
      <c r="B32" s="14" t="s">
        <v>302</v>
      </c>
      <c r="C32" s="15" t="s">
        <v>303</v>
      </c>
      <c r="D32" s="22">
        <f>D31*1000000/365</f>
        <v>0</v>
      </c>
      <c r="E32" s="22">
        <f>Supply!E31*1000000/365</f>
        <v>0</v>
      </c>
      <c r="F32" s="22">
        <f>Supply!F31*1000000/365</f>
        <v>0</v>
      </c>
      <c r="G32" s="22">
        <f>Supply!G31*1000000/365</f>
        <v>0</v>
      </c>
      <c r="H32" s="22">
        <f>Supply!H31*1000000/365</f>
        <v>0</v>
      </c>
      <c r="I32" s="22">
        <f>Supply!I31*1000000/365</f>
        <v>0</v>
      </c>
      <c r="J32" s="22">
        <f>Supply!J31*1000000/365</f>
        <v>0</v>
      </c>
      <c r="K32" s="22">
        <f>Supply!K31*1000000/365</f>
        <v>128097.75388746758</v>
      </c>
      <c r="L32" s="22">
        <f>Supply!L31*1000000/365</f>
        <v>277024.48254988121</v>
      </c>
      <c r="M32" s="22">
        <f>Supply!M31*1000000/365</f>
        <v>425970.56685070886</v>
      </c>
      <c r="N32" s="22">
        <f>Supply!N31*1000000/365</f>
        <v>574937.45382238901</v>
      </c>
      <c r="O32" s="22">
        <f>Supply!O31*1000000/365</f>
        <v>723926.55920369073</v>
      </c>
      <c r="P32" s="22">
        <f>Supply!P31*1000000/365</f>
        <v>872939.2678395221</v>
      </c>
      <c r="Q32" s="22">
        <f>Supply!Q31*1000000/365</f>
        <v>1021976.9340767103</v>
      </c>
      <c r="R32" s="22">
        <f>Supply!R31*1000000/365</f>
        <v>1171040.8821557655</v>
      </c>
      <c r="S32" s="22">
        <f>Supply!S31*1000000/365</f>
        <v>1320132.4065986914</v>
      </c>
      <c r="T32" s="22">
        <f>Supply!T31*1000000/365</f>
        <v>1469252.7725928538</v>
      </c>
      <c r="U32" s="22">
        <f>Supply!U31*1000000/365</f>
        <v>1468403.2163709598</v>
      </c>
      <c r="V32" s="22">
        <f>Supply!V31*1000000/365</f>
        <v>1467584.9455871624</v>
      </c>
      <c r="W32" s="22">
        <f>Supply!W31*1000000/365</f>
        <v>1466799.1396893517</v>
      </c>
      <c r="X32" s="22">
        <f>Supply!X31*1000000/365</f>
        <v>1466046.9502876366</v>
      </c>
      <c r="Y32" s="22">
        <f>Supply!Y31*1000000/365</f>
        <v>1465329.50151908</v>
      </c>
      <c r="Z32" s="22">
        <f>Supply!Z31*1000000/365</f>
        <v>1464647.8904086831</v>
      </c>
      <c r="AA32" s="22">
        <f>Supply!AA31*1000000/365</f>
        <v>1464003.1872267036</v>
      </c>
      <c r="AB32" s="22">
        <f>Supply!AB31*1000000/365</f>
        <v>1463396.435842288</v>
      </c>
      <c r="AC32" s="22">
        <f>Supply!AC31*1000000/365</f>
        <v>1462828.654073487</v>
      </c>
      <c r="AD32" s="22">
        <f>Supply!AD31*1000000/365</f>
        <v>1462300.834033665</v>
      </c>
      <c r="AE32" s="22">
        <f>Supply!AE31*1000000/365</f>
        <v>1461813.9424743513</v>
      </c>
      <c r="AF32" s="22">
        <f>Supply!AF31*1000000/365</f>
        <v>1461368.9211245526</v>
      </c>
      <c r="AG32" s="22">
        <f>Supply!AG31*1000000/365</f>
        <v>1460966.6870265694</v>
      </c>
      <c r="AH32" s="22">
        <f>Supply!AH31*1000000/365</f>
        <v>1460608.1328683279</v>
      </c>
    </row>
    <row r="33" spans="1:34" x14ac:dyDescent="0.2"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</row>
    <row r="34" spans="1:34" x14ac:dyDescent="0.2">
      <c r="A34" t="s">
        <v>304</v>
      </c>
      <c r="B34" t="s">
        <v>148</v>
      </c>
      <c r="C34" t="s">
        <v>305</v>
      </c>
      <c r="D34" s="83">
        <f>Supply!D16+Supply!D17</f>
        <v>10.20226083575</v>
      </c>
      <c r="E34" s="83">
        <f>Supply!E16+Supply!E17</f>
        <v>11.202463455800364</v>
      </c>
      <c r="F34" s="83">
        <f>Supply!F16+Supply!F17</f>
        <v>12.223832082506027</v>
      </c>
      <c r="G34" s="83">
        <f>Supply!G16+Supply!G17</f>
        <v>13.265972935288051</v>
      </c>
      <c r="H34" s="83">
        <f>Supply!H16+Supply!H17</f>
        <v>14.328496427800355</v>
      </c>
      <c r="I34" s="83">
        <f>Supply!I16+Supply!I17</f>
        <v>15.411017131904014</v>
      </c>
      <c r="J34" s="83">
        <f>Supply!J16+Supply!J17</f>
        <v>16.5131537419166</v>
      </c>
      <c r="K34" s="83">
        <f>Supply!K16+Supply!K17</f>
        <v>17.634529039134627</v>
      </c>
      <c r="L34" s="83">
        <f>Supply!L16+Supply!L17</f>
        <v>18.77476985662712</v>
      </c>
      <c r="M34" s="83">
        <f>Supply!M16+Supply!M17</f>
        <v>19.933507044298441</v>
      </c>
      <c r="N34" s="83">
        <f>Supply!N16+Supply!N17</f>
        <v>21.110375434218479</v>
      </c>
      <c r="O34" s="83">
        <f>Supply!O16+Supply!O17</f>
        <v>22.305013806218184</v>
      </c>
      <c r="P34" s="83">
        <f>Supply!P16+Supply!P17</f>
        <v>23.517064853748746</v>
      </c>
      <c r="Q34" s="83">
        <f>Supply!Q16+Supply!Q17</f>
        <v>24.746175150002376</v>
      </c>
      <c r="R34" s="83">
        <f>Supply!R16+Supply!R17</f>
        <v>25.991995114292926</v>
      </c>
      <c r="S34" s="83">
        <f>Supply!S16+Supply!S17</f>
        <v>27.254178978694512</v>
      </c>
      <c r="T34" s="83">
        <f>Supply!T16+Supply!T17</f>
        <v>28.532384754936281</v>
      </c>
      <c r="U34" s="83">
        <f>Supply!U16+Supply!U17</f>
        <v>29.826274201551371</v>
      </c>
      <c r="V34" s="83">
        <f>Supply!V16+Supply!V17</f>
        <v>31.135512791278629</v>
      </c>
      <c r="W34" s="83">
        <f>Supply!W16+Supply!W17</f>
        <v>32.459769678714757</v>
      </c>
      <c r="X34" s="83">
        <f>Supply!X16+Supply!X17</f>
        <v>33.798717668215644</v>
      </c>
      <c r="Y34" s="83">
        <f>Supply!Y16+Supply!Y17</f>
        <v>35.152033182044626</v>
      </c>
      <c r="Z34" s="83">
        <f>Supply!Z16+Supply!Z17</f>
        <v>36.519396228766382</v>
      </c>
      <c r="AA34" s="83">
        <f>Supply!AA16+Supply!AA17</f>
        <v>37.90049037188426</v>
      </c>
      <c r="AB34" s="83">
        <f>Supply!AB16+Supply!AB17</f>
        <v>39.295002698719706</v>
      </c>
      <c r="AC34" s="83">
        <f>Supply!AC16+Supply!AC17</f>
        <v>40.702623789531643</v>
      </c>
      <c r="AD34" s="83">
        <f>Supply!AD16+Supply!AD17</f>
        <v>42.123047686874642</v>
      </c>
      <c r="AE34" s="83">
        <f>Supply!AE16+Supply!AE17</f>
        <v>43.55597186519357</v>
      </c>
      <c r="AF34" s="83">
        <f>Supply!AF16+Supply!AF17</f>
        <v>45.00109720065354</v>
      </c>
      <c r="AG34" s="83">
        <f>Supply!AG16+Supply!AG17</f>
        <v>46.458127941203088</v>
      </c>
      <c r="AH34" s="83">
        <f>Supply!AH16+Supply!AH17</f>
        <v>47.926771676869222</v>
      </c>
    </row>
    <row r="35" spans="1:34" x14ac:dyDescent="0.2">
      <c r="A35" t="s">
        <v>306</v>
      </c>
      <c r="B35" t="s">
        <v>148</v>
      </c>
      <c r="C35" t="s">
        <v>307</v>
      </c>
      <c r="D35" s="83">
        <f>Supply!D8+Supply!D9+Supply!D29+Supply!D34</f>
        <v>4937.6861244436996</v>
      </c>
      <c r="E35" s="83">
        <f>Supply!E8+Supply!E9+Supply!E29+Supply!E34</f>
        <v>4999.2396497885657</v>
      </c>
      <c r="F35" s="83">
        <f>Supply!F8+Supply!F9+Supply!F29+Supply!F34</f>
        <v>5060.0221313169131</v>
      </c>
      <c r="G35" s="83">
        <f>Supply!G8+Supply!G9+Supply!G29+Supply!G34</f>
        <v>5120.0518544253237</v>
      </c>
      <c r="H35" s="83">
        <f>Supply!H8+Supply!H9+Supply!H29+Supply!H34</f>
        <v>5179.3471010397552</v>
      </c>
      <c r="I35" s="83">
        <f>Supply!I8+Supply!I9+Supply!I29+Supply!I34</f>
        <v>5237.9261537022912</v>
      </c>
      <c r="J35" s="83">
        <f>Supply!J8+Supply!J9+Supply!J29+Supply!J34</f>
        <v>5295.80729970229</v>
      </c>
      <c r="K35" s="83">
        <f>Supply!K8+Supply!K9+Supply!K29+Supply!K34</f>
        <v>5407.7588352532503</v>
      </c>
      <c r="L35" s="83">
        <f>Supply!L8+Supply!L9+Supply!L29+Supply!L34</f>
        <v>5519.0490697166106</v>
      </c>
      <c r="M35" s="83">
        <f>Supply!M8+Supply!M9+Supply!M29+Supply!M34</f>
        <v>5629.6963298738956</v>
      </c>
      <c r="N35" s="83">
        <f>Supply!N8+Supply!N9+Supply!N29+Supply!N34</f>
        <v>5739.71896424849</v>
      </c>
      <c r="O35" s="83">
        <f>Supply!O8+Supply!O9+Supply!O29+Supply!O34</f>
        <v>5849.1353474784382</v>
      </c>
      <c r="P35" s="83">
        <f>Supply!P8+Supply!P9+Supply!P29+Supply!P34</f>
        <v>5957.9638847416581</v>
      </c>
      <c r="Q35" s="83">
        <f>Supply!Q8+Supply!Q9+Supply!Q29+Supply!Q34</f>
        <v>6066.2230162349651</v>
      </c>
      <c r="R35" s="83">
        <f>Supply!R8+Supply!R9+Supply!R29+Supply!R34</f>
        <v>6173.9312217083925</v>
      </c>
      <c r="S35" s="83">
        <f>Supply!S8+Supply!S9+Supply!S29+Supply!S34</f>
        <v>6281.1070250562325</v>
      </c>
      <c r="T35" s="83">
        <f>Supply!T8+Supply!T9+Supply!T29+Supply!T34</f>
        <v>6387.7689989663049</v>
      </c>
      <c r="U35" s="83">
        <f>Supply!U8+Supply!U9+Supply!U29+Supply!U34</f>
        <v>6439.1857696289835</v>
      </c>
      <c r="V35" s="83">
        <f>Supply!V8+Supply!V9+Supply!V29+Supply!V34</f>
        <v>6490.1260215075181</v>
      </c>
      <c r="W35" s="83">
        <f>Supply!W8+Supply!W9+Supply!W29+Supply!W34</f>
        <v>6540.6085021712315</v>
      </c>
      <c r="X35" s="83">
        <f>Supply!X8+Supply!X9+Supply!X29+Supply!X34</f>
        <v>6590.6520271931786</v>
      </c>
      <c r="Y35" s="83">
        <f>Supply!Y8+Supply!Y9+Supply!Y29+Supply!Y34</f>
        <v>6640.2754851139262</v>
      </c>
      <c r="Z35" s="83">
        <f>Supply!Z8+Supply!Z9+Supply!Z29+Supply!Z34</f>
        <v>6689.497842473098</v>
      </c>
      <c r="AA35" s="83">
        <f>Supply!AA8+Supply!AA9+Supply!AA29+Supply!AA34</f>
        <v>6738.3381489103622</v>
      </c>
      <c r="AB35" s="83">
        <f>Supply!AB8+Supply!AB9+Supply!AB29+Supply!AB34</f>
        <v>6786.8155423376247</v>
      </c>
      <c r="AC35" s="83">
        <f>Supply!AC8+Supply!AC9+Supply!AC29+Supply!AC34</f>
        <v>6834.9492541841382</v>
      </c>
      <c r="AD35" s="83">
        <f>Supply!AD8+Supply!AD9+Supply!AD29+Supply!AD34</f>
        <v>6882.7586147163311</v>
      </c>
      <c r="AE35" s="83">
        <f>Supply!AE8+Supply!AE9+Supply!AE29+Supply!AE34</f>
        <v>6930.2630584341759</v>
      </c>
      <c r="AF35" s="83">
        <f>Supply!AF8+Supply!AF9+Supply!AF29+Supply!AF34</f>
        <v>6977.4821295459451</v>
      </c>
      <c r="AG35" s="83">
        <f>Supply!AG8+Supply!AG9+Supply!AG29+Supply!AG34</f>
        <v>7024.4354875232348</v>
      </c>
      <c r="AH35" s="83">
        <f>Supply!AH8+Supply!AH9+Supply!AH29+Supply!AH34</f>
        <v>7071.1429127381825</v>
      </c>
    </row>
    <row r="36" spans="1:34" x14ac:dyDescent="0.2">
      <c r="A36" s="13" t="s">
        <v>308</v>
      </c>
      <c r="B36" s="14" t="s">
        <v>39</v>
      </c>
      <c r="C36" s="15"/>
      <c r="D36" s="28">
        <f>Supply!D8/Supply!D5</f>
        <v>0.70883403922203025</v>
      </c>
      <c r="E36" s="28">
        <f>Supply!E8/Supply!E5</f>
        <v>0.68960486824147471</v>
      </c>
      <c r="F36" s="28">
        <f>Supply!F8/Supply!F5</f>
        <v>0.671101313763665</v>
      </c>
      <c r="G36" s="28">
        <f>Supply!G8/Supply!G5</f>
        <v>0.6532845335558477</v>
      </c>
      <c r="H36" s="28">
        <f>Supply!H8/Supply!H5</f>
        <v>0.63611838768753148</v>
      </c>
      <c r="I36" s="28">
        <f>Supply!I8/Supply!I5</f>
        <v>0.61956920793659198</v>
      </c>
      <c r="J36" s="28">
        <f>Supply!J8/Supply!J5</f>
        <v>0.60360559042342632</v>
      </c>
      <c r="K36" s="28">
        <f>Supply!K8/Supply!K5</f>
        <v>0.58224308894859522</v>
      </c>
      <c r="L36" s="28">
        <f>Supply!L8/Supply!L5</f>
        <v>0.56194476914811264</v>
      </c>
      <c r="M36" s="28">
        <f>Supply!M8/Supply!M5</f>
        <v>0.54263668323588776</v>
      </c>
      <c r="N36" s="28">
        <f>Supply!N8/Supply!N5</f>
        <v>0.52425154727083079</v>
      </c>
      <c r="O36" s="28">
        <f>Supply!O8/Supply!O5</f>
        <v>0.50672800740816182</v>
      </c>
      <c r="P36" s="28">
        <f>Supply!P8/Supply!P5</f>
        <v>0.49001000101222675</v>
      </c>
      <c r="Q36" s="28">
        <f>Supply!Q8/Supply!Q5</f>
        <v>0.47404619862458902</v>
      </c>
      <c r="R36" s="28">
        <f>Supply!R8/Supply!R5</f>
        <v>0.45878951509578919</v>
      </c>
      <c r="S36" s="28">
        <f>Supply!S8/Supply!S5</f>
        <v>0.4441966800821599</v>
      </c>
      <c r="T36" s="28">
        <f>Supply!T8/Supply!T5</f>
        <v>0.43022785966412913</v>
      </c>
      <c r="U36" s="28">
        <f>Supply!U8/Supply!U5</f>
        <v>0.42039061125632193</v>
      </c>
      <c r="V36" s="28">
        <f>Supply!V8/Supply!V5</f>
        <v>0.41083464854549728</v>
      </c>
      <c r="W36" s="28">
        <f>Supply!W8/Supply!W5</f>
        <v>0.40154874161085202</v>
      </c>
      <c r="X36" s="28">
        <f>Supply!X8/Supply!X5</f>
        <v>0.39252224302556543</v>
      </c>
      <c r="Y36" s="28">
        <f>Supply!Y8/Supply!Y5</f>
        <v>0.38374505089082384</v>
      </c>
      <c r="Z36" s="28">
        <f>Supply!Z8/Supply!Z5</f>
        <v>0.37520757465806226</v>
      </c>
      <c r="AA36" s="28">
        <f>Supply!AA8/Supply!AA5</f>
        <v>0.36690070349721771</v>
      </c>
      <c r="AB36" s="28">
        <f>Supply!AB8/Supply!AB5</f>
        <v>0.35881577699252071</v>
      </c>
      <c r="AC36" s="28">
        <f>Supply!AC8/Supply!AC5</f>
        <v>0.35094455796851143</v>
      </c>
      <c r="AD36" s="28">
        <f>Supply!AD8/Supply!AD5</f>
        <v>0.3432792072678309</v>
      </c>
      <c r="AE36" s="28">
        <f>Supply!AE8/Supply!AE5</f>
        <v>0.33581226031921285</v>
      </c>
      <c r="AF36" s="28">
        <f>Supply!AF8/Supply!AF5</f>
        <v>0.32853660534918522</v>
      </c>
      <c r="AG36" s="28">
        <f>Supply!AG8/Supply!AG5</f>
        <v>0.32144546310452188</v>
      </c>
      <c r="AH36" s="28">
        <f>Supply!AH8/Supply!AH5</f>
        <v>0.31453236796461187</v>
      </c>
    </row>
    <row r="37" spans="1:34" x14ac:dyDescent="0.2">
      <c r="A37" s="13" t="s">
        <v>309</v>
      </c>
      <c r="B37" s="14" t="s">
        <v>39</v>
      </c>
      <c r="C37" s="15"/>
      <c r="D37" s="28">
        <f>Supply!D9/Supply!D5</f>
        <v>0.18470189822014046</v>
      </c>
      <c r="E37" s="28">
        <f>Supply!E9/Supply!E5</f>
        <v>0.1787791869585208</v>
      </c>
      <c r="F37" s="28">
        <f>Supply!F9/Supply!F5</f>
        <v>0.17309900574921869</v>
      </c>
      <c r="G37" s="28">
        <f>Supply!G9/Supply!G5</f>
        <v>0.16764812709037369</v>
      </c>
      <c r="H37" s="28">
        <f>Supply!H9/Supply!H5</f>
        <v>0.1624142474929183</v>
      </c>
      <c r="I37" s="28">
        <f>Supply!I9/Supply!I5</f>
        <v>0.157385908562096</v>
      </c>
      <c r="J37" s="28">
        <f>Supply!J9/Supply!J5</f>
        <v>0.15255242602830055</v>
      </c>
      <c r="K37" s="28">
        <f>Supply!K9/Supply!K5</f>
        <v>0.14640639689028051</v>
      </c>
      <c r="L37" s="28">
        <f>Supply!L9/Supply!L5</f>
        <v>0.14058506579547927</v>
      </c>
      <c r="M37" s="28">
        <f>Supply!M9/Supply!M5</f>
        <v>0.13506553719918474</v>
      </c>
      <c r="N37" s="28">
        <f>Supply!N9/Supply!N5</f>
        <v>0.12982698360720327</v>
      </c>
      <c r="O37" s="28">
        <f>Supply!O9/Supply!O5</f>
        <v>0.12485041779698798</v>
      </c>
      <c r="P37" s="28">
        <f>Supply!P9/Supply!P5</f>
        <v>0.12011849448751216</v>
      </c>
      <c r="Q37" s="28">
        <f>Supply!Q9/Supply!Q5</f>
        <v>0.11561533710979691</v>
      </c>
      <c r="R37" s="28">
        <f>Supply!R9/Supply!R5</f>
        <v>0.11132638604855094</v>
      </c>
      <c r="S37" s="28">
        <f>Supply!S9/Supply!S5</f>
        <v>0.10723826531304449</v>
      </c>
      <c r="T37" s="28">
        <f>Supply!T9/Supply!T5</f>
        <v>0.10333866507808541</v>
      </c>
      <c r="U37" s="28">
        <f>Supply!U9/Supply!U5</f>
        <v>0.10046323772920475</v>
      </c>
      <c r="V37" s="28">
        <f>Supply!V9/Supply!V5</f>
        <v>9.768121907659931E-2</v>
      </c>
      <c r="W37" s="28">
        <f>Supply!W9/Supply!W5</f>
        <v>9.4988738907173381E-2</v>
      </c>
      <c r="X37" s="28">
        <f>Supply!X9/Supply!X5</f>
        <v>9.2382129678290112E-2</v>
      </c>
      <c r="Y37" s="28">
        <f>Supply!Y9/Supply!Y5</f>
        <v>8.9857913602148648E-2</v>
      </c>
      <c r="Z37" s="28">
        <f>Supply!Z9/Supply!Z5</f>
        <v>8.7412790704023288E-2</v>
      </c>
      <c r="AA37" s="28">
        <f>Supply!AA9/Supply!AA5</f>
        <v>8.5043627769764082E-2</v>
      </c>
      <c r="AB37" s="28">
        <f>Supply!AB9/Supply!AB5</f>
        <v>8.2747448106250829E-2</v>
      </c>
      <c r="AC37" s="28">
        <f>Supply!AC9/Supply!AC5</f>
        <v>8.0521422045882904E-2</v>
      </c>
      <c r="AD37" s="28">
        <f>Supply!AD9/Supply!AD5</f>
        <v>7.8362858132780169E-2</v>
      </c>
      <c r="AE37" s="28">
        <f>Supply!AE9/Supply!AE5</f>
        <v>7.6269194934263707E-2</v>
      </c>
      <c r="AF37" s="28">
        <f>Supply!AF9/Supply!AF5</f>
        <v>7.4237993426457122E-2</v>
      </c>
      <c r="AG37" s="28">
        <f>Supply!AG9/Supply!AG5</f>
        <v>7.2266929907575106E-2</v>
      </c>
      <c r="AH37" s="28">
        <f>Supply!AH9/Supply!AH5</f>
        <v>7.0353789396704586E-2</v>
      </c>
    </row>
    <row r="38" spans="1:34" x14ac:dyDescent="0.2">
      <c r="A38" s="13" t="s">
        <v>310</v>
      </c>
      <c r="B38" s="14" t="s">
        <v>39</v>
      </c>
      <c r="C38" s="15"/>
      <c r="D38" s="28">
        <f>Supply!D29/Supply!D5</f>
        <v>0.10439785977000025</v>
      </c>
      <c r="E38" s="28">
        <f>Supply!E29/Supply!E5</f>
        <v>0.12937511134520624</v>
      </c>
      <c r="F38" s="28">
        <f>Supply!F29/Supply!F5</f>
        <v>0.15338391396173862</v>
      </c>
      <c r="G38" s="28">
        <f>Supply!G29/Supply!G5</f>
        <v>0.17647635525586916</v>
      </c>
      <c r="H38" s="28">
        <f>Supply!H29/Supply!H5</f>
        <v>0.19870089712617547</v>
      </c>
      <c r="I38" s="28">
        <f>Supply!I29/Supply!I5</f>
        <v>0.22010268525725879</v>
      </c>
      <c r="J38" s="28">
        <f>Supply!J29/Supply!J5</f>
        <v>0.24072382746603704</v>
      </c>
      <c r="K38" s="28">
        <f>Supply!K29/Supply!K5</f>
        <v>0.26808954606392016</v>
      </c>
      <c r="L38" s="28">
        <f>Supply!L29/Supply!L5</f>
        <v>0.29406835260294667</v>
      </c>
      <c r="M38" s="28">
        <f>Supply!M29/Supply!M5</f>
        <v>0.31875700118607936</v>
      </c>
      <c r="N38" s="28">
        <f>Supply!N29/Supply!N5</f>
        <v>0.34224352329121871</v>
      </c>
      <c r="O38" s="28">
        <f>Supply!O29/Supply!O5</f>
        <v>0.36460818828878577</v>
      </c>
      <c r="P38" s="28">
        <f>Supply!P29/Supply!P5</f>
        <v>0.38592433977944507</v>
      </c>
      <c r="Q38" s="28">
        <f>Supply!Q29/Supply!Q5</f>
        <v>0.40625912608701853</v>
      </c>
      <c r="R38" s="28">
        <f>Supply!R29/Supply!R5</f>
        <v>0.42567414021165989</v>
      </c>
      <c r="S38" s="28">
        <f>Supply!S29/Supply!S5</f>
        <v>0.44422598207029262</v>
      </c>
      <c r="T38" s="28">
        <f>Supply!T29/Supply!T5</f>
        <v>0.4619667538156742</v>
      </c>
      <c r="U38" s="28">
        <f>Supply!U29/Supply!U5</f>
        <v>0.47451415633865124</v>
      </c>
      <c r="V38" s="28">
        <f>Supply!V29/Supply!V5</f>
        <v>0.486686765934155</v>
      </c>
      <c r="W38" s="28">
        <f>Supply!W29/Supply!W5</f>
        <v>0.49849971370206297</v>
      </c>
      <c r="X38" s="28">
        <f>Supply!X29/Supply!X5</f>
        <v>0.50996734597757964</v>
      </c>
      <c r="Y38" s="28">
        <f>Supply!Y29/Supply!Y5</f>
        <v>0.52110327423750669</v>
      </c>
      <c r="Z38" s="28">
        <f>Supply!Z29/Supply!Z5</f>
        <v>0.5319204212427181</v>
      </c>
      <c r="AA38" s="28">
        <f>Supply!AA29/Supply!AA5</f>
        <v>0.54243106374372829</v>
      </c>
      <c r="AB38" s="28">
        <f>Supply!AB29/Supply!AB5</f>
        <v>0.55264687204419782</v>
      </c>
      <c r="AC38" s="28">
        <f>Supply!AC29/Supply!AC5</f>
        <v>0.5625789466886657</v>
      </c>
      <c r="AD38" s="28">
        <f>Supply!AD29/Supply!AD5</f>
        <v>0.57223785251532311</v>
      </c>
      <c r="AE38" s="28">
        <f>Supply!AE29/Supply!AE5</f>
        <v>0.58163365029187708</v>
      </c>
      <c r="AF38" s="28">
        <f>Supply!AF29/Supply!AF5</f>
        <v>0.59077592613217533</v>
      </c>
      <c r="AG38" s="28">
        <f>Supply!AG29/Supply!AG5</f>
        <v>0.59967381887301163</v>
      </c>
      <c r="AH38" s="28">
        <f>Supply!AH29/Supply!AH5</f>
        <v>0.608336045574148</v>
      </c>
    </row>
    <row r="40" spans="1:34" x14ac:dyDescent="0.2">
      <c r="A40" s="13" t="s">
        <v>311</v>
      </c>
      <c r="B40" s="14" t="s">
        <v>148</v>
      </c>
      <c r="C40" s="15" t="s">
        <v>312</v>
      </c>
      <c r="D40" s="29">
        <f>Supply!D35-Supply!D5</f>
        <v>0</v>
      </c>
      <c r="E40" s="29">
        <f>Supply!E35-Supply!E5</f>
        <v>0</v>
      </c>
      <c r="F40" s="29">
        <f>Supply!F35-Supply!F5</f>
        <v>0</v>
      </c>
      <c r="G40" s="29">
        <f>Supply!G35-Supply!G5</f>
        <v>0</v>
      </c>
      <c r="H40" s="29">
        <f>Supply!H35-Supply!H5</f>
        <v>0</v>
      </c>
      <c r="I40" s="29">
        <f>Supply!I35-Supply!I5</f>
        <v>0</v>
      </c>
      <c r="J40" s="29">
        <f>Supply!J35-Supply!J5</f>
        <v>0</v>
      </c>
      <c r="K40" s="29">
        <f>Supply!K35-Supply!K5</f>
        <v>0</v>
      </c>
      <c r="L40" s="29">
        <f>Supply!L35-Supply!L5</f>
        <v>0</v>
      </c>
      <c r="M40" s="29">
        <f>Supply!M35-Supply!M5</f>
        <v>0</v>
      </c>
      <c r="N40" s="29">
        <f>Supply!N35-Supply!N5</f>
        <v>0</v>
      </c>
      <c r="O40" s="29">
        <f>Supply!O35-Supply!O5</f>
        <v>0</v>
      </c>
      <c r="P40" s="29">
        <f>Supply!P35-Supply!P5</f>
        <v>0</v>
      </c>
      <c r="Q40" s="29">
        <f>Supply!Q35-Supply!Q5</f>
        <v>0</v>
      </c>
      <c r="R40" s="29">
        <f>Supply!R35-Supply!R5</f>
        <v>0</v>
      </c>
      <c r="S40" s="29">
        <f>Supply!S35-Supply!S5</f>
        <v>0</v>
      </c>
      <c r="T40" s="29">
        <f>Supply!T35-Supply!T5</f>
        <v>0</v>
      </c>
      <c r="U40" s="29">
        <f>Supply!U35-Supply!U5</f>
        <v>0</v>
      </c>
      <c r="V40" s="29">
        <f>Supply!V35-Supply!V5</f>
        <v>0</v>
      </c>
      <c r="W40" s="29">
        <f>Supply!W35-Supply!W5</f>
        <v>0</v>
      </c>
      <c r="X40" s="29">
        <f>Supply!X35-Supply!X5</f>
        <v>0</v>
      </c>
      <c r="Y40" s="29">
        <f>Supply!Y35-Supply!Y5</f>
        <v>0</v>
      </c>
      <c r="Z40" s="29">
        <f>Supply!Z35-Supply!Z5</f>
        <v>0</v>
      </c>
      <c r="AA40" s="29">
        <f>Supply!AA35-Supply!AA5</f>
        <v>0</v>
      </c>
      <c r="AB40" s="29">
        <f>Supply!AB35-Supply!AB5</f>
        <v>0</v>
      </c>
      <c r="AC40" s="29">
        <f>Supply!AC35-Supply!AC5</f>
        <v>0</v>
      </c>
      <c r="AD40" s="29">
        <f>Supply!AD35-Supply!AD5</f>
        <v>0</v>
      </c>
      <c r="AE40" s="29">
        <f>Supply!AE35-Supply!AE5</f>
        <v>0</v>
      </c>
      <c r="AF40" s="29">
        <f>Supply!AF35-Supply!AF5</f>
        <v>0</v>
      </c>
      <c r="AG40" s="29">
        <f>Supply!AG35-Supply!AG5</f>
        <v>0</v>
      </c>
      <c r="AH40" s="29">
        <f>Supply!AH35-Supply!AH5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1"/>
  <sheetViews>
    <sheetView zoomScale="136" zoomScaleNormal="100" workbookViewId="0">
      <pane xSplit="3" ySplit="3" topLeftCell="E28" activePane="bottomRight" state="frozen"/>
      <selection pane="topRight" activeCell="D1" sqref="D1"/>
      <selection pane="bottomLeft" activeCell="A4" sqref="A4"/>
      <selection pane="bottomRight" activeCell="D19" sqref="D19:AH19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34.1640625" customWidth="1"/>
    <col min="4" max="34" width="10" customWidth="1"/>
  </cols>
  <sheetData>
    <row r="1" spans="1:34" ht="17.25" customHeight="1" x14ac:dyDescent="0.2">
      <c r="A1" s="1" t="s">
        <v>0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4</v>
      </c>
      <c r="B5" s="14" t="s">
        <v>5</v>
      </c>
      <c r="C5" s="15" t="s">
        <v>6</v>
      </c>
      <c r="D5" s="30">
        <f>Inputs!$B$26*(1+Inputs!$B$27)^(D$3-2020)</f>
        <v>0.35</v>
      </c>
      <c r="E5" s="30">
        <f>Inputs!$B$26*(1+Inputs!$B$27)^(E$3-2020)</f>
        <v>0.35524999999999995</v>
      </c>
      <c r="F5" s="30">
        <f>Inputs!$B$26*(1+Inputs!$B$27)^(F$3-2020)</f>
        <v>0.36057874999999989</v>
      </c>
      <c r="G5" s="30">
        <f>Inputs!$B$26*(1+Inputs!$B$27)^(G$3-2020)</f>
        <v>0.36598743124999983</v>
      </c>
      <c r="H5" s="30">
        <f>Inputs!$B$26*(1+Inputs!$B$27)^(H$3-2020)</f>
        <v>0.37147724271874977</v>
      </c>
      <c r="I5" s="30">
        <f>Inputs!$B$26*(1+Inputs!$B$27)^(I$3-2020)</f>
        <v>0.37704940135953097</v>
      </c>
      <c r="J5" s="30">
        <f>Inputs!$B$26*(1+Inputs!$B$27)^(J$3-2020)</f>
        <v>0.38270514237992387</v>
      </c>
      <c r="K5" s="30">
        <f>Inputs!$B$26*(1+Inputs!$B$27)^(K$3-2020)</f>
        <v>0.38844571951562268</v>
      </c>
      <c r="L5" s="30">
        <f>Inputs!$B$26*(1+Inputs!$B$27)^(L$3-2020)</f>
        <v>0.394272405308357</v>
      </c>
      <c r="M5" s="30">
        <f>Inputs!$B$26*(1+Inputs!$B$27)^(M$3-2020)</f>
        <v>0.40018649138798229</v>
      </c>
      <c r="N5" s="30">
        <f>Inputs!$B$26*(1+Inputs!$B$27)^(N$3-2020)</f>
        <v>0.40618928875880195</v>
      </c>
      <c r="O5" s="30">
        <f>Inputs!$B$26*(1+Inputs!$B$27)^(O$3-2020)</f>
        <v>0.41228212809018394</v>
      </c>
      <c r="P5" s="30">
        <f>Inputs!$B$26*(1+Inputs!$B$27)^(P$3-2020)</f>
        <v>0.41846636001153664</v>
      </c>
      <c r="Q5" s="30">
        <f>Inputs!$B$26*(1+Inputs!$B$27)^(Q$3-2020)</f>
        <v>0.42474335541170966</v>
      </c>
      <c r="R5" s="30">
        <f>Inputs!$B$26*(1+Inputs!$B$27)^(R$3-2020)</f>
        <v>0.43111450574288518</v>
      </c>
      <c r="S5" s="30">
        <f>Inputs!$B$26*(1+Inputs!$B$27)^(S$3-2020)</f>
        <v>0.43758122332902838</v>
      </c>
      <c r="T5" s="30">
        <f>Inputs!$B$26*(1+Inputs!$B$27)^(T$3-2020)</f>
        <v>0.44414494167896373</v>
      </c>
      <c r="U5" s="30">
        <f>Inputs!$B$26*(1+Inputs!$B$27)^(U$3-2020)</f>
        <v>0.45080711580414817</v>
      </c>
      <c r="V5" s="30">
        <f>Inputs!$B$26*(1+Inputs!$B$27)^(V$3-2020)</f>
        <v>0.45756922254121035</v>
      </c>
      <c r="W5" s="30">
        <f>Inputs!$B$26*(1+Inputs!$B$27)^(W$3-2020)</f>
        <v>0.46443276087932844</v>
      </c>
      <c r="X5" s="30">
        <f>Inputs!$B$26*(1+Inputs!$B$27)^(X$3-2020)</f>
        <v>0.47139925229251822</v>
      </c>
      <c r="Y5" s="30">
        <f>Inputs!$B$26*(1+Inputs!$B$27)^(Y$3-2020)</f>
        <v>0.47847024107690594</v>
      </c>
      <c r="Z5" s="30">
        <f>Inputs!$B$26*(1+Inputs!$B$27)^(Z$3-2020)</f>
        <v>0.48564729469305945</v>
      </c>
      <c r="AA5" s="30">
        <f>Inputs!$B$26*(1+Inputs!$B$27)^(AA$3-2020)</f>
        <v>0.49293200411345534</v>
      </c>
      <c r="AB5" s="30">
        <f>Inputs!$B$26*(1+Inputs!$B$27)^(AB$3-2020)</f>
        <v>0.50032598417515706</v>
      </c>
      <c r="AC5" s="30">
        <f>Inputs!$B$26*(1+Inputs!$B$27)^(AC$3-2020)</f>
        <v>0.50783087393778437</v>
      </c>
      <c r="AD5" s="30">
        <f>Inputs!$B$26*(1+Inputs!$B$27)^(AD$3-2020)</f>
        <v>0.51544833704685111</v>
      </c>
      <c r="AE5" s="30">
        <f>Inputs!$B$26*(1+Inputs!$B$27)^(AE$3-2020)</f>
        <v>0.52318006210255386</v>
      </c>
      <c r="AF5" s="30">
        <f>Inputs!$B$26*(1+Inputs!$B$27)^(AF$3-2020)</f>
        <v>0.53102776303409194</v>
      </c>
      <c r="AG5" s="30">
        <f>Inputs!$B$26*(1+Inputs!$B$27)^(AG$3-2020)</f>
        <v>0.53899317947960335</v>
      </c>
      <c r="AH5" s="30">
        <f>Inputs!$B$26*(1+Inputs!$B$27)^(AH$3-2020)</f>
        <v>0.54707807717179724</v>
      </c>
    </row>
    <row r="6" spans="1:34" ht="15" customHeight="1" x14ac:dyDescent="0.2">
      <c r="A6" s="13" t="s">
        <v>7</v>
      </c>
      <c r="B6" s="14" t="s">
        <v>5</v>
      </c>
      <c r="C6" s="15" t="s">
        <v>8</v>
      </c>
      <c r="D6" s="30">
        <f>Inputs!$B$28*(1+Inputs!$B$29)^(D$3-2020)</f>
        <v>1.8</v>
      </c>
      <c r="E6" s="30">
        <f>Inputs!$B$28*(1+Inputs!$B$29)^(E$3-2020)</f>
        <v>1.8180000000000001</v>
      </c>
      <c r="F6" s="30">
        <f>Inputs!$B$28*(1+Inputs!$B$29)^(F$3-2020)</f>
        <v>1.8361800000000001</v>
      </c>
      <c r="G6" s="30">
        <f>Inputs!$B$28*(1+Inputs!$B$29)^(G$3-2020)</f>
        <v>1.8545417999999998</v>
      </c>
      <c r="H6" s="30">
        <f>Inputs!$B$28*(1+Inputs!$B$29)^(H$3-2020)</f>
        <v>1.873087218</v>
      </c>
      <c r="I6" s="30">
        <f>Inputs!$B$28*(1+Inputs!$B$29)^(I$3-2020)</f>
        <v>1.8918180901799999</v>
      </c>
      <c r="J6" s="30">
        <f>Inputs!$B$28*(1+Inputs!$B$29)^(J$3-2020)</f>
        <v>1.9107362710818003</v>
      </c>
      <c r="K6" s="30">
        <f>Inputs!$B$28*(1+Inputs!$B$29)^(K$3-2020)</f>
        <v>1.9298436337926177</v>
      </c>
      <c r="L6" s="30">
        <f>Inputs!$B$28*(1+Inputs!$B$29)^(L$3-2020)</f>
        <v>1.9491420701305444</v>
      </c>
      <c r="M6" s="30">
        <f>Inputs!$B$28*(1+Inputs!$B$29)^(M$3-2020)</f>
        <v>1.9686334908318501</v>
      </c>
      <c r="N6" s="30">
        <f>Inputs!$B$28*(1+Inputs!$B$29)^(N$3-2020)</f>
        <v>1.9883198257401686</v>
      </c>
      <c r="O6" s="30">
        <f>Inputs!$B$28*(1+Inputs!$B$29)^(O$3-2020)</f>
        <v>2.0082030239975697</v>
      </c>
      <c r="P6" s="30">
        <f>Inputs!$B$28*(1+Inputs!$B$29)^(P$3-2020)</f>
        <v>2.0282850542375455</v>
      </c>
      <c r="Q6" s="30">
        <f>Inputs!$B$28*(1+Inputs!$B$29)^(Q$3-2020)</f>
        <v>2.048567904779921</v>
      </c>
      <c r="R6" s="30">
        <f>Inputs!$B$28*(1+Inputs!$B$29)^(R$3-2020)</f>
        <v>2.0690535838277206</v>
      </c>
      <c r="S6" s="30">
        <f>Inputs!$B$28*(1+Inputs!$B$29)^(S$3-2020)</f>
        <v>2.0897441196659972</v>
      </c>
      <c r="T6" s="30">
        <f>Inputs!$B$28*(1+Inputs!$B$29)^(T$3-2020)</f>
        <v>2.1106415608626579</v>
      </c>
      <c r="U6" s="30">
        <f>Inputs!$B$28*(1+Inputs!$B$29)^(U$3-2020)</f>
        <v>2.1317479764712846</v>
      </c>
      <c r="V6" s="30">
        <f>Inputs!$B$28*(1+Inputs!$B$29)^(V$3-2020)</f>
        <v>2.1530654562359977</v>
      </c>
      <c r="W6" s="30">
        <f>Inputs!$B$28*(1+Inputs!$B$29)^(W$3-2020)</f>
        <v>2.1745961107983569</v>
      </c>
      <c r="X6" s="30">
        <f>Inputs!$B$28*(1+Inputs!$B$29)^(X$3-2020)</f>
        <v>2.1963420719063409</v>
      </c>
      <c r="Y6" s="30">
        <f>Inputs!$B$28*(1+Inputs!$B$29)^(Y$3-2020)</f>
        <v>2.218305492625404</v>
      </c>
      <c r="Z6" s="30">
        <f>Inputs!$B$28*(1+Inputs!$B$29)^(Z$3-2020)</f>
        <v>2.2404885475516587</v>
      </c>
      <c r="AA6" s="30">
        <f>Inputs!$B$28*(1+Inputs!$B$29)^(AA$3-2020)</f>
        <v>2.2628934330271746</v>
      </c>
      <c r="AB6" s="30">
        <f>Inputs!$B$28*(1+Inputs!$B$29)^(AB$3-2020)</f>
        <v>2.285522367357447</v>
      </c>
      <c r="AC6" s="30">
        <f>Inputs!$B$28*(1+Inputs!$B$29)^(AC$3-2020)</f>
        <v>2.3083775910310216</v>
      </c>
      <c r="AD6" s="30">
        <f>Inputs!$B$28*(1+Inputs!$B$29)^(AD$3-2020)</f>
        <v>2.331461366941332</v>
      </c>
      <c r="AE6" s="30">
        <f>Inputs!$B$28*(1+Inputs!$B$29)^(AE$3-2020)</f>
        <v>2.3547759806107442</v>
      </c>
      <c r="AF6" s="30">
        <f>Inputs!$B$28*(1+Inputs!$B$29)^(AF$3-2020)</f>
        <v>2.3783237404168522</v>
      </c>
      <c r="AG6" s="30">
        <f>Inputs!$B$28*(1+Inputs!$B$29)^(AG$3-2020)</f>
        <v>2.4021069778210209</v>
      </c>
      <c r="AH6" s="30">
        <f>Inputs!$B$28*(1+Inputs!$B$29)^(AH$3-2020)</f>
        <v>2.4261280475992315</v>
      </c>
    </row>
    <row r="7" spans="1:34" ht="15" customHeight="1" x14ac:dyDescent="0.2">
      <c r="A7" s="13" t="s">
        <v>9</v>
      </c>
      <c r="B7" s="14" t="s">
        <v>5</v>
      </c>
      <c r="C7" s="15" t="s">
        <v>10</v>
      </c>
      <c r="D7" s="18">
        <f>Inputs!$B$30+(Inputs!$B$31-Inputs!$B$30)*(D$3-2020)/30</f>
        <v>3.5</v>
      </c>
      <c r="E7" s="18">
        <f>Inputs!$B$30+(Inputs!$B$31-Inputs!$B$30)*(E$3-2020)/30</f>
        <v>3.4833333333333334</v>
      </c>
      <c r="F7" s="18">
        <f>Inputs!$B$30+(Inputs!$B$31-Inputs!$B$30)*(F$3-2020)/30</f>
        <v>3.4666666666666668</v>
      </c>
      <c r="G7" s="18">
        <f>Inputs!$B$30+(Inputs!$B$31-Inputs!$B$30)*(G$3-2020)/30</f>
        <v>3.45</v>
      </c>
      <c r="H7" s="18">
        <f>Inputs!$B$30+(Inputs!$B$31-Inputs!$B$30)*(H$3-2020)/30</f>
        <v>3.4333333333333331</v>
      </c>
      <c r="I7" s="18">
        <f>Inputs!$B$30+(Inputs!$B$31-Inputs!$B$30)*(I$3-2020)/30</f>
        <v>3.4166666666666665</v>
      </c>
      <c r="J7" s="18">
        <f>Inputs!$B$30+(Inputs!$B$31-Inputs!$B$30)*(J$3-2020)/30</f>
        <v>3.4</v>
      </c>
      <c r="K7" s="18">
        <f>Inputs!$B$30+(Inputs!$B$31-Inputs!$B$30)*(K$3-2020)/30</f>
        <v>3.3833333333333333</v>
      </c>
      <c r="L7" s="18">
        <f>Inputs!$B$30+(Inputs!$B$31-Inputs!$B$30)*(L$3-2020)/30</f>
        <v>3.3666666666666667</v>
      </c>
      <c r="M7" s="18">
        <f>Inputs!$B$30+(Inputs!$B$31-Inputs!$B$30)*(M$3-2020)/30</f>
        <v>3.35</v>
      </c>
      <c r="N7" s="18">
        <f>Inputs!$B$30+(Inputs!$B$31-Inputs!$B$30)*(N$3-2020)/30</f>
        <v>3.3333333333333335</v>
      </c>
      <c r="O7" s="18">
        <f>Inputs!$B$30+(Inputs!$B$31-Inputs!$B$30)*(O$3-2020)/30</f>
        <v>3.3166666666666669</v>
      </c>
      <c r="P7" s="18">
        <f>Inputs!$B$30+(Inputs!$B$31-Inputs!$B$30)*(P$3-2020)/30</f>
        <v>3.3</v>
      </c>
      <c r="Q7" s="18">
        <f>Inputs!$B$30+(Inputs!$B$31-Inputs!$B$30)*(Q$3-2020)/30</f>
        <v>3.2833333333333332</v>
      </c>
      <c r="R7" s="18">
        <f>Inputs!$B$30+(Inputs!$B$31-Inputs!$B$30)*(R$3-2020)/30</f>
        <v>3.2666666666666666</v>
      </c>
      <c r="S7" s="18">
        <f>Inputs!$B$30+(Inputs!$B$31-Inputs!$B$30)*(S$3-2020)/30</f>
        <v>3.25</v>
      </c>
      <c r="T7" s="18">
        <f>Inputs!$B$30+(Inputs!$B$31-Inputs!$B$30)*(T$3-2020)/30</f>
        <v>3.2333333333333334</v>
      </c>
      <c r="U7" s="18">
        <f>Inputs!$B$30+(Inputs!$B$31-Inputs!$B$30)*(U$3-2020)/30</f>
        <v>3.2166666666666668</v>
      </c>
      <c r="V7" s="18">
        <f>Inputs!$B$30+(Inputs!$B$31-Inputs!$B$30)*(V$3-2020)/30</f>
        <v>3.2</v>
      </c>
      <c r="W7" s="18">
        <f>Inputs!$B$30+(Inputs!$B$31-Inputs!$B$30)*(W$3-2020)/30</f>
        <v>3.1833333333333336</v>
      </c>
      <c r="X7" s="18">
        <f>Inputs!$B$30+(Inputs!$B$31-Inputs!$B$30)*(X$3-2020)/30</f>
        <v>3.1666666666666665</v>
      </c>
      <c r="Y7" s="18">
        <f>Inputs!$B$30+(Inputs!$B$31-Inputs!$B$30)*(Y$3-2020)/30</f>
        <v>3.15</v>
      </c>
      <c r="Z7" s="18">
        <f>Inputs!$B$30+(Inputs!$B$31-Inputs!$B$30)*(Z$3-2020)/30</f>
        <v>3.1333333333333333</v>
      </c>
      <c r="AA7" s="18">
        <f>Inputs!$B$30+(Inputs!$B$31-Inputs!$B$30)*(AA$3-2020)/30</f>
        <v>3.1166666666666667</v>
      </c>
      <c r="AB7" s="18">
        <f>Inputs!$B$30+(Inputs!$B$31-Inputs!$B$30)*(AB$3-2020)/30</f>
        <v>3.1</v>
      </c>
      <c r="AC7" s="18">
        <f>Inputs!$B$30+(Inputs!$B$31-Inputs!$B$30)*(AC$3-2020)/30</f>
        <v>3.0833333333333335</v>
      </c>
      <c r="AD7" s="18">
        <f>Inputs!$B$30+(Inputs!$B$31-Inputs!$B$30)*(AD$3-2020)/30</f>
        <v>3.0666666666666664</v>
      </c>
      <c r="AE7" s="18">
        <f>Inputs!$B$30+(Inputs!$B$31-Inputs!$B$30)*(AE$3-2020)/30</f>
        <v>3.05</v>
      </c>
      <c r="AF7" s="18">
        <f>Inputs!$B$30+(Inputs!$B$31-Inputs!$B$30)*(AF$3-2020)/30</f>
        <v>3.0333333333333332</v>
      </c>
      <c r="AG7" s="18">
        <f>Inputs!$B$30+(Inputs!$B$31-Inputs!$B$30)*(AG$3-2020)/30</f>
        <v>3.0166666666666666</v>
      </c>
      <c r="AH7" s="18">
        <f>Inputs!$B$30+(Inputs!$B$31-Inputs!$B$30)*(AH$3-2020)/30</f>
        <v>3</v>
      </c>
    </row>
    <row r="9" spans="1:34" ht="15" customHeight="1" x14ac:dyDescent="0.2">
      <c r="A9" s="59" t="s">
        <v>11</v>
      </c>
      <c r="B9" s="60" t="s">
        <v>12</v>
      </c>
      <c r="C9" s="61" t="s">
        <v>13</v>
      </c>
      <c r="D9" s="20">
        <f>D5*Supply!D8</f>
        <v>1225</v>
      </c>
      <c r="E9" s="20">
        <f>E5*Supply!E8</f>
        <v>1224.7243749999998</v>
      </c>
      <c r="F9" s="20">
        <f>F5*Supply!F8</f>
        <v>1224.4488120156245</v>
      </c>
      <c r="G9" s="20">
        <f>G5*Supply!G8</f>
        <v>1224.173311032921</v>
      </c>
      <c r="H9" s="20">
        <f>H5*Supply!H8</f>
        <v>1223.8978720379382</v>
      </c>
      <c r="I9" s="20">
        <f>I5*Supply!I8</f>
        <v>1223.6224950167295</v>
      </c>
      <c r="J9" s="20">
        <f>J5*Supply!J8</f>
        <v>1223.3471799553506</v>
      </c>
      <c r="K9" s="20">
        <f>K5*Supply!K8</f>
        <v>1223.0719268398607</v>
      </c>
      <c r="L9" s="20">
        <f>L5*Supply!L8</f>
        <v>1222.7967356563215</v>
      </c>
      <c r="M9" s="20">
        <f>M5*Supply!M8</f>
        <v>1222.5216063907985</v>
      </c>
      <c r="N9" s="20">
        <f>N5*Supply!N8</f>
        <v>1222.2465390293605</v>
      </c>
      <c r="O9" s="20">
        <f>O5*Supply!O8</f>
        <v>1221.9715335580788</v>
      </c>
      <c r="P9" s="20">
        <f>P5*Supply!P8</f>
        <v>1221.6965899630281</v>
      </c>
      <c r="Q9" s="20">
        <f>Q5*Supply!Q8</f>
        <v>1221.4217082302864</v>
      </c>
      <c r="R9" s="20">
        <f>R5*Supply!R8</f>
        <v>1221.1468883459343</v>
      </c>
      <c r="S9" s="20">
        <f>S5*Supply!S8</f>
        <v>1220.872130296056</v>
      </c>
      <c r="T9" s="20">
        <f>T5*Supply!T8</f>
        <v>1220.5974340667392</v>
      </c>
      <c r="U9" s="20">
        <f>U5*Supply!U8</f>
        <v>1220.3227996440742</v>
      </c>
      <c r="V9" s="20">
        <f>V5*Supply!V8</f>
        <v>1220.048227014154</v>
      </c>
      <c r="W9" s="20">
        <f>W5*Supply!W8</f>
        <v>1219.7737161630757</v>
      </c>
      <c r="X9" s="20">
        <f>X5*Supply!X8</f>
        <v>1219.4992670769388</v>
      </c>
      <c r="Y9" s="20">
        <f>Y5*Supply!Y8</f>
        <v>1219.2248797418465</v>
      </c>
      <c r="Z9" s="20">
        <f>Z5*Supply!Z8</f>
        <v>1218.9505541439041</v>
      </c>
      <c r="AA9" s="20">
        <f>AA5*Supply!AA8</f>
        <v>1218.6762902692219</v>
      </c>
      <c r="AB9" s="20">
        <f>AB5*Supply!AB8</f>
        <v>1218.402088103911</v>
      </c>
      <c r="AC9" s="20">
        <f>AC5*Supply!AC8</f>
        <v>1218.1279476340876</v>
      </c>
      <c r="AD9" s="20">
        <f>AD5*Supply!AD8</f>
        <v>1217.8538688458696</v>
      </c>
      <c r="AE9" s="20">
        <f>AE5*Supply!AE8</f>
        <v>1217.5798517253793</v>
      </c>
      <c r="AF9" s="20">
        <f>AF5*Supply!AF8</f>
        <v>1217.3058962587406</v>
      </c>
      <c r="AG9" s="20">
        <f>AG5*Supply!AG8</f>
        <v>1217.0320024320824</v>
      </c>
      <c r="AH9" s="20">
        <f>AH5*Supply!AH8</f>
        <v>1216.7581702315351</v>
      </c>
    </row>
    <row r="10" spans="1:34" ht="15" customHeight="1" x14ac:dyDescent="0.2">
      <c r="A10" s="59" t="s">
        <v>14</v>
      </c>
      <c r="B10" s="60" t="s">
        <v>12</v>
      </c>
      <c r="C10" s="61" t="s">
        <v>15</v>
      </c>
      <c r="D10" s="20">
        <f>D6*Supply!D9</f>
        <v>1641.6000000000001</v>
      </c>
      <c r="E10" s="20">
        <f>E6*Supply!E9</f>
        <v>1624.8556800000001</v>
      </c>
      <c r="F10" s="20">
        <f>F6*Supply!F9</f>
        <v>1608.282152064</v>
      </c>
      <c r="G10" s="20">
        <f>G6*Supply!G9</f>
        <v>1591.8776741129468</v>
      </c>
      <c r="H10" s="20">
        <f>H6*Supply!H9</f>
        <v>1575.640521836995</v>
      </c>
      <c r="I10" s="20">
        <f>I6*Supply!I9</f>
        <v>1559.5689885142574</v>
      </c>
      <c r="J10" s="20">
        <f>J6*Supply!J9</f>
        <v>1543.6613848314123</v>
      </c>
      <c r="K10" s="20">
        <f>K6*Supply!K9</f>
        <v>1527.9160387061313</v>
      </c>
      <c r="L10" s="20">
        <f>L6*Supply!L9</f>
        <v>1512.3312951113292</v>
      </c>
      <c r="M10" s="20">
        <f>M6*Supply!M9</f>
        <v>1496.9055159011939</v>
      </c>
      <c r="N10" s="20">
        <f>N6*Supply!N9</f>
        <v>1481.6370796390015</v>
      </c>
      <c r="O10" s="20">
        <f>O6*Supply!O9</f>
        <v>1466.5243814266832</v>
      </c>
      <c r="P10" s="20">
        <f>P6*Supply!P9</f>
        <v>1451.5658327361309</v>
      </c>
      <c r="Q10" s="20">
        <f>Q6*Supply!Q9</f>
        <v>1436.7598612422223</v>
      </c>
      <c r="R10" s="20">
        <f>R6*Supply!R9</f>
        <v>1422.1049106575522</v>
      </c>
      <c r="S10" s="20">
        <f>S6*Supply!S9</f>
        <v>1407.5994405688446</v>
      </c>
      <c r="T10" s="20">
        <f>T6*Supply!T9</f>
        <v>1393.2419262750429</v>
      </c>
      <c r="U10" s="20">
        <f>U6*Supply!U9</f>
        <v>1379.0308586270376</v>
      </c>
      <c r="V10" s="20">
        <f>V6*Supply!V9</f>
        <v>1364.9647438690417</v>
      </c>
      <c r="W10" s="20">
        <f>W6*Supply!W9</f>
        <v>1351.0421034815772</v>
      </c>
      <c r="X10" s="20">
        <f>X6*Supply!X9</f>
        <v>1337.2614740260653</v>
      </c>
      <c r="Y10" s="20">
        <f>Y6*Supply!Y9</f>
        <v>1323.621406990999</v>
      </c>
      <c r="Z10" s="20">
        <f>Z6*Supply!Z9</f>
        <v>1310.1204686396914</v>
      </c>
      <c r="AA10" s="20">
        <f>AA6*Supply!AA9</f>
        <v>1296.757239859566</v>
      </c>
      <c r="AB10" s="20">
        <f>AB6*Supply!AB9</f>
        <v>1283.5303160129988</v>
      </c>
      <c r="AC10" s="20">
        <f>AC6*Supply!AC9</f>
        <v>1270.4383067896663</v>
      </c>
      <c r="AD10" s="20">
        <f>AD6*Supply!AD9</f>
        <v>1257.4798360604116</v>
      </c>
      <c r="AE10" s="20">
        <f>AE6*Supply!AE9</f>
        <v>1244.6535417325947</v>
      </c>
      <c r="AF10" s="20">
        <f>AF6*Supply!AF9</f>
        <v>1231.9580756069226</v>
      </c>
      <c r="AG10" s="20">
        <f>AG6*Supply!AG9</f>
        <v>1219.3921032357321</v>
      </c>
      <c r="AH10" s="20">
        <f>AH6*Supply!AH9</f>
        <v>1206.9543037827277</v>
      </c>
    </row>
    <row r="11" spans="1:34" ht="15" customHeight="1" x14ac:dyDescent="0.2">
      <c r="A11" s="13" t="s">
        <v>16</v>
      </c>
      <c r="B11" s="14" t="s">
        <v>12</v>
      </c>
      <c r="C11" s="15" t="s">
        <v>15</v>
      </c>
      <c r="D11" s="20">
        <f>D7*Supply!D29</f>
        <v>1804.1935226278229</v>
      </c>
      <c r="E11" s="20">
        <f>E7*Supply!E29</f>
        <v>2252.9405323924666</v>
      </c>
      <c r="F11" s="20">
        <f>F7*Supply!F29</f>
        <v>2690.5701306792762</v>
      </c>
      <c r="G11" s="20">
        <f>G7*Supply!G29</f>
        <v>3117.3099104656203</v>
      </c>
      <c r="H11" s="20">
        <f>H7*Supply!H29</f>
        <v>3533.3838098986312</v>
      </c>
      <c r="I11" s="20">
        <f>I7*Supply!I29</f>
        <v>3939.0121729977559</v>
      </c>
      <c r="J11" s="20">
        <f>J7*Supply!J29</f>
        <v>4334.4118092035069</v>
      </c>
      <c r="K11" s="20">
        <f>K7*Supply!K29</f>
        <v>4905.033551788968</v>
      </c>
      <c r="L11" s="20">
        <f>L7*Supply!L29</f>
        <v>5464.0248151501755</v>
      </c>
      <c r="M11" s="20">
        <f>M7*Supply!M29</f>
        <v>6011.5921509912478</v>
      </c>
      <c r="N11" s="20">
        <f>N7*Supply!N29</f>
        <v>6547.9388034194262</v>
      </c>
      <c r="O11" s="20">
        <f>O7*Supply!O29</f>
        <v>7073.2647629650373</v>
      </c>
      <c r="P11" s="20">
        <f>P7*Supply!P29</f>
        <v>7587.7668195407159</v>
      </c>
      <c r="Q11" s="20">
        <f>Q7*Supply!Q29</f>
        <v>8091.6386143540194</v>
      </c>
      <c r="R11" s="20">
        <f>R7*Supply!R29</f>
        <v>8585.0706907870335</v>
      </c>
      <c r="S11" s="20">
        <f>S7*Supply!S29</f>
        <v>9068.2505442562142</v>
      </c>
      <c r="T11" s="20">
        <f>T7*Supply!T29</f>
        <v>9541.3626710651897</v>
      </c>
      <c r="U11" s="20">
        <f>U7*Supply!U29</f>
        <v>9828.4761162630948</v>
      </c>
      <c r="V11" s="20">
        <f>V7*Supply!V29</f>
        <v>10107.707020520314</v>
      </c>
      <c r="W11" s="20">
        <f>W7*Supply!W29</f>
        <v>10379.231166033347</v>
      </c>
      <c r="X11" s="20">
        <f>X7*Supply!X29</f>
        <v>10643.221521469959</v>
      </c>
      <c r="Y11" s="20">
        <f>Y7*Supply!Y29</f>
        <v>10899.848285965531</v>
      </c>
      <c r="Z11" s="20">
        <f>Z7*Supply!Z29</f>
        <v>11149.278932181038</v>
      </c>
      <c r="AA11" s="20">
        <f>AA7*Supply!AA29</f>
        <v>11391.678248432656</v>
      </c>
      <c r="AB11" s="20">
        <f>AB7*Supply!AB29</f>
        <v>11627.20837990289</v>
      </c>
      <c r="AC11" s="20">
        <f>AC7*Supply!AC29</f>
        <v>11856.0288689423</v>
      </c>
      <c r="AD11" s="20">
        <f>AD7*Supply!AD29</f>
        <v>12078.296694470948</v>
      </c>
      <c r="AE11" s="20">
        <f>AE7*Supply!AE29</f>
        <v>12294.166310488054</v>
      </c>
      <c r="AF11" s="20">
        <f>AF7*Supply!AF29</f>
        <v>12503.789683698065</v>
      </c>
      <c r="AG11" s="20">
        <f>AG7*Supply!AG29</f>
        <v>12707.316330260992</v>
      </c>
      <c r="AH11" s="20">
        <f>AH7*Supply!AH29</f>
        <v>12904.893351674424</v>
      </c>
    </row>
    <row r="12" spans="1:34" ht="15" customHeight="1" x14ac:dyDescent="0.2">
      <c r="A12" s="13" t="s">
        <v>17</v>
      </c>
      <c r="B12" s="14" t="s">
        <v>12</v>
      </c>
      <c r="C12" s="15" t="s">
        <v>18</v>
      </c>
      <c r="D12" s="88">
        <f>D7*Supply!D31</f>
        <v>0</v>
      </c>
      <c r="E12" s="88">
        <f>E7*Supply!E31</f>
        <v>0</v>
      </c>
      <c r="F12" s="88">
        <f>F7*Supply!F31</f>
        <v>0</v>
      </c>
      <c r="G12" s="88">
        <f>G7*Supply!G31</f>
        <v>0</v>
      </c>
      <c r="H12" s="88">
        <f>H7*Supply!H31</f>
        <v>0</v>
      </c>
      <c r="I12" s="88">
        <f>I7*Supply!I31</f>
        <v>0</v>
      </c>
      <c r="J12" s="88">
        <f>J7*Supply!J31</f>
        <v>0</v>
      </c>
      <c r="K12" s="88">
        <f>K7*Supply!K31</f>
        <v>158.19005123819849</v>
      </c>
      <c r="L12" s="22">
        <f>L7*Supply!L31</f>
        <v>340.41691830671232</v>
      </c>
      <c r="M12" s="22">
        <f>M7*Supply!M31</f>
        <v>520.85551061670435</v>
      </c>
      <c r="N12" s="22">
        <f>N7*Supply!N31</f>
        <v>699.5072354839067</v>
      </c>
      <c r="O12" s="22">
        <f>O7*Supply!O31</f>
        <v>876.37342712933457</v>
      </c>
      <c r="P12" s="22">
        <f>P7*Supply!P31</f>
        <v>1051.4553481127043</v>
      </c>
      <c r="Q12" s="22">
        <f>Q7*Supply!Q31</f>
        <v>1224.7541907464308</v>
      </c>
      <c r="R12" s="22">
        <f>R7*Supply!R31</f>
        <v>1396.2710784903911</v>
      </c>
      <c r="S12" s="22">
        <f>S7*Supply!S31</f>
        <v>1566.0070673276975</v>
      </c>
      <c r="T12" s="22">
        <f>T7*Supply!T31</f>
        <v>1733.9631471216665</v>
      </c>
      <c r="U12" s="22">
        <f>U7*Supply!U31</f>
        <v>1724.0277429542045</v>
      </c>
      <c r="V12" s="22">
        <f>V7*Supply!V31</f>
        <v>1714.1392164458057</v>
      </c>
      <c r="W12" s="22">
        <f>W7*Supply!W31</f>
        <v>1704.2983670573858</v>
      </c>
      <c r="X12" s="22">
        <f>X7*Supply!X31</f>
        <v>1694.5059333741267</v>
      </c>
      <c r="Y12" s="22">
        <f>Y7*Supply!Y31</f>
        <v>1684.7625943715623</v>
      </c>
      <c r="Z12" s="22">
        <f>Z7*Supply!Z31</f>
        <v>1675.068970664064</v>
      </c>
      <c r="AA12" s="22">
        <f>AA7*Supply!AA31</f>
        <v>1665.4256257359775</v>
      </c>
      <c r="AB12" s="22">
        <f>AB7*Supply!AB31</f>
        <v>1655.8330671555489</v>
      </c>
      <c r="AC12" s="22">
        <f>AC7*Supply!AC31</f>
        <v>1646.2917477718704</v>
      </c>
      <c r="AD12" s="22">
        <f>AD7*Supply!AD31</f>
        <v>1636.8020668950157</v>
      </c>
      <c r="AE12" s="22">
        <f>AE7*Supply!AE31</f>
        <v>1627.3643714595714</v>
      </c>
      <c r="AF12" s="22">
        <f>AF7*Supply!AF31</f>
        <v>1617.9789571717338</v>
      </c>
      <c r="AG12" s="22">
        <f>AG7*Supply!AG31</f>
        <v>1608.6460696401716</v>
      </c>
      <c r="AH12" s="22">
        <f>AH7*Supply!AH31</f>
        <v>1599.3659054908189</v>
      </c>
    </row>
    <row r="13" spans="1:34" ht="15" customHeight="1" x14ac:dyDescent="0.2">
      <c r="A13" t="s">
        <v>19</v>
      </c>
      <c r="B13" t="s">
        <v>5</v>
      </c>
      <c r="C13" t="s">
        <v>10</v>
      </c>
      <c r="D13">
        <f>Inputs!B45+(Inputs!B46-Inputs!B45)*(D3-2020)/30</f>
        <v>0.8</v>
      </c>
      <c r="E13">
        <f>Inputs!B45+(Inputs!B46-Inputs!B45)*(E3-2020)/30</f>
        <v>0.79500000000000004</v>
      </c>
      <c r="F13">
        <f>Inputs!B45+(Inputs!B46-Inputs!B45)*(F3-2020)/30</f>
        <v>0.79</v>
      </c>
      <c r="G13">
        <f>Inputs!B45+(Inputs!B46-Inputs!B45)*(G3-2020)/30</f>
        <v>0.78500000000000003</v>
      </c>
      <c r="H13">
        <f>Inputs!B45+(Inputs!B46-Inputs!B45)*(H3-2020)/30</f>
        <v>0.78</v>
      </c>
      <c r="I13">
        <f>Inputs!B45+(Inputs!B46-Inputs!B45)*(I3-2020)/30</f>
        <v>0.77500000000000002</v>
      </c>
      <c r="J13">
        <f>Inputs!B45+(Inputs!B46-Inputs!B45)*(J3-2020)/30</f>
        <v>0.77</v>
      </c>
      <c r="K13">
        <f>Inputs!B45+(Inputs!B46-Inputs!B45)*(K3-2020)/30</f>
        <v>0.76500000000000001</v>
      </c>
      <c r="L13">
        <f>Inputs!B45+(Inputs!B46-Inputs!B45)*(L3-2020)/30</f>
        <v>0.76</v>
      </c>
      <c r="M13">
        <f>Inputs!B45+(Inputs!B46-Inputs!B45)*(M3-2020)/30</f>
        <v>0.755</v>
      </c>
      <c r="N13">
        <f>Inputs!B45+(Inputs!B46-Inputs!B45)*(N3-2020)/30</f>
        <v>0.75</v>
      </c>
      <c r="O13">
        <f>Inputs!B45+(Inputs!B46-Inputs!B45)*(O3-2020)/30</f>
        <v>0.745</v>
      </c>
      <c r="P13">
        <f>Inputs!B45+(Inputs!B46-Inputs!B45)*(P3-2020)/30</f>
        <v>0.74</v>
      </c>
      <c r="Q13">
        <f>Inputs!B45+(Inputs!B46-Inputs!B45)*(Q3-2020)/30</f>
        <v>0.7350000000000001</v>
      </c>
      <c r="R13">
        <f>Inputs!B45+(Inputs!B46-Inputs!B45)*(R3-2020)/30</f>
        <v>0.73</v>
      </c>
      <c r="S13">
        <f>Inputs!B45+(Inputs!B46-Inputs!B45)*(S3-2020)/30</f>
        <v>0.72500000000000009</v>
      </c>
      <c r="T13">
        <f>Inputs!B45+(Inputs!B46-Inputs!B45)*(T3-2020)/30</f>
        <v>0.72</v>
      </c>
      <c r="U13">
        <f>Inputs!B45+(Inputs!B46-Inputs!B45)*(U3-2020)/30</f>
        <v>0.71500000000000008</v>
      </c>
      <c r="V13">
        <f>Inputs!B45+(Inputs!B46-Inputs!B45)*(V3-2020)/30</f>
        <v>0.71000000000000008</v>
      </c>
      <c r="W13">
        <f>Inputs!B45+(Inputs!B46-Inputs!B45)*(W3-2020)/30</f>
        <v>0.70500000000000007</v>
      </c>
      <c r="X13">
        <f>Inputs!B45+(Inputs!B46-Inputs!B45)*(X3-2020)/30</f>
        <v>0.70000000000000007</v>
      </c>
      <c r="Y13">
        <f>Inputs!B45+(Inputs!B46-Inputs!B45)*(Y3-2020)/30</f>
        <v>0.69500000000000006</v>
      </c>
      <c r="Z13">
        <f>Inputs!B45+(Inputs!B46-Inputs!B45)*(Z3-2020)/30</f>
        <v>0.69000000000000006</v>
      </c>
      <c r="AA13">
        <f>Inputs!B45+(Inputs!B46-Inputs!B45)*(AA3-2020)/30</f>
        <v>0.68500000000000005</v>
      </c>
      <c r="AB13">
        <f>Inputs!B45+(Inputs!B46-Inputs!B45)*(AB3-2020)/30</f>
        <v>0.68</v>
      </c>
      <c r="AC13">
        <f>Inputs!B45+(Inputs!B46-Inputs!B45)*(AC3-2020)/30</f>
        <v>0.67500000000000004</v>
      </c>
      <c r="AD13">
        <f>Inputs!B45+(Inputs!B46-Inputs!B45)*(AD3-2020)/30</f>
        <v>0.67</v>
      </c>
      <c r="AE13">
        <f>Inputs!B45+(Inputs!B46-Inputs!B45)*(AE3-2020)/30</f>
        <v>0.66500000000000004</v>
      </c>
      <c r="AF13">
        <f>Inputs!B45+(Inputs!B46-Inputs!B45)*(AF3-2020)/30</f>
        <v>0.66</v>
      </c>
      <c r="AG13">
        <f>Inputs!B45+(Inputs!B46-Inputs!B45)*(AG3-2020)/30</f>
        <v>0.65500000000000003</v>
      </c>
      <c r="AH13">
        <f>Inputs!B45+(Inputs!B46-Inputs!B45)*(AH3-2020)/30</f>
        <v>0.65</v>
      </c>
    </row>
    <row r="14" spans="1:34" ht="15" customHeight="1" x14ac:dyDescent="0.2">
      <c r="A14" s="65" t="s">
        <v>20</v>
      </c>
      <c r="B14" s="65" t="s">
        <v>12</v>
      </c>
      <c r="C14" s="65" t="s">
        <v>21</v>
      </c>
      <c r="D14" s="20">
        <f>D13*(Supply!D16+Supply!D17)</f>
        <v>8.1618086686000009</v>
      </c>
      <c r="E14" s="20">
        <f>E13*(Supply!E16+Supply!E17)</f>
        <v>8.9059584473612894</v>
      </c>
      <c r="F14" s="20">
        <f>F13*(Supply!F16+Supply!F17)</f>
        <v>9.6568273451797619</v>
      </c>
      <c r="G14" s="20">
        <f>G13*(Supply!G16+Supply!G17)</f>
        <v>10.413788754201121</v>
      </c>
      <c r="H14" s="20">
        <f>H13*(Supply!H16+Supply!H17)</f>
        <v>11.176227213684276</v>
      </c>
      <c r="I14" s="20">
        <f>I13*(Supply!I16+Supply!I17)</f>
        <v>11.943538277225612</v>
      </c>
      <c r="J14" s="20">
        <f>J13*(Supply!J16+Supply!J17)</f>
        <v>12.715128381275782</v>
      </c>
      <c r="K14" s="20">
        <f>K13*(Supply!K16+Supply!K17)</f>
        <v>13.490414714937989</v>
      </c>
      <c r="L14" s="20">
        <f>L13*(Supply!L16+Supply!L17)</f>
        <v>14.268825091036611</v>
      </c>
      <c r="M14" s="20">
        <f>M13*(Supply!M16+Supply!M17)</f>
        <v>15.049797818445324</v>
      </c>
      <c r="N14" s="20">
        <f>N13*(Supply!N16+Supply!N17)</f>
        <v>15.832781575663859</v>
      </c>
      <c r="O14" s="20">
        <f>O13*(Supply!O16+Supply!O17)</f>
        <v>16.617235285632546</v>
      </c>
      <c r="P14" s="20">
        <f>P13*(Supply!P16+Supply!P17)</f>
        <v>17.402627991774072</v>
      </c>
      <c r="Q14" s="20">
        <f>Q13*(Supply!Q16+Supply!Q17)</f>
        <v>18.188438735251747</v>
      </c>
      <c r="R14" s="20">
        <f>R13*(Supply!R16+Supply!R17)</f>
        <v>18.974156433433837</v>
      </c>
      <c r="S14" s="20">
        <f>S13*(Supply!S16+Supply!S17)</f>
        <v>19.759279759553522</v>
      </c>
      <c r="T14" s="20">
        <f>T13*(Supply!T16+Supply!T17)</f>
        <v>20.54331702355412</v>
      </c>
      <c r="U14" s="20">
        <f>U13*(Supply!U16+Supply!U17)</f>
        <v>21.325786054109233</v>
      </c>
      <c r="V14" s="20">
        <f>V13*(Supply!V16+Supply!V17)</f>
        <v>22.106214081807828</v>
      </c>
      <c r="W14" s="20">
        <f>W13*(Supply!W16+Supply!W17)</f>
        <v>22.884137623493906</v>
      </c>
      <c r="X14" s="20">
        <f>X13*(Supply!X16+Supply!X17)</f>
        <v>23.659102367750954</v>
      </c>
      <c r="Y14" s="20">
        <f>Y13*(Supply!Y16+Supply!Y17)</f>
        <v>24.430663061521017</v>
      </c>
      <c r="Z14" s="20">
        <f>Z13*(Supply!Z16+Supply!Z17)</f>
        <v>25.198383397848804</v>
      </c>
      <c r="AA14" s="20">
        <f>AA13*(Supply!AA16+Supply!AA17)</f>
        <v>25.96183590474072</v>
      </c>
      <c r="AB14" s="20">
        <f>AB13*(Supply!AB16+Supply!AB17)</f>
        <v>26.720601835129401</v>
      </c>
      <c r="AC14" s="20">
        <f>AC13*(Supply!AC16+Supply!AC17)</f>
        <v>27.474271057933862</v>
      </c>
      <c r="AD14" s="20">
        <f>AD13*(Supply!AD16+Supply!AD17)</f>
        <v>28.222441950206012</v>
      </c>
      <c r="AE14" s="20">
        <f>AE13*(Supply!AE16+Supply!AE17)</f>
        <v>28.964721290353726</v>
      </c>
      <c r="AF14" s="20">
        <f>AF13*(Supply!AF16+Supply!AF17)</f>
        <v>29.700724152431338</v>
      </c>
      <c r="AG14" s="20">
        <f>AG13*(Supply!AG16+Supply!AG17)</f>
        <v>30.430073801488025</v>
      </c>
      <c r="AH14" s="20">
        <f>AH13*(Supply!AH16+Supply!AH17)</f>
        <v>31.152401589964995</v>
      </c>
    </row>
    <row r="15" spans="1:34" x14ac:dyDescent="0.2">
      <c r="A15" s="23" t="s">
        <v>22</v>
      </c>
      <c r="B15" s="14" t="s">
        <v>12</v>
      </c>
      <c r="C15" s="15" t="s">
        <v>23</v>
      </c>
      <c r="D15" s="24">
        <f>D9+D10+D11+D14</f>
        <v>4678.9553312964235</v>
      </c>
      <c r="E15" s="24">
        <f t="shared" ref="E15:AH15" si="0">E9+E10+E11+E14</f>
        <v>5111.4265458398277</v>
      </c>
      <c r="F15" s="24">
        <f t="shared" si="0"/>
        <v>5532.9579221040804</v>
      </c>
      <c r="G15" s="24">
        <f t="shared" si="0"/>
        <v>5943.7746843656887</v>
      </c>
      <c r="H15" s="24">
        <f t="shared" si="0"/>
        <v>6344.0984309872483</v>
      </c>
      <c r="I15" s="24">
        <f t="shared" si="0"/>
        <v>6734.1471948059689</v>
      </c>
      <c r="J15" s="24">
        <f t="shared" si="0"/>
        <v>7114.135502371545</v>
      </c>
      <c r="K15" s="24">
        <f t="shared" si="0"/>
        <v>7669.511932049898</v>
      </c>
      <c r="L15" s="24">
        <f t="shared" si="0"/>
        <v>8213.4216710088622</v>
      </c>
      <c r="M15" s="24">
        <f t="shared" si="0"/>
        <v>8746.069071101685</v>
      </c>
      <c r="N15" s="24">
        <f t="shared" si="0"/>
        <v>9267.655203663453</v>
      </c>
      <c r="O15" s="24">
        <f t="shared" si="0"/>
        <v>9778.3779132354302</v>
      </c>
      <c r="P15" s="24">
        <f t="shared" si="0"/>
        <v>10278.431870231649</v>
      </c>
      <c r="Q15" s="24">
        <f t="shared" si="0"/>
        <v>10768.00862256178</v>
      </c>
      <c r="R15" s="24">
        <f t="shared" si="0"/>
        <v>11247.296646223955</v>
      </c>
      <c r="S15" s="24">
        <f t="shared" si="0"/>
        <v>11716.481394880668</v>
      </c>
      <c r="T15" s="24">
        <f t="shared" si="0"/>
        <v>12175.745348430526</v>
      </c>
      <c r="U15" s="24">
        <f t="shared" si="0"/>
        <v>12449.155560588315</v>
      </c>
      <c r="V15" s="24">
        <f t="shared" si="0"/>
        <v>12714.826205485318</v>
      </c>
      <c r="W15" s="24">
        <f t="shared" si="0"/>
        <v>12972.931123301494</v>
      </c>
      <c r="X15" s="24">
        <f t="shared" si="0"/>
        <v>13223.641364940713</v>
      </c>
      <c r="Y15" s="24">
        <f t="shared" si="0"/>
        <v>13467.125235759897</v>
      </c>
      <c r="Z15" s="24">
        <f t="shared" si="0"/>
        <v>13703.548338362481</v>
      </c>
      <c r="AA15" s="24">
        <f t="shared" si="0"/>
        <v>13933.073614466184</v>
      </c>
      <c r="AB15" s="24">
        <f t="shared" si="0"/>
        <v>14155.861385854929</v>
      </c>
      <c r="AC15" s="24">
        <f t="shared" si="0"/>
        <v>14372.069394423987</v>
      </c>
      <c r="AD15" s="24">
        <f t="shared" si="0"/>
        <v>14581.852841327434</v>
      </c>
      <c r="AE15" s="24">
        <f t="shared" si="0"/>
        <v>14785.364425236379</v>
      </c>
      <c r="AF15" s="24">
        <f t="shared" si="0"/>
        <v>14982.75437971616</v>
      </c>
      <c r="AG15" s="24">
        <f t="shared" si="0"/>
        <v>15174.170509730295</v>
      </c>
      <c r="AH15" s="24">
        <f t="shared" si="0"/>
        <v>15359.758227278651</v>
      </c>
    </row>
    <row r="16" spans="1:34" ht="15" customHeight="1" x14ac:dyDescent="0.2">
      <c r="A16" s="23" t="s">
        <v>22</v>
      </c>
      <c r="B16" s="14" t="s">
        <v>24</v>
      </c>
      <c r="C16" s="15" t="s">
        <v>25</v>
      </c>
      <c r="D16" s="31">
        <f t="shared" ref="D16:AH16" si="1">D15/1000</f>
        <v>4.6789553312964234</v>
      </c>
      <c r="E16" s="31">
        <f t="shared" si="1"/>
        <v>5.1114265458398274</v>
      </c>
      <c r="F16" s="31">
        <f t="shared" si="1"/>
        <v>5.5329579221040808</v>
      </c>
      <c r="G16" s="31">
        <f t="shared" si="1"/>
        <v>5.9437746843656889</v>
      </c>
      <c r="H16" s="31">
        <f t="shared" si="1"/>
        <v>6.3440984309872483</v>
      </c>
      <c r="I16" s="31">
        <f t="shared" si="1"/>
        <v>6.7341471948059688</v>
      </c>
      <c r="J16" s="31">
        <f t="shared" si="1"/>
        <v>7.1141355023715453</v>
      </c>
      <c r="K16" s="31">
        <f t="shared" si="1"/>
        <v>7.6695119320498977</v>
      </c>
      <c r="L16" s="31">
        <f t="shared" si="1"/>
        <v>8.213421671008863</v>
      </c>
      <c r="M16" s="31">
        <f t="shared" si="1"/>
        <v>8.7460690711016849</v>
      </c>
      <c r="N16" s="31">
        <f t="shared" si="1"/>
        <v>9.2676552036634536</v>
      </c>
      <c r="O16" s="31">
        <f t="shared" si="1"/>
        <v>9.7783779132354294</v>
      </c>
      <c r="P16" s="31">
        <f t="shared" si="1"/>
        <v>10.278431870231648</v>
      </c>
      <c r="Q16" s="31">
        <f t="shared" si="1"/>
        <v>10.76800862256178</v>
      </c>
      <c r="R16" s="31">
        <f t="shared" si="1"/>
        <v>11.247296646223955</v>
      </c>
      <c r="S16" s="31">
        <f t="shared" si="1"/>
        <v>11.716481394880669</v>
      </c>
      <c r="T16" s="31">
        <f t="shared" si="1"/>
        <v>12.175745348430526</v>
      </c>
      <c r="U16" s="31">
        <f t="shared" si="1"/>
        <v>12.449155560588315</v>
      </c>
      <c r="V16" s="31">
        <f t="shared" si="1"/>
        <v>12.714826205485318</v>
      </c>
      <c r="W16" s="31">
        <f t="shared" si="1"/>
        <v>12.972931123301494</v>
      </c>
      <c r="X16" s="31">
        <f t="shared" si="1"/>
        <v>13.223641364940713</v>
      </c>
      <c r="Y16" s="31">
        <f t="shared" si="1"/>
        <v>13.467125235759896</v>
      </c>
      <c r="Z16" s="31">
        <f t="shared" si="1"/>
        <v>13.703548338362481</v>
      </c>
      <c r="AA16" s="31">
        <f t="shared" si="1"/>
        <v>13.933073614466185</v>
      </c>
      <c r="AB16" s="31">
        <f t="shared" si="1"/>
        <v>14.155861385854928</v>
      </c>
      <c r="AC16" s="31">
        <f t="shared" si="1"/>
        <v>14.372069394423987</v>
      </c>
      <c r="AD16" s="31">
        <f t="shared" si="1"/>
        <v>14.581852841327434</v>
      </c>
      <c r="AE16" s="31">
        <f t="shared" si="1"/>
        <v>14.785364425236379</v>
      </c>
      <c r="AF16" s="31">
        <f t="shared" si="1"/>
        <v>14.982754379716159</v>
      </c>
      <c r="AG16" s="31">
        <f t="shared" si="1"/>
        <v>15.174170509730295</v>
      </c>
      <c r="AH16" s="31">
        <f t="shared" si="1"/>
        <v>15.35975822727865</v>
      </c>
    </row>
    <row r="17" spans="1:35" ht="15" customHeight="1" x14ac:dyDescent="0.2">
      <c r="A17" s="23"/>
      <c r="B17" s="57" t="s">
        <v>26</v>
      </c>
      <c r="C17" s="58" t="s">
        <v>27</v>
      </c>
      <c r="D17" s="31">
        <f>+D15*Inputs!$B$64</f>
        <v>16.844239192667125</v>
      </c>
      <c r="E17" s="31">
        <f>+E15*Inputs!$B$64</f>
        <v>18.401135565023377</v>
      </c>
      <c r="F17" s="31">
        <f>+F15*Inputs!$B$64</f>
        <v>19.918648519574688</v>
      </c>
      <c r="G17" s="31">
        <f>+G15*Inputs!$B$64</f>
        <v>21.397588863716479</v>
      </c>
      <c r="H17" s="31">
        <f>+H15*Inputs!$B$64</f>
        <v>22.838754351554094</v>
      </c>
      <c r="I17" s="31">
        <f>+I15*Inputs!$B$64</f>
        <v>24.242929901301487</v>
      </c>
      <c r="J17" s="31">
        <f>+J15*Inputs!$B$64</f>
        <v>25.610887808537562</v>
      </c>
      <c r="K17" s="31">
        <f>+K15*Inputs!$B$64</f>
        <v>27.610242955379633</v>
      </c>
      <c r="L17" s="31">
        <f>+L15*Inputs!$B$64</f>
        <v>29.568318015631903</v>
      </c>
      <c r="M17" s="31">
        <f>+M15*Inputs!$B$64</f>
        <v>31.485848655966066</v>
      </c>
      <c r="N17" s="31">
        <f>+N15*Inputs!$B$64</f>
        <v>33.363558733188427</v>
      </c>
      <c r="O17" s="31">
        <f>+O15*Inputs!$B$64</f>
        <v>35.202160487647546</v>
      </c>
      <c r="P17" s="31">
        <f>+P15*Inputs!$B$64</f>
        <v>37.002354732833936</v>
      </c>
      <c r="Q17" s="31">
        <f>+Q15*Inputs!$B$64</f>
        <v>38.764831041222408</v>
      </c>
      <c r="R17" s="31">
        <f>+R15*Inputs!$B$64</f>
        <v>40.490267926406233</v>
      </c>
      <c r="S17" s="31">
        <f>+S15*Inputs!$B$64</f>
        <v>42.1793330215704</v>
      </c>
      <c r="T17" s="31">
        <f>+T15*Inputs!$B$64</f>
        <v>43.832683254349895</v>
      </c>
      <c r="U17" s="31">
        <f>+U15*Inputs!$B$64</f>
        <v>44.816960018117932</v>
      </c>
      <c r="V17" s="31">
        <f>+V15*Inputs!$B$64</f>
        <v>45.773374339747143</v>
      </c>
      <c r="W17" s="31">
        <f>+W15*Inputs!$B$64</f>
        <v>46.702552043885376</v>
      </c>
      <c r="X17" s="31">
        <f>+X15*Inputs!$B$64</f>
        <v>47.605108913786566</v>
      </c>
      <c r="Y17" s="31">
        <f>+Y15*Inputs!$B$64</f>
        <v>48.481650848735626</v>
      </c>
      <c r="Z17" s="31">
        <f>+Z15*Inputs!$B$64</f>
        <v>49.332774018104935</v>
      </c>
      <c r="AA17" s="31">
        <f>+AA15*Inputs!$B$64</f>
        <v>50.159065012078258</v>
      </c>
      <c r="AB17" s="31">
        <f>+AB15*Inputs!$B$64</f>
        <v>50.961100989077742</v>
      </c>
      <c r="AC17" s="31">
        <f>+AC15*Inputs!$B$64</f>
        <v>51.73944981992635</v>
      </c>
      <c r="AD17" s="31">
        <f>+AD15*Inputs!$B$64</f>
        <v>52.494670228778759</v>
      </c>
      <c r="AE17" s="31">
        <f>+AE15*Inputs!$B$64</f>
        <v>53.227311930850966</v>
      </c>
      <c r="AF17" s="31">
        <f>+AF15*Inputs!$B$64</f>
        <v>53.937915766978172</v>
      </c>
      <c r="AG17" s="31">
        <f>+AG15*Inputs!$B$64</f>
        <v>54.627013835029061</v>
      </c>
      <c r="AH17" s="31">
        <f>+AH15*Inputs!$B$64</f>
        <v>55.295129618203141</v>
      </c>
    </row>
    <row r="18" spans="1:35" ht="15" customHeight="1" x14ac:dyDescent="0.2">
      <c r="A18" s="23"/>
      <c r="B18" s="14"/>
      <c r="C18" s="15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5" ht="15" customHeight="1" x14ac:dyDescent="0.2">
      <c r="A19" s="62" t="s">
        <v>28</v>
      </c>
      <c r="B19" s="57" t="s">
        <v>26</v>
      </c>
      <c r="C19" s="61" t="s">
        <v>29</v>
      </c>
      <c r="D19" s="63">
        <f>+(D9+D10+(D11-D12)+D14)*Inputs!$B$64</f>
        <v>16.844239192667125</v>
      </c>
      <c r="E19" s="63">
        <f>+(E9+E10+(E11-E12)+E14)*Inputs!$B$64</f>
        <v>18.401135565023377</v>
      </c>
      <c r="F19" s="63">
        <f>+(F9+F10+(F11-F12)+F14)*Inputs!$B$64</f>
        <v>19.918648519574688</v>
      </c>
      <c r="G19" s="63">
        <f>+(G9+G10+(G11-G12)+G14)*Inputs!$B$64</f>
        <v>21.397588863716479</v>
      </c>
      <c r="H19" s="63">
        <f>+(H9+H10+(H11-H12)+H14)*Inputs!$B$64</f>
        <v>22.838754351554094</v>
      </c>
      <c r="I19" s="63">
        <f>+(I9+I10+(I11-I12)+I14)*Inputs!$B$64</f>
        <v>24.242929901301487</v>
      </c>
      <c r="J19" s="63">
        <f>+(J9+J10+(J11-J12)+J14)*Inputs!$B$64</f>
        <v>25.610887808537562</v>
      </c>
      <c r="K19" s="63">
        <f>+(K9+K10+(K11-K12)+K14)*Inputs!$B$64</f>
        <v>27.040758770922118</v>
      </c>
      <c r="L19" s="63">
        <f>+(L9+L10+(L11-L12)+L14)*Inputs!$B$64</f>
        <v>28.34281710972774</v>
      </c>
      <c r="M19" s="63">
        <f>+(M9+M10+(M11-M12)+M14)*Inputs!$B$64</f>
        <v>29.610768817745932</v>
      </c>
      <c r="N19" s="63">
        <f>+(N9+N10+(N11-N12)+N14)*Inputs!$B$64</f>
        <v>30.845332685446365</v>
      </c>
      <c r="O19" s="63">
        <f>+(O9+O10+(O11-O12)+O14)*Inputs!$B$64</f>
        <v>32.047216149981949</v>
      </c>
      <c r="P19" s="63">
        <f>+(P9+P10+(P11-P12)+P14)*Inputs!$B$64</f>
        <v>33.217115479628198</v>
      </c>
      <c r="Q19" s="63">
        <f>+(Q9+Q10+(Q11-Q12)+Q14)*Inputs!$B$64</f>
        <v>34.355715954535256</v>
      </c>
      <c r="R19" s="63">
        <f>+(R9+R10+(R11-R12)+R14)*Inputs!$B$64</f>
        <v>35.46369204384083</v>
      </c>
      <c r="S19" s="63">
        <f>+(S9+S10+(S11-S12)+S14)*Inputs!$B$64</f>
        <v>36.541707579190692</v>
      </c>
      <c r="T19" s="63">
        <f>+(T9+T10+(T11-T12)+T14)*Inputs!$B$64</f>
        <v>37.590415924711891</v>
      </c>
      <c r="U19" s="63">
        <f>+(U9+U10+(U11-U12)+U14)*Inputs!$B$64</f>
        <v>38.610460143482797</v>
      </c>
      <c r="V19" s="63">
        <f>+(V9+V10+(V11-V12)+V14)*Inputs!$B$64</f>
        <v>39.602473160542239</v>
      </c>
      <c r="W19" s="63">
        <f>+(W9+W10+(W11-W12)+W14)*Inputs!$B$64</f>
        <v>40.567077922478795</v>
      </c>
      <c r="X19" s="63">
        <f>+(X9+X10+(X11-X12)+X14)*Inputs!$B$64</f>
        <v>41.504887553639712</v>
      </c>
      <c r="Y19" s="63">
        <f>+(Y9+Y10+(Y11-Y12)+Y14)*Inputs!$B$64</f>
        <v>42.416505508998</v>
      </c>
      <c r="Z19" s="63">
        <f>+(Z9+Z10+(Z11-Z12)+Z14)*Inputs!$B$64</f>
        <v>43.302525723714304</v>
      </c>
      <c r="AA19" s="63">
        <f>+(AA9+AA10+(AA11-AA12)+AA14)*Inputs!$B$64</f>
        <v>44.16353275942874</v>
      </c>
      <c r="AB19" s="63">
        <f>+(AB9+AB10+(AB11-AB12)+AB14)*Inputs!$B$64</f>
        <v>45.000101947317766</v>
      </c>
      <c r="AC19" s="63">
        <f>+(AC9+AC10+(AC11-AC12)+AC14)*Inputs!$B$64</f>
        <v>45.812799527947618</v>
      </c>
      <c r="AD19" s="63">
        <f>+(AD9+AD10+(AD11-AD12)+AD14)*Inputs!$B$64</f>
        <v>46.602182787956707</v>
      </c>
      <c r="AE19" s="63">
        <f>+(AE9+AE10+(AE11-AE12)+AE14)*Inputs!$B$64</f>
        <v>47.368800193596506</v>
      </c>
      <c r="AF19" s="63">
        <f>+(AF9+AF10+(AF11-AF12)+AF14)*Inputs!$B$64</f>
        <v>48.113191521159933</v>
      </c>
      <c r="AG19" s="63">
        <f>+(AG9+AG10+(AG11-AG12)+AG14)*Inputs!$B$64</f>
        <v>48.835887984324444</v>
      </c>
      <c r="AH19" s="63">
        <f>+(AH9+AH10+(AH11-AH12)+AH14)*Inputs!$B$64</f>
        <v>49.5374123584362</v>
      </c>
    </row>
    <row r="20" spans="1:35" ht="15" customHeight="1" x14ac:dyDescent="0.2">
      <c r="A20" s="62" t="s">
        <v>30</v>
      </c>
      <c r="B20" s="57" t="s">
        <v>26</v>
      </c>
      <c r="C20" s="61" t="s">
        <v>31</v>
      </c>
      <c r="D20" s="63">
        <f>+(D9+D10+D11+D14)*Inputs!$B$64</f>
        <v>16.844239192667125</v>
      </c>
      <c r="E20" s="63">
        <f>+(E9+E10+E11+E14)*Inputs!$B$64</f>
        <v>18.401135565023377</v>
      </c>
      <c r="F20" s="63">
        <f>+(F9+F10+F11+F14)*Inputs!$B$64</f>
        <v>19.918648519574688</v>
      </c>
      <c r="G20" s="63">
        <f>+(G9+G10+G11+G14)*Inputs!$B$64</f>
        <v>21.397588863716479</v>
      </c>
      <c r="H20" s="63">
        <f>+(H9+H10+H11+H14)*Inputs!$B$64</f>
        <v>22.838754351554094</v>
      </c>
      <c r="I20" s="63">
        <f>+(I9+I10+I11+I14)*Inputs!$B$64</f>
        <v>24.242929901301487</v>
      </c>
      <c r="J20" s="63">
        <f>+(J9+J10+J11+J14)*Inputs!$B$64</f>
        <v>25.610887808537562</v>
      </c>
      <c r="K20" s="63">
        <f>+(K9+K10+K11+K14)*Inputs!$B$64</f>
        <v>27.610242955379633</v>
      </c>
      <c r="L20" s="63">
        <f>+(L9+L10+L11+L14)*Inputs!$B$64</f>
        <v>29.568318015631903</v>
      </c>
      <c r="M20" s="63">
        <f>+(M9+M10+M11+M14)*Inputs!$B$64</f>
        <v>31.485848655966066</v>
      </c>
      <c r="N20" s="63">
        <f>+(N9+N10+N11+N14)*Inputs!$B$64</f>
        <v>33.363558733188427</v>
      </c>
      <c r="O20" s="63">
        <f>+(O9+O10+O11+O14)*Inputs!$B$64</f>
        <v>35.202160487647546</v>
      </c>
      <c r="P20" s="63">
        <f>+(P9+P10+P11+P14)*Inputs!$B$64</f>
        <v>37.002354732833936</v>
      </c>
      <c r="Q20" s="63">
        <f>+(Q9+Q10+Q11+Q14)*Inputs!$B$64</f>
        <v>38.764831041222408</v>
      </c>
      <c r="R20" s="63">
        <f>+(R9+R10+R11+R14)*Inputs!$B$64</f>
        <v>40.490267926406233</v>
      </c>
      <c r="S20" s="63">
        <f>+(S9+S10+S11+S14)*Inputs!$B$64</f>
        <v>42.1793330215704</v>
      </c>
      <c r="T20" s="63">
        <f>+(T9+T10+T11+T14)*Inputs!$B$64</f>
        <v>43.832683254349895</v>
      </c>
      <c r="U20" s="63">
        <f>+(U9+U10+U11+U14)*Inputs!$B$64</f>
        <v>44.816960018117932</v>
      </c>
      <c r="V20" s="63">
        <f>+(V9+V10+V11+V14)*Inputs!$B$64</f>
        <v>45.773374339747143</v>
      </c>
      <c r="W20" s="63">
        <f>+(W9+W10+W11+W14)*Inputs!$B$64</f>
        <v>46.702552043885376</v>
      </c>
      <c r="X20" s="63">
        <f>+(X9+X10+X11+X14)*Inputs!$B$64</f>
        <v>47.605108913786566</v>
      </c>
      <c r="Y20" s="63">
        <f>+(Y9+Y10+Y11+Y14)*Inputs!$B$64</f>
        <v>48.481650848735626</v>
      </c>
      <c r="Z20" s="63">
        <f>+(Z9+Z10+Z11+Z14)*Inputs!$B$64</f>
        <v>49.332774018104935</v>
      </c>
      <c r="AA20" s="63">
        <f>+(AA9+AA10+AA11+AA14)*Inputs!$B$64</f>
        <v>50.159065012078258</v>
      </c>
      <c r="AB20" s="63">
        <f>+(AB9+AB10+AB11+AB14)*Inputs!$B$64</f>
        <v>50.961100989077742</v>
      </c>
      <c r="AC20" s="63">
        <f>+(AC9+AC10+AC11+AC14)*Inputs!$B$64</f>
        <v>51.73944981992635</v>
      </c>
      <c r="AD20" s="63">
        <f>+(AD9+AD10+AD11+AD14)*Inputs!$B$64</f>
        <v>52.494670228778759</v>
      </c>
      <c r="AE20" s="63">
        <f>+(AE9+AE10+AE11+AE14)*Inputs!$B$64</f>
        <v>53.227311930850966</v>
      </c>
      <c r="AF20" s="63">
        <f>+(AF9+AF10+AF11+AF14)*Inputs!$B$64</f>
        <v>53.937915766978172</v>
      </c>
      <c r="AG20" s="63">
        <f>+(AG9+AG10+AG11+AG14)*Inputs!$B$64</f>
        <v>54.627013835029061</v>
      </c>
      <c r="AH20" s="63">
        <f>+(AH9+AH10+AH11+AH14)*Inputs!$B$64</f>
        <v>55.295129618203141</v>
      </c>
      <c r="AI20" s="66"/>
    </row>
    <row r="21" spans="1:35" ht="15" customHeight="1" x14ac:dyDescent="0.2">
      <c r="A21" s="62" t="s">
        <v>32</v>
      </c>
      <c r="B21" s="57" t="s">
        <v>26</v>
      </c>
      <c r="C21" s="61" t="s">
        <v>31</v>
      </c>
      <c r="D21" s="63">
        <f>+(D9+D10+D11+D14)*Inputs!$B$64</f>
        <v>16.844239192667125</v>
      </c>
      <c r="E21" s="63">
        <f>+(E9+E10+E11+E14)*Inputs!$B$64</f>
        <v>18.401135565023377</v>
      </c>
      <c r="F21" s="63">
        <f>+(F9+F10+F11+F14)*Inputs!$B$64</f>
        <v>19.918648519574688</v>
      </c>
      <c r="G21" s="63">
        <f>+(G9+G10+G11+G14)*Inputs!$B$64</f>
        <v>21.397588863716479</v>
      </c>
      <c r="H21" s="63">
        <f>+(H9+H10+H11+H14)*Inputs!$B$64</f>
        <v>22.838754351554094</v>
      </c>
      <c r="I21" s="63">
        <f>+(I9+I10+I11+I14)*Inputs!$B$64</f>
        <v>24.242929901301487</v>
      </c>
      <c r="J21" s="63">
        <f>+(J9+J10+J11+J14)*Inputs!$B$64</f>
        <v>25.610887808537562</v>
      </c>
      <c r="K21" s="63">
        <f>+(K9+K10+K11+K14)*Inputs!$B$64</f>
        <v>27.610242955379633</v>
      </c>
      <c r="L21" s="63">
        <f>+(L9+L10+L11+L14)*Inputs!$B$64</f>
        <v>29.568318015631903</v>
      </c>
      <c r="M21" s="63">
        <f>+(M9+M10+M11+M14)*Inputs!$B$64</f>
        <v>31.485848655966066</v>
      </c>
      <c r="N21" s="63">
        <f>+(N9+N10+N11+N14)*Inputs!$B$64</f>
        <v>33.363558733188427</v>
      </c>
      <c r="O21" s="63">
        <f>+(O9+O10+O11+O14)*Inputs!$B$64</f>
        <v>35.202160487647546</v>
      </c>
      <c r="P21" s="63">
        <f>+(P9+P10+P11+P14)*Inputs!$B$64</f>
        <v>37.002354732833936</v>
      </c>
      <c r="Q21" s="63">
        <f>+(Q9+Q10+Q11+Q14)*Inputs!$B$64</f>
        <v>38.764831041222408</v>
      </c>
      <c r="R21" s="63">
        <f>+(R9+R10+R11+R14)*Inputs!$B$64</f>
        <v>40.490267926406233</v>
      </c>
      <c r="S21" s="63">
        <f>+(S9+S10+S11+S14)*Inputs!$B$64</f>
        <v>42.1793330215704</v>
      </c>
      <c r="T21" s="63">
        <f>+(T9+T10+T11+T14)*Inputs!$B$64</f>
        <v>43.832683254349895</v>
      </c>
      <c r="U21" s="63">
        <f>+(U9+U10+U11+U14)*Inputs!$B$64</f>
        <v>44.816960018117932</v>
      </c>
      <c r="V21" s="63">
        <f>+(V9+V10+V11+V14)*Inputs!$B$64</f>
        <v>45.773374339747143</v>
      </c>
      <c r="W21" s="63">
        <f>+(W9+W10+W11+W14)*Inputs!$B$64</f>
        <v>46.702552043885376</v>
      </c>
      <c r="X21" s="63">
        <f>+(X9+X10+X11+X14)*Inputs!$B$64</f>
        <v>47.605108913786566</v>
      </c>
      <c r="Y21" s="63">
        <f>+(Y9+Y10+Y11+Y14)*Inputs!$B$64</f>
        <v>48.481650848735626</v>
      </c>
      <c r="Z21" s="63">
        <f>+(Z9+Z10+Z11+Z14)*Inputs!$B$64</f>
        <v>49.332774018104935</v>
      </c>
      <c r="AA21" s="63">
        <f>+(AA9+AA10+AA11+AA14)*Inputs!$B$64</f>
        <v>50.159065012078258</v>
      </c>
      <c r="AB21" s="63">
        <f>+(AB9+AB10+AB11+AB14)*Inputs!$B$64</f>
        <v>50.961100989077742</v>
      </c>
      <c r="AC21" s="63">
        <f>+(AC9+AC10+AC11+AC14)*Inputs!$B$64</f>
        <v>51.73944981992635</v>
      </c>
      <c r="AD21" s="63">
        <f>+(AD9+AD10+AD11+AD14)*Inputs!$B$64</f>
        <v>52.494670228778759</v>
      </c>
      <c r="AE21" s="63">
        <f>+(AE9+AE10+AE11+AE14)*Inputs!$B$64</f>
        <v>53.227311930850966</v>
      </c>
      <c r="AF21" s="63">
        <f>+(AF9+AF10+AF11+AF14)*Inputs!$B$64</f>
        <v>53.937915766978172</v>
      </c>
      <c r="AG21" s="63">
        <f>+(AG9+AG10+AG11+AG14)*Inputs!$B$64</f>
        <v>54.627013835029061</v>
      </c>
      <c r="AH21" s="63">
        <f>+(AH9+AH10+AH11+AH14)*Inputs!$B$64</f>
        <v>55.295129618203141</v>
      </c>
    </row>
    <row r="22" spans="1:35" ht="15" customHeight="1" x14ac:dyDescent="0.2"/>
    <row r="23" spans="1:35" ht="15" customHeight="1" x14ac:dyDescent="0.2">
      <c r="A23" s="13" t="s">
        <v>33</v>
      </c>
      <c r="B23" s="14" t="s">
        <v>5</v>
      </c>
      <c r="C23" s="15" t="s">
        <v>34</v>
      </c>
      <c r="D23" s="32">
        <f>D15/Supply!D5</f>
        <v>0.94760080194922769</v>
      </c>
      <c r="E23" s="32">
        <f>E15/Supply!E5</f>
        <v>1.0224407917824077</v>
      </c>
      <c r="F23" s="32">
        <f>F15/Supply!F5</f>
        <v>1.093465162505936</v>
      </c>
      <c r="G23" s="32">
        <f>G15/Supply!G5</f>
        <v>1.1608817358418768</v>
      </c>
      <c r="H23" s="32">
        <f>H15/Supply!H5</f>
        <v>1.2248838139683027</v>
      </c>
      <c r="I23" s="32">
        <f>I15/Supply!I5</f>
        <v>1.2856514195119215</v>
      </c>
      <c r="J23" s="32">
        <f>J15/Supply!J5</f>
        <v>1.34335241064596</v>
      </c>
      <c r="K23" s="32">
        <f>K15/Supply!K5</f>
        <v>1.4182422267154833</v>
      </c>
      <c r="L23" s="32">
        <f>L15/Supply!L5</f>
        <v>1.4881950798510661</v>
      </c>
      <c r="M23" s="32">
        <f>M15/Supply!M5</f>
        <v>1.5535596519994881</v>
      </c>
      <c r="N23" s="32">
        <f>N15/Supply!N5</f>
        <v>1.6146531322160094</v>
      </c>
      <c r="O23" s="32">
        <f>O15/Supply!O5</f>
        <v>1.6717646852625638</v>
      </c>
      <c r="P23" s="32">
        <f>P15/Supply!P5</f>
        <v>1.7251584717649444</v>
      </c>
      <c r="Q23" s="32">
        <f>Q15/Supply!Q5</f>
        <v>1.7750762861410598</v>
      </c>
      <c r="R23" s="32">
        <f>R15/Supply!R5</f>
        <v>1.8217398675704242</v>
      </c>
      <c r="S23" s="32">
        <f>S15/Supply!S5</f>
        <v>1.8653529303261271</v>
      </c>
      <c r="T23" s="32">
        <f>T15/Supply!T5</f>
        <v>1.9061029524393971</v>
      </c>
      <c r="U23" s="32">
        <f>U15/Supply!U5</f>
        <v>1.9333431284597986</v>
      </c>
      <c r="V23" s="32">
        <f>V15/Supply!V5</f>
        <v>1.9591031304091588</v>
      </c>
      <c r="W23" s="32">
        <f>W15/Supply!W5</f>
        <v>1.9834440662508661</v>
      </c>
      <c r="X23" s="32">
        <f>X15/Supply!X5</f>
        <v>2.0064238424938341</v>
      </c>
      <c r="Y23" s="32">
        <f>Y15/Supply!Y5</f>
        <v>2.0280973682417702</v>
      </c>
      <c r="Z23" s="32">
        <f>Z15/Supply!Z5</f>
        <v>2.0485167438661285</v>
      </c>
      <c r="AA23" s="32">
        <f>AA15/Supply!AA5</f>
        <v>2.0677314356388101</v>
      </c>
      <c r="AB23" s="32">
        <f>AB15/Supply!AB5</f>
        <v>2.0857884375297369</v>
      </c>
      <c r="AC23" s="32">
        <f>AC15/Supply!AC5</f>
        <v>2.1027324212576799</v>
      </c>
      <c r="AD23" s="32">
        <f>AD15/Supply!AD5</f>
        <v>2.1186058755786275</v>
      </c>
      <c r="AE23" s="32">
        <f>AE15/Supply!AE5</f>
        <v>2.1334492357028925</v>
      </c>
      <c r="AF23" s="32">
        <f>AF15/Supply!AF5</f>
        <v>2.147301003648884</v>
      </c>
      <c r="AG23" s="32">
        <f>AG15/Supply!AG5</f>
        <v>2.1601978602668606</v>
      </c>
      <c r="AH23" s="32">
        <f>AH15/Supply!AH5</f>
        <v>2.1721747695989984</v>
      </c>
    </row>
    <row r="24" spans="1:35" x14ac:dyDescent="0.2">
      <c r="A24" s="13" t="s">
        <v>35</v>
      </c>
      <c r="B24" s="14" t="s">
        <v>36</v>
      </c>
      <c r="C24" s="15" t="s">
        <v>37</v>
      </c>
      <c r="D24" s="17">
        <f>D15*1000000/Demand!D5</f>
        <v>694.69382347547457</v>
      </c>
      <c r="E24" s="17">
        <f>E15*1000000/Demand!E5</f>
        <v>744.99736457346012</v>
      </c>
      <c r="F24" s="17">
        <f>F15*1000000/Demand!F5</f>
        <v>791.92472837821231</v>
      </c>
      <c r="G24" s="17">
        <f>G15*1000000/Demand!G5</f>
        <v>835.68661721939463</v>
      </c>
      <c r="H24" s="17">
        <f>H15*1000000/Demand!H5</f>
        <v>876.47859340455238</v>
      </c>
      <c r="I24" s="17">
        <f>I15*1000000/Demand!I5</f>
        <v>914.48237983554338</v>
      </c>
      <c r="J24" s="17">
        <f>J15*1000000/Demand!J5</f>
        <v>949.86702947649951</v>
      </c>
      <c r="K24" s="17">
        <f>K15*1000000/Demand!K5</f>
        <v>1007.1142550665238</v>
      </c>
      <c r="L24" s="17">
        <f>L15*1000000/Demand!L5</f>
        <v>1061.0206940743185</v>
      </c>
      <c r="M24" s="17">
        <f>M15*1000000/Demand!M5</f>
        <v>1111.7724948438793</v>
      </c>
      <c r="N24" s="17">
        <f>N15*1000000/Demand!N5</f>
        <v>1159.5436827746121</v>
      </c>
      <c r="O24" s="17">
        <f>O15*1000000/Demand!O5</f>
        <v>1204.4971056461213</v>
      </c>
      <c r="P24" s="17">
        <f>P15*1000000/Demand!P5</f>
        <v>1246.7852923158832</v>
      </c>
      <c r="Q24" s="17">
        <f>Q15*1000000/Demand!Q5</f>
        <v>1286.5512339001891</v>
      </c>
      <c r="R24" s="17">
        <f>R15*1000000/Demand!R5</f>
        <v>1323.9290954701037</v>
      </c>
      <c r="S24" s="17">
        <f>S15*1000000/Demand!S5</f>
        <v>1359.0448653571029</v>
      </c>
      <c r="T24" s="17">
        <f>T15*1000000/Demand!T5</f>
        <v>1392.0169483472171</v>
      </c>
      <c r="U24" s="17">
        <f>U15*1000000/Demand!U5</f>
        <v>1403.1075881303827</v>
      </c>
      <c r="V24" s="17">
        <f>V15*1000000/Demand!V5</f>
        <v>1413.0281986589573</v>
      </c>
      <c r="W24" s="17">
        <f>W15*1000000/Demand!W5</f>
        <v>1421.8461995828143</v>
      </c>
      <c r="X24" s="17">
        <f>X15*1000000/Demand!X5</f>
        <v>1429.6250435219022</v>
      </c>
      <c r="Y24" s="17">
        <f>Y15*1000000/Demand!Y5</f>
        <v>1436.4244867149994</v>
      </c>
      <c r="Z24" s="17">
        <f>Z15*1000000/Demand!Z5</f>
        <v>1442.3008380821316</v>
      </c>
      <c r="AA24" s="17">
        <f>AA15*1000000/Demand!AA5</f>
        <v>1447.3071886750379</v>
      </c>
      <c r="AB24" s="17">
        <f>AB15*1000000/Demand!AB5</f>
        <v>1451.4936232864397</v>
      </c>
      <c r="AC24" s="17">
        <f>AC15*1000000/Demand!AC5</f>
        <v>1454.9074158084957</v>
      </c>
      <c r="AD24" s="17">
        <f>AD15*1000000/Demand!AD5</f>
        <v>1457.5932097709344</v>
      </c>
      <c r="AE24" s="17">
        <f>AE15*1000000/Demand!AE5</f>
        <v>1459.5931853472678</v>
      </c>
      <c r="AF24" s="17">
        <f>AF15*1000000/Demand!AF5</f>
        <v>1460.9472139910938</v>
      </c>
      <c r="AG24" s="17">
        <f>AG15*1000000/Demand!AG5</f>
        <v>1461.6930017518923</v>
      </c>
      <c r="AH24" s="17">
        <f>AH15*1000000/Demand!AH5</f>
        <v>1461.8662222192174</v>
      </c>
    </row>
    <row r="25" spans="1:35" x14ac:dyDescent="0.2">
      <c r="A25" s="13" t="s">
        <v>38</v>
      </c>
      <c r="B25" s="14" t="s">
        <v>39</v>
      </c>
      <c r="C25" s="15"/>
      <c r="D25" s="28">
        <f t="shared" ref="D25:AH25" si="2">D11/D15</f>
        <v>0.38559750946113974</v>
      </c>
      <c r="E25" s="28">
        <f t="shared" si="2"/>
        <v>0.44076551079974474</v>
      </c>
      <c r="F25" s="28">
        <f t="shared" si="2"/>
        <v>0.48628060588179978</v>
      </c>
      <c r="G25" s="28">
        <f t="shared" si="2"/>
        <v>0.52446636624118526</v>
      </c>
      <c r="H25" s="28">
        <f t="shared" si="2"/>
        <v>0.55695601957247332</v>
      </c>
      <c r="I25" s="28">
        <f t="shared" si="2"/>
        <v>0.58493110694638606</v>
      </c>
      <c r="J25" s="28">
        <f t="shared" si="2"/>
        <v>0.60926753612699691</v>
      </c>
      <c r="K25" s="28">
        <f t="shared" si="2"/>
        <v>0.63954963435045553</v>
      </c>
      <c r="L25" s="28">
        <f t="shared" si="2"/>
        <v>0.66525560649548687</v>
      </c>
      <c r="M25" s="28">
        <f t="shared" si="2"/>
        <v>0.68734789333581225</v>
      </c>
      <c r="N25" s="28">
        <f t="shared" si="2"/>
        <v>0.70653673011389784</v>
      </c>
      <c r="O25" s="28">
        <f t="shared" si="2"/>
        <v>0.72335768015174451</v>
      </c>
      <c r="P25" s="28">
        <f t="shared" si="2"/>
        <v>0.73822222254703795</v>
      </c>
      <c r="Q25" s="28">
        <f t="shared" si="2"/>
        <v>0.75145172129598148</v>
      </c>
      <c r="R25" s="28">
        <f t="shared" si="2"/>
        <v>0.76330081448232201</v>
      </c>
      <c r="S25" s="28">
        <f t="shared" si="2"/>
        <v>0.77397387821726438</v>
      </c>
      <c r="T25" s="28">
        <f t="shared" si="2"/>
        <v>0.78363684505729969</v>
      </c>
      <c r="U25" s="28">
        <f t="shared" si="2"/>
        <v>0.78948938090051679</v>
      </c>
      <c r="V25" s="28">
        <f t="shared" si="2"/>
        <v>0.79495439868141782</v>
      </c>
      <c r="W25" s="28">
        <f t="shared" si="2"/>
        <v>0.80006831666519529</v>
      </c>
      <c r="X25" s="28">
        <f t="shared" si="2"/>
        <v>0.80486314077511867</v>
      </c>
      <c r="Y25" s="28">
        <f t="shared" si="2"/>
        <v>0.80936711400163164</v>
      </c>
      <c r="Z25" s="28">
        <f t="shared" si="2"/>
        <v>0.81360525441203579</v>
      </c>
      <c r="AA25" s="28">
        <f t="shared" si="2"/>
        <v>0.81759980343497984</v>
      </c>
      <c r="AB25" s="28">
        <f t="shared" si="2"/>
        <v>0.82137060140481699</v>
      </c>
      <c r="AC25" s="28">
        <f t="shared" si="2"/>
        <v>0.82493540377297025</v>
      </c>
      <c r="AD25" s="28">
        <f t="shared" si="2"/>
        <v>0.82831014864167429</v>
      </c>
      <c r="AE25" s="28">
        <f t="shared" si="2"/>
        <v>0.83150918414319042</v>
      </c>
      <c r="AF25" s="28">
        <f t="shared" si="2"/>
        <v>0.83454546252362327</v>
      </c>
      <c r="AG25" s="28">
        <f t="shared" si="2"/>
        <v>0.83743070648326667</v>
      </c>
      <c r="AH25" s="28">
        <f t="shared" si="2"/>
        <v>0.84017555229193441</v>
      </c>
    </row>
    <row r="27" spans="1:35" x14ac:dyDescent="0.2">
      <c r="A27" s="67" t="s">
        <v>40</v>
      </c>
    </row>
    <row r="28" spans="1:35" x14ac:dyDescent="0.2">
      <c r="A28" s="68" t="s">
        <v>41</v>
      </c>
      <c r="B28" s="71" t="s">
        <v>12</v>
      </c>
      <c r="C28" s="70" t="s">
        <v>42</v>
      </c>
      <c r="D28" s="72">
        <f>D9*Inputs!$B$60</f>
        <v>649.25</v>
      </c>
      <c r="E28" s="72">
        <f>E9*Inputs!$B$60</f>
        <v>649.10391874999993</v>
      </c>
      <c r="F28" s="72">
        <f>F9*Inputs!$B$60</f>
        <v>648.95787036828108</v>
      </c>
      <c r="G28" s="72">
        <f>G9*Inputs!$B$60</f>
        <v>648.8118548474481</v>
      </c>
      <c r="H28" s="72">
        <f>H9*Inputs!$B$60</f>
        <v>648.66587218010727</v>
      </c>
      <c r="I28" s="72">
        <f>I9*Inputs!$B$60</f>
        <v>648.51992235886667</v>
      </c>
      <c r="J28" s="72">
        <f>J9*Inputs!$B$60</f>
        <v>648.37400537633584</v>
      </c>
      <c r="K28" s="72">
        <f>K9*Inputs!$B$60</f>
        <v>648.22812122512619</v>
      </c>
      <c r="L28" s="72">
        <f>L9*Inputs!$B$60</f>
        <v>648.08226989785044</v>
      </c>
      <c r="M28" s="72">
        <f>M9*Inputs!$B$60</f>
        <v>647.93645138712327</v>
      </c>
      <c r="N28" s="72">
        <f>N9*Inputs!$B$60</f>
        <v>647.79066568556107</v>
      </c>
      <c r="O28" s="72">
        <f>O9*Inputs!$B$60</f>
        <v>647.6449127857818</v>
      </c>
      <c r="P28" s="72">
        <f>P9*Inputs!$B$60</f>
        <v>647.49919268040492</v>
      </c>
      <c r="Q28" s="72">
        <f>Q9*Inputs!$B$60</f>
        <v>647.35350536205181</v>
      </c>
      <c r="R28" s="72">
        <f>R9*Inputs!$B$60</f>
        <v>647.20785082334521</v>
      </c>
      <c r="S28" s="72">
        <f>S9*Inputs!$B$60</f>
        <v>647.0622290569097</v>
      </c>
      <c r="T28" s="72">
        <f>T9*Inputs!$B$60</f>
        <v>646.91664005537177</v>
      </c>
      <c r="U28" s="72">
        <f>U9*Inputs!$B$60</f>
        <v>646.77108381135929</v>
      </c>
      <c r="V28" s="72">
        <f>V9*Inputs!$B$60</f>
        <v>646.62556031750171</v>
      </c>
      <c r="W28" s="72">
        <f>W9*Inputs!$B$60</f>
        <v>646.48006956643019</v>
      </c>
      <c r="X28" s="72">
        <f>X9*Inputs!$B$60</f>
        <v>646.33461155077759</v>
      </c>
      <c r="Y28" s="72">
        <f>Y9*Inputs!$B$60</f>
        <v>646.18918626317873</v>
      </c>
      <c r="Z28" s="72">
        <f>Z9*Inputs!$B$60</f>
        <v>646.04379369626918</v>
      </c>
      <c r="AA28" s="72">
        <f>AA9*Inputs!$B$60</f>
        <v>645.89843384268761</v>
      </c>
      <c r="AB28" s="72">
        <f>AB9*Inputs!$B$60</f>
        <v>645.7531066950728</v>
      </c>
      <c r="AC28" s="72">
        <f>AC9*Inputs!$B$60</f>
        <v>645.60781224606649</v>
      </c>
      <c r="AD28" s="72">
        <f>AD9*Inputs!$B$60</f>
        <v>645.46255048831085</v>
      </c>
      <c r="AE28" s="72">
        <f>AE9*Inputs!$B$60</f>
        <v>645.31732141445104</v>
      </c>
      <c r="AF28" s="72">
        <f>AF9*Inputs!$B$60</f>
        <v>645.17212501713254</v>
      </c>
      <c r="AG28" s="72">
        <f>AG9*Inputs!$B$60</f>
        <v>645.02696128900368</v>
      </c>
      <c r="AH28" s="72">
        <f>AH9*Inputs!$B$60</f>
        <v>644.88183022271369</v>
      </c>
    </row>
    <row r="29" spans="1:35" x14ac:dyDescent="0.2">
      <c r="A29" s="68" t="s">
        <v>43</v>
      </c>
      <c r="B29" s="71" t="s">
        <v>44</v>
      </c>
      <c r="C29" s="70" t="s">
        <v>45</v>
      </c>
      <c r="D29" s="73">
        <f>Inputs!$B$61+(Inputs!$B$62-Inputs!$B$61)*(D$3-2020)/30</f>
        <v>0.95</v>
      </c>
      <c r="E29" s="74">
        <f>Inputs!$B$61+(Inputs!$B$62-Inputs!$B$61)*(E$3-2020)/30</f>
        <v>0.92166666666666663</v>
      </c>
      <c r="F29" s="74">
        <f>Inputs!$B$61+(Inputs!$B$62-Inputs!$B$61)*(F$3-2020)/30</f>
        <v>0.89333333333333331</v>
      </c>
      <c r="G29" s="74">
        <f>Inputs!$B$61+(Inputs!$B$62-Inputs!$B$61)*(G$3-2020)/30</f>
        <v>0.86499999999999999</v>
      </c>
      <c r="H29" s="74">
        <f>Inputs!$B$61+(Inputs!$B$62-Inputs!$B$61)*(H$3-2020)/30</f>
        <v>0.83666666666666667</v>
      </c>
      <c r="I29" s="74">
        <f>Inputs!$B$61+(Inputs!$B$62-Inputs!$B$61)*(I$3-2020)/30</f>
        <v>0.80833333333333335</v>
      </c>
      <c r="J29" s="74">
        <f>Inputs!$B$61+(Inputs!$B$62-Inputs!$B$61)*(J$3-2020)/30</f>
        <v>0.78</v>
      </c>
      <c r="K29" s="74">
        <f>Inputs!$B$61+(Inputs!$B$62-Inputs!$B$61)*(K$3-2020)/30</f>
        <v>0.75166666666666659</v>
      </c>
      <c r="L29" s="74">
        <f>Inputs!$B$61+(Inputs!$B$62-Inputs!$B$61)*(L$3-2020)/30</f>
        <v>0.72333333333333327</v>
      </c>
      <c r="M29" s="74">
        <f>Inputs!$B$61+(Inputs!$B$62-Inputs!$B$61)*(M$3-2020)/30</f>
        <v>0.69499999999999995</v>
      </c>
      <c r="N29" s="74">
        <f>Inputs!$B$61+(Inputs!$B$62-Inputs!$B$61)*(N$3-2020)/30</f>
        <v>0.66666666666666663</v>
      </c>
      <c r="O29" s="74">
        <f>Inputs!$B$61+(Inputs!$B$62-Inputs!$B$61)*(O$3-2020)/30</f>
        <v>0.63833333333333331</v>
      </c>
      <c r="P29" s="74">
        <f>Inputs!$B$61+(Inputs!$B$62-Inputs!$B$61)*(P$3-2020)/30</f>
        <v>0.61</v>
      </c>
      <c r="Q29" s="74">
        <f>Inputs!$B$61+(Inputs!$B$62-Inputs!$B$61)*(Q$3-2020)/30</f>
        <v>0.58166666666666667</v>
      </c>
      <c r="R29" s="74">
        <f>Inputs!$B$61+(Inputs!$B$62-Inputs!$B$61)*(R$3-2020)/30</f>
        <v>0.55333333333333323</v>
      </c>
      <c r="S29" s="74">
        <f>Inputs!$B$61+(Inputs!$B$62-Inputs!$B$61)*(S$3-2020)/30</f>
        <v>0.52499999999999991</v>
      </c>
      <c r="T29" s="74">
        <f>Inputs!$B$61+(Inputs!$B$62-Inputs!$B$61)*(T$3-2020)/30</f>
        <v>0.49666666666666665</v>
      </c>
      <c r="U29" s="74">
        <f>Inputs!$B$61+(Inputs!$B$62-Inputs!$B$61)*(U$3-2020)/30</f>
        <v>0.46833333333333332</v>
      </c>
      <c r="V29" s="74">
        <f>Inputs!$B$61+(Inputs!$B$62-Inputs!$B$61)*(V$3-2020)/30</f>
        <v>0.43999999999999995</v>
      </c>
      <c r="W29" s="74">
        <f>Inputs!$B$61+(Inputs!$B$62-Inputs!$B$61)*(W$3-2020)/30</f>
        <v>0.41166666666666663</v>
      </c>
      <c r="X29" s="74">
        <f>Inputs!$B$61+(Inputs!$B$62-Inputs!$B$61)*(X$3-2020)/30</f>
        <v>0.3833333333333333</v>
      </c>
      <c r="Y29" s="74">
        <f>Inputs!$B$61+(Inputs!$B$62-Inputs!$B$61)*(Y$3-2020)/30</f>
        <v>0.35499999999999998</v>
      </c>
      <c r="Z29" s="74">
        <f>Inputs!$B$61+(Inputs!$B$62-Inputs!$B$61)*(Z$3-2020)/30</f>
        <v>0.32666666666666666</v>
      </c>
      <c r="AA29" s="74">
        <f>Inputs!$B$61+(Inputs!$B$62-Inputs!$B$61)*(AA$3-2020)/30</f>
        <v>0.29833333333333323</v>
      </c>
      <c r="AB29" s="74">
        <f>Inputs!$B$61+(Inputs!$B$62-Inputs!$B$61)*(AB$3-2020)/30</f>
        <v>0.27</v>
      </c>
      <c r="AC29" s="74">
        <f>Inputs!$B$61+(Inputs!$B$62-Inputs!$B$61)*(AC$3-2020)/30</f>
        <v>0.24166666666666659</v>
      </c>
      <c r="AD29" s="74">
        <f>Inputs!$B$61+(Inputs!$B$62-Inputs!$B$61)*(AD$3-2020)/30</f>
        <v>0.21333333333333337</v>
      </c>
      <c r="AE29" s="74">
        <f>Inputs!$B$61+(Inputs!$B$62-Inputs!$B$61)*(AE$3-2020)/30</f>
        <v>0.18499999999999994</v>
      </c>
      <c r="AF29" s="74">
        <f>Inputs!$B$61+(Inputs!$B$62-Inputs!$B$61)*(AF$3-2020)/30</f>
        <v>0.15666666666666662</v>
      </c>
      <c r="AG29" s="74">
        <f>Inputs!$B$61+(Inputs!$B$62-Inputs!$B$61)*(AG$3-2020)/30</f>
        <v>0.1283333333333333</v>
      </c>
      <c r="AH29" s="74">
        <f>Inputs!$B$61+(Inputs!$B$62-Inputs!$B$61)*(AH$3-2020)/30</f>
        <v>9.9999999999999978E-2</v>
      </c>
    </row>
    <row r="30" spans="1:35" x14ac:dyDescent="0.2">
      <c r="A30" s="68" t="s">
        <v>46</v>
      </c>
      <c r="B30" s="71" t="s">
        <v>5</v>
      </c>
      <c r="C30" s="70" t="s">
        <v>47</v>
      </c>
      <c r="D30" s="75">
        <f>(1-D29)*D7+D29*Inputs!$B$63</f>
        <v>14.425000000000001</v>
      </c>
      <c r="E30" s="75">
        <f>(1-E29)*E7+E29*Inputs!$B$63</f>
        <v>14.097861111111111</v>
      </c>
      <c r="F30" s="75">
        <f>(1-F29)*F7+F29*Inputs!$B$63</f>
        <v>13.769777777777778</v>
      </c>
      <c r="G30" s="75">
        <f>(1-G29)*G7+G29*Inputs!$B$63</f>
        <v>13.44075</v>
      </c>
      <c r="H30" s="75">
        <f>(1-H29)*H7+H29*Inputs!$B$63</f>
        <v>13.110777777777779</v>
      </c>
      <c r="I30" s="75">
        <f>(1-I29)*I7+I29*Inputs!$B$63</f>
        <v>12.779861111111112</v>
      </c>
      <c r="J30" s="75">
        <f>(1-J29)*J7+J29*Inputs!$B$63</f>
        <v>12.448</v>
      </c>
      <c r="K30" s="75">
        <f>(1-K29)*K7+K29*Inputs!$B$63</f>
        <v>12.115194444444443</v>
      </c>
      <c r="L30" s="75">
        <f>(1-L29)*L7+L29*Inputs!$B$63</f>
        <v>11.781444444444444</v>
      </c>
      <c r="M30" s="75">
        <f>(1-M29)*M7+M29*Inputs!$B$63</f>
        <v>11.44675</v>
      </c>
      <c r="N30" s="75">
        <f>(1-N29)*N7+N29*Inputs!$B$63</f>
        <v>11.111111111111111</v>
      </c>
      <c r="O30" s="75">
        <f>(1-O29)*O7+O29*Inputs!$B$63</f>
        <v>10.774527777777777</v>
      </c>
      <c r="P30" s="75">
        <f>(1-P29)*P7+P29*Inputs!$B$63</f>
        <v>10.437000000000001</v>
      </c>
      <c r="Q30" s="75">
        <f>(1-Q29)*Q7+Q29*Inputs!$B$63</f>
        <v>10.098527777777777</v>
      </c>
      <c r="R30" s="75">
        <f>(1-R29)*R7+R29*Inputs!$B$63</f>
        <v>9.7591111111111104</v>
      </c>
      <c r="S30" s="75">
        <f>(1-S29)*S7+S29*Inputs!$B$63</f>
        <v>9.4187499999999993</v>
      </c>
      <c r="T30" s="75">
        <f>(1-T29)*T7+T29*Inputs!$B$63</f>
        <v>9.0774444444444438</v>
      </c>
      <c r="U30" s="75">
        <f>(1-U29)*U7+U29*Inputs!$B$63</f>
        <v>8.7351944444444438</v>
      </c>
      <c r="V30" s="75">
        <f>(1-V29)*V7+V29*Inputs!$B$63</f>
        <v>8.3919999999999995</v>
      </c>
      <c r="W30" s="75">
        <f>(1-W29)*W7+W29*Inputs!$B$63</f>
        <v>8.0478611111111107</v>
      </c>
      <c r="X30" s="75">
        <f>(1-X29)*X7+X29*Inputs!$B$63</f>
        <v>7.7027777777777775</v>
      </c>
      <c r="Y30" s="75">
        <f>(1-Y29)*Y7+Y29*Inputs!$B$63</f>
        <v>7.3567499999999999</v>
      </c>
      <c r="Z30" s="75">
        <f>(1-Z29)*Z7+Z29*Inputs!$B$63</f>
        <v>7.0097777777777779</v>
      </c>
      <c r="AA30" s="75">
        <f>(1-AA29)*AA7+AA29*Inputs!$B$63</f>
        <v>6.6618611111111097</v>
      </c>
      <c r="AB30" s="75">
        <f>(1-AB29)*AB7+AB29*Inputs!$B$63</f>
        <v>6.3130000000000006</v>
      </c>
      <c r="AC30" s="75">
        <f>(1-AC29)*AC7+AC29*Inputs!$B$63</f>
        <v>5.9631944444444436</v>
      </c>
      <c r="AD30" s="75">
        <f>(1-AD29)*AD7+AD29*Inputs!$B$63</f>
        <v>5.6124444444444448</v>
      </c>
      <c r="AE30" s="75">
        <f>(1-AE29)*AE7+AE29*Inputs!$B$63</f>
        <v>5.2607499999999989</v>
      </c>
      <c r="AF30" s="75">
        <f>(1-AF29)*AF7+AF29*Inputs!$B$63</f>
        <v>4.9081111111111104</v>
      </c>
      <c r="AG30" s="75">
        <f>(1-AG29)*AG7+AG29*Inputs!$B$63</f>
        <v>4.5545277777777766</v>
      </c>
      <c r="AH30" s="75">
        <f>(1-AH29)*AH7+AH29*Inputs!$B$63</f>
        <v>4.1999999999999993</v>
      </c>
    </row>
    <row r="31" spans="1:35" x14ac:dyDescent="0.2">
      <c r="A31" s="68" t="s">
        <v>48</v>
      </c>
      <c r="B31" s="71" t="s">
        <v>12</v>
      </c>
      <c r="C31" s="70" t="s">
        <v>49</v>
      </c>
      <c r="D31" s="72">
        <f>D30*Supply!D29</f>
        <v>7435.8547325446707</v>
      </c>
      <c r="E31" s="72">
        <f>E30*Supply!E29</f>
        <v>9118.1749427545601</v>
      </c>
      <c r="F31" s="72">
        <f>F30*Supply!F29</f>
        <v>10687.082537013504</v>
      </c>
      <c r="G31" s="72">
        <f>G30*Supply!G29</f>
        <v>12144.632805533562</v>
      </c>
      <c r="H31" s="72">
        <f>H30*Supply!H29</f>
        <v>13492.837845197697</v>
      </c>
      <c r="I31" s="72">
        <f>I30*Supply!I29</f>
        <v>14733.666873918233</v>
      </c>
      <c r="J31" s="72">
        <f>J30*Supply!J29</f>
        <v>15869.046529695665</v>
      </c>
      <c r="K31" s="72">
        <f>K30*Supply!K29</f>
        <v>17564.168050181466</v>
      </c>
      <c r="L31" s="72">
        <f>L30*Supply!L29</f>
        <v>19121.021228541864</v>
      </c>
      <c r="M31" s="72">
        <f>M30*Supply!M29</f>
        <v>20541.251478913153</v>
      </c>
      <c r="N31" s="72">
        <f>N30*Supply!N29</f>
        <v>21826.462678064752</v>
      </c>
      <c r="O31" s="72">
        <f>O30*Supply!O29</f>
        <v>22978.217387379958</v>
      </c>
      <c r="P31" s="72">
        <f>P30*Supply!P29</f>
        <v>23998.037059256505</v>
      </c>
      <c r="Q31" s="72">
        <f>Q30*Supply!Q29</f>
        <v>24887.40222785584</v>
      </c>
      <c r="R31" s="72">
        <f>R30*Supply!R29</f>
        <v>25647.752684122675</v>
      </c>
      <c r="S31" s="72">
        <f>S30*Supply!S29</f>
        <v>26280.487634988676</v>
      </c>
      <c r="T31" s="72">
        <f>T30*Supply!T29</f>
        <v>26786.965846667103</v>
      </c>
      <c r="U31" s="72">
        <f>U30*Supply!U29</f>
        <v>26690.253876104547</v>
      </c>
      <c r="V31" s="72">
        <f>V30*Supply!V29</f>
        <v>26507.461661314523</v>
      </c>
      <c r="W31" s="72">
        <f>W30*Supply!W29</f>
        <v>26239.982470477131</v>
      </c>
      <c r="X31" s="72">
        <f>X30*Supply!X29</f>
        <v>25889.169543014206</v>
      </c>
      <c r="Y31" s="72">
        <f>Y30*Supply!Y29</f>
        <v>25456.336151675212</v>
      </c>
      <c r="Z31" s="72">
        <f>Z30*Supply!Z29</f>
        <v>24942.755647994229</v>
      </c>
      <c r="AA31" s="72">
        <f>AA30*Supply!AA29</f>
        <v>24349.661490970215</v>
      </c>
      <c r="AB31" s="72">
        <f>AB30*Supply!AB29</f>
        <v>23678.247258815143</v>
      </c>
      <c r="AC31" s="72">
        <f>AC30*Supply!AC29</f>
        <v>22929.666643605295</v>
      </c>
      <c r="AD31" s="72">
        <f>AD30*Supply!AD29</f>
        <v>22105.033428663646</v>
      </c>
      <c r="AE31" s="72">
        <f>AE30*Supply!AE29</f>
        <v>21205.421448491808</v>
      </c>
      <c r="AF31" s="72">
        <f>AF30*Supply!AF29</f>
        <v>20231.864531062074</v>
      </c>
      <c r="AG31" s="72">
        <f>AG30*Supply!AG29</f>
        <v>19185.356422270557</v>
      </c>
      <c r="AH31" s="72">
        <f>AH30*Supply!AH29</f>
        <v>18066.850692344189</v>
      </c>
    </row>
    <row r="32" spans="1:35" x14ac:dyDescent="0.2">
      <c r="A32" s="68" t="s">
        <v>50</v>
      </c>
      <c r="B32" s="71" t="s">
        <v>26</v>
      </c>
      <c r="C32" s="70" t="s">
        <v>51</v>
      </c>
      <c r="D32" s="76">
        <f>(D28+D10+D31+D14)*Inputs!$B$64</f>
        <v>35.045519548367771</v>
      </c>
      <c r="E32" s="76">
        <f>(E28+E10+E31+E14)*Inputs!$B$64</f>
        <v>41.043745799826915</v>
      </c>
      <c r="F32" s="76">
        <f>(F28+F10+F31+F14)*Inputs!$B$64</f>
        <v>46.63432579244747</v>
      </c>
      <c r="G32" s="76">
        <f>(G28+G10+G31+G14)*Inputs!$B$64</f>
        <v>51.824650043693367</v>
      </c>
      <c r="H32" s="76">
        <f>(H28+H10+H31+H14)*Inputs!$B$64</f>
        <v>56.621953679142536</v>
      </c>
      <c r="I32" s="76">
        <f>(I28+I10+I31+I14)*Inputs!$B$64</f>
        <v>61.033317563046886</v>
      </c>
      <c r="J32" s="76">
        <f>(J28+J10+J31+J14)*Inputs!$B$64</f>
        <v>65.065669373824875</v>
      </c>
      <c r="K32" s="76">
        <f>(K28+K10+K31+K14)*Inputs!$B$64</f>
        <v>71.113689449379578</v>
      </c>
      <c r="L32" s="76">
        <f>(L28+L10+L31+L14)*Inputs!$B$64</f>
        <v>76.664533027111489</v>
      </c>
      <c r="M32" s="76">
        <f>(M28+M10+M31+M14)*Inputs!$B$64</f>
        <v>81.724115678471705</v>
      </c>
      <c r="N32" s="76">
        <f>(N28+N10+N31+N14)*Inputs!$B$64</f>
        <v>86.298203537873917</v>
      </c>
      <c r="O32" s="76">
        <f>(O28+O10+O31+O14)*Inputs!$B$64</f>
        <v>90.392414100761002</v>
      </c>
      <c r="P32" s="76">
        <f>(P28+P10+P31+P14)*Inputs!$B$64</f>
        <v>94.012216965593325</v>
      </c>
      <c r="Q32" s="76">
        <f>(Q28+Q10+Q31+Q14)*Inputs!$B$64</f>
        <v>97.16293451950331</v>
      </c>
      <c r="R32" s="76">
        <f>(R28+R10+R31+R14)*Inputs!$B$64</f>
        <v>99.849742567333223</v>
      </c>
      <c r="S32" s="76">
        <f>(S28+S10+S31+S14)*Inputs!$B$64</f>
        <v>102.07767090374634</v>
      </c>
      <c r="T32" s="76">
        <f>(T28+T10+T31+T14)*Inputs!$B$64</f>
        <v>103.85160382807585</v>
      </c>
      <c r="U32" s="76">
        <f>(U28+U10+U31+U14)*Inputs!$B$64</f>
        <v>103.45457377654938</v>
      </c>
      <c r="V32" s="76">
        <f>(V28+V10+V31+V14)*Inputs!$B$64</f>
        <v>102.74816944649834</v>
      </c>
      <c r="W32" s="76">
        <f>(W28+W10+W31+W14)*Inputs!$B$64</f>
        <v>101.73739961213506</v>
      </c>
      <c r="X32" s="76">
        <f>(X28+X10+X31+X14)*Inputs!$B$64</f>
        <v>100.42712903145167</v>
      </c>
      <c r="Y32" s="76">
        <f>(Y28+Y10+Y31+Y14)*Inputs!$B$64</f>
        <v>98.822078668767276</v>
      </c>
      <c r="Z32" s="76">
        <f>(Z28+Z10+Z31+Z14)*Inputs!$B$64</f>
        <v>96.926825857420937</v>
      </c>
      <c r="AA32" s="76">
        <f>(AA28+AA10+AA31+AA14)*Inputs!$B$64</f>
        <v>94.745804402077951</v>
      </c>
      <c r="AB32" s="76">
        <f>(AB28+AB10+AB31+AB14)*Inputs!$B$64</f>
        <v>92.283304620090036</v>
      </c>
      <c r="AC32" s="76">
        <f>(AC28+AC10+AC31+AC14)*Inputs!$B$64</f>
        <v>89.54347332131627</v>
      </c>
      <c r="AD32" s="76">
        <f>(AD28+AD10+AD31+AD14)*Inputs!$B$64</f>
        <v>86.530313725785263</v>
      </c>
      <c r="AE32" s="76">
        <f>(AE28+AE10+AE31+AE14)*Inputs!$B$64</f>
        <v>83.247685318545152</v>
      </c>
      <c r="AF32" s="76">
        <f>(AF28+AF10+AF31+AF14)*Inputs!$B$64</f>
        <v>79.699303641018815</v>
      </c>
      <c r="AG32" s="76">
        <f>(AG28+AG10+AG31+AG14)*Inputs!$B$64</f>
        <v>75.888740018148411</v>
      </c>
      <c r="AH32" s="76">
        <f>(AH28+AH10+AH31+AH14)*Inputs!$B$64</f>
        <v>71.819421220582541</v>
      </c>
    </row>
    <row r="33" spans="1:34" x14ac:dyDescent="0.2">
      <c r="A33" s="68" t="s">
        <v>52</v>
      </c>
      <c r="B33" s="71" t="s">
        <v>39</v>
      </c>
      <c r="C33" s="70" t="s">
        <v>53</v>
      </c>
      <c r="D33" s="74">
        <f>D15/Inputs!$B$65</f>
        <v>0.13368443803704066</v>
      </c>
      <c r="E33" s="74">
        <f>E15/Inputs!$B$65</f>
        <v>0.1460407584525665</v>
      </c>
      <c r="F33" s="74">
        <f>F15/Inputs!$B$65</f>
        <v>0.15808451206011659</v>
      </c>
      <c r="G33" s="74">
        <f>G15/Inputs!$B$65</f>
        <v>0.16982213383901967</v>
      </c>
      <c r="H33" s="74">
        <f>H15/Inputs!$B$65</f>
        <v>0.18125995517106425</v>
      </c>
      <c r="I33" s="74">
        <f>I15/Inputs!$B$65</f>
        <v>0.19240420556588483</v>
      </c>
      <c r="J33" s="74">
        <f>J15/Inputs!$B$65</f>
        <v>0.20326101435347271</v>
      </c>
      <c r="K33" s="74">
        <f>K15/Inputs!$B$65</f>
        <v>0.21912891234428281</v>
      </c>
      <c r="L33" s="74">
        <f>L15/Inputs!$B$65</f>
        <v>0.23466919060025321</v>
      </c>
      <c r="M33" s="74">
        <f>M15/Inputs!$B$65</f>
        <v>0.24988768774576242</v>
      </c>
      <c r="N33" s="74">
        <f>N15/Inputs!$B$65</f>
        <v>0.26479014867609868</v>
      </c>
      <c r="O33" s="74">
        <f>O15/Inputs!$B$65</f>
        <v>0.27938222609244084</v>
      </c>
      <c r="P33" s="74">
        <f>P15/Inputs!$B$65</f>
        <v>0.29366948200661852</v>
      </c>
      <c r="Q33" s="74">
        <f>Q15/Inputs!$B$65</f>
        <v>0.30765738921605085</v>
      </c>
      <c r="R33" s="74">
        <f>R15/Inputs!$B$65</f>
        <v>0.32135133274925587</v>
      </c>
      <c r="S33" s="74">
        <f>S15/Inputs!$B$65</f>
        <v>0.33475661128230477</v>
      </c>
      <c r="T33" s="74">
        <f>T15/Inputs!$B$65</f>
        <v>0.34787843852658645</v>
      </c>
      <c r="U33" s="74">
        <f>U15/Inputs!$B$65</f>
        <v>0.35569015887395183</v>
      </c>
      <c r="V33" s="74">
        <f>V15/Inputs!$B$65</f>
        <v>0.36328074872815197</v>
      </c>
      <c r="W33" s="74">
        <f>W15/Inputs!$B$65</f>
        <v>0.37065517495147127</v>
      </c>
      <c r="X33" s="74">
        <f>X15/Inputs!$B$65</f>
        <v>0.3778183247125918</v>
      </c>
      <c r="Y33" s="74">
        <f>Y15/Inputs!$B$65</f>
        <v>0.38477500673599707</v>
      </c>
      <c r="Z33" s="74">
        <f>Z15/Inputs!$B$65</f>
        <v>0.39152995252464234</v>
      </c>
      <c r="AA33" s="74">
        <f>AA15/Inputs!$B$65</f>
        <v>0.39808781755617667</v>
      </c>
      <c r="AB33" s="74">
        <f>AB15/Inputs!$B$65</f>
        <v>0.40445318245299794</v>
      </c>
      <c r="AC33" s="74">
        <f>AC15/Inputs!$B$65</f>
        <v>0.41063055412639959</v>
      </c>
      <c r="AD33" s="74">
        <f>AD15/Inputs!$B$65</f>
        <v>0.41662436689506954</v>
      </c>
      <c r="AE33" s="74">
        <f>AE15/Inputs!$B$65</f>
        <v>0.42243898357818227</v>
      </c>
      <c r="AF33" s="74">
        <f>AF15/Inputs!$B$65</f>
        <v>0.42807869656331887</v>
      </c>
      <c r="AG33" s="74">
        <f>AG15/Inputs!$B$65</f>
        <v>0.43354772884943699</v>
      </c>
      <c r="AH33" s="74">
        <f>AH15/Inputs!$B$65</f>
        <v>0.43885023506510434</v>
      </c>
    </row>
    <row r="34" spans="1:34" x14ac:dyDescent="0.2">
      <c r="A34" s="77" t="s">
        <v>54</v>
      </c>
      <c r="B34" s="71" t="s">
        <v>26</v>
      </c>
      <c r="C34" s="70" t="s">
        <v>55</v>
      </c>
      <c r="D34" s="78">
        <f>D20-(D19+D12*Inputs!$B$64)</f>
        <v>0</v>
      </c>
      <c r="E34" s="78">
        <f>E20-(E19+E12*Inputs!$B$64)</f>
        <v>0</v>
      </c>
      <c r="F34" s="78">
        <f>F20-(F19+F12*Inputs!$B$64)</f>
        <v>0</v>
      </c>
      <c r="G34" s="78">
        <f>G20-(G19+G12*Inputs!$B$64)</f>
        <v>0</v>
      </c>
      <c r="H34" s="78">
        <f>H20-(H19+H12*Inputs!$B$64)</f>
        <v>0</v>
      </c>
      <c r="I34" s="78">
        <f>I20-(I19+I12*Inputs!$B$64)</f>
        <v>0</v>
      </c>
      <c r="J34" s="78">
        <f>J20-(J19+J12*Inputs!$B$64)</f>
        <v>0</v>
      </c>
      <c r="K34" s="78">
        <f>K20-(K19+K12*Inputs!$B$64)</f>
        <v>0</v>
      </c>
      <c r="L34" s="78">
        <f>L20-(L19+L12*Inputs!$B$64)</f>
        <v>0</v>
      </c>
      <c r="M34" s="78">
        <f>M20-(M19+M12*Inputs!$B$64)</f>
        <v>0</v>
      </c>
      <c r="N34" s="78">
        <f>N20-(N19+N12*Inputs!$B$64)</f>
        <v>0</v>
      </c>
      <c r="O34" s="78">
        <f>O20-(O19+O12*Inputs!$B$64)</f>
        <v>0</v>
      </c>
      <c r="P34" s="78">
        <f>P20-(P19+P12*Inputs!$B$64)</f>
        <v>0</v>
      </c>
      <c r="Q34" s="78">
        <f>Q20-(Q19+Q12*Inputs!$B$64)</f>
        <v>0</v>
      </c>
      <c r="R34" s="78">
        <f>R20-(R19+R12*Inputs!$B$64)</f>
        <v>0</v>
      </c>
      <c r="S34" s="78">
        <f>S20-(S19+S12*Inputs!$B$64)</f>
        <v>0</v>
      </c>
      <c r="T34" s="78">
        <f>T20-(T19+T12*Inputs!$B$64)</f>
        <v>0</v>
      </c>
      <c r="U34" s="78">
        <f>U20-(U19+U12*Inputs!$B$64)</f>
        <v>0</v>
      </c>
      <c r="V34" s="78">
        <f>V20-(V19+V12*Inputs!$B$64)</f>
        <v>0</v>
      </c>
      <c r="W34" s="78">
        <f>W20-(W19+W12*Inputs!$B$64)</f>
        <v>0</v>
      </c>
      <c r="X34" s="78">
        <f>X20-(X19+X12*Inputs!$B$64)</f>
        <v>0</v>
      </c>
      <c r="Y34" s="78">
        <f>Y20-(Y19+Y12*Inputs!$B$64)</f>
        <v>0</v>
      </c>
      <c r="Z34" s="78">
        <f>Z20-(Z19+Z12*Inputs!$B$64)</f>
        <v>0</v>
      </c>
      <c r="AA34" s="78">
        <f>AA20-(AA19+AA12*Inputs!$B$64)</f>
        <v>0</v>
      </c>
      <c r="AB34" s="78">
        <f>AB20-(AB19+AB12*Inputs!$B$64)</f>
        <v>0</v>
      </c>
      <c r="AC34" s="78">
        <f>AC20-(AC19+AC12*Inputs!$B$64)</f>
        <v>0</v>
      </c>
      <c r="AD34" s="78">
        <f>AD20-(AD19+AD12*Inputs!$B$64)</f>
        <v>0</v>
      </c>
      <c r="AE34" s="78">
        <f>AE20-(AE19+AE12*Inputs!$B$64)</f>
        <v>0</v>
      </c>
      <c r="AF34" s="78">
        <f>AF20-(AF19+AF12*Inputs!$B$64)</f>
        <v>0</v>
      </c>
      <c r="AG34" s="78">
        <f>AG20-(AG19+AG12*Inputs!$B$64)</f>
        <v>0</v>
      </c>
      <c r="AH34" s="78">
        <f>AH20-(AH19+AH12*Inputs!$B$64)</f>
        <v>0</v>
      </c>
    </row>
    <row r="35" spans="1:34" x14ac:dyDescent="0.2">
      <c r="A35" s="77" t="s">
        <v>56</v>
      </c>
      <c r="B35" s="71" t="s">
        <v>12</v>
      </c>
      <c r="C35" s="70" t="s">
        <v>57</v>
      </c>
      <c r="D35" s="72">
        <f t="shared" ref="D35:AH35" si="3">D11-D12</f>
        <v>1804.1935226278229</v>
      </c>
      <c r="E35" s="72">
        <f t="shared" si="3"/>
        <v>2252.9405323924666</v>
      </c>
      <c r="F35" s="72">
        <f t="shared" si="3"/>
        <v>2690.5701306792762</v>
      </c>
      <c r="G35" s="72">
        <f t="shared" si="3"/>
        <v>3117.3099104656203</v>
      </c>
      <c r="H35" s="72">
        <f t="shared" si="3"/>
        <v>3533.3838098986312</v>
      </c>
      <c r="I35" s="72">
        <f t="shared" si="3"/>
        <v>3939.0121729977559</v>
      </c>
      <c r="J35" s="72">
        <f t="shared" si="3"/>
        <v>4334.4118092035069</v>
      </c>
      <c r="K35" s="72">
        <f t="shared" si="3"/>
        <v>4746.8435005507699</v>
      </c>
      <c r="L35" s="72">
        <f t="shared" si="3"/>
        <v>5123.6078968434631</v>
      </c>
      <c r="M35" s="72">
        <f t="shared" si="3"/>
        <v>5490.7366403745436</v>
      </c>
      <c r="N35" s="72">
        <f t="shared" si="3"/>
        <v>5848.4315679355195</v>
      </c>
      <c r="O35" s="72">
        <f t="shared" si="3"/>
        <v>6196.8913358357031</v>
      </c>
      <c r="P35" s="72">
        <f t="shared" si="3"/>
        <v>6536.3114714280118</v>
      </c>
      <c r="Q35" s="72">
        <f t="shared" si="3"/>
        <v>6866.8844236075884</v>
      </c>
      <c r="R35" s="72">
        <f t="shared" si="3"/>
        <v>7188.7996122966424</v>
      </c>
      <c r="S35" s="72">
        <f t="shared" si="3"/>
        <v>7502.2434769285164</v>
      </c>
      <c r="T35" s="72">
        <f t="shared" si="3"/>
        <v>7807.3995239435235</v>
      </c>
      <c r="U35" s="72">
        <f t="shared" si="3"/>
        <v>8104.44837330889</v>
      </c>
      <c r="V35" s="72">
        <f t="shared" si="3"/>
        <v>8393.5678040745079</v>
      </c>
      <c r="W35" s="72">
        <f t="shared" si="3"/>
        <v>8674.9327989759622</v>
      </c>
      <c r="X35" s="72">
        <f t="shared" si="3"/>
        <v>8948.7155880958326</v>
      </c>
      <c r="Y35" s="72">
        <f t="shared" si="3"/>
        <v>9215.0856915939676</v>
      </c>
      <c r="Z35" s="72">
        <f t="shared" si="3"/>
        <v>9474.2099615169736</v>
      </c>
      <c r="AA35" s="72">
        <f t="shared" si="3"/>
        <v>9726.2526226966784</v>
      </c>
      <c r="AB35" s="72">
        <f t="shared" si="3"/>
        <v>9971.375312747341</v>
      </c>
      <c r="AC35" s="72">
        <f t="shared" si="3"/>
        <v>10209.737121170429</v>
      </c>
      <c r="AD35" s="72">
        <f t="shared" si="3"/>
        <v>10441.494627575932</v>
      </c>
      <c r="AE35" s="72">
        <f t="shared" si="3"/>
        <v>10666.801939028483</v>
      </c>
      <c r="AF35" s="72">
        <f t="shared" si="3"/>
        <v>10885.810726526332</v>
      </c>
      <c r="AG35" s="72">
        <f t="shared" si="3"/>
        <v>11098.67026062082</v>
      </c>
      <c r="AH35" s="72">
        <f t="shared" si="3"/>
        <v>11305.527446183605</v>
      </c>
    </row>
    <row r="39" spans="1:34" x14ac:dyDescent="0.2">
      <c r="D39" s="85">
        <f>+D19/D40</f>
        <v>0.13865214636687084</v>
      </c>
    </row>
    <row r="40" spans="1:34" x14ac:dyDescent="0.2">
      <c r="D40" s="66">
        <f>33746*Inputs!$B$64</f>
        <v>121.48559999999999</v>
      </c>
      <c r="E40" s="66"/>
    </row>
    <row r="41" spans="1:34" x14ac:dyDescent="0.2">
      <c r="E41" s="66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3"/>
  <sheetViews>
    <sheetView showGridLines="0" tabSelected="1" topLeftCell="D29" zoomScale="89" zoomScaleNormal="90" workbookViewId="0">
      <selection activeCell="C122" sqref="C122"/>
    </sheetView>
  </sheetViews>
  <sheetFormatPr baseColWidth="10" defaultColWidth="8.6640625" defaultRowHeight="15" x14ac:dyDescent="0.2"/>
  <cols>
    <col min="1" max="1" width="42" customWidth="1"/>
    <col min="2" max="15" width="14" customWidth="1"/>
  </cols>
  <sheetData>
    <row r="1" spans="1:5" ht="17.25" customHeight="1" x14ac:dyDescent="0.2">
      <c r="A1" s="91" t="s">
        <v>313</v>
      </c>
      <c r="B1" s="90"/>
      <c r="C1" s="90"/>
      <c r="D1" s="90"/>
      <c r="E1" s="90"/>
    </row>
    <row r="3" spans="1:5" ht="15" customHeight="1" x14ac:dyDescent="0.2">
      <c r="A3" s="6" t="s">
        <v>1</v>
      </c>
      <c r="B3" s="6" t="s">
        <v>314</v>
      </c>
      <c r="C3" s="6" t="s">
        <v>315</v>
      </c>
      <c r="D3" s="6" t="s">
        <v>316</v>
      </c>
      <c r="E3" s="6" t="s">
        <v>3</v>
      </c>
    </row>
    <row r="4" spans="1:5" ht="15" customHeight="1" x14ac:dyDescent="0.2">
      <c r="A4" s="33" t="s">
        <v>229</v>
      </c>
      <c r="B4" s="34">
        <f>Demand!D5</f>
        <v>6735277</v>
      </c>
      <c r="C4" s="34">
        <f>Demand!AH5</f>
        <v>10506952</v>
      </c>
      <c r="D4" s="35">
        <f t="shared" ref="D4:D25" si="0">IFERROR((C4/B4)^(1/30)-1,"")</f>
        <v>1.4933006156565121E-2</v>
      </c>
      <c r="E4" s="36"/>
    </row>
    <row r="5" spans="1:5" ht="15" customHeight="1" x14ac:dyDescent="0.2">
      <c r="A5" s="33" t="s">
        <v>317</v>
      </c>
      <c r="B5" s="34">
        <f>Demand!D6</f>
        <v>6357</v>
      </c>
      <c r="C5" s="34">
        <f>Demand!AH6</f>
        <v>14556.120803562733</v>
      </c>
      <c r="D5" s="35">
        <f t="shared" si="0"/>
        <v>2.8000000000000025E-2</v>
      </c>
      <c r="E5" s="36"/>
    </row>
    <row r="6" spans="1:5" ht="15" customHeight="1" x14ac:dyDescent="0.2">
      <c r="A6" s="33" t="s">
        <v>318</v>
      </c>
      <c r="B6" s="34">
        <f>Demand!D7</f>
        <v>42816.155889000001</v>
      </c>
      <c r="C6" s="34">
        <f>Demand!AH7</f>
        <v>152940.46258923507</v>
      </c>
      <c r="D6" s="35">
        <f t="shared" si="0"/>
        <v>4.3351130328949106E-2</v>
      </c>
      <c r="E6" s="36"/>
    </row>
    <row r="7" spans="1:5" ht="15" customHeight="1" x14ac:dyDescent="0.2">
      <c r="A7" s="37" t="s">
        <v>319</v>
      </c>
      <c r="B7" s="38">
        <f>Demand!D19</f>
        <v>4937.6861244436996</v>
      </c>
      <c r="C7" s="38">
        <f>Demand!AH19</f>
        <v>7071.1429127381816</v>
      </c>
      <c r="D7" s="39">
        <f t="shared" si="0"/>
        <v>1.2042780571666523E-2</v>
      </c>
      <c r="E7" s="40"/>
    </row>
    <row r="8" spans="1:5" ht="15" customHeight="1" x14ac:dyDescent="0.2">
      <c r="A8" s="33" t="s">
        <v>320</v>
      </c>
      <c r="B8" s="41">
        <f>Demand!D13</f>
        <v>1020.226083575</v>
      </c>
      <c r="C8" s="41">
        <f>Demand!AH13</f>
        <v>1369.3363336248351</v>
      </c>
      <c r="D8" s="35">
        <f t="shared" si="0"/>
        <v>9.8583411257824327E-3</v>
      </c>
      <c r="E8" s="36"/>
    </row>
    <row r="9" spans="1:5" ht="15" customHeight="1" x14ac:dyDescent="0.2">
      <c r="A9" s="33" t="s">
        <v>321</v>
      </c>
      <c r="B9" s="41">
        <f>Demand!D14</f>
        <v>248.33370415619999</v>
      </c>
      <c r="C9" s="41">
        <f>Demand!AH14</f>
        <v>656.15468024391419</v>
      </c>
      <c r="D9" s="35">
        <f t="shared" si="0"/>
        <v>3.2917619025659484E-2</v>
      </c>
      <c r="E9" s="36"/>
    </row>
    <row r="10" spans="1:5" ht="15" customHeight="1" x14ac:dyDescent="0.2">
      <c r="A10" s="33" t="s">
        <v>322</v>
      </c>
      <c r="B10" s="41">
        <f>Demand!D15</f>
        <v>3669.1263367124998</v>
      </c>
      <c r="C10" s="41">
        <f>Demand!AH15</f>
        <v>4498.1518988694324</v>
      </c>
      <c r="D10" s="35">
        <f t="shared" si="0"/>
        <v>6.8135421073125535E-3</v>
      </c>
      <c r="E10" s="36"/>
    </row>
    <row r="11" spans="1:5" ht="15" customHeight="1" x14ac:dyDescent="0.2">
      <c r="A11" s="42" t="s">
        <v>323</v>
      </c>
      <c r="B11" s="43">
        <f>Demand!D17</f>
        <v>0</v>
      </c>
      <c r="C11" s="43">
        <f>Demand!AH17</f>
        <v>547.5</v>
      </c>
      <c r="D11" s="44" t="str">
        <f t="shared" si="0"/>
        <v/>
      </c>
      <c r="E11" s="45" t="s">
        <v>324</v>
      </c>
    </row>
    <row r="12" spans="1:5" ht="15" customHeight="1" x14ac:dyDescent="0.2">
      <c r="A12" s="33" t="s">
        <v>325</v>
      </c>
      <c r="B12" s="41">
        <f>Supply!D8</f>
        <v>3500</v>
      </c>
      <c r="C12" s="41">
        <f>Supply!AH8</f>
        <v>2224.1033245597232</v>
      </c>
      <c r="D12" s="35">
        <f t="shared" si="0"/>
        <v>-1.5000000000000013E-2</v>
      </c>
      <c r="E12" s="36"/>
    </row>
    <row r="13" spans="1:5" ht="15" customHeight="1" x14ac:dyDescent="0.2">
      <c r="A13" s="33" t="s">
        <v>326</v>
      </c>
      <c r="B13" s="41">
        <f>Supply!D9</f>
        <v>912</v>
      </c>
      <c r="C13" s="41">
        <f>Supply!AH9</f>
        <v>497.48169927678225</v>
      </c>
      <c r="D13" s="35">
        <f t="shared" si="0"/>
        <v>-2.0000000000000018E-2</v>
      </c>
      <c r="E13" s="36" t="s">
        <v>327</v>
      </c>
    </row>
    <row r="14" spans="1:5" ht="15" customHeight="1" x14ac:dyDescent="0.2">
      <c r="A14" s="46" t="s">
        <v>328</v>
      </c>
      <c r="B14" s="47">
        <f>Supply!D29</f>
        <v>515.48386360794939</v>
      </c>
      <c r="C14" s="47">
        <f>Supply!AH29</f>
        <v>4301.6311172248079</v>
      </c>
      <c r="D14" s="48">
        <f t="shared" si="0"/>
        <v>7.3282223566719429E-2</v>
      </c>
      <c r="E14" s="36" t="s">
        <v>329</v>
      </c>
    </row>
    <row r="15" spans="1:5" ht="15" customHeight="1" x14ac:dyDescent="0.2">
      <c r="A15" s="42" t="s">
        <v>330</v>
      </c>
      <c r="B15" s="43">
        <f>Supply!D31</f>
        <v>0</v>
      </c>
      <c r="C15" s="43">
        <f>Supply!AH31</f>
        <v>533.12196849693964</v>
      </c>
      <c r="D15" s="44" t="str">
        <f t="shared" si="0"/>
        <v/>
      </c>
      <c r="E15" s="45"/>
    </row>
    <row r="16" spans="1:5" ht="15" customHeight="1" x14ac:dyDescent="0.2">
      <c r="A16" s="42" t="s">
        <v>331</v>
      </c>
      <c r="B16" s="49">
        <f>Supply!D32</f>
        <v>0</v>
      </c>
      <c r="C16" s="49">
        <f>Supply!AH32</f>
        <v>1460608.1328683279</v>
      </c>
      <c r="D16" s="44" t="str">
        <f t="shared" si="0"/>
        <v/>
      </c>
      <c r="E16" s="45" t="s">
        <v>332</v>
      </c>
    </row>
    <row r="17" spans="1:5" ht="15" customHeight="1" x14ac:dyDescent="0.2">
      <c r="A17" s="33" t="s">
        <v>333</v>
      </c>
      <c r="B17" s="34">
        <f>Energy!D9</f>
        <v>1225</v>
      </c>
      <c r="C17" s="34">
        <f>Energy!AH9</f>
        <v>1216.7581702315351</v>
      </c>
      <c r="D17" s="35">
        <f t="shared" si="0"/>
        <v>-2.2500000000014175E-4</v>
      </c>
      <c r="E17" s="36"/>
    </row>
    <row r="18" spans="1:5" ht="15" customHeight="1" x14ac:dyDescent="0.2">
      <c r="A18" s="33" t="s">
        <v>334</v>
      </c>
      <c r="B18" s="34">
        <f>Energy!D10</f>
        <v>1641.6000000000001</v>
      </c>
      <c r="C18" s="34">
        <f>Energy!AH10</f>
        <v>1206.9543037827277</v>
      </c>
      <c r="D18" s="35">
        <f t="shared" si="0"/>
        <v>-1.0199999999999987E-2</v>
      </c>
      <c r="E18" s="36"/>
    </row>
    <row r="19" spans="1:5" ht="15" customHeight="1" x14ac:dyDescent="0.2">
      <c r="A19" s="33" t="s">
        <v>335</v>
      </c>
      <c r="B19" s="34">
        <f>Energy!D11</f>
        <v>1804.1935226278229</v>
      </c>
      <c r="C19" s="34">
        <f>Energy!AH11</f>
        <v>12904.893351674424</v>
      </c>
      <c r="D19" s="35">
        <f t="shared" si="0"/>
        <v>6.7781461958342559E-2</v>
      </c>
      <c r="E19" s="36"/>
    </row>
    <row r="20" spans="1:5" ht="15" customHeight="1" x14ac:dyDescent="0.2">
      <c r="A20" s="42" t="s">
        <v>336</v>
      </c>
      <c r="B20" s="49">
        <f>Energy!D12</f>
        <v>0</v>
      </c>
      <c r="C20" s="49">
        <f>Energy!AH12</f>
        <v>1599.3659054908189</v>
      </c>
      <c r="D20" s="44" t="str">
        <f t="shared" si="0"/>
        <v/>
      </c>
      <c r="E20" s="45"/>
    </row>
    <row r="21" spans="1:5" ht="15" customHeight="1" x14ac:dyDescent="0.2">
      <c r="A21" s="37" t="s">
        <v>337</v>
      </c>
      <c r="B21" s="50">
        <f>Energy!D15</f>
        <v>4678.9553312964235</v>
      </c>
      <c r="C21" s="50">
        <f>Energy!AH15</f>
        <v>15359.758227278651</v>
      </c>
      <c r="D21" s="39">
        <f t="shared" si="0"/>
        <v>4.0417981187766516E-2</v>
      </c>
      <c r="E21" s="40"/>
    </row>
    <row r="22" spans="1:5" ht="15" customHeight="1" x14ac:dyDescent="0.2">
      <c r="A22" s="37" t="s">
        <v>338</v>
      </c>
      <c r="B22" s="51">
        <f>Energy!D16</f>
        <v>4.6789553312964234</v>
      </c>
      <c r="C22" s="51">
        <f>Energy!AH16</f>
        <v>15.35975822727865</v>
      </c>
      <c r="D22" s="39">
        <f t="shared" si="0"/>
        <v>4.0417981187766516E-2</v>
      </c>
      <c r="E22" s="40"/>
    </row>
    <row r="23" spans="1:5" ht="15" customHeight="1" x14ac:dyDescent="0.2">
      <c r="A23" s="33" t="s">
        <v>33</v>
      </c>
      <c r="B23" s="52">
        <f>Energy!D23</f>
        <v>0.94760080194922769</v>
      </c>
      <c r="C23" s="52">
        <f>Energy!AH23</f>
        <v>2.1721747695989984</v>
      </c>
      <c r="D23" s="35">
        <f t="shared" si="0"/>
        <v>2.8037550547094225E-2</v>
      </c>
      <c r="E23" s="36"/>
    </row>
    <row r="24" spans="1:5" ht="15" customHeight="1" x14ac:dyDescent="0.2">
      <c r="A24" s="33" t="s">
        <v>339</v>
      </c>
      <c r="B24" s="34">
        <f>Energy!D24</f>
        <v>694.69382347547457</v>
      </c>
      <c r="C24" s="34">
        <f>Energy!AH24</f>
        <v>1461.8662222192174</v>
      </c>
      <c r="D24" s="35">
        <f t="shared" si="0"/>
        <v>2.5110007139988566E-2</v>
      </c>
      <c r="E24" s="36"/>
    </row>
    <row r="25" spans="1:5" ht="15" customHeight="1" x14ac:dyDescent="0.2">
      <c r="A25" s="33" t="s">
        <v>340</v>
      </c>
      <c r="B25" s="53">
        <f>Energy!D25</f>
        <v>0.38559750946113974</v>
      </c>
      <c r="C25" s="53">
        <f>Energy!AH25</f>
        <v>0.84017555229193441</v>
      </c>
      <c r="D25" s="35">
        <f t="shared" si="0"/>
        <v>2.630046891282789E-2</v>
      </c>
      <c r="E25" s="36"/>
    </row>
    <row r="27" spans="1:5" x14ac:dyDescent="0.2">
      <c r="A27" t="s">
        <v>341</v>
      </c>
      <c r="B27">
        <f>Supply!D15</f>
        <v>10.20226083575</v>
      </c>
      <c r="C27">
        <f>Supply!AH15</f>
        <v>47.926771676869215</v>
      </c>
    </row>
    <row r="28" spans="1:5" x14ac:dyDescent="0.2">
      <c r="A28" t="s">
        <v>342</v>
      </c>
      <c r="B28">
        <f>Supply!D16</f>
        <v>0</v>
      </c>
      <c r="C28">
        <f>Supply!AH16</f>
        <v>14.378031503060765</v>
      </c>
    </row>
    <row r="29" spans="1:5" x14ac:dyDescent="0.2">
      <c r="A29" t="s">
        <v>343</v>
      </c>
      <c r="B29">
        <f>Supply!D17</f>
        <v>10.20226083575</v>
      </c>
      <c r="C29">
        <f>Supply!AH17</f>
        <v>33.548740173808454</v>
      </c>
    </row>
    <row r="30" spans="1:5" x14ac:dyDescent="0.2">
      <c r="A30" t="s">
        <v>344</v>
      </c>
      <c r="B30">
        <f>Energy!D14</f>
        <v>8.1618086686000009</v>
      </c>
      <c r="C30">
        <f>Energy!AH14</f>
        <v>31.152401589964995</v>
      </c>
    </row>
    <row r="32" spans="1:5" x14ac:dyDescent="0.2">
      <c r="B32" t="s">
        <v>345</v>
      </c>
    </row>
    <row r="33" spans="2:6" x14ac:dyDescent="0.2">
      <c r="B33" t="s">
        <v>346</v>
      </c>
    </row>
    <row r="34" spans="2:6" x14ac:dyDescent="0.2">
      <c r="B34" t="s">
        <v>347</v>
      </c>
      <c r="C34" t="s">
        <v>348</v>
      </c>
      <c r="D34" t="s">
        <v>349</v>
      </c>
      <c r="E34" t="s">
        <v>350</v>
      </c>
      <c r="F34" t="s">
        <v>351</v>
      </c>
    </row>
    <row r="35" spans="2:6" x14ac:dyDescent="0.2">
      <c r="B35">
        <v>2020</v>
      </c>
      <c r="C35">
        <f>Demand!D13</f>
        <v>1020.226083575</v>
      </c>
      <c r="D35">
        <f>Demand!D14</f>
        <v>248.33370415619999</v>
      </c>
      <c r="E35">
        <f>Demand!D15</f>
        <v>3669.1263367124998</v>
      </c>
      <c r="F35">
        <f>Demand!D17</f>
        <v>0</v>
      </c>
    </row>
    <row r="36" spans="2:6" x14ac:dyDescent="0.2">
      <c r="B36">
        <v>2030</v>
      </c>
      <c r="C36">
        <f>Demand!N13</f>
        <v>1151.4750236846444</v>
      </c>
      <c r="D36">
        <f>Demand!N14</f>
        <v>351.27403645237484</v>
      </c>
      <c r="E36">
        <f>Demand!N15</f>
        <v>4017.9699041114704</v>
      </c>
      <c r="F36">
        <f>Demand!N17</f>
        <v>219</v>
      </c>
    </row>
    <row r="37" spans="2:6" x14ac:dyDescent="0.2">
      <c r="B37">
        <v>2040</v>
      </c>
      <c r="C37">
        <f>Demand!X13</f>
        <v>1267.4519125580866</v>
      </c>
      <c r="D37">
        <f>Demand!X14</f>
        <v>484.59095661920605</v>
      </c>
      <c r="E37">
        <f>Demand!X15</f>
        <v>4291.1091580158854</v>
      </c>
      <c r="F37">
        <f>Demand!X17</f>
        <v>547.5</v>
      </c>
    </row>
    <row r="38" spans="2:6" ht="17" customHeight="1" x14ac:dyDescent="0.2">
      <c r="B38" s="55" t="s">
        <v>352</v>
      </c>
      <c r="C38">
        <f>Demand!AH13</f>
        <v>1369.3363336248351</v>
      </c>
      <c r="D38">
        <f>Demand!AH14</f>
        <v>656.15468024391419</v>
      </c>
      <c r="E38">
        <f>Demand!AH15</f>
        <v>4498.1518988694324</v>
      </c>
      <c r="F38">
        <f>Demand!AH17</f>
        <v>547.5</v>
      </c>
    </row>
    <row r="39" spans="2:6" ht="208" customHeight="1" x14ac:dyDescent="0.2">
      <c r="B39" s="56" t="s">
        <v>353</v>
      </c>
    </row>
    <row r="59" spans="2:6" x14ac:dyDescent="0.2">
      <c r="B59" t="s">
        <v>354</v>
      </c>
    </row>
    <row r="60" spans="2:6" x14ac:dyDescent="0.2">
      <c r="B60" t="s">
        <v>347</v>
      </c>
      <c r="C60" t="s">
        <v>348</v>
      </c>
      <c r="D60" t="s">
        <v>349</v>
      </c>
      <c r="E60" t="s">
        <v>350</v>
      </c>
      <c r="F60" t="s">
        <v>351</v>
      </c>
    </row>
    <row r="61" spans="2:6" x14ac:dyDescent="0.2">
      <c r="B61">
        <v>2020</v>
      </c>
      <c r="C61">
        <f>Demand!D13</f>
        <v>1020.226083575</v>
      </c>
      <c r="D61">
        <f>Demand!D14</f>
        <v>248.33370415619999</v>
      </c>
      <c r="E61">
        <f>Demand!D15</f>
        <v>3669.1263367124998</v>
      </c>
      <c r="F61">
        <f>Demand!D17</f>
        <v>0</v>
      </c>
    </row>
    <row r="62" spans="2:6" x14ac:dyDescent="0.2">
      <c r="B62">
        <v>2021</v>
      </c>
      <c r="C62">
        <f>Demand!E13</f>
        <v>1034.0735497661874</v>
      </c>
      <c r="D62">
        <f>Demand!E14</f>
        <v>257.45178182457846</v>
      </c>
      <c r="E62">
        <f>Demand!E15</f>
        <v>3707.7143181977999</v>
      </c>
      <c r="F62">
        <f>Demand!E17</f>
        <v>0</v>
      </c>
    </row>
    <row r="63" spans="2:6" x14ac:dyDescent="0.2">
      <c r="B63">
        <v>2022</v>
      </c>
      <c r="C63">
        <f>Demand!F13</f>
        <v>1047.7570356433737</v>
      </c>
      <c r="D63">
        <f>Demand!F14</f>
        <v>266.81502777975317</v>
      </c>
      <c r="E63">
        <f>Demand!F15</f>
        <v>3745.4500678937852</v>
      </c>
      <c r="F63">
        <f>Demand!F17</f>
        <v>0</v>
      </c>
    </row>
    <row r="64" spans="2:6" x14ac:dyDescent="0.2">
      <c r="B64">
        <v>2023</v>
      </c>
      <c r="C64">
        <f>Demand!G13</f>
        <v>1061.277834823044</v>
      </c>
      <c r="D64">
        <f>Demand!G14</f>
        <v>276.42926772400915</v>
      </c>
      <c r="E64">
        <f>Demand!G15</f>
        <v>3782.34475187827</v>
      </c>
      <c r="F64">
        <f>Demand!G17</f>
        <v>0</v>
      </c>
    </row>
    <row r="65" spans="2:6" x14ac:dyDescent="0.2">
      <c r="B65">
        <v>2024</v>
      </c>
      <c r="C65">
        <f>Demand!H13</f>
        <v>1074.6372320850267</v>
      </c>
      <c r="D65">
        <f>Demand!H14</f>
        <v>286.30045684007086</v>
      </c>
      <c r="E65">
        <f>Demand!H15</f>
        <v>3818.4094121146586</v>
      </c>
      <c r="F65">
        <f>Demand!H17</f>
        <v>0</v>
      </c>
    </row>
    <row r="66" spans="2:6" x14ac:dyDescent="0.2">
      <c r="B66">
        <v>2025</v>
      </c>
      <c r="C66">
        <f>Demand!I13</f>
        <v>1087.8365034285187</v>
      </c>
      <c r="D66">
        <f>Demand!I14</f>
        <v>296.4346825506272</v>
      </c>
      <c r="E66">
        <f>Demand!I15</f>
        <v>3853.6549677231446</v>
      </c>
      <c r="F66">
        <f>Demand!I17</f>
        <v>0</v>
      </c>
    </row>
    <row r="67" spans="2:6" x14ac:dyDescent="0.2">
      <c r="B67">
        <v>2026</v>
      </c>
      <c r="C67">
        <f>Demand!J13</f>
        <v>1100.8769161277735</v>
      </c>
      <c r="D67">
        <f>Demand!J14</f>
        <v>306.83816733499867</v>
      </c>
      <c r="E67">
        <f>Demand!J15</f>
        <v>3888.0922162395186</v>
      </c>
      <c r="F67">
        <f>Demand!J17</f>
        <v>0</v>
      </c>
    </row>
    <row r="68" spans="2:6" x14ac:dyDescent="0.2">
      <c r="B68">
        <v>2027</v>
      </c>
      <c r="C68">
        <f>Demand!K13</f>
        <v>1113.7597287874503</v>
      </c>
      <c r="D68">
        <f>Demand!K14</f>
        <v>317.51727160410275</v>
      </c>
      <c r="E68">
        <f>Demand!K15</f>
        <v>3921.7318348616973</v>
      </c>
      <c r="F68">
        <f>Demand!K17</f>
        <v>54.75</v>
      </c>
    </row>
    <row r="69" spans="2:6" x14ac:dyDescent="0.2">
      <c r="B69">
        <v>2028</v>
      </c>
      <c r="C69">
        <f>Demand!L13</f>
        <v>1126.4861913976272</v>
      </c>
      <c r="D69">
        <f>Demand!L14</f>
        <v>328.47849663490183</v>
      </c>
      <c r="E69">
        <f>Demand!L15</f>
        <v>3954.5843816840811</v>
      </c>
      <c r="F69">
        <f>Demand!L17</f>
        <v>109.5</v>
      </c>
    </row>
    <row r="70" spans="2:6" x14ac:dyDescent="0.2">
      <c r="B70">
        <v>2029</v>
      </c>
      <c r="C70">
        <f>Demand!M13</f>
        <v>1139.0575453884824</v>
      </c>
      <c r="D70">
        <f>Demand!M14</f>
        <v>339.7284875655364</v>
      </c>
      <c r="E70">
        <f>Demand!M15</f>
        <v>3986.6602969198766</v>
      </c>
      <c r="F70">
        <f>Demand!M17</f>
        <v>164.25</v>
      </c>
    </row>
    <row r="71" spans="2:6" x14ac:dyDescent="0.2">
      <c r="B71">
        <v>2030</v>
      </c>
      <c r="C71">
        <f>Demand!N13</f>
        <v>1151.4750236846444</v>
      </c>
      <c r="D71">
        <f>Demand!N14</f>
        <v>351.27403645237484</v>
      </c>
      <c r="E71">
        <f>Demand!N15</f>
        <v>4017.9699041114704</v>
      </c>
      <c r="F71">
        <f>Demand!N17</f>
        <v>219</v>
      </c>
    </row>
    <row r="72" spans="2:6" x14ac:dyDescent="0.2">
      <c r="B72">
        <v>2031</v>
      </c>
      <c r="C72">
        <f>Demand!O13</f>
        <v>1163.7398507592097</v>
      </c>
      <c r="D72">
        <f>Demand!O14</f>
        <v>363.12208539023288</v>
      </c>
      <c r="E72">
        <f>Demand!O15</f>
        <v>4048.5234113289962</v>
      </c>
      <c r="F72">
        <f>Demand!O17</f>
        <v>273.75</v>
      </c>
    </row>
    <row r="73" spans="2:6" x14ac:dyDescent="0.2">
      <c r="B73">
        <v>2032</v>
      </c>
      <c r="C73">
        <f>Demand!P13</f>
        <v>1175.8532426874374</v>
      </c>
      <c r="D73">
        <f>Demand!P14</f>
        <v>375.27972969704109</v>
      </c>
      <c r="E73">
        <f>Demand!P15</f>
        <v>4078.3309123571789</v>
      </c>
      <c r="F73">
        <f>Demand!P17</f>
        <v>328.5</v>
      </c>
    </row>
    <row r="74" spans="2:6" x14ac:dyDescent="0.2">
      <c r="B74">
        <v>2033</v>
      </c>
      <c r="C74">
        <f>Demand!Q13</f>
        <v>1187.8164072001141</v>
      </c>
      <c r="D74">
        <f>Demand!Q14</f>
        <v>387.75422116426523</v>
      </c>
      <c r="E74">
        <f>Demand!Q15</f>
        <v>4107.4023878705857</v>
      </c>
      <c r="F74">
        <f>Demand!Q17</f>
        <v>383.25</v>
      </c>
    </row>
    <row r="75" spans="2:6" x14ac:dyDescent="0.2">
      <c r="B75">
        <v>2034</v>
      </c>
      <c r="C75">
        <f>Demand!R13</f>
        <v>1199.6305437365968</v>
      </c>
      <c r="D75">
        <f>Demand!R14</f>
        <v>400.5529713744105</v>
      </c>
      <c r="E75">
        <f>Demand!R15</f>
        <v>4135.7477065973853</v>
      </c>
      <c r="F75">
        <f>Demand!R17</f>
        <v>438</v>
      </c>
    </row>
    <row r="76" spans="2:6" x14ac:dyDescent="0.2">
      <c r="B76">
        <v>2035</v>
      </c>
      <c r="C76">
        <f>Demand!S13</f>
        <v>1211.2968434975342</v>
      </c>
      <c r="D76">
        <f>Demand!S14</f>
        <v>413.68355508696465</v>
      </c>
      <c r="E76">
        <f>Demand!S15</f>
        <v>4163.3766264717342</v>
      </c>
      <c r="F76">
        <f>Demand!S17</f>
        <v>492.75</v>
      </c>
    </row>
    <row r="77" spans="2:6" x14ac:dyDescent="0.2">
      <c r="B77">
        <v>2036</v>
      </c>
      <c r="C77">
        <f>Demand!T13</f>
        <v>1222.8164894972692</v>
      </c>
      <c r="D77">
        <f>Demand!T14</f>
        <v>427.15371369416476</v>
      </c>
      <c r="E77">
        <f>Demand!T15</f>
        <v>4190.298795774871</v>
      </c>
      <c r="F77">
        <f>Demand!T17</f>
        <v>547.5</v>
      </c>
    </row>
    <row r="78" spans="2:6" x14ac:dyDescent="0.2">
      <c r="B78">
        <v>2037</v>
      </c>
      <c r="C78">
        <f>Demand!U13</f>
        <v>1234.1906566159191</v>
      </c>
      <c r="D78">
        <f>Demand!U14</f>
        <v>440.97135874800051</v>
      </c>
      <c r="E78">
        <f>Demand!U15</f>
        <v>4216.5237542650639</v>
      </c>
      <c r="F78">
        <f>Demand!U17</f>
        <v>547.5</v>
      </c>
    </row>
    <row r="79" spans="2:6" x14ac:dyDescent="0.2">
      <c r="B79">
        <v>2038</v>
      </c>
      <c r="C79">
        <f>Demand!V13</f>
        <v>1245.4205116511453</v>
      </c>
      <c r="D79">
        <f>Demand!V14</f>
        <v>455.14457555989009</v>
      </c>
      <c r="E79">
        <f>Demand!V15</f>
        <v>4242.0609342964826</v>
      </c>
      <c r="F79">
        <f>Demand!V17</f>
        <v>547.5</v>
      </c>
    </row>
    <row r="80" spans="2:6" x14ac:dyDescent="0.2">
      <c r="B80">
        <v>2039</v>
      </c>
      <c r="C80">
        <f>Demand!W13</f>
        <v>1256.507213369604</v>
      </c>
      <c r="D80">
        <f>Demand!W14</f>
        <v>469.6816268745003</v>
      </c>
      <c r="E80">
        <f>Demand!W15</f>
        <v>4266.919661927127</v>
      </c>
      <c r="F80">
        <f>Demand!W17</f>
        <v>547.5</v>
      </c>
    </row>
    <row r="81" spans="2:6" x14ac:dyDescent="0.2">
      <c r="B81">
        <v>2040</v>
      </c>
      <c r="C81">
        <f>Demand!X13</f>
        <v>1267.4519125580866</v>
      </c>
      <c r="D81">
        <f>Demand!X14</f>
        <v>484.59095661920605</v>
      </c>
      <c r="E81">
        <f>Demand!X15</f>
        <v>4291.1091580158854</v>
      </c>
      <c r="F81">
        <f>Demand!X17</f>
        <v>547.5</v>
      </c>
    </row>
    <row r="82" spans="2:6" x14ac:dyDescent="0.2">
      <c r="B82">
        <v>2041</v>
      </c>
      <c r="C82">
        <f>Demand!Y13</f>
        <v>1278.2557520743501</v>
      </c>
      <c r="D82">
        <f>Demand!Y14</f>
        <v>499.88119373071595</v>
      </c>
      <c r="E82">
        <f>Demand!Y15</f>
        <v>4314.6385393088603</v>
      </c>
      <c r="F82">
        <f>Demand!Y17</f>
        <v>547.5</v>
      </c>
    </row>
    <row r="83" spans="2:6" x14ac:dyDescent="0.2">
      <c r="B83">
        <v>2042</v>
      </c>
      <c r="C83">
        <f>Demand!Z13</f>
        <v>1288.9198668976371</v>
      </c>
      <c r="D83">
        <f>Demand!Z14</f>
        <v>515.56115606042499</v>
      </c>
      <c r="E83">
        <f>Demand!Z15</f>
        <v>4337.5168195150354</v>
      </c>
      <c r="F83">
        <f>Demand!Z17</f>
        <v>547.5</v>
      </c>
    </row>
    <row r="84" spans="2:6" x14ac:dyDescent="0.2">
      <c r="B84">
        <v>2043</v>
      </c>
      <c r="C84">
        <f>Demand!AA13</f>
        <v>1299.4453841788893</v>
      </c>
      <c r="D84">
        <f>Demand!AA14</f>
        <v>531.63985436007738</v>
      </c>
      <c r="E84">
        <f>Demand!AA15</f>
        <v>4359.752910371395</v>
      </c>
      <c r="F84">
        <f>Demand!AA17</f>
        <v>547.5</v>
      </c>
    </row>
    <row r="85" spans="2:6" x14ac:dyDescent="0.2">
      <c r="B85">
        <v>2044</v>
      </c>
      <c r="C85">
        <f>Demand!AB13</f>
        <v>1309.8334232906568</v>
      </c>
      <c r="D85">
        <f>Demand!AB14</f>
        <v>548.12649634936429</v>
      </c>
      <c r="E85">
        <f>Demand!AB15</f>
        <v>4381.3556226976043</v>
      </c>
      <c r="F85">
        <f>Demand!AB17</f>
        <v>547.5</v>
      </c>
    </row>
    <row r="86" spans="2:6" x14ac:dyDescent="0.2">
      <c r="B86">
        <v>2045</v>
      </c>
      <c r="C86">
        <f>Demand!AC13</f>
        <v>1320.0850958767021</v>
      </c>
      <c r="D86">
        <f>Demand!AC14</f>
        <v>565.0304908671061</v>
      </c>
      <c r="E86">
        <f>Demand!AC15</f>
        <v>4402.3336674403299</v>
      </c>
      <c r="F86">
        <f>Demand!AC17</f>
        <v>547.5</v>
      </c>
    </row>
    <row r="87" spans="2:6" x14ac:dyDescent="0.2">
      <c r="B87">
        <v>2046</v>
      </c>
      <c r="C87">
        <f>Demand!AD13</f>
        <v>1330.2015059013047</v>
      </c>
      <c r="D87">
        <f>Demand!AD14</f>
        <v>582.36145210770565</v>
      </c>
      <c r="E87">
        <f>Demand!AD15</f>
        <v>4422.6956567073203</v>
      </c>
      <c r="F87">
        <f>Demand!AD17</f>
        <v>547.5</v>
      </c>
    </row>
    <row r="88" spans="2:6" x14ac:dyDescent="0.2">
      <c r="B88">
        <v>2047</v>
      </c>
      <c r="C88">
        <f>Demand!AE13</f>
        <v>1340.1837496982639</v>
      </c>
      <c r="D88">
        <f>Demand!AE14</f>
        <v>600.12920394458843</v>
      </c>
      <c r="E88">
        <f>Demand!AE15</f>
        <v>4442.4501047913227</v>
      </c>
      <c r="F88">
        <f>Demand!AE17</f>
        <v>547.5</v>
      </c>
    </row>
    <row r="89" spans="2:6" x14ac:dyDescent="0.2">
      <c r="B89">
        <v>2048</v>
      </c>
      <c r="C89">
        <f>Demand!AF13</f>
        <v>1350.0329160196065</v>
      </c>
      <c r="D89">
        <f>Demand!AF14</f>
        <v>618.34378434238681</v>
      </c>
      <c r="E89">
        <f>Demand!AF15</f>
        <v>4461.6054291839509</v>
      </c>
      <c r="F89">
        <f>Demand!AF17</f>
        <v>547.5</v>
      </c>
    </row>
    <row r="90" spans="2:6" x14ac:dyDescent="0.2">
      <c r="B90">
        <v>2049</v>
      </c>
      <c r="C90">
        <f>Demand!AG13</f>
        <v>1359.750086083993</v>
      </c>
      <c r="D90">
        <f>Demand!AG14</f>
        <v>637.01544985965108</v>
      </c>
      <c r="E90">
        <f>Demand!AG15</f>
        <v>4480.1699515795908</v>
      </c>
      <c r="F90">
        <f>Demand!AG17</f>
        <v>547.5</v>
      </c>
    </row>
    <row r="91" spans="2:6" x14ac:dyDescent="0.2">
      <c r="B91">
        <v>2050</v>
      </c>
      <c r="C91">
        <f>Demand!AH13</f>
        <v>1369.3363336248351</v>
      </c>
      <c r="D91">
        <f>Demand!AH14</f>
        <v>656.15468024391419</v>
      </c>
      <c r="E91">
        <f>Demand!AH15</f>
        <v>4498.1518988694324</v>
      </c>
      <c r="F91">
        <f>Demand!AH17</f>
        <v>547.5</v>
      </c>
    </row>
    <row r="120" spans="2:15" x14ac:dyDescent="0.2">
      <c r="B120" s="92"/>
      <c r="C120" s="92"/>
      <c r="D120" s="92"/>
      <c r="E120" s="92"/>
      <c r="F120" s="92"/>
      <c r="J120" t="s">
        <v>355</v>
      </c>
    </row>
    <row r="121" spans="2:15" x14ac:dyDescent="0.2">
      <c r="B121" t="s">
        <v>347</v>
      </c>
      <c r="C121" t="s">
        <v>356</v>
      </c>
      <c r="D121" t="s">
        <v>357</v>
      </c>
      <c r="E121" t="s">
        <v>358</v>
      </c>
      <c r="F121" t="s">
        <v>359</v>
      </c>
      <c r="G121" t="s">
        <v>365</v>
      </c>
      <c r="J121" t="s">
        <v>347</v>
      </c>
      <c r="K121" t="s">
        <v>356</v>
      </c>
      <c r="L121" t="s">
        <v>357</v>
      </c>
      <c r="M121" t="s">
        <v>358</v>
      </c>
      <c r="N121" t="s">
        <v>359</v>
      </c>
      <c r="O121" t="s">
        <v>360</v>
      </c>
    </row>
    <row r="122" spans="2:15" x14ac:dyDescent="0.2">
      <c r="B122">
        <v>2020</v>
      </c>
      <c r="C122" s="83">
        <f>Supply!D8</f>
        <v>3500</v>
      </c>
      <c r="D122" s="83">
        <f>Supply!D9</f>
        <v>912</v>
      </c>
      <c r="E122" s="83">
        <f>Supply!D29</f>
        <v>515.48386360794939</v>
      </c>
      <c r="F122" s="83">
        <f>Supply!D34</f>
        <v>10.20226083575</v>
      </c>
      <c r="G122" t="s">
        <v>366</v>
      </c>
      <c r="J122">
        <v>2020</v>
      </c>
      <c r="K122">
        <f>Energy!D9</f>
        <v>1225</v>
      </c>
      <c r="L122">
        <f>Energy!D10</f>
        <v>1641.6000000000001</v>
      </c>
      <c r="M122">
        <f>Energy!D11</f>
        <v>1804.1935226278229</v>
      </c>
      <c r="N122">
        <f>Energy!D14</f>
        <v>8.1618086686000009</v>
      </c>
      <c r="O122">
        <f>Energy!D15</f>
        <v>4678.9553312964235</v>
      </c>
    </row>
    <row r="123" spans="2:15" x14ac:dyDescent="0.2">
      <c r="B123">
        <v>2021</v>
      </c>
      <c r="C123" s="83">
        <f>Supply!E8</f>
        <v>3447.5</v>
      </c>
      <c r="D123" s="83">
        <f>Supply!E9</f>
        <v>893.76</v>
      </c>
      <c r="E123" s="83">
        <f>Supply!E29</f>
        <v>646.7771863327655</v>
      </c>
      <c r="F123" s="83">
        <f>Supply!E34</f>
        <v>11.202463455800364</v>
      </c>
      <c r="G123" t="s">
        <v>366</v>
      </c>
      <c r="J123">
        <v>2021</v>
      </c>
      <c r="K123">
        <f>Energy!E9</f>
        <v>1224.7243749999998</v>
      </c>
      <c r="L123">
        <f>Energy!E10</f>
        <v>1624.8556800000001</v>
      </c>
      <c r="M123">
        <f>Energy!E11</f>
        <v>2252.9405323924666</v>
      </c>
      <c r="N123">
        <f>Energy!E14</f>
        <v>8.9059584473612894</v>
      </c>
      <c r="O123">
        <f>Energy!E15</f>
        <v>5111.4265458398277</v>
      </c>
    </row>
    <row r="124" spans="2:15" x14ac:dyDescent="0.2">
      <c r="B124">
        <v>2022</v>
      </c>
      <c r="C124" s="83">
        <f>Supply!F8</f>
        <v>3395.7874999999999</v>
      </c>
      <c r="D124" s="83">
        <f>Supply!F9</f>
        <v>875.88479999999993</v>
      </c>
      <c r="E124" s="83">
        <f>Supply!F29</f>
        <v>776.12599923440655</v>
      </c>
      <c r="F124" s="83">
        <f>Supply!F34</f>
        <v>12.223832082506027</v>
      </c>
      <c r="G124" t="s">
        <v>366</v>
      </c>
      <c r="J124">
        <v>2022</v>
      </c>
      <c r="K124">
        <f>Energy!F9</f>
        <v>1224.4488120156245</v>
      </c>
      <c r="L124">
        <f>Energy!F10</f>
        <v>1608.282152064</v>
      </c>
      <c r="M124">
        <f>Energy!F11</f>
        <v>2690.5701306792762</v>
      </c>
      <c r="N124">
        <f>Energy!F14</f>
        <v>9.6568273451797619</v>
      </c>
      <c r="O124">
        <f>Energy!F15</f>
        <v>5532.9579221040804</v>
      </c>
    </row>
    <row r="125" spans="2:15" x14ac:dyDescent="0.2">
      <c r="B125">
        <v>2023</v>
      </c>
      <c r="C125" s="83">
        <f>Supply!G8</f>
        <v>3344.8506875000003</v>
      </c>
      <c r="D125" s="83">
        <f>Supply!G9</f>
        <v>858.36710399999993</v>
      </c>
      <c r="E125" s="83">
        <f>Supply!G29</f>
        <v>903.56808999003488</v>
      </c>
      <c r="F125" s="83">
        <f>Supply!G34</f>
        <v>13.265972935288051</v>
      </c>
      <c r="G125" t="s">
        <v>366</v>
      </c>
      <c r="J125">
        <v>2023</v>
      </c>
      <c r="K125">
        <f>Energy!G9</f>
        <v>1224.173311032921</v>
      </c>
      <c r="L125">
        <f>Energy!G10</f>
        <v>1591.8776741129468</v>
      </c>
      <c r="M125">
        <f>Energy!G11</f>
        <v>3117.3099104656203</v>
      </c>
      <c r="N125">
        <f>Energy!G14</f>
        <v>10.413788754201121</v>
      </c>
      <c r="O125">
        <f>Energy!G15</f>
        <v>5943.7746843656887</v>
      </c>
    </row>
    <row r="126" spans="2:15" x14ac:dyDescent="0.2">
      <c r="B126">
        <v>2024</v>
      </c>
      <c r="C126" s="83">
        <f>Supply!H8</f>
        <v>3294.6779271874998</v>
      </c>
      <c r="D126" s="83">
        <f>Supply!H9</f>
        <v>841.1997619199999</v>
      </c>
      <c r="E126" s="83">
        <f>Supply!H29</f>
        <v>1029.1409155044557</v>
      </c>
      <c r="F126" s="83">
        <f>Supply!H34</f>
        <v>14.328496427800355</v>
      </c>
      <c r="G126" t="s">
        <v>366</v>
      </c>
      <c r="J126">
        <v>2024</v>
      </c>
      <c r="K126">
        <f>Energy!H9</f>
        <v>1223.8978720379382</v>
      </c>
      <c r="L126">
        <f>Energy!H10</f>
        <v>1575.640521836995</v>
      </c>
      <c r="M126">
        <f>Energy!H11</f>
        <v>3533.3838098986312</v>
      </c>
      <c r="N126">
        <f>Energy!H14</f>
        <v>11.176227213684276</v>
      </c>
      <c r="O126">
        <f>Energy!H15</f>
        <v>6344.0984309872483</v>
      </c>
    </row>
    <row r="127" spans="2:15" x14ac:dyDescent="0.2">
      <c r="B127">
        <v>2025</v>
      </c>
      <c r="C127" s="83">
        <f>Supply!I8</f>
        <v>3245.2577582796876</v>
      </c>
      <c r="D127" s="83">
        <f>Supply!I9</f>
        <v>824.37576668159988</v>
      </c>
      <c r="E127" s="83">
        <f>Supply!I29</f>
        <v>1152.8816116090993</v>
      </c>
      <c r="F127" s="83">
        <f>Supply!I34</f>
        <v>15.411017131904014</v>
      </c>
      <c r="G127" t="s">
        <v>366</v>
      </c>
      <c r="J127">
        <v>2025</v>
      </c>
      <c r="K127">
        <f>Energy!I9</f>
        <v>1223.6224950167295</v>
      </c>
      <c r="L127">
        <f>Energy!I10</f>
        <v>1559.5689885142574</v>
      </c>
      <c r="M127">
        <f>Energy!I11</f>
        <v>3939.0121729977559</v>
      </c>
      <c r="N127">
        <f>Energy!I14</f>
        <v>11.943538277225612</v>
      </c>
      <c r="O127">
        <f>Energy!I15</f>
        <v>6734.1471948059689</v>
      </c>
    </row>
    <row r="128" spans="2:15" x14ac:dyDescent="0.2">
      <c r="B128">
        <v>2026</v>
      </c>
      <c r="C128" s="83">
        <f>Supply!J8</f>
        <v>3196.5788919054921</v>
      </c>
      <c r="D128" s="83">
        <f>Supply!J9</f>
        <v>807.88825134796787</v>
      </c>
      <c r="E128" s="83">
        <f>Supply!J29</f>
        <v>1274.8270027069138</v>
      </c>
      <c r="F128" s="83">
        <f>Supply!J34</f>
        <v>16.5131537419166</v>
      </c>
      <c r="G128" t="s">
        <v>366</v>
      </c>
      <c r="J128">
        <v>2026</v>
      </c>
      <c r="K128">
        <f>Energy!J9</f>
        <v>1223.3471799553506</v>
      </c>
      <c r="L128">
        <f>Energy!J10</f>
        <v>1543.6613848314123</v>
      </c>
      <c r="M128">
        <f>Energy!J11</f>
        <v>4334.4118092035069</v>
      </c>
      <c r="N128">
        <f>Energy!J14</f>
        <v>12.715128381275782</v>
      </c>
      <c r="O128">
        <f>Energy!J15</f>
        <v>7114.135502371545</v>
      </c>
    </row>
    <row r="129" spans="2:15" x14ac:dyDescent="0.2">
      <c r="B129">
        <v>2027</v>
      </c>
      <c r="C129" s="83">
        <f>Supply!K8</f>
        <v>3148.6302085269099</v>
      </c>
      <c r="D129" s="83">
        <f>Supply!K9</f>
        <v>791.73048632100847</v>
      </c>
      <c r="E129" s="83">
        <f>Supply!K29</f>
        <v>1449.7636113661974</v>
      </c>
      <c r="F129" s="83">
        <f>Supply!K34</f>
        <v>17.634529039134627</v>
      </c>
      <c r="G129" t="s">
        <v>366</v>
      </c>
      <c r="J129">
        <v>2027</v>
      </c>
      <c r="K129">
        <f>Energy!K9</f>
        <v>1223.0719268398607</v>
      </c>
      <c r="L129">
        <f>Energy!K10</f>
        <v>1527.9160387061313</v>
      </c>
      <c r="M129">
        <f>Energy!K11</f>
        <v>4905.033551788968</v>
      </c>
      <c r="N129">
        <f>Energy!K14</f>
        <v>13.490414714937989</v>
      </c>
      <c r="O129">
        <f>Energy!K15</f>
        <v>7669.511932049898</v>
      </c>
    </row>
    <row r="130" spans="2:15" x14ac:dyDescent="0.2">
      <c r="B130">
        <v>2028</v>
      </c>
      <c r="C130" s="83">
        <f>Supply!L8</f>
        <v>3101.4007553990064</v>
      </c>
      <c r="D130" s="83">
        <f>Supply!L9</f>
        <v>775.89587659458823</v>
      </c>
      <c r="E130" s="83">
        <f>Supply!L29</f>
        <v>1622.9776678663886</v>
      </c>
      <c r="F130" s="83">
        <f>Supply!L34</f>
        <v>18.77476985662712</v>
      </c>
      <c r="G130" t="s">
        <v>366</v>
      </c>
      <c r="J130">
        <v>2028</v>
      </c>
      <c r="K130">
        <f>Energy!L9</f>
        <v>1222.7967356563215</v>
      </c>
      <c r="L130">
        <f>Energy!L10</f>
        <v>1512.3312951113292</v>
      </c>
      <c r="M130">
        <f>Energy!L11</f>
        <v>5464.0248151501755</v>
      </c>
      <c r="N130">
        <f>Energy!L14</f>
        <v>14.268825091036611</v>
      </c>
      <c r="O130">
        <f>Energy!L15</f>
        <v>8213.4216710088622</v>
      </c>
    </row>
    <row r="131" spans="2:15" x14ac:dyDescent="0.2">
      <c r="B131">
        <v>2029</v>
      </c>
      <c r="C131" s="83">
        <f>Supply!M8</f>
        <v>3054.879744068021</v>
      </c>
      <c r="D131" s="83">
        <f>Supply!M9</f>
        <v>760.3779590626965</v>
      </c>
      <c r="E131" s="83">
        <f>Supply!M29</f>
        <v>1794.50511969888</v>
      </c>
      <c r="F131" s="83">
        <f>Supply!M34</f>
        <v>19.933507044298441</v>
      </c>
      <c r="G131" t="s">
        <v>366</v>
      </c>
      <c r="J131">
        <v>2029</v>
      </c>
      <c r="K131">
        <f>Energy!M9</f>
        <v>1222.5216063907985</v>
      </c>
      <c r="L131">
        <f>Energy!M10</f>
        <v>1496.9055159011939</v>
      </c>
      <c r="M131">
        <f>Energy!M11</f>
        <v>6011.5921509912478</v>
      </c>
      <c r="N131">
        <f>Energy!M14</f>
        <v>15.049797818445324</v>
      </c>
      <c r="O131">
        <f>Energy!M15</f>
        <v>8746.069071101685</v>
      </c>
    </row>
    <row r="132" spans="2:15" x14ac:dyDescent="0.2">
      <c r="B132">
        <v>2030</v>
      </c>
      <c r="C132" s="83">
        <f>Supply!N8</f>
        <v>3009.056547907001</v>
      </c>
      <c r="D132" s="83">
        <f>Supply!N9</f>
        <v>745.17039988144245</v>
      </c>
      <c r="E132" s="83">
        <f>Supply!N29</f>
        <v>1964.3816410258278</v>
      </c>
      <c r="F132" s="83">
        <f>Supply!N34</f>
        <v>21.110375434218479</v>
      </c>
      <c r="G132" t="s">
        <v>366</v>
      </c>
      <c r="J132">
        <v>2030</v>
      </c>
      <c r="K132">
        <f>Energy!N9</f>
        <v>1222.2465390293605</v>
      </c>
      <c r="L132">
        <f>Energy!N10</f>
        <v>1481.6370796390015</v>
      </c>
      <c r="M132">
        <f>Energy!N11</f>
        <v>6547.9388034194262</v>
      </c>
      <c r="N132">
        <f>Energy!N14</f>
        <v>15.832781575663859</v>
      </c>
      <c r="O132">
        <f>Energy!N15</f>
        <v>9267.655203663453</v>
      </c>
    </row>
    <row r="133" spans="2:15" x14ac:dyDescent="0.2">
      <c r="B133">
        <v>2031</v>
      </c>
      <c r="C133" s="83">
        <f>Supply!O8</f>
        <v>2963.9206996883959</v>
      </c>
      <c r="D133" s="83">
        <f>Supply!O9</f>
        <v>730.2669918838136</v>
      </c>
      <c r="E133" s="83">
        <f>Supply!O29</f>
        <v>2132.642642100011</v>
      </c>
      <c r="F133" s="83">
        <f>Supply!O34</f>
        <v>22.305013806218184</v>
      </c>
      <c r="G133" t="s">
        <v>366</v>
      </c>
      <c r="J133">
        <v>2031</v>
      </c>
      <c r="K133">
        <f>Energy!O9</f>
        <v>1221.9715335580788</v>
      </c>
      <c r="L133">
        <f>Energy!O10</f>
        <v>1466.5243814266832</v>
      </c>
      <c r="M133">
        <f>Energy!O11</f>
        <v>7073.2647629650373</v>
      </c>
      <c r="N133">
        <f>Energy!O14</f>
        <v>16.617235285632546</v>
      </c>
      <c r="O133">
        <f>Energy!O15</f>
        <v>9778.3779132354302</v>
      </c>
    </row>
    <row r="134" spans="2:15" x14ac:dyDescent="0.2">
      <c r="B134">
        <v>2032</v>
      </c>
      <c r="C134" s="83">
        <f>Supply!P8</f>
        <v>2919.46188919307</v>
      </c>
      <c r="D134" s="83">
        <f>Supply!P9</f>
        <v>715.66165204613731</v>
      </c>
      <c r="E134" s="83">
        <f>Supply!P29</f>
        <v>2299.3232786487019</v>
      </c>
      <c r="F134" s="83">
        <f>Supply!P34</f>
        <v>23.517064853748746</v>
      </c>
      <c r="G134" t="s">
        <v>366</v>
      </c>
      <c r="J134">
        <v>2032</v>
      </c>
      <c r="K134">
        <f>Energy!P9</f>
        <v>1221.6965899630281</v>
      </c>
      <c r="L134">
        <f>Energy!P10</f>
        <v>1451.5658327361309</v>
      </c>
      <c r="M134">
        <f>Energy!P11</f>
        <v>7587.7668195407159</v>
      </c>
      <c r="N134">
        <f>Energy!P14</f>
        <v>17.402627991774072</v>
      </c>
      <c r="O134">
        <f>Energy!P15</f>
        <v>10278.431870231649</v>
      </c>
    </row>
    <row r="135" spans="2:15" x14ac:dyDescent="0.2">
      <c r="B135">
        <v>2033</v>
      </c>
      <c r="C135" s="83">
        <f>Supply!Q8</f>
        <v>2875.6699608551739</v>
      </c>
      <c r="D135" s="83">
        <f>Supply!Q9</f>
        <v>701.34841900521451</v>
      </c>
      <c r="E135" s="83">
        <f>Supply!Q29</f>
        <v>2464.4584612245744</v>
      </c>
      <c r="F135" s="83">
        <f>Supply!Q34</f>
        <v>24.746175150002376</v>
      </c>
      <c r="G135" t="s">
        <v>366</v>
      </c>
      <c r="J135">
        <v>2033</v>
      </c>
      <c r="K135">
        <f>Energy!Q9</f>
        <v>1221.4217082302864</v>
      </c>
      <c r="L135">
        <f>Energy!Q10</f>
        <v>1436.7598612422223</v>
      </c>
      <c r="M135">
        <f>Energy!Q11</f>
        <v>8091.6386143540194</v>
      </c>
      <c r="N135">
        <f>Energy!Q14</f>
        <v>18.188438735251747</v>
      </c>
      <c r="O135">
        <f>Energy!Q15</f>
        <v>10768.00862256178</v>
      </c>
    </row>
    <row r="136" spans="2:15" x14ac:dyDescent="0.2">
      <c r="B136">
        <v>2034</v>
      </c>
      <c r="C136" s="83">
        <f>Supply!R8</f>
        <v>2832.5349114423466</v>
      </c>
      <c r="D136" s="83">
        <f>Supply!R9</f>
        <v>687.32145062511029</v>
      </c>
      <c r="E136" s="83">
        <f>Supply!R29</f>
        <v>2628.0828645266429</v>
      </c>
      <c r="F136" s="83">
        <f>Supply!R34</f>
        <v>25.991995114292926</v>
      </c>
      <c r="G136" t="s">
        <v>366</v>
      </c>
      <c r="J136">
        <v>2034</v>
      </c>
      <c r="K136">
        <f>Energy!R9</f>
        <v>1221.1468883459343</v>
      </c>
      <c r="L136">
        <f>Energy!R10</f>
        <v>1422.1049106575522</v>
      </c>
      <c r="M136">
        <f>Energy!R11</f>
        <v>8585.0706907870335</v>
      </c>
      <c r="N136">
        <f>Energy!R14</f>
        <v>18.974156433433837</v>
      </c>
      <c r="O136">
        <f>Energy!R15</f>
        <v>11247.296646223955</v>
      </c>
    </row>
    <row r="137" spans="2:15" x14ac:dyDescent="0.2">
      <c r="B137">
        <v>2035</v>
      </c>
      <c r="C137" s="83">
        <f>Supply!S8</f>
        <v>2790.0468877707108</v>
      </c>
      <c r="D137" s="83">
        <f>Supply!S9</f>
        <v>673.575021612608</v>
      </c>
      <c r="E137" s="83">
        <f>Supply!S29</f>
        <v>2790.2309366942195</v>
      </c>
      <c r="F137" s="83">
        <f>Supply!S34</f>
        <v>27.254178978694512</v>
      </c>
      <c r="G137" t="s">
        <v>366</v>
      </c>
      <c r="J137">
        <v>2035</v>
      </c>
      <c r="K137">
        <f>Energy!S9</f>
        <v>1220.872130296056</v>
      </c>
      <c r="L137">
        <f>Energy!S10</f>
        <v>1407.5994405688446</v>
      </c>
      <c r="M137">
        <f>Energy!S11</f>
        <v>9068.2505442562142</v>
      </c>
      <c r="N137">
        <f>Energy!S14</f>
        <v>19.759279759553522</v>
      </c>
      <c r="O137">
        <f>Energy!S15</f>
        <v>11716.481394880668</v>
      </c>
    </row>
    <row r="138" spans="2:15" x14ac:dyDescent="0.2">
      <c r="B138">
        <v>2036</v>
      </c>
      <c r="C138" s="83">
        <f>Supply!T8</f>
        <v>2748.1961844541502</v>
      </c>
      <c r="D138" s="83">
        <f>Supply!T9</f>
        <v>660.10352118035587</v>
      </c>
      <c r="E138" s="83">
        <f>Supply!T29</f>
        <v>2950.9369085768626</v>
      </c>
      <c r="F138" s="83">
        <f>Supply!T34</f>
        <v>28.532384754936281</v>
      </c>
      <c r="G138" t="s">
        <v>366</v>
      </c>
      <c r="J138">
        <v>2036</v>
      </c>
      <c r="K138">
        <f>Energy!T9</f>
        <v>1220.5974340667392</v>
      </c>
      <c r="L138">
        <f>Energy!T10</f>
        <v>1393.2419262750429</v>
      </c>
      <c r="M138">
        <f>Energy!T11</f>
        <v>9541.3626710651897</v>
      </c>
      <c r="N138">
        <f>Energy!T14</f>
        <v>20.54331702355412</v>
      </c>
      <c r="O138">
        <f>Energy!T15</f>
        <v>12175.745348430526</v>
      </c>
    </row>
    <row r="139" spans="2:15" x14ac:dyDescent="0.2">
      <c r="B139">
        <v>2037</v>
      </c>
      <c r="C139" s="83">
        <f>Supply!U8</f>
        <v>2706.973241687338</v>
      </c>
      <c r="D139" s="83">
        <f>Supply!U9</f>
        <v>646.90145075674877</v>
      </c>
      <c r="E139" s="83">
        <f>Supply!U29</f>
        <v>3055.4848029833456</v>
      </c>
      <c r="F139" s="83">
        <f>Supply!U34</f>
        <v>29.826274201551371</v>
      </c>
      <c r="G139" t="s">
        <v>366</v>
      </c>
      <c r="J139">
        <v>2037</v>
      </c>
      <c r="K139">
        <f>Energy!U9</f>
        <v>1220.3227996440742</v>
      </c>
      <c r="L139">
        <f>Energy!U10</f>
        <v>1379.0308586270376</v>
      </c>
      <c r="M139">
        <f>Energy!U11</f>
        <v>9828.4761162630948</v>
      </c>
      <c r="N139">
        <f>Energy!U14</f>
        <v>21.325786054109233</v>
      </c>
      <c r="O139">
        <f>Energy!U15</f>
        <v>12449.155560588315</v>
      </c>
    </row>
    <row r="140" spans="2:15" x14ac:dyDescent="0.2">
      <c r="B140">
        <v>2038</v>
      </c>
      <c r="C140" s="83">
        <f>Supply!V8</f>
        <v>2666.3686430620278</v>
      </c>
      <c r="D140" s="83">
        <f>Supply!V9</f>
        <v>633.96342174161373</v>
      </c>
      <c r="E140" s="83">
        <f>Supply!V29</f>
        <v>3158.6584439125982</v>
      </c>
      <c r="F140" s="83">
        <f>Supply!V34</f>
        <v>31.135512791278629</v>
      </c>
      <c r="G140" t="s">
        <v>366</v>
      </c>
      <c r="J140">
        <v>2038</v>
      </c>
      <c r="K140">
        <f>Energy!V9</f>
        <v>1220.048227014154</v>
      </c>
      <c r="L140">
        <f>Energy!V10</f>
        <v>1364.9647438690417</v>
      </c>
      <c r="M140">
        <f>Energy!V11</f>
        <v>10107.707020520314</v>
      </c>
      <c r="N140">
        <f>Energy!V14</f>
        <v>22.106214081807828</v>
      </c>
      <c r="O140">
        <f>Energy!V15</f>
        <v>12714.826205485318</v>
      </c>
    </row>
    <row r="141" spans="2:15" x14ac:dyDescent="0.2">
      <c r="B141">
        <v>2039</v>
      </c>
      <c r="C141" s="83">
        <f>Supply!W8</f>
        <v>2626.3731134160976</v>
      </c>
      <c r="D141" s="83">
        <f>Supply!W9</f>
        <v>621.28415330678149</v>
      </c>
      <c r="E141" s="83">
        <f>Supply!W29</f>
        <v>3260.4914657696377</v>
      </c>
      <c r="F141" s="83">
        <f>Supply!W34</f>
        <v>32.459769678714757</v>
      </c>
      <c r="G141" t="s">
        <v>366</v>
      </c>
      <c r="J141">
        <v>2039</v>
      </c>
      <c r="K141">
        <f>Energy!W9</f>
        <v>1219.7737161630757</v>
      </c>
      <c r="L141">
        <f>Energy!W10</f>
        <v>1351.0421034815772</v>
      </c>
      <c r="M141">
        <f>Energy!W11</f>
        <v>10379.231166033347</v>
      </c>
      <c r="N141">
        <f>Energy!W14</f>
        <v>22.884137623493906</v>
      </c>
      <c r="O141">
        <f>Energy!W15</f>
        <v>12972.931123301494</v>
      </c>
    </row>
    <row r="142" spans="2:15" x14ac:dyDescent="0.2">
      <c r="B142">
        <v>2040</v>
      </c>
      <c r="C142" s="83">
        <f>Supply!X8</f>
        <v>2586.9775167148564</v>
      </c>
      <c r="D142" s="83">
        <f>Supply!X9</f>
        <v>608.85847024064583</v>
      </c>
      <c r="E142" s="83">
        <f>Supply!X29</f>
        <v>3361.0173225694607</v>
      </c>
      <c r="F142" s="83">
        <f>Supply!X34</f>
        <v>33.798717668215644</v>
      </c>
      <c r="G142" t="s">
        <v>366</v>
      </c>
      <c r="J142">
        <v>2040</v>
      </c>
      <c r="K142">
        <f>Energy!X9</f>
        <v>1219.4992670769388</v>
      </c>
      <c r="L142">
        <f>Energy!X10</f>
        <v>1337.2614740260653</v>
      </c>
      <c r="M142">
        <f>Energy!X11</f>
        <v>10643.221521469959</v>
      </c>
      <c r="N142">
        <f>Energy!X14</f>
        <v>23.659102367750954</v>
      </c>
      <c r="O142">
        <f>Energy!X15</f>
        <v>13223.641364940713</v>
      </c>
    </row>
    <row r="143" spans="2:15" x14ac:dyDescent="0.2">
      <c r="B143">
        <v>2041</v>
      </c>
      <c r="C143" s="83">
        <f>Supply!Y8</f>
        <v>2548.1728539641335</v>
      </c>
      <c r="D143" s="83">
        <f>Supply!Y9</f>
        <v>596.68130083583287</v>
      </c>
      <c r="E143" s="83">
        <f>Supply!Y29</f>
        <v>3460.2692971319148</v>
      </c>
      <c r="F143" s="83">
        <f>Supply!Y34</f>
        <v>35.152033182044626</v>
      </c>
      <c r="G143" t="s">
        <v>366</v>
      </c>
      <c r="J143">
        <v>2041</v>
      </c>
      <c r="K143">
        <f>Energy!Y9</f>
        <v>1219.2248797418465</v>
      </c>
      <c r="L143">
        <f>Energy!Y10</f>
        <v>1323.621406990999</v>
      </c>
      <c r="M143">
        <f>Energy!Y11</f>
        <v>10899.848285965531</v>
      </c>
      <c r="N143">
        <f>Energy!Y14</f>
        <v>24.430663061521017</v>
      </c>
      <c r="O143">
        <f>Energy!Y15</f>
        <v>13467.125235759897</v>
      </c>
    </row>
    <row r="144" spans="2:15" x14ac:dyDescent="0.2">
      <c r="B144">
        <v>2042</v>
      </c>
      <c r="C144" s="83">
        <f>Supply!Z8</f>
        <v>2509.9502611546714</v>
      </c>
      <c r="D144" s="83">
        <f>Supply!Z9</f>
        <v>584.74767481911624</v>
      </c>
      <c r="E144" s="83">
        <f>Supply!Z29</f>
        <v>3558.2805102705438</v>
      </c>
      <c r="F144" s="83">
        <f>Supply!Z34</f>
        <v>36.519396228766382</v>
      </c>
      <c r="G144" t="s">
        <v>366</v>
      </c>
      <c r="J144">
        <v>2042</v>
      </c>
      <c r="K144">
        <f>Energy!Z9</f>
        <v>1218.9505541439041</v>
      </c>
      <c r="L144">
        <f>Energy!Z10</f>
        <v>1310.1204686396914</v>
      </c>
      <c r="M144">
        <f>Energy!Z11</f>
        <v>11149.278932181038</v>
      </c>
      <c r="N144">
        <f>Energy!Z14</f>
        <v>25.198383397848804</v>
      </c>
      <c r="O144">
        <f>Energy!Z15</f>
        <v>13703.548338362481</v>
      </c>
    </row>
    <row r="145" spans="2:15" x14ac:dyDescent="0.2">
      <c r="B145">
        <v>2043</v>
      </c>
      <c r="C145" s="83">
        <f>Supply!AA8</f>
        <v>2472.3010072373513</v>
      </c>
      <c r="D145" s="83">
        <f>Supply!AA9</f>
        <v>573.05272132273387</v>
      </c>
      <c r="E145" s="83">
        <f>Supply!AA29</f>
        <v>3655.0839299783925</v>
      </c>
      <c r="F145" s="83">
        <f>Supply!AA34</f>
        <v>37.90049037188426</v>
      </c>
      <c r="G145" t="s">
        <v>366</v>
      </c>
      <c r="J145">
        <v>2043</v>
      </c>
      <c r="K145">
        <f>Energy!AA9</f>
        <v>1218.6762902692219</v>
      </c>
      <c r="L145">
        <f>Energy!AA10</f>
        <v>1296.757239859566</v>
      </c>
      <c r="M145">
        <f>Energy!AA11</f>
        <v>11391.678248432656</v>
      </c>
      <c r="N145">
        <f>Energy!AA14</f>
        <v>25.96183590474072</v>
      </c>
      <c r="O145">
        <f>Energy!AA15</f>
        <v>13933.073614466184</v>
      </c>
    </row>
    <row r="146" spans="2:15" x14ac:dyDescent="0.2">
      <c r="B146">
        <v>2044</v>
      </c>
      <c r="C146" s="83">
        <f>Supply!AB8</f>
        <v>2435.2164921287908</v>
      </c>
      <c r="D146" s="83">
        <f>Supply!AB9</f>
        <v>561.59166689627921</v>
      </c>
      <c r="E146" s="83">
        <f>Supply!AB29</f>
        <v>3750.7123806138352</v>
      </c>
      <c r="F146" s="83">
        <f>Supply!AB34</f>
        <v>39.295002698719706</v>
      </c>
      <c r="G146" t="s">
        <v>366</v>
      </c>
      <c r="J146">
        <v>2044</v>
      </c>
      <c r="K146">
        <f>Energy!AB9</f>
        <v>1218.402088103911</v>
      </c>
      <c r="L146">
        <f>Energy!AB10</f>
        <v>1283.5303160129988</v>
      </c>
      <c r="M146">
        <f>Energy!AB11</f>
        <v>11627.20837990289</v>
      </c>
      <c r="N146">
        <f>Energy!AB14</f>
        <v>26.720601835129401</v>
      </c>
      <c r="O146">
        <f>Energy!AB15</f>
        <v>14155.861385854929</v>
      </c>
    </row>
    <row r="147" spans="2:15" x14ac:dyDescent="0.2">
      <c r="B147">
        <v>2045</v>
      </c>
      <c r="C147" s="83">
        <f>Supply!AC8</f>
        <v>2398.6882447468593</v>
      </c>
      <c r="D147" s="83">
        <f>Supply!AC9</f>
        <v>550.35983355835356</v>
      </c>
      <c r="E147" s="83">
        <f>Supply!AC29</f>
        <v>3845.1985520893941</v>
      </c>
      <c r="F147" s="83">
        <f>Supply!AC34</f>
        <v>40.702623789531643</v>
      </c>
      <c r="G147" t="s">
        <v>366</v>
      </c>
      <c r="J147">
        <v>2045</v>
      </c>
      <c r="K147">
        <f>Energy!AC9</f>
        <v>1218.1279476340876</v>
      </c>
      <c r="L147">
        <f>Energy!AC10</f>
        <v>1270.4383067896663</v>
      </c>
      <c r="M147">
        <f>Energy!AC11</f>
        <v>11856.0288689423</v>
      </c>
      <c r="N147">
        <f>Energy!AC14</f>
        <v>27.474271057933862</v>
      </c>
      <c r="O147">
        <f>Energy!AC15</f>
        <v>14372.069394423987</v>
      </c>
    </row>
    <row r="148" spans="2:15" x14ac:dyDescent="0.2">
      <c r="B148">
        <v>2046</v>
      </c>
      <c r="C148" s="83">
        <f>Supply!AD8</f>
        <v>2362.707921075656</v>
      </c>
      <c r="D148" s="83">
        <f>Supply!AD9</f>
        <v>539.35263688718646</v>
      </c>
      <c r="E148" s="83">
        <f>Supply!AD29</f>
        <v>3938.5750090666138</v>
      </c>
      <c r="F148" s="83">
        <f>Supply!AD34</f>
        <v>42.123047686874642</v>
      </c>
      <c r="G148" t="s">
        <v>366</v>
      </c>
      <c r="J148">
        <v>2046</v>
      </c>
      <c r="K148">
        <f>Energy!AD9</f>
        <v>1217.8538688458696</v>
      </c>
      <c r="L148">
        <f>Energy!AD10</f>
        <v>1257.4798360604116</v>
      </c>
      <c r="M148">
        <f>Energy!AD11</f>
        <v>12078.296694470948</v>
      </c>
      <c r="N148">
        <f>Energy!AD14</f>
        <v>28.222441950206012</v>
      </c>
      <c r="O148">
        <f>Energy!AD15</f>
        <v>14581.852841327434</v>
      </c>
    </row>
    <row r="149" spans="2:15" x14ac:dyDescent="0.2">
      <c r="B149">
        <v>2047</v>
      </c>
      <c r="C149" s="83">
        <f>Supply!AE8</f>
        <v>2327.2673022595213</v>
      </c>
      <c r="D149" s="83">
        <f>Supply!AE9</f>
        <v>528.56558414944266</v>
      </c>
      <c r="E149" s="83">
        <f>Supply!AE29</f>
        <v>4030.8742001600176</v>
      </c>
      <c r="F149" s="83">
        <f>Supply!AE34</f>
        <v>43.55597186519357</v>
      </c>
      <c r="G149" t="s">
        <v>366</v>
      </c>
      <c r="J149">
        <v>2047</v>
      </c>
      <c r="K149">
        <f>Energy!AE9</f>
        <v>1217.5798517253793</v>
      </c>
      <c r="L149">
        <f>Energy!AE10</f>
        <v>1244.6535417325947</v>
      </c>
      <c r="M149">
        <f>Energy!AE11</f>
        <v>12294.166310488054</v>
      </c>
      <c r="N149">
        <f>Energy!AE14</f>
        <v>28.964721290353726</v>
      </c>
      <c r="O149">
        <f>Energy!AE15</f>
        <v>14785.364425236379</v>
      </c>
    </row>
    <row r="150" spans="2:15" x14ac:dyDescent="0.2">
      <c r="B150">
        <v>2048</v>
      </c>
      <c r="C150" s="83">
        <f>Supply!AF8</f>
        <v>2292.3582927256284</v>
      </c>
      <c r="D150" s="83">
        <f>Supply!AF9</f>
        <v>517.99427246645382</v>
      </c>
      <c r="E150" s="83">
        <f>Supply!AF29</f>
        <v>4122.1284671532085</v>
      </c>
      <c r="F150" s="83">
        <f>Supply!AF34</f>
        <v>45.00109720065354</v>
      </c>
      <c r="G150" t="s">
        <v>366</v>
      </c>
      <c r="J150">
        <v>2048</v>
      </c>
      <c r="K150">
        <f>Energy!AF9</f>
        <v>1217.3058962587406</v>
      </c>
      <c r="L150">
        <f>Energy!AF10</f>
        <v>1231.9580756069226</v>
      </c>
      <c r="M150">
        <f>Energy!AF11</f>
        <v>12503.789683698065</v>
      </c>
      <c r="N150">
        <f>Energy!AF14</f>
        <v>29.700724152431338</v>
      </c>
      <c r="O150">
        <f>Energy!AF15</f>
        <v>14982.75437971616</v>
      </c>
    </row>
    <row r="151" spans="2:15" x14ac:dyDescent="0.2">
      <c r="B151">
        <v>2049</v>
      </c>
      <c r="C151" s="83">
        <f>Supply!AG8</f>
        <v>2257.972918334744</v>
      </c>
      <c r="D151" s="83">
        <f>Supply!AG9</f>
        <v>507.63438701712477</v>
      </c>
      <c r="E151" s="83">
        <f>Supply!AG29</f>
        <v>4212.3700542301631</v>
      </c>
      <c r="F151" s="83">
        <f>Supply!AG34</f>
        <v>46.458127941203088</v>
      </c>
      <c r="G151" t="s">
        <v>366</v>
      </c>
      <c r="J151">
        <v>2049</v>
      </c>
      <c r="K151">
        <f>Energy!AG9</f>
        <v>1217.0320024320824</v>
      </c>
      <c r="L151">
        <f>Energy!AG10</f>
        <v>1219.3921032357321</v>
      </c>
      <c r="M151">
        <f>Energy!AG11</f>
        <v>12707.316330260992</v>
      </c>
      <c r="N151">
        <f>Energy!AG14</f>
        <v>30.430073801488025</v>
      </c>
      <c r="O151">
        <f>Energy!AG15</f>
        <v>15174.170509730295</v>
      </c>
    </row>
    <row r="152" spans="2:15" x14ac:dyDescent="0.2">
      <c r="B152">
        <v>2050</v>
      </c>
      <c r="C152" s="83">
        <f>Supply!AH8</f>
        <v>2224.1033245597232</v>
      </c>
      <c r="D152" s="83">
        <f>Supply!AH9</f>
        <v>497.48169927678225</v>
      </c>
      <c r="E152" s="83">
        <f>Supply!AH29</f>
        <v>4301.6311172248079</v>
      </c>
      <c r="F152" s="83">
        <f>Supply!AH34</f>
        <v>47.926771676869222</v>
      </c>
      <c r="G152" t="s">
        <v>366</v>
      </c>
      <c r="J152">
        <v>2050</v>
      </c>
      <c r="K152">
        <f>Energy!AH9</f>
        <v>1216.7581702315351</v>
      </c>
      <c r="L152">
        <f>Energy!AH10</f>
        <v>1206.9543037827277</v>
      </c>
      <c r="M152">
        <f>Energy!AH11</f>
        <v>12904.893351674424</v>
      </c>
      <c r="N152">
        <f>Energy!AH14</f>
        <v>31.152401589964995</v>
      </c>
      <c r="O152">
        <f>Energy!AH15</f>
        <v>15359.758227278651</v>
      </c>
    </row>
    <row r="153" spans="2:15" x14ac:dyDescent="0.2">
      <c r="B153">
        <v>2020</v>
      </c>
      <c r="C153">
        <v>3500</v>
      </c>
      <c r="D153">
        <v>912</v>
      </c>
      <c r="E153">
        <f>Supply!D30</f>
        <v>515.48386360794939</v>
      </c>
      <c r="F153">
        <f>Supply!D34-Supply!D16</f>
        <v>10.20226083575</v>
      </c>
      <c r="G153" t="s">
        <v>367</v>
      </c>
    </row>
    <row r="154" spans="2:15" x14ac:dyDescent="0.2">
      <c r="B154">
        <v>2021</v>
      </c>
      <c r="C154">
        <v>3447.5</v>
      </c>
      <c r="D154">
        <v>893.76</v>
      </c>
      <c r="E154">
        <f>Supply!E30</f>
        <v>646.7771863327655</v>
      </c>
      <c r="F154">
        <f>Supply!E34-Supply!E16</f>
        <v>11.202463455800364</v>
      </c>
      <c r="G154" t="s">
        <v>367</v>
      </c>
    </row>
    <row r="155" spans="2:15" x14ac:dyDescent="0.2">
      <c r="B155">
        <v>2022</v>
      </c>
      <c r="C155">
        <v>3395.7874999999999</v>
      </c>
      <c r="D155">
        <v>875.88479999999993</v>
      </c>
      <c r="E155">
        <f>Supply!F30</f>
        <v>776.12599923440655</v>
      </c>
      <c r="F155">
        <f>Supply!F34-Supply!F16</f>
        <v>12.223832082506027</v>
      </c>
      <c r="G155" t="s">
        <v>367</v>
      </c>
    </row>
    <row r="156" spans="2:15" x14ac:dyDescent="0.2">
      <c r="B156">
        <v>2023</v>
      </c>
      <c r="C156">
        <v>3344.8506875000003</v>
      </c>
      <c r="D156">
        <v>858.36710399999993</v>
      </c>
      <c r="E156">
        <f>Supply!G30</f>
        <v>903.56808999003488</v>
      </c>
      <c r="F156">
        <f>Supply!G34-Supply!G16</f>
        <v>13.265972935288051</v>
      </c>
      <c r="G156" t="s">
        <v>367</v>
      </c>
    </row>
    <row r="157" spans="2:15" x14ac:dyDescent="0.2">
      <c r="B157">
        <v>2024</v>
      </c>
      <c r="C157">
        <v>3294.6779271874998</v>
      </c>
      <c r="D157">
        <v>841.1997619199999</v>
      </c>
      <c r="E157">
        <f>Supply!H30</f>
        <v>1029.1409155044557</v>
      </c>
      <c r="F157">
        <f>Supply!H34-Supply!H16</f>
        <v>14.328496427800355</v>
      </c>
      <c r="G157" t="s">
        <v>367</v>
      </c>
    </row>
    <row r="158" spans="2:15" x14ac:dyDescent="0.2">
      <c r="B158">
        <v>2025</v>
      </c>
      <c r="C158">
        <v>3245.2577582796876</v>
      </c>
      <c r="D158">
        <v>824.37576668159988</v>
      </c>
      <c r="E158">
        <f>Supply!I30</f>
        <v>1152.8816116090993</v>
      </c>
      <c r="F158">
        <f>Supply!I34-Supply!I16</f>
        <v>15.411017131904014</v>
      </c>
      <c r="G158" t="s">
        <v>367</v>
      </c>
    </row>
    <row r="159" spans="2:15" x14ac:dyDescent="0.2">
      <c r="B159">
        <v>2026</v>
      </c>
      <c r="C159">
        <v>3196.5788919054921</v>
      </c>
      <c r="D159">
        <v>807.88825134796787</v>
      </c>
      <c r="E159">
        <f>Supply!J30</f>
        <v>1274.8270027069138</v>
      </c>
      <c r="F159">
        <f>Supply!J34-Supply!J16</f>
        <v>16.5131537419166</v>
      </c>
      <c r="G159" t="s">
        <v>367</v>
      </c>
    </row>
    <row r="160" spans="2:15" x14ac:dyDescent="0.2">
      <c r="B160">
        <v>2027</v>
      </c>
      <c r="C160">
        <v>3148.6302085269099</v>
      </c>
      <c r="D160">
        <v>791.73048632100847</v>
      </c>
      <c r="E160">
        <f>Supply!K30</f>
        <v>1403.0079311972718</v>
      </c>
      <c r="F160">
        <f>Supply!K34-Supply!K16</f>
        <v>9.6402092080602628</v>
      </c>
      <c r="G160" t="s">
        <v>367</v>
      </c>
    </row>
    <row r="161" spans="2:7" x14ac:dyDescent="0.2">
      <c r="B161">
        <v>2028</v>
      </c>
      <c r="C161">
        <v>3101.4007553990064</v>
      </c>
      <c r="D161">
        <v>775.89587659458823</v>
      </c>
      <c r="E161">
        <f>Supply!L30</f>
        <v>1521.863731735682</v>
      </c>
      <c r="F161">
        <f>Supply!L34-Supply!L16</f>
        <v>10.388705987333674</v>
      </c>
      <c r="G161" t="s">
        <v>367</v>
      </c>
    </row>
    <row r="162" spans="2:7" x14ac:dyDescent="0.2">
      <c r="B162">
        <v>2029</v>
      </c>
      <c r="C162">
        <v>3054.879744068021</v>
      </c>
      <c r="D162">
        <v>760.3779590626965</v>
      </c>
      <c r="E162">
        <f>Supply!M30</f>
        <v>1639.0258627983712</v>
      </c>
      <c r="F162">
        <f>Supply!M34-Supply!M16</f>
        <v>11.162763944807127</v>
      </c>
      <c r="G162" t="s">
        <v>367</v>
      </c>
    </row>
    <row r="163" spans="2:7" x14ac:dyDescent="0.2">
      <c r="B163">
        <v>2030</v>
      </c>
      <c r="C163">
        <v>3009.056547907001</v>
      </c>
      <c r="D163">
        <v>745.17039988144245</v>
      </c>
      <c r="E163">
        <f>Supply!N30</f>
        <v>1754.5294703806558</v>
      </c>
      <c r="F163">
        <f>Supply!N34-Supply!N16</f>
        <v>11.962546079390471</v>
      </c>
      <c r="G163" t="s">
        <v>367</v>
      </c>
    </row>
    <row r="164" spans="2:7" x14ac:dyDescent="0.2">
      <c r="B164">
        <v>2031</v>
      </c>
      <c r="C164">
        <v>2963.9206996883959</v>
      </c>
      <c r="D164">
        <v>730.2669918838136</v>
      </c>
      <c r="E164">
        <f>Supply!O30</f>
        <v>1868.4094479906639</v>
      </c>
      <c r="F164">
        <f>Supply!O34-Supply!O16</f>
        <v>12.788207915565094</v>
      </c>
      <c r="G164" t="s">
        <v>367</v>
      </c>
    </row>
    <row r="165" spans="2:7" x14ac:dyDescent="0.2">
      <c r="B165">
        <v>2032</v>
      </c>
      <c r="C165">
        <v>2919.46188919307</v>
      </c>
      <c r="D165">
        <v>715.66165204613731</v>
      </c>
      <c r="E165">
        <f>Supply!P30</f>
        <v>1980.7004458872764</v>
      </c>
      <c r="F165">
        <f>Supply!P34-Supply!P16</f>
        <v>13.639897615174274</v>
      </c>
      <c r="G165" t="s">
        <v>367</v>
      </c>
    </row>
    <row r="166" spans="2:7" x14ac:dyDescent="0.2">
      <c r="B166">
        <v>2033</v>
      </c>
      <c r="C166">
        <v>2875.6699608551739</v>
      </c>
      <c r="D166">
        <v>701.34841900521451</v>
      </c>
      <c r="E166">
        <f>Supply!Q30</f>
        <v>2091.4368802865752</v>
      </c>
      <c r="F166">
        <f>Supply!Q34-Supply!Q16</f>
        <v>14.517756088001393</v>
      </c>
      <c r="G166" t="s">
        <v>367</v>
      </c>
    </row>
    <row r="167" spans="2:7" x14ac:dyDescent="0.2">
      <c r="B167">
        <v>2034</v>
      </c>
      <c r="C167">
        <v>2832.5349114423466</v>
      </c>
      <c r="D167">
        <v>687.32145062511029</v>
      </c>
      <c r="E167">
        <f>Supply!R30</f>
        <v>2200.6529425397885</v>
      </c>
      <c r="F167">
        <f>Supply!R34-Supply!R16</f>
        <v>15.421917101147136</v>
      </c>
      <c r="G167" t="s">
        <v>367</v>
      </c>
    </row>
    <row r="168" spans="2:7" x14ac:dyDescent="0.2">
      <c r="B168">
        <v>2035</v>
      </c>
      <c r="C168">
        <v>2790.0468877707108</v>
      </c>
      <c r="D168">
        <v>673.575021612608</v>
      </c>
      <c r="E168">
        <f>Supply!S30</f>
        <v>2308.3826082856972</v>
      </c>
      <c r="F168">
        <f>Supply!S34-Supply!S16</f>
        <v>16.352507387216704</v>
      </c>
      <c r="G168" t="s">
        <v>367</v>
      </c>
    </row>
    <row r="169" spans="2:7" x14ac:dyDescent="0.2">
      <c r="B169">
        <v>2036</v>
      </c>
      <c r="C169">
        <v>2748.1961844541502</v>
      </c>
      <c r="D169">
        <v>660.10352118035587</v>
      </c>
      <c r="E169">
        <f>Supply!T30</f>
        <v>2414.659646580471</v>
      </c>
      <c r="F169">
        <f>Supply!T34-Supply!T16</f>
        <v>17.30964675132801</v>
      </c>
      <c r="G169" t="s">
        <v>367</v>
      </c>
    </row>
    <row r="170" spans="2:7" x14ac:dyDescent="0.2">
      <c r="B170">
        <v>2037</v>
      </c>
      <c r="C170">
        <v>2706.973241687338</v>
      </c>
      <c r="D170">
        <v>646.90145075674877</v>
      </c>
      <c r="E170">
        <f>Supply!U30</f>
        <v>2519.5176290079453</v>
      </c>
      <c r="F170">
        <f>Supply!U34-Supply!U16</f>
        <v>18.293448176951507</v>
      </c>
      <c r="G170" t="s">
        <v>367</v>
      </c>
    </row>
    <row r="171" spans="2:7" x14ac:dyDescent="0.2">
      <c r="B171">
        <v>2038</v>
      </c>
      <c r="C171">
        <v>2666.3686430620278</v>
      </c>
      <c r="D171">
        <v>633.96342174161373</v>
      </c>
      <c r="E171">
        <f>Supply!V30</f>
        <v>2622.9899387732839</v>
      </c>
      <c r="F171">
        <f>Supply!V34-Supply!V16</f>
        <v>19.30401793059275</v>
      </c>
      <c r="G171" t="s">
        <v>367</v>
      </c>
    </row>
    <row r="172" spans="2:7" x14ac:dyDescent="0.2">
      <c r="B172">
        <v>2039</v>
      </c>
      <c r="C172">
        <v>2626.3731134160976</v>
      </c>
      <c r="D172">
        <v>621.28415330678149</v>
      </c>
      <c r="E172">
        <f>Supply!W30</f>
        <v>2725.1097797830244</v>
      </c>
      <c r="F172">
        <f>Supply!W34-Supply!W16</f>
        <v>20.341455665327913</v>
      </c>
      <c r="G172" t="s">
        <v>367</v>
      </c>
    </row>
    <row r="173" spans="2:7" x14ac:dyDescent="0.2">
      <c r="B173">
        <v>2040</v>
      </c>
      <c r="C173">
        <v>2586.9775167148564</v>
      </c>
      <c r="D173">
        <v>608.85847024064583</v>
      </c>
      <c r="E173">
        <f>Supply!X30</f>
        <v>2825.9101857144733</v>
      </c>
      <c r="F173">
        <f>Supply!X34-Supply!X16</f>
        <v>21.405854523203239</v>
      </c>
      <c r="G173" t="s">
        <v>367</v>
      </c>
    </row>
    <row r="174" spans="2:7" x14ac:dyDescent="0.2">
      <c r="B174">
        <v>2041</v>
      </c>
      <c r="C174">
        <v>2548.1728539641335</v>
      </c>
      <c r="D174">
        <v>596.68130083583287</v>
      </c>
      <c r="E174">
        <f>Supply!Y30</f>
        <v>2925.4240290774505</v>
      </c>
      <c r="F174">
        <f>Supply!Y34-Supply!Y16</f>
        <v>22.497301236508562</v>
      </c>
      <c r="G174" t="s">
        <v>367</v>
      </c>
    </row>
    <row r="175" spans="2:7" x14ac:dyDescent="0.2">
      <c r="B175">
        <v>2042</v>
      </c>
      <c r="C175">
        <v>2509.9502611546714</v>
      </c>
      <c r="D175">
        <v>584.74767481911624</v>
      </c>
      <c r="E175">
        <f>Supply!Z30</f>
        <v>3023.6840302713745</v>
      </c>
      <c r="F175">
        <f>Supply!Z34-Supply!Z16</f>
        <v>23.615876227935594</v>
      </c>
      <c r="G175" t="s">
        <v>367</v>
      </c>
    </row>
    <row r="176" spans="2:7" x14ac:dyDescent="0.2">
      <c r="B176">
        <v>2043</v>
      </c>
      <c r="C176">
        <v>2472.3010072373513</v>
      </c>
      <c r="D176">
        <v>573.05272132273387</v>
      </c>
      <c r="E176">
        <f>Supply!AA30</f>
        <v>3120.7227666406457</v>
      </c>
      <c r="F176">
        <f>Supply!AA34-Supply!AA16</f>
        <v>24.761653709631048</v>
      </c>
      <c r="G176" t="s">
        <v>367</v>
      </c>
    </row>
    <row r="177" spans="2:7" x14ac:dyDescent="0.2">
      <c r="B177">
        <v>2044</v>
      </c>
      <c r="C177">
        <v>2435.2164921287908</v>
      </c>
      <c r="D177">
        <v>561.59166689627921</v>
      </c>
      <c r="E177">
        <f>Supply!AB30</f>
        <v>3216.5726815314001</v>
      </c>
      <c r="F177">
        <f>Supply!AB34-Supply!AB16</f>
        <v>25.934701781155006</v>
      </c>
      <c r="G177" t="s">
        <v>367</v>
      </c>
    </row>
    <row r="178" spans="2:7" x14ac:dyDescent="0.2">
      <c r="B178">
        <v>2045</v>
      </c>
      <c r="C178">
        <v>2398.6882447468593</v>
      </c>
      <c r="D178">
        <v>550.35983355835356</v>
      </c>
      <c r="E178">
        <f>Supply!AC30</f>
        <v>3311.2660933525713</v>
      </c>
      <c r="F178">
        <f>Supply!AC34-Supply!AC16</f>
        <v>27.135082526354427</v>
      </c>
      <c r="G178" t="s">
        <v>367</v>
      </c>
    </row>
    <row r="179" spans="2:7" x14ac:dyDescent="0.2">
      <c r="B179">
        <v>2046</v>
      </c>
      <c r="C179">
        <v>2362.707921075656</v>
      </c>
      <c r="D179">
        <v>539.35263688718646</v>
      </c>
      <c r="E179">
        <f>Supply!AD30</f>
        <v>3404.835204644326</v>
      </c>
      <c r="F179">
        <f>Supply!AD34-Supply!AD16</f>
        <v>28.362852109162262</v>
      </c>
      <c r="G179" t="s">
        <v>367</v>
      </c>
    </row>
    <row r="180" spans="2:7" x14ac:dyDescent="0.2">
      <c r="B180">
        <v>2047</v>
      </c>
      <c r="C180">
        <v>2327.2673022595213</v>
      </c>
      <c r="D180">
        <v>528.56558414944266</v>
      </c>
      <c r="E180">
        <f>Supply!AE30</f>
        <v>3497.3121111568794</v>
      </c>
      <c r="F180">
        <f>Supply!AE34-Supply!AE16</f>
        <v>29.618060868331629</v>
      </c>
      <c r="G180" t="s">
        <v>367</v>
      </c>
    </row>
    <row r="181" spans="2:7" x14ac:dyDescent="0.2">
      <c r="B181">
        <v>2048</v>
      </c>
      <c r="C181">
        <v>2292.3582927256284</v>
      </c>
      <c r="D181">
        <v>517.99427246645382</v>
      </c>
      <c r="E181">
        <f>Supply!AF30</f>
        <v>3588.7288109427468</v>
      </c>
      <c r="F181">
        <f>Supply!AF34-Supply!AF16</f>
        <v>30.900753411115431</v>
      </c>
      <c r="G181" t="s">
        <v>367</v>
      </c>
    </row>
    <row r="182" spans="2:7" x14ac:dyDescent="0.2">
      <c r="B182">
        <v>2049</v>
      </c>
      <c r="C182">
        <v>2257.972918334744</v>
      </c>
      <c r="D182">
        <v>507.63438701712477</v>
      </c>
      <c r="E182">
        <f>Supply!AG30</f>
        <v>3679.1172134654653</v>
      </c>
      <c r="F182">
        <f>Supply!AG34-Supply!AG16</f>
        <v>32.210968705900811</v>
      </c>
      <c r="G182" t="s">
        <v>367</v>
      </c>
    </row>
    <row r="183" spans="2:7" x14ac:dyDescent="0.2">
      <c r="B183">
        <v>2050</v>
      </c>
      <c r="C183">
        <v>2224.1033245597232</v>
      </c>
      <c r="D183">
        <v>497.48169927678225</v>
      </c>
      <c r="E183">
        <f>Supply!AH30</f>
        <v>3768.5091487278683</v>
      </c>
      <c r="F183">
        <f>Supply!AH34-Supply!AH16</f>
        <v>33.548740173808454</v>
      </c>
      <c r="G183" t="s">
        <v>367</v>
      </c>
    </row>
    <row r="200" spans="2:9" x14ac:dyDescent="0.2">
      <c r="B200" t="s">
        <v>361</v>
      </c>
    </row>
    <row r="201" spans="2:9" x14ac:dyDescent="0.2">
      <c r="B201" t="s">
        <v>347</v>
      </c>
      <c r="C201" t="s">
        <v>348</v>
      </c>
      <c r="D201" t="s">
        <v>349</v>
      </c>
      <c r="E201" t="s">
        <v>350</v>
      </c>
      <c r="F201" t="s">
        <v>351</v>
      </c>
      <c r="G201" t="s">
        <v>364</v>
      </c>
      <c r="H201" t="s">
        <v>368</v>
      </c>
      <c r="I201" t="s">
        <v>365</v>
      </c>
    </row>
    <row r="202" spans="2:9" x14ac:dyDescent="0.2">
      <c r="B202">
        <v>2020</v>
      </c>
      <c r="C202">
        <f>Demand!D13</f>
        <v>1020.226083575</v>
      </c>
      <c r="D202">
        <f>Demand!D14</f>
        <v>248.33370415619999</v>
      </c>
      <c r="E202">
        <f>Demand!D15</f>
        <v>3669.1263367124998</v>
      </c>
      <c r="F202">
        <f>Demand!D17</f>
        <v>0</v>
      </c>
      <c r="G202">
        <f>+SUM(C202:F202)</f>
        <v>4937.6861244436996</v>
      </c>
      <c r="H202">
        <f>+G202-SUM(C122:F122)</f>
        <v>0</v>
      </c>
      <c r="I202" s="86" t="s">
        <v>366</v>
      </c>
    </row>
    <row r="203" spans="2:9" x14ac:dyDescent="0.2">
      <c r="B203">
        <v>2021</v>
      </c>
      <c r="C203">
        <f>Demand!E13</f>
        <v>1034.0735497661874</v>
      </c>
      <c r="D203">
        <f>Demand!E14</f>
        <v>257.45178182457846</v>
      </c>
      <c r="E203">
        <f>Demand!E15</f>
        <v>3707.7143181977999</v>
      </c>
      <c r="F203">
        <f>Demand!E17</f>
        <v>0</v>
      </c>
      <c r="G203">
        <f t="shared" ref="G203:G232" si="1">+SUM(C203:F203)</f>
        <v>4999.2396497885657</v>
      </c>
      <c r="H203">
        <f t="shared" ref="H203:H232" si="2">+G203-SUM(C123:F123)</f>
        <v>0</v>
      </c>
      <c r="I203" s="86" t="s">
        <v>366</v>
      </c>
    </row>
    <row r="204" spans="2:9" x14ac:dyDescent="0.2">
      <c r="B204">
        <v>2022</v>
      </c>
      <c r="C204">
        <f>Demand!F13</f>
        <v>1047.7570356433737</v>
      </c>
      <c r="D204">
        <f>Demand!F14</f>
        <v>266.81502777975317</v>
      </c>
      <c r="E204">
        <f>Demand!F15</f>
        <v>3745.4500678937852</v>
      </c>
      <c r="F204">
        <f>Demand!F17</f>
        <v>0</v>
      </c>
      <c r="G204">
        <f t="shared" si="1"/>
        <v>5060.0221313169122</v>
      </c>
      <c r="H204">
        <f t="shared" si="2"/>
        <v>0</v>
      </c>
      <c r="I204" s="86" t="s">
        <v>366</v>
      </c>
    </row>
    <row r="205" spans="2:9" x14ac:dyDescent="0.2">
      <c r="B205">
        <v>2023</v>
      </c>
      <c r="C205">
        <f>Demand!G13</f>
        <v>1061.277834823044</v>
      </c>
      <c r="D205">
        <f>Demand!G14</f>
        <v>276.42926772400915</v>
      </c>
      <c r="E205">
        <f>Demand!G15</f>
        <v>3782.34475187827</v>
      </c>
      <c r="F205">
        <f>Demand!G17</f>
        <v>0</v>
      </c>
      <c r="G205">
        <f t="shared" si="1"/>
        <v>5120.0518544253227</v>
      </c>
      <c r="H205">
        <f t="shared" si="2"/>
        <v>0</v>
      </c>
      <c r="I205" s="86" t="s">
        <v>366</v>
      </c>
    </row>
    <row r="206" spans="2:9" x14ac:dyDescent="0.2">
      <c r="B206">
        <v>2024</v>
      </c>
      <c r="C206">
        <f>Demand!H13</f>
        <v>1074.6372320850267</v>
      </c>
      <c r="D206">
        <f>Demand!H14</f>
        <v>286.30045684007086</v>
      </c>
      <c r="E206">
        <f>Demand!H15</f>
        <v>3818.4094121146586</v>
      </c>
      <c r="F206">
        <f>Demand!H17</f>
        <v>0</v>
      </c>
      <c r="G206">
        <f t="shared" si="1"/>
        <v>5179.3471010397561</v>
      </c>
      <c r="H206">
        <f t="shared" si="2"/>
        <v>0</v>
      </c>
      <c r="I206" s="86" t="s">
        <v>366</v>
      </c>
    </row>
    <row r="207" spans="2:9" x14ac:dyDescent="0.2">
      <c r="B207">
        <v>2025</v>
      </c>
      <c r="C207">
        <f>Demand!I13</f>
        <v>1087.8365034285187</v>
      </c>
      <c r="D207">
        <f>Demand!I14</f>
        <v>296.4346825506272</v>
      </c>
      <c r="E207">
        <f>Demand!I15</f>
        <v>3853.6549677231446</v>
      </c>
      <c r="F207">
        <f>Demand!I17</f>
        <v>0</v>
      </c>
      <c r="G207">
        <f t="shared" si="1"/>
        <v>5237.9261537022903</v>
      </c>
      <c r="H207">
        <f t="shared" si="2"/>
        <v>0</v>
      </c>
      <c r="I207" s="86" t="s">
        <v>366</v>
      </c>
    </row>
    <row r="208" spans="2:9" x14ac:dyDescent="0.2">
      <c r="B208">
        <v>2026</v>
      </c>
      <c r="C208">
        <f>Demand!J13</f>
        <v>1100.8769161277735</v>
      </c>
      <c r="D208">
        <f>Demand!J14</f>
        <v>306.83816733499867</v>
      </c>
      <c r="E208">
        <f>Demand!J15</f>
        <v>3888.0922162395186</v>
      </c>
      <c r="F208">
        <f>Demand!J17</f>
        <v>0</v>
      </c>
      <c r="G208">
        <f t="shared" si="1"/>
        <v>5295.8072997022909</v>
      </c>
      <c r="H208">
        <f t="shared" si="2"/>
        <v>0</v>
      </c>
      <c r="I208" s="86" t="s">
        <v>366</v>
      </c>
    </row>
    <row r="209" spans="2:9" x14ac:dyDescent="0.2">
      <c r="B209">
        <v>2027</v>
      </c>
      <c r="C209">
        <f>Demand!K13</f>
        <v>1113.7597287874503</v>
      </c>
      <c r="D209">
        <f>Demand!K14</f>
        <v>317.51727160410275</v>
      </c>
      <c r="E209">
        <f>Demand!K15</f>
        <v>3921.7318348616973</v>
      </c>
      <c r="F209">
        <f>Demand!K17</f>
        <v>54.75</v>
      </c>
      <c r="G209">
        <f t="shared" si="1"/>
        <v>5407.7588352532503</v>
      </c>
      <c r="H209">
        <f t="shared" si="2"/>
        <v>0</v>
      </c>
      <c r="I209" s="86" t="s">
        <v>366</v>
      </c>
    </row>
    <row r="210" spans="2:9" x14ac:dyDescent="0.2">
      <c r="B210">
        <v>2028</v>
      </c>
      <c r="C210">
        <f>Demand!L13</f>
        <v>1126.4861913976272</v>
      </c>
      <c r="D210">
        <f>Demand!L14</f>
        <v>328.47849663490183</v>
      </c>
      <c r="E210">
        <f>Demand!L15</f>
        <v>3954.5843816840811</v>
      </c>
      <c r="F210">
        <f>Demand!L17</f>
        <v>109.5</v>
      </c>
      <c r="G210">
        <f t="shared" si="1"/>
        <v>5519.0490697166097</v>
      </c>
      <c r="H210">
        <f t="shared" si="2"/>
        <v>0</v>
      </c>
      <c r="I210" s="86" t="s">
        <v>366</v>
      </c>
    </row>
    <row r="211" spans="2:9" x14ac:dyDescent="0.2">
      <c r="B211">
        <v>2029</v>
      </c>
      <c r="C211">
        <f>Demand!M13</f>
        <v>1139.0575453884824</v>
      </c>
      <c r="D211">
        <f>Demand!M14</f>
        <v>339.7284875655364</v>
      </c>
      <c r="E211">
        <f>Demand!M15</f>
        <v>3986.6602969198766</v>
      </c>
      <c r="F211">
        <f>Demand!M17</f>
        <v>164.25</v>
      </c>
      <c r="G211">
        <f t="shared" si="1"/>
        <v>5629.6963298738956</v>
      </c>
      <c r="H211">
        <f t="shared" si="2"/>
        <v>0</v>
      </c>
      <c r="I211" s="86" t="s">
        <v>366</v>
      </c>
    </row>
    <row r="212" spans="2:9" x14ac:dyDescent="0.2">
      <c r="B212">
        <v>2030</v>
      </c>
      <c r="C212">
        <f>Demand!N13</f>
        <v>1151.4750236846444</v>
      </c>
      <c r="D212">
        <f>Demand!N14</f>
        <v>351.27403645237484</v>
      </c>
      <c r="E212">
        <f>Demand!N15</f>
        <v>4017.9699041114704</v>
      </c>
      <c r="F212">
        <f>Demand!N17</f>
        <v>219</v>
      </c>
      <c r="G212">
        <f t="shared" si="1"/>
        <v>5739.71896424849</v>
      </c>
      <c r="H212">
        <f t="shared" si="2"/>
        <v>0</v>
      </c>
      <c r="I212" s="86" t="s">
        <v>366</v>
      </c>
    </row>
    <row r="213" spans="2:9" x14ac:dyDescent="0.2">
      <c r="B213">
        <v>2031</v>
      </c>
      <c r="C213">
        <f>Demand!O13</f>
        <v>1163.7398507592097</v>
      </c>
      <c r="D213">
        <f>Demand!O14</f>
        <v>363.12208539023288</v>
      </c>
      <c r="E213">
        <f>Demand!O15</f>
        <v>4048.5234113289962</v>
      </c>
      <c r="F213">
        <f>Demand!O17</f>
        <v>273.75</v>
      </c>
      <c r="G213">
        <f t="shared" si="1"/>
        <v>5849.1353474784391</v>
      </c>
      <c r="H213">
        <f t="shared" si="2"/>
        <v>0</v>
      </c>
      <c r="I213" s="86" t="s">
        <v>366</v>
      </c>
    </row>
    <row r="214" spans="2:9" x14ac:dyDescent="0.2">
      <c r="B214">
        <v>2032</v>
      </c>
      <c r="C214">
        <f>Demand!P13</f>
        <v>1175.8532426874374</v>
      </c>
      <c r="D214">
        <f>Demand!P14</f>
        <v>375.27972969704109</v>
      </c>
      <c r="E214">
        <f>Demand!P15</f>
        <v>4078.3309123571789</v>
      </c>
      <c r="F214">
        <f>Demand!P17</f>
        <v>328.5</v>
      </c>
      <c r="G214">
        <f t="shared" si="1"/>
        <v>5957.9638847416572</v>
      </c>
      <c r="H214">
        <f t="shared" si="2"/>
        <v>0</v>
      </c>
      <c r="I214" s="86" t="s">
        <v>366</v>
      </c>
    </row>
    <row r="215" spans="2:9" x14ac:dyDescent="0.2">
      <c r="B215">
        <v>2033</v>
      </c>
      <c r="C215">
        <f>Demand!Q13</f>
        <v>1187.8164072001141</v>
      </c>
      <c r="D215">
        <f>Demand!Q14</f>
        <v>387.75422116426523</v>
      </c>
      <c r="E215">
        <f>Demand!Q15</f>
        <v>4107.4023878705857</v>
      </c>
      <c r="F215">
        <f>Demand!Q17</f>
        <v>383.25</v>
      </c>
      <c r="G215">
        <f t="shared" si="1"/>
        <v>6066.2230162349651</v>
      </c>
      <c r="H215">
        <f t="shared" si="2"/>
        <v>0</v>
      </c>
      <c r="I215" s="86" t="s">
        <v>366</v>
      </c>
    </row>
    <row r="216" spans="2:9" x14ac:dyDescent="0.2">
      <c r="B216">
        <v>2034</v>
      </c>
      <c r="C216">
        <f>Demand!R13</f>
        <v>1199.6305437365968</v>
      </c>
      <c r="D216">
        <f>Demand!R14</f>
        <v>400.5529713744105</v>
      </c>
      <c r="E216">
        <f>Demand!R15</f>
        <v>4135.7477065973853</v>
      </c>
      <c r="F216">
        <f>Demand!R17</f>
        <v>438</v>
      </c>
      <c r="G216">
        <f t="shared" si="1"/>
        <v>6173.9312217083925</v>
      </c>
      <c r="H216">
        <f t="shared" si="2"/>
        <v>0</v>
      </c>
      <c r="I216" s="86" t="s">
        <v>366</v>
      </c>
    </row>
    <row r="217" spans="2:9" x14ac:dyDescent="0.2">
      <c r="B217">
        <v>2035</v>
      </c>
      <c r="C217">
        <f>Demand!S13</f>
        <v>1211.2968434975342</v>
      </c>
      <c r="D217">
        <f>Demand!S14</f>
        <v>413.68355508696465</v>
      </c>
      <c r="E217">
        <f>Demand!S15</f>
        <v>4163.3766264717342</v>
      </c>
      <c r="F217">
        <f>Demand!S17</f>
        <v>492.75</v>
      </c>
      <c r="G217">
        <f t="shared" si="1"/>
        <v>6281.1070250562334</v>
      </c>
      <c r="H217">
        <f t="shared" si="2"/>
        <v>0</v>
      </c>
      <c r="I217" s="86" t="s">
        <v>366</v>
      </c>
    </row>
    <row r="218" spans="2:9" x14ac:dyDescent="0.2">
      <c r="B218">
        <v>2036</v>
      </c>
      <c r="C218">
        <f>Demand!T13</f>
        <v>1222.8164894972692</v>
      </c>
      <c r="D218">
        <f>Demand!T14</f>
        <v>427.15371369416476</v>
      </c>
      <c r="E218">
        <f>Demand!T15</f>
        <v>4190.298795774871</v>
      </c>
      <c r="F218">
        <f>Demand!T17</f>
        <v>547.5</v>
      </c>
      <c r="G218">
        <f t="shared" si="1"/>
        <v>6387.7689989663049</v>
      </c>
      <c r="H218">
        <f t="shared" si="2"/>
        <v>0</v>
      </c>
      <c r="I218" s="86" t="s">
        <v>366</v>
      </c>
    </row>
    <row r="219" spans="2:9" x14ac:dyDescent="0.2">
      <c r="B219">
        <v>2037</v>
      </c>
      <c r="C219">
        <f>Demand!U13</f>
        <v>1234.1906566159191</v>
      </c>
      <c r="D219">
        <f>Demand!U14</f>
        <v>440.97135874800051</v>
      </c>
      <c r="E219">
        <f>Demand!U15</f>
        <v>4216.5237542650639</v>
      </c>
      <c r="F219">
        <f>Demand!U17</f>
        <v>547.5</v>
      </c>
      <c r="G219">
        <f t="shared" si="1"/>
        <v>6439.1857696289835</v>
      </c>
      <c r="H219">
        <f t="shared" si="2"/>
        <v>0</v>
      </c>
      <c r="I219" s="86" t="s">
        <v>366</v>
      </c>
    </row>
    <row r="220" spans="2:9" x14ac:dyDescent="0.2">
      <c r="B220">
        <v>2038</v>
      </c>
      <c r="C220">
        <f>Demand!V13</f>
        <v>1245.4205116511453</v>
      </c>
      <c r="D220">
        <f>Demand!V14</f>
        <v>455.14457555989009</v>
      </c>
      <c r="E220">
        <f>Demand!V15</f>
        <v>4242.0609342964826</v>
      </c>
      <c r="F220">
        <f>Demand!V17</f>
        <v>547.5</v>
      </c>
      <c r="G220">
        <f t="shared" si="1"/>
        <v>6490.1260215075181</v>
      </c>
      <c r="H220">
        <f t="shared" si="2"/>
        <v>0</v>
      </c>
      <c r="I220" s="86" t="s">
        <v>366</v>
      </c>
    </row>
    <row r="221" spans="2:9" x14ac:dyDescent="0.2">
      <c r="B221">
        <v>2039</v>
      </c>
      <c r="C221">
        <f>Demand!W13</f>
        <v>1256.507213369604</v>
      </c>
      <c r="D221">
        <f>Demand!W14</f>
        <v>469.6816268745003</v>
      </c>
      <c r="E221">
        <f>Demand!W15</f>
        <v>4266.919661927127</v>
      </c>
      <c r="F221">
        <f>Demand!W17</f>
        <v>547.5</v>
      </c>
      <c r="G221">
        <f t="shared" si="1"/>
        <v>6540.6085021712315</v>
      </c>
      <c r="H221">
        <f t="shared" si="2"/>
        <v>0</v>
      </c>
      <c r="I221" s="86" t="s">
        <v>366</v>
      </c>
    </row>
    <row r="222" spans="2:9" x14ac:dyDescent="0.2">
      <c r="B222">
        <v>2040</v>
      </c>
      <c r="C222">
        <f>Demand!X13</f>
        <v>1267.4519125580866</v>
      </c>
      <c r="D222">
        <f>Demand!X14</f>
        <v>484.59095661920605</v>
      </c>
      <c r="E222">
        <f>Demand!X15</f>
        <v>4291.1091580158854</v>
      </c>
      <c r="F222">
        <f>Demand!X17</f>
        <v>547.5</v>
      </c>
      <c r="G222">
        <f t="shared" si="1"/>
        <v>6590.6520271931786</v>
      </c>
      <c r="H222">
        <f t="shared" si="2"/>
        <v>0</v>
      </c>
      <c r="I222" s="86" t="s">
        <v>366</v>
      </c>
    </row>
    <row r="223" spans="2:9" x14ac:dyDescent="0.2">
      <c r="B223">
        <v>2041</v>
      </c>
      <c r="C223">
        <f>Demand!Y13</f>
        <v>1278.2557520743501</v>
      </c>
      <c r="D223">
        <f>Demand!Y14</f>
        <v>499.88119373071595</v>
      </c>
      <c r="E223">
        <f>Demand!Y15</f>
        <v>4314.6385393088603</v>
      </c>
      <c r="F223">
        <f>Demand!Y17</f>
        <v>547.5</v>
      </c>
      <c r="G223">
        <f t="shared" si="1"/>
        <v>6640.2754851139262</v>
      </c>
      <c r="H223">
        <f t="shared" si="2"/>
        <v>0</v>
      </c>
      <c r="I223" s="86" t="s">
        <v>366</v>
      </c>
    </row>
    <row r="224" spans="2:9" x14ac:dyDescent="0.2">
      <c r="B224">
        <v>2042</v>
      </c>
      <c r="C224">
        <f>Demand!Z13</f>
        <v>1288.9198668976371</v>
      </c>
      <c r="D224">
        <f>Demand!Z14</f>
        <v>515.56115606042499</v>
      </c>
      <c r="E224">
        <f>Demand!Z15</f>
        <v>4337.5168195150354</v>
      </c>
      <c r="F224">
        <f>Demand!Z17</f>
        <v>547.5</v>
      </c>
      <c r="G224">
        <f t="shared" si="1"/>
        <v>6689.497842473098</v>
      </c>
      <c r="H224">
        <f t="shared" si="2"/>
        <v>0</v>
      </c>
      <c r="I224" s="86" t="s">
        <v>366</v>
      </c>
    </row>
    <row r="225" spans="2:9" x14ac:dyDescent="0.2">
      <c r="B225">
        <v>2043</v>
      </c>
      <c r="C225">
        <f>Demand!AA13</f>
        <v>1299.4453841788893</v>
      </c>
      <c r="D225">
        <f>Demand!AA14</f>
        <v>531.63985436007738</v>
      </c>
      <c r="E225">
        <f>Demand!AA15</f>
        <v>4359.752910371395</v>
      </c>
      <c r="F225">
        <f>Demand!AA17</f>
        <v>547.5</v>
      </c>
      <c r="G225">
        <f t="shared" si="1"/>
        <v>6738.3381489103613</v>
      </c>
      <c r="H225">
        <f t="shared" si="2"/>
        <v>0</v>
      </c>
      <c r="I225" s="86" t="s">
        <v>366</v>
      </c>
    </row>
    <row r="226" spans="2:9" x14ac:dyDescent="0.2">
      <c r="B226">
        <v>2044</v>
      </c>
      <c r="C226">
        <f>Demand!AB13</f>
        <v>1309.8334232906568</v>
      </c>
      <c r="D226">
        <f>Demand!AB14</f>
        <v>548.12649634936429</v>
      </c>
      <c r="E226">
        <f>Demand!AB15</f>
        <v>4381.3556226976043</v>
      </c>
      <c r="F226">
        <f>Demand!AB17</f>
        <v>547.5</v>
      </c>
      <c r="G226">
        <f t="shared" si="1"/>
        <v>6786.8155423376256</v>
      </c>
      <c r="H226">
        <f t="shared" si="2"/>
        <v>0</v>
      </c>
      <c r="I226" s="86" t="s">
        <v>366</v>
      </c>
    </row>
    <row r="227" spans="2:9" x14ac:dyDescent="0.2">
      <c r="B227">
        <v>2045</v>
      </c>
      <c r="C227">
        <f>Demand!AC13</f>
        <v>1320.0850958767021</v>
      </c>
      <c r="D227">
        <f>Demand!AC14</f>
        <v>565.0304908671061</v>
      </c>
      <c r="E227">
        <f>Demand!AC15</f>
        <v>4402.3336674403299</v>
      </c>
      <c r="F227">
        <f>Demand!AC17</f>
        <v>547.5</v>
      </c>
      <c r="G227">
        <f t="shared" si="1"/>
        <v>6834.9492541841382</v>
      </c>
      <c r="H227">
        <f t="shared" si="2"/>
        <v>0</v>
      </c>
      <c r="I227" s="86" t="s">
        <v>366</v>
      </c>
    </row>
    <row r="228" spans="2:9" x14ac:dyDescent="0.2">
      <c r="B228">
        <v>2046</v>
      </c>
      <c r="C228">
        <f>Demand!AD13</f>
        <v>1330.2015059013047</v>
      </c>
      <c r="D228">
        <f>Demand!AD14</f>
        <v>582.36145210770565</v>
      </c>
      <c r="E228">
        <f>Demand!AD15</f>
        <v>4422.6956567073203</v>
      </c>
      <c r="F228">
        <f>Demand!AD17</f>
        <v>547.5</v>
      </c>
      <c r="G228">
        <f t="shared" si="1"/>
        <v>6882.7586147163311</v>
      </c>
      <c r="H228">
        <f t="shared" si="2"/>
        <v>0</v>
      </c>
      <c r="I228" s="86" t="s">
        <v>366</v>
      </c>
    </row>
    <row r="229" spans="2:9" x14ac:dyDescent="0.2">
      <c r="B229">
        <v>2047</v>
      </c>
      <c r="C229">
        <f>Demand!AE13</f>
        <v>1340.1837496982639</v>
      </c>
      <c r="D229">
        <f>Demand!AE14</f>
        <v>600.12920394458843</v>
      </c>
      <c r="E229">
        <f>Demand!AE15</f>
        <v>4442.4501047913227</v>
      </c>
      <c r="F229">
        <f>Demand!AE17</f>
        <v>547.5</v>
      </c>
      <c r="G229">
        <f t="shared" si="1"/>
        <v>6930.263058434175</v>
      </c>
      <c r="H229">
        <f t="shared" si="2"/>
        <v>0</v>
      </c>
      <c r="I229" s="86" t="s">
        <v>366</v>
      </c>
    </row>
    <row r="230" spans="2:9" x14ac:dyDescent="0.2">
      <c r="B230">
        <v>2048</v>
      </c>
      <c r="C230">
        <f>Demand!AF13</f>
        <v>1350.0329160196065</v>
      </c>
      <c r="D230">
        <f>Demand!AF14</f>
        <v>618.34378434238681</v>
      </c>
      <c r="E230">
        <f>Demand!AF15</f>
        <v>4461.6054291839509</v>
      </c>
      <c r="F230">
        <f>Demand!AF17</f>
        <v>547.5</v>
      </c>
      <c r="G230">
        <f t="shared" si="1"/>
        <v>6977.4821295459442</v>
      </c>
      <c r="H230">
        <f t="shared" si="2"/>
        <v>0</v>
      </c>
      <c r="I230" s="86" t="s">
        <v>366</v>
      </c>
    </row>
    <row r="231" spans="2:9" x14ac:dyDescent="0.2">
      <c r="B231">
        <v>2049</v>
      </c>
      <c r="C231">
        <f>Demand!AG13</f>
        <v>1359.750086083993</v>
      </c>
      <c r="D231">
        <f>Demand!AG14</f>
        <v>637.01544985965108</v>
      </c>
      <c r="E231">
        <f>Demand!AG15</f>
        <v>4480.1699515795908</v>
      </c>
      <c r="F231">
        <f>Demand!AG17</f>
        <v>547.5</v>
      </c>
      <c r="G231">
        <f t="shared" si="1"/>
        <v>7024.4354875232348</v>
      </c>
      <c r="H231">
        <f t="shared" si="2"/>
        <v>0</v>
      </c>
      <c r="I231" s="86" t="s">
        <v>366</v>
      </c>
    </row>
    <row r="232" spans="2:9" x14ac:dyDescent="0.2">
      <c r="B232">
        <v>2050</v>
      </c>
      <c r="C232">
        <f>Demand!AH13</f>
        <v>1369.3363336248351</v>
      </c>
      <c r="D232">
        <f>Demand!AH14</f>
        <v>656.15468024391419</v>
      </c>
      <c r="E232">
        <f>Demand!AH15</f>
        <v>4498.1518988694324</v>
      </c>
      <c r="F232">
        <f>Demand!AH17</f>
        <v>547.5</v>
      </c>
      <c r="G232">
        <f t="shared" si="1"/>
        <v>7071.1429127381816</v>
      </c>
      <c r="H232">
        <f t="shared" si="2"/>
        <v>0</v>
      </c>
      <c r="I232" s="86" t="s">
        <v>366</v>
      </c>
    </row>
    <row r="233" spans="2:9" x14ac:dyDescent="0.2">
      <c r="B233">
        <v>2020</v>
      </c>
      <c r="C233">
        <f>+C202</f>
        <v>1020.226083575</v>
      </c>
      <c r="D233">
        <f t="shared" ref="D233:E233" si="3">+D202</f>
        <v>248.33370415619999</v>
      </c>
      <c r="E233">
        <f t="shared" si="3"/>
        <v>3669.1263367124998</v>
      </c>
      <c r="F233">
        <v>0</v>
      </c>
      <c r="G233">
        <f>+SUM(C233:F233)</f>
        <v>4937.6861244436996</v>
      </c>
      <c r="H233">
        <f>+G233-SUM(C153:F153)</f>
        <v>0</v>
      </c>
      <c r="I233" s="86" t="s">
        <v>366</v>
      </c>
    </row>
    <row r="234" spans="2:9" x14ac:dyDescent="0.2">
      <c r="B234">
        <v>2021</v>
      </c>
      <c r="C234">
        <f t="shared" ref="C234:E234" si="4">+C203</f>
        <v>1034.0735497661874</v>
      </c>
      <c r="D234">
        <f t="shared" si="4"/>
        <v>257.45178182457846</v>
      </c>
      <c r="E234">
        <f t="shared" si="4"/>
        <v>3707.7143181977999</v>
      </c>
      <c r="F234">
        <v>0</v>
      </c>
      <c r="G234">
        <f t="shared" ref="G234:G263" si="5">+SUM(C234:F234)</f>
        <v>4999.2396497885657</v>
      </c>
      <c r="H234">
        <f t="shared" ref="H234:H263" si="6">+G234-SUM(C154:F154)</f>
        <v>0</v>
      </c>
      <c r="I234" s="86" t="s">
        <v>366</v>
      </c>
    </row>
    <row r="235" spans="2:9" x14ac:dyDescent="0.2">
      <c r="B235">
        <v>2022</v>
      </c>
      <c r="C235">
        <f t="shared" ref="C235:E235" si="7">+C204</f>
        <v>1047.7570356433737</v>
      </c>
      <c r="D235">
        <f t="shared" si="7"/>
        <v>266.81502777975317</v>
      </c>
      <c r="E235">
        <f t="shared" si="7"/>
        <v>3745.4500678937852</v>
      </c>
      <c r="F235">
        <v>0</v>
      </c>
      <c r="G235">
        <f t="shared" si="5"/>
        <v>5060.0221313169122</v>
      </c>
      <c r="H235">
        <f t="shared" si="6"/>
        <v>0</v>
      </c>
      <c r="I235" s="86" t="s">
        <v>366</v>
      </c>
    </row>
    <row r="236" spans="2:9" x14ac:dyDescent="0.2">
      <c r="B236">
        <v>2023</v>
      </c>
      <c r="C236">
        <f t="shared" ref="C236:E236" si="8">+C205</f>
        <v>1061.277834823044</v>
      </c>
      <c r="D236">
        <f t="shared" si="8"/>
        <v>276.42926772400915</v>
      </c>
      <c r="E236">
        <f t="shared" si="8"/>
        <v>3782.34475187827</v>
      </c>
      <c r="F236">
        <v>0</v>
      </c>
      <c r="G236">
        <f t="shared" si="5"/>
        <v>5120.0518544253227</v>
      </c>
      <c r="H236">
        <f t="shared" si="6"/>
        <v>0</v>
      </c>
      <c r="I236" s="86" t="s">
        <v>366</v>
      </c>
    </row>
    <row r="237" spans="2:9" x14ac:dyDescent="0.2">
      <c r="B237">
        <v>2024</v>
      </c>
      <c r="C237">
        <f t="shared" ref="C237:E237" si="9">+C206</f>
        <v>1074.6372320850267</v>
      </c>
      <c r="D237">
        <f t="shared" si="9"/>
        <v>286.30045684007086</v>
      </c>
      <c r="E237">
        <f t="shared" si="9"/>
        <v>3818.4094121146586</v>
      </c>
      <c r="F237">
        <v>0</v>
      </c>
      <c r="G237">
        <f t="shared" si="5"/>
        <v>5179.3471010397561</v>
      </c>
      <c r="H237">
        <f t="shared" si="6"/>
        <v>0</v>
      </c>
      <c r="I237" s="86" t="s">
        <v>366</v>
      </c>
    </row>
    <row r="238" spans="2:9" x14ac:dyDescent="0.2">
      <c r="B238">
        <v>2025</v>
      </c>
      <c r="C238">
        <f t="shared" ref="C238:E238" si="10">+C207</f>
        <v>1087.8365034285187</v>
      </c>
      <c r="D238">
        <f t="shared" si="10"/>
        <v>296.4346825506272</v>
      </c>
      <c r="E238">
        <f t="shared" si="10"/>
        <v>3853.6549677231446</v>
      </c>
      <c r="F238">
        <v>0</v>
      </c>
      <c r="G238">
        <f t="shared" si="5"/>
        <v>5237.9261537022903</v>
      </c>
      <c r="H238">
        <f t="shared" si="6"/>
        <v>0</v>
      </c>
      <c r="I238" s="86" t="s">
        <v>366</v>
      </c>
    </row>
    <row r="239" spans="2:9" x14ac:dyDescent="0.2">
      <c r="B239">
        <v>2026</v>
      </c>
      <c r="C239">
        <f t="shared" ref="C239:E239" si="11">+C208</f>
        <v>1100.8769161277735</v>
      </c>
      <c r="D239">
        <f t="shared" si="11"/>
        <v>306.83816733499867</v>
      </c>
      <c r="E239">
        <f t="shared" si="11"/>
        <v>3888.0922162395186</v>
      </c>
      <c r="F239">
        <v>0</v>
      </c>
      <c r="G239">
        <f t="shared" si="5"/>
        <v>5295.8072997022909</v>
      </c>
      <c r="H239">
        <f t="shared" si="6"/>
        <v>0</v>
      </c>
      <c r="I239" s="86" t="s">
        <v>366</v>
      </c>
    </row>
    <row r="240" spans="2:9" x14ac:dyDescent="0.2">
      <c r="B240">
        <v>2027</v>
      </c>
      <c r="C240">
        <f t="shared" ref="C240:E240" si="12">+C209</f>
        <v>1113.7597287874503</v>
      </c>
      <c r="D240">
        <f t="shared" si="12"/>
        <v>317.51727160410275</v>
      </c>
      <c r="E240">
        <f t="shared" si="12"/>
        <v>3921.7318348616973</v>
      </c>
      <c r="F240">
        <v>0</v>
      </c>
      <c r="G240">
        <f t="shared" si="5"/>
        <v>5353.0088352532503</v>
      </c>
      <c r="H240">
        <f t="shared" si="6"/>
        <v>0</v>
      </c>
      <c r="I240" s="86" t="s">
        <v>366</v>
      </c>
    </row>
    <row r="241" spans="2:9" x14ac:dyDescent="0.2">
      <c r="B241">
        <v>2028</v>
      </c>
      <c r="C241">
        <f t="shared" ref="C241:E241" si="13">+C210</f>
        <v>1126.4861913976272</v>
      </c>
      <c r="D241">
        <f t="shared" si="13"/>
        <v>328.47849663490183</v>
      </c>
      <c r="E241">
        <f t="shared" si="13"/>
        <v>3954.5843816840811</v>
      </c>
      <c r="F241">
        <v>0</v>
      </c>
      <c r="G241">
        <f t="shared" si="5"/>
        <v>5409.5490697166097</v>
      </c>
      <c r="H241">
        <f t="shared" si="6"/>
        <v>0</v>
      </c>
      <c r="I241" s="86" t="s">
        <v>366</v>
      </c>
    </row>
    <row r="242" spans="2:9" x14ac:dyDescent="0.2">
      <c r="B242">
        <v>2029</v>
      </c>
      <c r="C242">
        <f t="shared" ref="C242:E242" si="14">+C211</f>
        <v>1139.0575453884824</v>
      </c>
      <c r="D242">
        <f t="shared" si="14"/>
        <v>339.7284875655364</v>
      </c>
      <c r="E242">
        <f t="shared" si="14"/>
        <v>3986.6602969198766</v>
      </c>
      <c r="F242">
        <v>0</v>
      </c>
      <c r="G242">
        <f t="shared" si="5"/>
        <v>5465.4463298738956</v>
      </c>
      <c r="H242">
        <f t="shared" si="6"/>
        <v>0</v>
      </c>
      <c r="I242" s="86" t="s">
        <v>366</v>
      </c>
    </row>
    <row r="243" spans="2:9" x14ac:dyDescent="0.2">
      <c r="B243">
        <v>2030</v>
      </c>
      <c r="C243">
        <f t="shared" ref="C243:E243" si="15">+C212</f>
        <v>1151.4750236846444</v>
      </c>
      <c r="D243">
        <f t="shared" si="15"/>
        <v>351.27403645237484</v>
      </c>
      <c r="E243">
        <f t="shared" si="15"/>
        <v>4017.9699041114704</v>
      </c>
      <c r="F243">
        <v>0</v>
      </c>
      <c r="G243">
        <f t="shared" si="5"/>
        <v>5520.71896424849</v>
      </c>
      <c r="H243">
        <f t="shared" si="6"/>
        <v>0</v>
      </c>
      <c r="I243" s="86" t="s">
        <v>366</v>
      </c>
    </row>
    <row r="244" spans="2:9" x14ac:dyDescent="0.2">
      <c r="B244">
        <v>2031</v>
      </c>
      <c r="C244">
        <f t="shared" ref="C244:E244" si="16">+C213</f>
        <v>1163.7398507592097</v>
      </c>
      <c r="D244">
        <f t="shared" si="16"/>
        <v>363.12208539023288</v>
      </c>
      <c r="E244">
        <f t="shared" si="16"/>
        <v>4048.5234113289962</v>
      </c>
      <c r="F244">
        <v>0</v>
      </c>
      <c r="G244">
        <f t="shared" si="5"/>
        <v>5575.3853474784391</v>
      </c>
      <c r="H244">
        <f t="shared" si="6"/>
        <v>0</v>
      </c>
      <c r="I244" s="86" t="s">
        <v>366</v>
      </c>
    </row>
    <row r="245" spans="2:9" x14ac:dyDescent="0.2">
      <c r="B245">
        <v>2032</v>
      </c>
      <c r="C245">
        <f t="shared" ref="C245:E245" si="17">+C214</f>
        <v>1175.8532426874374</v>
      </c>
      <c r="D245">
        <f t="shared" si="17"/>
        <v>375.27972969704109</v>
      </c>
      <c r="E245">
        <f t="shared" si="17"/>
        <v>4078.3309123571789</v>
      </c>
      <c r="F245">
        <v>0</v>
      </c>
      <c r="G245">
        <f t="shared" si="5"/>
        <v>5629.4638847416572</v>
      </c>
      <c r="H245">
        <f t="shared" si="6"/>
        <v>0</v>
      </c>
      <c r="I245" s="86" t="s">
        <v>366</v>
      </c>
    </row>
    <row r="246" spans="2:9" x14ac:dyDescent="0.2">
      <c r="B246">
        <v>2033</v>
      </c>
      <c r="C246">
        <f t="shared" ref="C246:E246" si="18">+C215</f>
        <v>1187.8164072001141</v>
      </c>
      <c r="D246">
        <f t="shared" si="18"/>
        <v>387.75422116426523</v>
      </c>
      <c r="E246">
        <f t="shared" si="18"/>
        <v>4107.4023878705857</v>
      </c>
      <c r="F246">
        <v>0</v>
      </c>
      <c r="G246">
        <f t="shared" si="5"/>
        <v>5682.9730162349651</v>
      </c>
      <c r="H246">
        <f t="shared" si="6"/>
        <v>0</v>
      </c>
      <c r="I246" s="86" t="s">
        <v>366</v>
      </c>
    </row>
    <row r="247" spans="2:9" x14ac:dyDescent="0.2">
      <c r="B247">
        <v>2034</v>
      </c>
      <c r="C247">
        <f t="shared" ref="C247:E247" si="19">+C216</f>
        <v>1199.6305437365968</v>
      </c>
      <c r="D247">
        <f t="shared" si="19"/>
        <v>400.5529713744105</v>
      </c>
      <c r="E247">
        <f t="shared" si="19"/>
        <v>4135.7477065973853</v>
      </c>
      <c r="F247">
        <v>0</v>
      </c>
      <c r="G247">
        <f t="shared" si="5"/>
        <v>5735.9312217083925</v>
      </c>
      <c r="H247">
        <f t="shared" si="6"/>
        <v>0</v>
      </c>
      <c r="I247" s="86" t="s">
        <v>366</v>
      </c>
    </row>
    <row r="248" spans="2:9" x14ac:dyDescent="0.2">
      <c r="B248">
        <v>2035</v>
      </c>
      <c r="C248">
        <f t="shared" ref="C248:E248" si="20">+C217</f>
        <v>1211.2968434975342</v>
      </c>
      <c r="D248">
        <f t="shared" si="20"/>
        <v>413.68355508696465</v>
      </c>
      <c r="E248">
        <f t="shared" si="20"/>
        <v>4163.3766264717342</v>
      </c>
      <c r="F248">
        <v>0</v>
      </c>
      <c r="G248">
        <f t="shared" si="5"/>
        <v>5788.3570250562334</v>
      </c>
      <c r="H248">
        <f t="shared" si="6"/>
        <v>0</v>
      </c>
      <c r="I248" s="86" t="s">
        <v>366</v>
      </c>
    </row>
    <row r="249" spans="2:9" x14ac:dyDescent="0.2">
      <c r="B249">
        <v>2036</v>
      </c>
      <c r="C249">
        <f t="shared" ref="C249:E249" si="21">+C218</f>
        <v>1222.8164894972692</v>
      </c>
      <c r="D249">
        <f t="shared" si="21"/>
        <v>427.15371369416476</v>
      </c>
      <c r="E249">
        <f t="shared" si="21"/>
        <v>4190.298795774871</v>
      </c>
      <c r="F249">
        <v>0</v>
      </c>
      <c r="G249">
        <f t="shared" si="5"/>
        <v>5840.2689989663049</v>
      </c>
      <c r="H249">
        <f t="shared" si="6"/>
        <v>0</v>
      </c>
      <c r="I249" s="86" t="s">
        <v>366</v>
      </c>
    </row>
    <row r="250" spans="2:9" x14ac:dyDescent="0.2">
      <c r="B250">
        <v>2037</v>
      </c>
      <c r="C250">
        <f t="shared" ref="C250:E250" si="22">+C219</f>
        <v>1234.1906566159191</v>
      </c>
      <c r="D250">
        <f t="shared" si="22"/>
        <v>440.97135874800051</v>
      </c>
      <c r="E250">
        <f t="shared" si="22"/>
        <v>4216.5237542650639</v>
      </c>
      <c r="F250">
        <v>0</v>
      </c>
      <c r="G250">
        <f t="shared" si="5"/>
        <v>5891.6857696289835</v>
      </c>
      <c r="H250">
        <f t="shared" si="6"/>
        <v>0</v>
      </c>
      <c r="I250" s="86" t="s">
        <v>366</v>
      </c>
    </row>
    <row r="251" spans="2:9" x14ac:dyDescent="0.2">
      <c r="B251">
        <v>2038</v>
      </c>
      <c r="C251">
        <f t="shared" ref="C251:E251" si="23">+C220</f>
        <v>1245.4205116511453</v>
      </c>
      <c r="D251">
        <f t="shared" si="23"/>
        <v>455.14457555989009</v>
      </c>
      <c r="E251">
        <f t="shared" si="23"/>
        <v>4242.0609342964826</v>
      </c>
      <c r="F251">
        <v>0</v>
      </c>
      <c r="G251">
        <f t="shared" si="5"/>
        <v>5942.6260215075181</v>
      </c>
      <c r="H251">
        <f t="shared" si="6"/>
        <v>0</v>
      </c>
      <c r="I251" s="86" t="s">
        <v>366</v>
      </c>
    </row>
    <row r="252" spans="2:9" x14ac:dyDescent="0.2">
      <c r="B252">
        <v>2039</v>
      </c>
      <c r="C252">
        <f t="shared" ref="C252:E252" si="24">+C221</f>
        <v>1256.507213369604</v>
      </c>
      <c r="D252">
        <f t="shared" si="24"/>
        <v>469.6816268745003</v>
      </c>
      <c r="E252">
        <f t="shared" si="24"/>
        <v>4266.919661927127</v>
      </c>
      <c r="F252">
        <v>0</v>
      </c>
      <c r="G252">
        <f t="shared" si="5"/>
        <v>5993.1085021712315</v>
      </c>
      <c r="H252">
        <f t="shared" si="6"/>
        <v>0</v>
      </c>
      <c r="I252" s="86" t="s">
        <v>366</v>
      </c>
    </row>
    <row r="253" spans="2:9" x14ac:dyDescent="0.2">
      <c r="B253">
        <v>2040</v>
      </c>
      <c r="C253">
        <f t="shared" ref="C253:E253" si="25">+C222</f>
        <v>1267.4519125580866</v>
      </c>
      <c r="D253">
        <f t="shared" si="25"/>
        <v>484.59095661920605</v>
      </c>
      <c r="E253">
        <f t="shared" si="25"/>
        <v>4291.1091580158854</v>
      </c>
      <c r="F253">
        <v>0</v>
      </c>
      <c r="G253">
        <f t="shared" si="5"/>
        <v>6043.1520271931786</v>
      </c>
      <c r="H253">
        <f t="shared" si="6"/>
        <v>0</v>
      </c>
      <c r="I253" s="86" t="s">
        <v>366</v>
      </c>
    </row>
    <row r="254" spans="2:9" x14ac:dyDescent="0.2">
      <c r="B254">
        <v>2041</v>
      </c>
      <c r="C254">
        <f t="shared" ref="C254:E254" si="26">+C223</f>
        <v>1278.2557520743501</v>
      </c>
      <c r="D254">
        <f t="shared" si="26"/>
        <v>499.88119373071595</v>
      </c>
      <c r="E254">
        <f t="shared" si="26"/>
        <v>4314.6385393088603</v>
      </c>
      <c r="F254">
        <v>0</v>
      </c>
      <c r="G254">
        <f t="shared" si="5"/>
        <v>6092.7754851139262</v>
      </c>
      <c r="H254">
        <f t="shared" si="6"/>
        <v>0</v>
      </c>
      <c r="I254" s="86" t="s">
        <v>366</v>
      </c>
    </row>
    <row r="255" spans="2:9" x14ac:dyDescent="0.2">
      <c r="B255">
        <v>2042</v>
      </c>
      <c r="C255">
        <f t="shared" ref="C255:E255" si="27">+C224</f>
        <v>1288.9198668976371</v>
      </c>
      <c r="D255">
        <f t="shared" si="27"/>
        <v>515.56115606042499</v>
      </c>
      <c r="E255">
        <f t="shared" si="27"/>
        <v>4337.5168195150354</v>
      </c>
      <c r="F255">
        <v>0</v>
      </c>
      <c r="G255">
        <f t="shared" si="5"/>
        <v>6141.997842473098</v>
      </c>
      <c r="H255">
        <f t="shared" si="6"/>
        <v>0</v>
      </c>
      <c r="I255" s="86" t="s">
        <v>366</v>
      </c>
    </row>
    <row r="256" spans="2:9" x14ac:dyDescent="0.2">
      <c r="B256">
        <v>2043</v>
      </c>
      <c r="C256">
        <f t="shared" ref="C256:E256" si="28">+C225</f>
        <v>1299.4453841788893</v>
      </c>
      <c r="D256">
        <f t="shared" si="28"/>
        <v>531.63985436007738</v>
      </c>
      <c r="E256">
        <f t="shared" si="28"/>
        <v>4359.752910371395</v>
      </c>
      <c r="F256">
        <v>0</v>
      </c>
      <c r="G256">
        <f t="shared" si="5"/>
        <v>6190.8381489103613</v>
      </c>
      <c r="H256">
        <f t="shared" si="6"/>
        <v>0</v>
      </c>
      <c r="I256" s="86" t="s">
        <v>366</v>
      </c>
    </row>
    <row r="257" spans="2:9" x14ac:dyDescent="0.2">
      <c r="B257">
        <v>2044</v>
      </c>
      <c r="C257">
        <f t="shared" ref="C257:E257" si="29">+C226</f>
        <v>1309.8334232906568</v>
      </c>
      <c r="D257">
        <f t="shared" si="29"/>
        <v>548.12649634936429</v>
      </c>
      <c r="E257">
        <f t="shared" si="29"/>
        <v>4381.3556226976043</v>
      </c>
      <c r="F257">
        <v>0</v>
      </c>
      <c r="G257">
        <f t="shared" si="5"/>
        <v>6239.3155423376256</v>
      </c>
      <c r="H257">
        <f t="shared" si="6"/>
        <v>0</v>
      </c>
      <c r="I257" s="86" t="s">
        <v>366</v>
      </c>
    </row>
    <row r="258" spans="2:9" x14ac:dyDescent="0.2">
      <c r="B258">
        <v>2045</v>
      </c>
      <c r="C258">
        <f t="shared" ref="C258:E258" si="30">+C227</f>
        <v>1320.0850958767021</v>
      </c>
      <c r="D258">
        <f t="shared" si="30"/>
        <v>565.0304908671061</v>
      </c>
      <c r="E258">
        <f t="shared" si="30"/>
        <v>4402.3336674403299</v>
      </c>
      <c r="F258">
        <v>0</v>
      </c>
      <c r="G258">
        <f t="shared" si="5"/>
        <v>6287.4492541841382</v>
      </c>
      <c r="H258">
        <f t="shared" si="6"/>
        <v>0</v>
      </c>
      <c r="I258" s="86" t="s">
        <v>366</v>
      </c>
    </row>
    <row r="259" spans="2:9" x14ac:dyDescent="0.2">
      <c r="B259">
        <v>2046</v>
      </c>
      <c r="C259">
        <f t="shared" ref="C259:E259" si="31">+C228</f>
        <v>1330.2015059013047</v>
      </c>
      <c r="D259">
        <f t="shared" si="31"/>
        <v>582.36145210770565</v>
      </c>
      <c r="E259">
        <f t="shared" si="31"/>
        <v>4422.6956567073203</v>
      </c>
      <c r="F259">
        <v>0</v>
      </c>
      <c r="G259">
        <f t="shared" si="5"/>
        <v>6335.2586147163311</v>
      </c>
      <c r="H259">
        <f t="shared" si="6"/>
        <v>0</v>
      </c>
      <c r="I259" s="86" t="s">
        <v>366</v>
      </c>
    </row>
    <row r="260" spans="2:9" x14ac:dyDescent="0.2">
      <c r="B260">
        <v>2047</v>
      </c>
      <c r="C260">
        <f t="shared" ref="C260:E260" si="32">+C229</f>
        <v>1340.1837496982639</v>
      </c>
      <c r="D260">
        <f t="shared" si="32"/>
        <v>600.12920394458843</v>
      </c>
      <c r="E260">
        <f t="shared" si="32"/>
        <v>4442.4501047913227</v>
      </c>
      <c r="F260">
        <v>0</v>
      </c>
      <c r="G260">
        <f t="shared" si="5"/>
        <v>6382.763058434175</v>
      </c>
      <c r="H260">
        <f t="shared" si="6"/>
        <v>0</v>
      </c>
      <c r="I260" s="86" t="s">
        <v>366</v>
      </c>
    </row>
    <row r="261" spans="2:9" x14ac:dyDescent="0.2">
      <c r="B261">
        <v>2048</v>
      </c>
      <c r="C261">
        <f t="shared" ref="C261:E261" si="33">+C230</f>
        <v>1350.0329160196065</v>
      </c>
      <c r="D261">
        <f t="shared" si="33"/>
        <v>618.34378434238681</v>
      </c>
      <c r="E261">
        <f t="shared" si="33"/>
        <v>4461.6054291839509</v>
      </c>
      <c r="F261">
        <v>0</v>
      </c>
      <c r="G261">
        <f t="shared" si="5"/>
        <v>6429.9821295459442</v>
      </c>
      <c r="H261">
        <f t="shared" si="6"/>
        <v>0</v>
      </c>
      <c r="I261" s="86" t="s">
        <v>366</v>
      </c>
    </row>
    <row r="262" spans="2:9" x14ac:dyDescent="0.2">
      <c r="B262">
        <v>2049</v>
      </c>
      <c r="C262">
        <f t="shared" ref="C262:E262" si="34">+C231</f>
        <v>1359.750086083993</v>
      </c>
      <c r="D262">
        <f t="shared" si="34"/>
        <v>637.01544985965108</v>
      </c>
      <c r="E262">
        <f t="shared" si="34"/>
        <v>4480.1699515795908</v>
      </c>
      <c r="F262">
        <v>0</v>
      </c>
      <c r="G262">
        <f t="shared" si="5"/>
        <v>6476.9354875232348</v>
      </c>
      <c r="H262">
        <f t="shared" si="6"/>
        <v>0</v>
      </c>
      <c r="I262" s="86" t="s">
        <v>366</v>
      </c>
    </row>
    <row r="263" spans="2:9" x14ac:dyDescent="0.2">
      <c r="B263">
        <v>2050</v>
      </c>
      <c r="C263">
        <f t="shared" ref="C263:E263" si="35">+C232</f>
        <v>1369.3363336248351</v>
      </c>
      <c r="D263">
        <f t="shared" si="35"/>
        <v>656.15468024391419</v>
      </c>
      <c r="E263">
        <f t="shared" si="35"/>
        <v>4498.1518988694324</v>
      </c>
      <c r="F263">
        <v>0</v>
      </c>
      <c r="G263">
        <f t="shared" si="5"/>
        <v>6523.6429127381816</v>
      </c>
      <c r="H263">
        <f t="shared" si="6"/>
        <v>0</v>
      </c>
      <c r="I263" s="86" t="s">
        <v>366</v>
      </c>
    </row>
  </sheetData>
  <mergeCells count="2">
    <mergeCell ref="A1:E1"/>
    <mergeCell ref="B120:F1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Demand</vt:lpstr>
      <vt:lpstr>Supply</vt:lpstr>
      <vt:lpstr>Energy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cp:revision>2</cp:revision>
  <dcterms:created xsi:type="dcterms:W3CDTF">2026-04-20T15:57:50Z</dcterms:created>
  <dcterms:modified xsi:type="dcterms:W3CDTF">2026-04-24T18:17:33Z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2026-04-20T16:10:11Z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4d6f16af-bfdc-4f2f-a097-e0e701932e36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50, 0, 1, 1</vt:lpwstr>
  </property>
</Properties>
</file>