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9900" yWindow="600" windowWidth="26740" windowHeight="24740" tabRatio="600" firstSheet="0" activeTab="7" autoFilterDateGrouping="1"/>
  </bookViews>
  <sheets>
    <sheet xmlns:r="http://schemas.openxmlformats.org/officeDocument/2006/relationships" name="Tabla de Emisiones y Remociones" sheetId="1" state="visible" r:id="rId1"/>
    <sheet xmlns:r="http://schemas.openxmlformats.org/officeDocument/2006/relationships" name="2017" sheetId="2" state="visible" r:id="rId2"/>
    <sheet xmlns:r="http://schemas.openxmlformats.org/officeDocument/2006/relationships" name="2018" sheetId="3" state="visible" r:id="rId3"/>
    <sheet xmlns:r="http://schemas.openxmlformats.org/officeDocument/2006/relationships" name="2019" sheetId="4" state="visible" r:id="rId4"/>
    <sheet xmlns:r="http://schemas.openxmlformats.org/officeDocument/2006/relationships" name="2020" sheetId="5" state="visible" r:id="rId5"/>
    <sheet xmlns:r="http://schemas.openxmlformats.org/officeDocument/2006/relationships" name="2021" sheetId="6" state="visible" r:id="rId6"/>
    <sheet xmlns:r="http://schemas.openxmlformats.org/officeDocument/2006/relationships" name="2022" sheetId="7" state="visible" r:id="rId7"/>
    <sheet xmlns:r="http://schemas.openxmlformats.org/officeDocument/2006/relationships" name="2023" sheetId="8" state="visible" r:id="rId8"/>
    <sheet xmlns:r="http://schemas.openxmlformats.org/officeDocument/2006/relationships" name="Notes - 1.A.1 Split" sheetId="9" state="visible" r:id="rId9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color rgb="FFFF0000"/>
      <sz val="10"/>
      <scheme val="minor"/>
    </font>
    <font>
      <name val="Arial"/>
      <family val="2"/>
      <sz val="8"/>
      <scheme val="minor"/>
    </font>
    <font>
      <b val="1"/>
      <sz val="14"/>
    </font>
    <font>
      <b val="1"/>
    </font>
  </fonts>
  <fills count="1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3999755851924192"/>
        <bgColor rgb="FF000000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6" tint="0.3999755851924192"/>
        <bgColor rgb="FF000000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0.3999755851924192"/>
        <bgColor rgb="FF000000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indent="1"/>
    </xf>
    <xf numFmtId="0" fontId="2" fillId="0" borderId="0" pivotButton="0" quotePrefix="0" xfId="0"/>
    <xf numFmtId="0" fontId="2" fillId="0" borderId="0" applyAlignment="1" pivotButton="0" quotePrefix="0" xfId="0">
      <alignment horizontal="left" indent="1"/>
    </xf>
    <xf numFmtId="0" fontId="2" fillId="0" borderId="0" applyAlignment="1" pivotButton="0" quotePrefix="0" xfId="0">
      <alignment horizontal="left" indent="2"/>
    </xf>
    <xf numFmtId="0" fontId="2" fillId="4" borderId="0" applyAlignment="1" pivotButton="0" quotePrefix="0" xfId="0">
      <alignment horizontal="left" indent="1"/>
    </xf>
    <xf numFmtId="0" fontId="2" fillId="5" borderId="0" pivotButton="0" quotePrefix="0" xfId="0"/>
    <xf numFmtId="0" fontId="2" fillId="7" borderId="0" pivotButton="0" quotePrefix="0" xfId="0"/>
    <xf numFmtId="0" fontId="2" fillId="3" borderId="0" applyAlignment="1" pivotButton="0" quotePrefix="0" xfId="0">
      <alignment horizontal="left" indent="1"/>
    </xf>
    <xf numFmtId="0" fontId="2" fillId="9" borderId="0" pivotButton="0" quotePrefix="0" xfId="0"/>
    <xf numFmtId="0" fontId="2" fillId="11" borderId="0" pivotButton="0" quotePrefix="0" xfId="0"/>
    <xf numFmtId="0" fontId="2" fillId="13" borderId="0" applyAlignment="1" pivotButton="0" quotePrefix="0" xfId="0">
      <alignment horizontal="left" indent="1"/>
    </xf>
    <xf numFmtId="164" fontId="0" fillId="6" borderId="0" pivotButton="0" quotePrefix="0" xfId="0"/>
    <xf numFmtId="164" fontId="0" fillId="12" borderId="0" pivotButton="0" quotePrefix="0" xfId="0"/>
    <xf numFmtId="164" fontId="0" fillId="10" borderId="0" pivotButton="0" quotePrefix="0" xfId="0"/>
    <xf numFmtId="164" fontId="0" fillId="0" borderId="0" pivotButton="0" quotePrefix="0" xfId="0"/>
    <xf numFmtId="164" fontId="2" fillId="0" borderId="0" pivotButton="0" quotePrefix="0" xfId="0"/>
    <xf numFmtId="164" fontId="2" fillId="12" borderId="0" pivotButton="0" quotePrefix="0" xfId="0"/>
    <xf numFmtId="164" fontId="2" fillId="13" borderId="0" pivotButton="0" quotePrefix="0" xfId="0"/>
    <xf numFmtId="164" fontId="0" fillId="13" borderId="0" pivotButton="0" quotePrefix="0" xfId="0"/>
    <xf numFmtId="164" fontId="1" fillId="0" borderId="0" pivotButton="0" quotePrefix="0" xfId="0"/>
    <xf numFmtId="164" fontId="2" fillId="6" borderId="0" pivotButton="0" quotePrefix="0" xfId="0"/>
    <xf numFmtId="164" fontId="2" fillId="4" borderId="0" pivotButton="0" quotePrefix="0" xfId="0"/>
    <xf numFmtId="164" fontId="0" fillId="4" borderId="0" pivotButton="0" quotePrefix="0" xfId="0"/>
    <xf numFmtId="164" fontId="2" fillId="8" borderId="0" pivotButton="0" quotePrefix="0" xfId="0"/>
    <xf numFmtId="164" fontId="0" fillId="8" borderId="0" pivotButton="0" quotePrefix="0" xfId="0"/>
    <xf numFmtId="164" fontId="2" fillId="3" borderId="0" pivotButton="0" quotePrefix="0" xfId="0"/>
    <xf numFmtId="164" fontId="0" fillId="3" borderId="0" pivotButton="0" quotePrefix="0" xfId="0"/>
    <xf numFmtId="164" fontId="2" fillId="10" borderId="0" pivotButton="0" quotePrefix="0" xfId="0"/>
    <xf numFmtId="0" fontId="1" fillId="2" borderId="0" pivotButton="0" quotePrefix="0" xfId="0"/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4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left" indent="3"/>
    </xf>
    <xf numFmtId="0" fontId="2" fillId="14" borderId="0" applyAlignment="1" pivotButton="0" quotePrefix="0" xfId="0">
      <alignment horizontal="left" indent="2"/>
    </xf>
    <xf numFmtId="164" fontId="2" fillId="14" borderId="0" pivotButton="0" quotePrefix="0" xfId="0"/>
    <xf numFmtId="164" fontId="0" fillId="14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73"/>
  <sheetViews>
    <sheetView zoomScale="125" workbookViewId="0">
      <pane xSplit="1" ySplit="1" topLeftCell="B26" activePane="bottomRight" state="frozen"/>
      <selection pane="topRight" activeCell="B1" sqref="B1"/>
      <selection pane="bottomLeft" activeCell="A2" sqref="A2"/>
      <selection pane="bottomRight" activeCell="B63" sqref="B63:H63"/>
    </sheetView>
  </sheetViews>
  <sheetFormatPr baseColWidth="10" defaultColWidth="12.6640625" defaultRowHeight="15.75" customHeight="1"/>
  <cols>
    <col width="50.1640625" customWidth="1" min="1" max="1"/>
  </cols>
  <sheetData>
    <row r="1" ht="15.75" customHeight="1">
      <c r="A1" s="1" t="inlineStr">
        <is>
          <t>Categories</t>
        </is>
      </c>
      <c r="B1" s="32" t="n">
        <v>2017</v>
      </c>
      <c r="C1" s="32" t="n">
        <v>2018</v>
      </c>
      <c r="D1" s="32" t="n">
        <v>2019</v>
      </c>
      <c r="E1" s="32" t="n">
        <v>2020</v>
      </c>
      <c r="F1" s="32" t="n">
        <v>2021</v>
      </c>
      <c r="G1" s="32" t="n">
        <v>2022</v>
      </c>
      <c r="H1" s="32" t="n">
        <v>2023</v>
      </c>
    </row>
    <row r="2" ht="15.75" customHeight="1">
      <c r="A2" s="1" t="inlineStr">
        <is>
          <t>Total National Emissions and Removals</t>
        </is>
      </c>
      <c r="B2" s="1" t="n">
        <v>77.10899999999999</v>
      </c>
      <c r="C2" s="1" t="n">
        <v>79.91500000000001</v>
      </c>
      <c r="D2" s="1" t="n">
        <v>84.31399999999999</v>
      </c>
      <c r="E2" s="1" t="n">
        <v>78.53</v>
      </c>
      <c r="F2" s="1" t="n">
        <v>88.892</v>
      </c>
      <c r="G2" s="1" t="n">
        <v>91.42700000000001</v>
      </c>
      <c r="H2" s="1" t="n">
        <v>97.324</v>
      </c>
    </row>
    <row r="3" ht="15.75" customHeight="1">
      <c r="A3" s="11" t="inlineStr">
        <is>
          <t>1 - Energy</t>
        </is>
      </c>
      <c r="B3" s="1" t="n">
        <v>67.53400000000001</v>
      </c>
      <c r="C3" s="1" t="n">
        <v>70.31699999999999</v>
      </c>
      <c r="D3" s="1" t="n">
        <v>74.494</v>
      </c>
      <c r="E3" s="1" t="n">
        <v>69.087</v>
      </c>
      <c r="F3" s="1" t="n">
        <v>78.504</v>
      </c>
      <c r="G3" s="1" t="n">
        <v>80.65600000000001</v>
      </c>
      <c r="H3" s="1" t="n">
        <v>85.97799999999999</v>
      </c>
    </row>
    <row r="4" ht="15.75" customHeight="1">
      <c r="A4" s="12" t="inlineStr">
        <is>
          <t>1.A - Fuel Combustion Activities</t>
        </is>
      </c>
      <c r="B4" s="1" t="n">
        <v>45.431</v>
      </c>
      <c r="C4" s="1" t="n">
        <v>45.676</v>
      </c>
      <c r="D4" s="1" t="n">
        <v>47.548</v>
      </c>
      <c r="E4" s="1" t="n">
        <v>45.126</v>
      </c>
      <c r="F4" s="1" t="n">
        <v>51.749</v>
      </c>
      <c r="G4" s="1" t="n">
        <v>55.988</v>
      </c>
      <c r="H4" s="1" t="n">
        <v>58.95</v>
      </c>
    </row>
    <row r="5" ht="15.75" customHeight="1">
      <c r="A5" s="5" t="inlineStr">
        <is>
          <t>1.A.1 - Energy Industries</t>
        </is>
      </c>
      <c r="B5" s="1" t="n">
        <v>23.296</v>
      </c>
      <c r="C5" s="1" t="n">
        <v>24.048</v>
      </c>
      <c r="D5" s="1" t="n">
        <v>24.825</v>
      </c>
      <c r="E5" s="1" t="n">
        <v>23.427</v>
      </c>
      <c r="F5" s="1" t="n">
        <v>26.089</v>
      </c>
      <c r="G5" s="1" t="n">
        <v>27.76</v>
      </c>
      <c r="H5" s="1" t="n">
        <v>32.539</v>
      </c>
    </row>
    <row r="6" ht="15.75" customHeight="1">
      <c r="A6" s="5" t="inlineStr">
        <is>
          <t>1.A.2 - Manufacturing Industries and Construction</t>
        </is>
      </c>
      <c r="B6" s="1" t="n">
        <v>1.509</v>
      </c>
      <c r="C6" s="1" t="n">
        <v>1.64</v>
      </c>
      <c r="D6" s="1" t="n">
        <v>1.794</v>
      </c>
      <c r="E6" s="1" t="n">
        <v>1.57</v>
      </c>
      <c r="F6" s="1" t="n">
        <v>2.273</v>
      </c>
      <c r="G6" s="1" t="n">
        <v>2.07</v>
      </c>
      <c r="H6" s="1" t="n">
        <v>1.98</v>
      </c>
    </row>
    <row r="7" ht="15.75" customHeight="1">
      <c r="A7" s="5" t="inlineStr">
        <is>
          <t>1.A.3 - Transport</t>
        </is>
      </c>
      <c r="B7" s="1" t="n">
        <v>19.795</v>
      </c>
      <c r="C7" s="1" t="n">
        <v>19.149</v>
      </c>
      <c r="D7" s="1" t="n">
        <v>20.072</v>
      </c>
      <c r="E7" s="1" t="n">
        <v>19.293</v>
      </c>
      <c r="F7" s="1" t="n">
        <v>22.453</v>
      </c>
      <c r="G7" s="1" t="n">
        <v>25.193</v>
      </c>
      <c r="H7" s="1" t="n">
        <v>23.403</v>
      </c>
    </row>
    <row r="8" ht="15.75" customHeight="1">
      <c r="A8" s="5" t="inlineStr">
        <is>
          <t>1.A.4 - Other Sectors</t>
        </is>
      </c>
      <c r="B8" s="1" t="n">
        <v>831</v>
      </c>
      <c r="C8" s="1" t="n">
        <v>840</v>
      </c>
      <c r="D8" s="1" t="n">
        <v>856</v>
      </c>
      <c r="E8" s="1" t="n">
        <v>836</v>
      </c>
      <c r="F8" s="1" t="n">
        <v>933</v>
      </c>
      <c r="G8" s="1" t="n">
        <v>965</v>
      </c>
      <c r="H8" s="1" t="n">
        <v>1.029</v>
      </c>
    </row>
    <row r="9" ht="15.75" customHeight="1">
      <c r="A9" s="12" t="inlineStr">
        <is>
          <t>1.B - Fugitive emissions from fuels</t>
        </is>
      </c>
      <c r="B9" s="1" t="n">
        <v>22.103</v>
      </c>
      <c r="C9" s="1" t="n">
        <v>24.64</v>
      </c>
      <c r="D9" s="1" t="n">
        <v>26.946</v>
      </c>
      <c r="E9" s="1" t="n">
        <v>23.961</v>
      </c>
      <c r="F9" s="1" t="n">
        <v>26.755</v>
      </c>
      <c r="G9" s="1" t="n">
        <v>24.668</v>
      </c>
      <c r="H9" s="1" t="n">
        <v>27.028</v>
      </c>
    </row>
    <row r="10" ht="15.75" customHeight="1">
      <c r="A10" s="2" t="inlineStr">
        <is>
          <t>1.C - Carbon dioxide Transport and Storage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</row>
    <row r="11" ht="15.75" customHeight="1">
      <c r="A11" s="7" t="inlineStr">
        <is>
          <t>2 - Industrial Processes and Product Use</t>
        </is>
      </c>
      <c r="B11" s="1" t="n">
        <v>5.203</v>
      </c>
      <c r="C11" s="1" t="n">
        <v>5.1</v>
      </c>
      <c r="D11" s="1" t="n">
        <v>5.307</v>
      </c>
      <c r="E11" s="1" t="n">
        <v>4.918</v>
      </c>
      <c r="F11" s="1" t="n">
        <v>5.845</v>
      </c>
      <c r="G11" s="1" t="n">
        <v>6.144</v>
      </c>
      <c r="H11" s="1" t="n">
        <v>6.658</v>
      </c>
    </row>
    <row r="12" ht="15.75" customHeight="1">
      <c r="A12" s="6" t="inlineStr">
        <is>
          <t>2.A - Mineral Industry</t>
        </is>
      </c>
      <c r="B12" s="1" t="n">
        <v>1.244</v>
      </c>
      <c r="C12" s="1" t="n">
        <v>1.367</v>
      </c>
      <c r="D12" s="1" t="n">
        <v>1.281</v>
      </c>
      <c r="E12" s="1" t="n">
        <v>1.331</v>
      </c>
      <c r="F12" s="1" t="n">
        <v>1.524</v>
      </c>
      <c r="G12" s="1" t="n">
        <v>1.698</v>
      </c>
      <c r="H12" s="1" t="n">
        <v>1.51</v>
      </c>
    </row>
    <row r="13" ht="15.75" customHeight="1">
      <c r="A13" s="5" t="inlineStr">
        <is>
          <t>2.A.1 - Cement production</t>
        </is>
      </c>
      <c r="B13" s="1" t="n">
        <v>1.064</v>
      </c>
      <c r="C13" s="1" t="n">
        <v>1.202</v>
      </c>
      <c r="D13" s="1" t="n">
        <v>1.034</v>
      </c>
      <c r="E13" s="1" t="n">
        <v>1.106</v>
      </c>
      <c r="F13" s="1" t="n">
        <v>1.277</v>
      </c>
      <c r="G13" s="1" t="n">
        <v>1.442</v>
      </c>
      <c r="H13" s="1" t="n">
        <v>1.246</v>
      </c>
    </row>
    <row r="14" ht="15.75" customHeight="1">
      <c r="A14" s="5" t="inlineStr">
        <is>
          <t>2.A.2 - Lime production</t>
        </is>
      </c>
      <c r="B14" s="1" t="n">
        <v>180</v>
      </c>
      <c r="C14" s="1" t="n">
        <v>165</v>
      </c>
      <c r="D14" s="1" t="n">
        <v>248</v>
      </c>
      <c r="E14" s="1" t="n">
        <v>225</v>
      </c>
      <c r="F14" s="1" t="n">
        <v>248</v>
      </c>
      <c r="G14" s="1" t="n">
        <v>256</v>
      </c>
      <c r="H14" s="1" t="n">
        <v>264</v>
      </c>
    </row>
    <row r="15" ht="15.75" customHeight="1">
      <c r="A15" s="6" t="inlineStr">
        <is>
          <t>2.B - Chemical Industry</t>
        </is>
      </c>
      <c r="B15" s="1" t="n">
        <v>683</v>
      </c>
      <c r="C15" s="1" t="n">
        <v>425</v>
      </c>
      <c r="D15" s="1" t="n">
        <v>391</v>
      </c>
      <c r="E15" s="1" t="n">
        <v>93</v>
      </c>
      <c r="F15" s="1" t="n">
        <v>679</v>
      </c>
      <c r="G15" s="1" t="n">
        <v>612</v>
      </c>
      <c r="H15" s="1" t="n">
        <v>711</v>
      </c>
    </row>
    <row r="16" ht="15.75" customHeight="1">
      <c r="A16" s="5" t="inlineStr">
        <is>
          <t>2.B.1 - Ammonia Production</t>
        </is>
      </c>
      <c r="B16" s="1" t="n">
        <v>590</v>
      </c>
      <c r="C16" s="1" t="n">
        <v>417</v>
      </c>
      <c r="D16" s="1" t="n">
        <v>274</v>
      </c>
      <c r="E16" s="1" t="n">
        <v>72</v>
      </c>
      <c r="F16" s="1" t="n">
        <v>604</v>
      </c>
      <c r="G16" s="1" t="n">
        <v>612</v>
      </c>
      <c r="H16" s="1" t="n">
        <v>678</v>
      </c>
    </row>
    <row r="17" ht="15.75" customHeight="1">
      <c r="A17" s="5" t="inlineStr">
        <is>
          <t>2.B.8 - Petrochemical and Carbon Black Production</t>
        </is>
      </c>
      <c r="B17" s="1" t="n">
        <v>94</v>
      </c>
      <c r="C17" s="1" t="n">
        <v>8</v>
      </c>
      <c r="D17" s="1" t="n">
        <v>117</v>
      </c>
      <c r="E17" s="1" t="n">
        <v>21</v>
      </c>
      <c r="F17" s="1" t="n">
        <v>76</v>
      </c>
      <c r="G17" s="1" t="n">
        <v>0</v>
      </c>
      <c r="H17" s="1" t="n">
        <v>33</v>
      </c>
    </row>
    <row r="18" ht="15.75" customHeight="1">
      <c r="A18" s="6" t="inlineStr">
        <is>
          <t>2.C - Metal Industry</t>
        </is>
      </c>
      <c r="B18" s="1" t="n">
        <v>806</v>
      </c>
      <c r="C18" s="1" t="n">
        <v>811</v>
      </c>
      <c r="D18" s="1" t="n">
        <v>1.135</v>
      </c>
      <c r="E18" s="1" t="n">
        <v>1.012</v>
      </c>
      <c r="F18" s="1" t="n">
        <v>1.169</v>
      </c>
      <c r="G18" s="1" t="n">
        <v>1.326</v>
      </c>
      <c r="H18" s="1" t="n">
        <v>2.063</v>
      </c>
    </row>
    <row r="19" ht="15.75" customHeight="1">
      <c r="A19" s="5" t="inlineStr">
        <is>
          <t>2.C.1 - Iron and Steel Production</t>
        </is>
      </c>
      <c r="B19" s="1" t="n">
        <v>806</v>
      </c>
      <c r="C19" s="1" t="n">
        <v>811</v>
      </c>
      <c r="D19" s="1" t="n">
        <v>1.135</v>
      </c>
      <c r="E19" s="1" t="n">
        <v>1.012</v>
      </c>
      <c r="F19" s="1" t="n">
        <v>1.169</v>
      </c>
      <c r="G19" s="1" t="n">
        <v>1.326</v>
      </c>
      <c r="H19" s="1" t="n">
        <v>2.063</v>
      </c>
    </row>
    <row r="20" ht="15.75" customHeight="1">
      <c r="A20" s="6" t="inlineStr">
        <is>
          <t>2.D - Non-Energy Products from Fuels and Solvent Use</t>
        </is>
      </c>
      <c r="B20" s="1" t="n">
        <v>35</v>
      </c>
      <c r="C20" s="1" t="n">
        <v>39</v>
      </c>
      <c r="D20" s="1" t="n">
        <v>32</v>
      </c>
      <c r="E20" s="1" t="n">
        <v>22</v>
      </c>
      <c r="F20" s="1" t="n">
        <v>29</v>
      </c>
      <c r="G20" s="1" t="n">
        <v>27</v>
      </c>
      <c r="H20" s="1" t="n">
        <v>27</v>
      </c>
    </row>
    <row r="21" ht="15.75" customHeight="1">
      <c r="A21" s="6" t="inlineStr">
        <is>
          <t>2.F - Product Uses as Substitutes for Ozone Depleting Substances</t>
        </is>
      </c>
      <c r="B21" s="1" t="n">
        <v>2.334</v>
      </c>
      <c r="C21" s="1" t="n">
        <v>2.334</v>
      </c>
      <c r="D21" s="1" t="n">
        <v>2.334</v>
      </c>
      <c r="E21" s="1" t="n">
        <v>2.334</v>
      </c>
      <c r="F21" s="1" t="n">
        <v>2.334</v>
      </c>
      <c r="G21" s="1" t="n">
        <v>2.334</v>
      </c>
      <c r="H21" s="1" t="n">
        <v>2.334</v>
      </c>
    </row>
    <row r="22" ht="15.75" customHeight="1">
      <c r="A22" s="5" t="inlineStr">
        <is>
          <t>2.F.1 - Refrigeration and Air Conditioning</t>
        </is>
      </c>
      <c r="B22" s="1" t="n">
        <v>2.334</v>
      </c>
      <c r="C22" s="1" t="n">
        <v>2.334</v>
      </c>
      <c r="D22" s="1" t="n">
        <v>2.334</v>
      </c>
      <c r="E22" s="1" t="n">
        <v>2.334</v>
      </c>
      <c r="F22" s="1" t="n">
        <v>2.334</v>
      </c>
      <c r="G22" s="1" t="n">
        <v>2.334</v>
      </c>
      <c r="H22" s="1" t="n">
        <v>2.334</v>
      </c>
    </row>
    <row r="23" ht="15.75" customHeight="1">
      <c r="A23" s="8" t="inlineStr">
        <is>
          <t>3 - Agriculture, Forestry, and Other Land Use</t>
        </is>
      </c>
      <c r="B23" s="1" t="n">
        <v>3.326</v>
      </c>
      <c r="C23" s="1" t="n">
        <v>3.408</v>
      </c>
      <c r="D23" s="1" t="n">
        <v>3.411</v>
      </c>
      <c r="E23" s="1" t="n">
        <v>3.382</v>
      </c>
      <c r="F23" s="1" t="n">
        <v>3.361</v>
      </c>
      <c r="G23" s="1" t="n">
        <v>3.406</v>
      </c>
      <c r="H23" s="1" t="n">
        <v>3.43</v>
      </c>
    </row>
    <row r="24" ht="15.75" customHeight="1">
      <c r="A24" s="9" t="inlineStr">
        <is>
          <t>3.A - Livestock</t>
        </is>
      </c>
      <c r="B24" s="1" t="n">
        <v>2.281</v>
      </c>
      <c r="C24" s="1" t="n">
        <v>2.366</v>
      </c>
      <c r="D24" s="1" t="n">
        <v>2.426</v>
      </c>
      <c r="E24" s="1" t="n">
        <v>2.354</v>
      </c>
      <c r="F24" s="1" t="n">
        <v>2.348</v>
      </c>
      <c r="G24" s="1" t="n">
        <v>2.373</v>
      </c>
      <c r="H24" s="1" t="n">
        <v>2.409</v>
      </c>
    </row>
    <row r="25" ht="15.75" customHeight="1">
      <c r="A25" s="5" t="inlineStr">
        <is>
          <t>3.A.1 - Enteric Fermentation</t>
        </is>
      </c>
      <c r="B25" s="1" t="n">
        <v>1.641</v>
      </c>
      <c r="C25" s="1" t="n">
        <v>1.706</v>
      </c>
      <c r="D25" s="1" t="n">
        <v>1.748</v>
      </c>
      <c r="E25" s="1" t="n">
        <v>1.692</v>
      </c>
      <c r="F25" s="1" t="n">
        <v>1.687</v>
      </c>
      <c r="G25" s="1" t="n">
        <v>1.709</v>
      </c>
      <c r="H25" s="1" t="n">
        <v>1.731</v>
      </c>
    </row>
    <row r="26" ht="15.75" customHeight="1">
      <c r="A26" s="5" t="inlineStr">
        <is>
          <t>3.A.2 - Manure Management</t>
        </is>
      </c>
      <c r="B26" s="1" t="n">
        <v>640</v>
      </c>
      <c r="C26" s="1" t="n">
        <v>661</v>
      </c>
      <c r="D26" s="1" t="n">
        <v>678</v>
      </c>
      <c r="E26" s="1" t="n">
        <v>661</v>
      </c>
      <c r="F26" s="1" t="n">
        <v>661</v>
      </c>
      <c r="G26" s="1" t="n">
        <v>665</v>
      </c>
      <c r="H26" s="1" t="n">
        <v>678</v>
      </c>
    </row>
    <row r="27" ht="15.75" customHeight="1">
      <c r="A27" s="9" t="inlineStr">
        <is>
          <t>3.C - Aggregate sources and non-CO2 emissions sources on land</t>
        </is>
      </c>
      <c r="B27" s="1" t="n">
        <v>1.045</v>
      </c>
      <c r="C27" s="1" t="n">
        <v>1.042</v>
      </c>
      <c r="D27" s="1" t="n">
        <v>985</v>
      </c>
      <c r="E27" s="1" t="n">
        <v>1.028</v>
      </c>
      <c r="F27" s="1" t="n">
        <v>1.013</v>
      </c>
      <c r="G27" s="1" t="n">
        <v>1.032</v>
      </c>
      <c r="H27" s="1" t="n">
        <v>1.021</v>
      </c>
    </row>
    <row r="28" ht="15.75" customHeight="1">
      <c r="A28" s="5" t="inlineStr">
        <is>
          <t>3.C.1 - Burning</t>
        </is>
      </c>
      <c r="B28" s="1" t="n">
        <v>8</v>
      </c>
      <c r="C28" s="1" t="n">
        <v>9</v>
      </c>
      <c r="D28" s="1" t="n">
        <v>10</v>
      </c>
      <c r="E28" s="1" t="n">
        <v>10</v>
      </c>
      <c r="F28" s="1" t="n">
        <v>9</v>
      </c>
      <c r="G28" s="1" t="n">
        <v>9</v>
      </c>
      <c r="H28" s="1" t="n">
        <v>8</v>
      </c>
    </row>
    <row r="29" ht="15.75" customHeight="1">
      <c r="A29" s="5" t="inlineStr">
        <is>
          <t>3.C.2 - Liming</t>
        </is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</row>
    <row r="30" ht="15.75" customHeight="1">
      <c r="A30" s="5" t="inlineStr">
        <is>
          <t>3.C.3 - Urea application</t>
        </is>
      </c>
      <c r="B30" s="1" t="n">
        <v>27</v>
      </c>
      <c r="C30" s="1" t="n">
        <v>13</v>
      </c>
      <c r="D30" s="1" t="n">
        <v>21</v>
      </c>
      <c r="E30" s="1" t="n">
        <v>8</v>
      </c>
      <c r="F30" s="1" t="n">
        <v>1</v>
      </c>
      <c r="G30" s="1" t="n">
        <v>4</v>
      </c>
      <c r="H30" s="1" t="n">
        <v>0.1</v>
      </c>
    </row>
    <row r="31" ht="15.75" customHeight="1">
      <c r="A31" s="5" t="inlineStr">
        <is>
          <t>3.C.4 - Direct N2O Emissions from managed soils</t>
        </is>
      </c>
      <c r="B31" s="1" t="n">
        <v>650</v>
      </c>
      <c r="C31" s="1" t="n">
        <v>672</v>
      </c>
      <c r="D31" s="1" t="n">
        <v>613</v>
      </c>
      <c r="E31" s="1" t="n">
        <v>664</v>
      </c>
      <c r="F31" s="1" t="n">
        <v>657</v>
      </c>
      <c r="G31" s="1" t="n">
        <v>665</v>
      </c>
      <c r="H31" s="1" t="n">
        <v>655</v>
      </c>
    </row>
    <row r="32" ht="15.75" customHeight="1">
      <c r="A32" s="5" t="inlineStr">
        <is>
          <t>3.C.5 - Indirect N2O Emissions from managed soils</t>
        </is>
      </c>
      <c r="B32" s="1" t="n">
        <v>260</v>
      </c>
      <c r="C32" s="1" t="n">
        <v>240</v>
      </c>
      <c r="D32" s="1" t="n">
        <v>231</v>
      </c>
      <c r="E32" s="1" t="n">
        <v>240</v>
      </c>
      <c r="F32" s="1" t="n">
        <v>239</v>
      </c>
      <c r="G32" s="1" t="n">
        <v>242</v>
      </c>
      <c r="H32" s="1" t="n">
        <v>246</v>
      </c>
    </row>
    <row r="33" ht="15.75" customHeight="1">
      <c r="A33" s="5" t="inlineStr">
        <is>
          <t>3.C.6 - Indirect N2O Emissions from manure management</t>
        </is>
      </c>
      <c r="B33" s="1" t="n">
        <v>99</v>
      </c>
      <c r="C33" s="1" t="n">
        <v>108</v>
      </c>
      <c r="D33" s="1" t="n">
        <v>110</v>
      </c>
      <c r="E33" s="1" t="n">
        <v>108</v>
      </c>
      <c r="F33" s="1" t="n">
        <v>108</v>
      </c>
      <c r="G33" s="1" t="n">
        <v>113</v>
      </c>
      <c r="H33" s="1" t="n">
        <v>111</v>
      </c>
    </row>
    <row r="34" ht="15.75" customHeight="1">
      <c r="A34" s="10" t="inlineStr">
        <is>
          <t>4 - Waste</t>
        </is>
      </c>
      <c r="B34" s="1" t="n">
        <v>1.046</v>
      </c>
      <c r="C34" s="1" t="n">
        <v>1.09</v>
      </c>
      <c r="D34" s="1" t="n">
        <v>1.101</v>
      </c>
      <c r="E34" s="1" t="n">
        <v>1.142</v>
      </c>
      <c r="F34" s="1" t="n">
        <v>1.182</v>
      </c>
      <c r="G34" s="1" t="n">
        <v>1.221</v>
      </c>
      <c r="H34" s="1" t="n">
        <v>1.258</v>
      </c>
    </row>
    <row r="35" ht="15.75" customHeight="1">
      <c r="A35" s="4" t="inlineStr">
        <is>
          <t>4.A - Solid Waste Disposal</t>
        </is>
      </c>
      <c r="B35" s="1" t="n">
        <v>549</v>
      </c>
      <c r="C35" s="1" t="n">
        <v>587</v>
      </c>
      <c r="D35" s="1" t="n">
        <v>624</v>
      </c>
      <c r="E35" s="1" t="n">
        <v>660</v>
      </c>
      <c r="F35" s="1" t="n">
        <v>695</v>
      </c>
      <c r="G35" s="1" t="n">
        <v>0</v>
      </c>
      <c r="H35" s="1" t="n">
        <v>762</v>
      </c>
    </row>
    <row r="36" ht="15.75" customHeight="1">
      <c r="A36" s="4" t="inlineStr">
        <is>
          <t>4.D - Wastewater Treatment and Discharge</t>
        </is>
      </c>
      <c r="B36" s="1" t="n">
        <v>496</v>
      </c>
      <c r="C36" s="1" t="n">
        <v>503</v>
      </c>
      <c r="D36" s="1" t="n">
        <v>477</v>
      </c>
      <c r="E36" s="1" t="n">
        <v>482</v>
      </c>
      <c r="F36" s="1" t="n">
        <v>487</v>
      </c>
      <c r="G36" s="1" t="n">
        <v>492</v>
      </c>
      <c r="H36" s="1" t="n">
        <v>496</v>
      </c>
    </row>
    <row r="38" ht="15.75" customHeight="1">
      <c r="A38" s="1" t="inlineStr">
        <is>
          <t>Total National Emissions and Removals</t>
        </is>
      </c>
      <c r="B38" s="31">
        <f>+B2</f>
        <v/>
      </c>
      <c r="C38" s="31">
        <f>+C2</f>
        <v/>
      </c>
      <c r="D38" s="31">
        <f>+D2</f>
        <v/>
      </c>
      <c r="E38" s="31">
        <f>+E2</f>
        <v/>
      </c>
      <c r="F38" s="31">
        <f>+F2</f>
        <v/>
      </c>
      <c r="G38" s="31">
        <f>+G2</f>
        <v/>
      </c>
      <c r="H38" s="31">
        <f>+H2</f>
        <v/>
      </c>
    </row>
    <row r="39" ht="15.75" customHeight="1">
      <c r="A39" s="11" t="inlineStr">
        <is>
          <t>1 - Energy</t>
        </is>
      </c>
      <c r="B39" s="1">
        <f>+B3</f>
        <v/>
      </c>
      <c r="C39" s="1">
        <f>+C3</f>
        <v/>
      </c>
      <c r="D39" s="1">
        <f>+D3</f>
        <v/>
      </c>
      <c r="E39" s="1">
        <f>+E3</f>
        <v/>
      </c>
      <c r="F39" s="1">
        <f>+F3</f>
        <v/>
      </c>
      <c r="G39" s="1">
        <f>+G3</f>
        <v/>
      </c>
      <c r="H39" s="1">
        <f>+H3</f>
        <v/>
      </c>
    </row>
    <row r="40" ht="15.75" customHeight="1">
      <c r="A40" s="12" t="inlineStr">
        <is>
          <t>1.A - Fuel Combustion Activities</t>
        </is>
      </c>
      <c r="B40" s="1">
        <f>+B4</f>
        <v/>
      </c>
      <c r="C40" s="1">
        <f>+C4</f>
        <v/>
      </c>
      <c r="D40" s="1">
        <f>+D4</f>
        <v/>
      </c>
      <c r="E40" s="1">
        <f>+E4</f>
        <v/>
      </c>
      <c r="F40" s="1">
        <f>+F4</f>
        <v/>
      </c>
      <c r="G40" s="1">
        <f>+G4</f>
        <v/>
      </c>
      <c r="H40" s="1">
        <f>+H4</f>
        <v/>
      </c>
    </row>
    <row r="41" ht="15.75" customHeight="1">
      <c r="A41" s="5" t="inlineStr">
        <is>
          <t>1.A.1 - Energy Industries</t>
        </is>
      </c>
      <c r="B41" s="1">
        <f>+B5</f>
        <v/>
      </c>
      <c r="C41" s="1">
        <f>+C5</f>
        <v/>
      </c>
      <c r="D41" s="1">
        <f>+D5</f>
        <v/>
      </c>
      <c r="E41" s="1">
        <f>+E5</f>
        <v/>
      </c>
      <c r="F41" s="1">
        <f>+F5</f>
        <v/>
      </c>
      <c r="G41" s="1">
        <f>+G5</f>
        <v/>
      </c>
      <c r="H41" s="1">
        <f>+H5</f>
        <v/>
      </c>
    </row>
    <row r="42" ht="15.75" customHeight="1">
      <c r="A42" s="5" t="inlineStr">
        <is>
          <t>1.A.2 - Manufacturing Industries and Construction</t>
        </is>
      </c>
      <c r="B42" s="1">
        <f>+B6</f>
        <v/>
      </c>
      <c r="C42" s="1">
        <f>+C6</f>
        <v/>
      </c>
      <c r="D42" s="1">
        <f>+D6</f>
        <v/>
      </c>
      <c r="E42" s="1">
        <f>+E6</f>
        <v/>
      </c>
      <c r="F42" s="1">
        <f>+F6</f>
        <v/>
      </c>
      <c r="G42" s="1">
        <f>+G6</f>
        <v/>
      </c>
      <c r="H42" s="1">
        <f>+H6</f>
        <v/>
      </c>
    </row>
    <row r="43" ht="15.75" customHeight="1">
      <c r="A43" s="5" t="inlineStr">
        <is>
          <t>1.A.3 - Transport</t>
        </is>
      </c>
      <c r="B43" s="1">
        <f>+B7</f>
        <v/>
      </c>
      <c r="C43" s="1">
        <f>+C7</f>
        <v/>
      </c>
      <c r="D43" s="1">
        <f>+D7</f>
        <v/>
      </c>
      <c r="E43" s="1">
        <f>+E7</f>
        <v/>
      </c>
      <c r="F43" s="1">
        <f>+F7</f>
        <v/>
      </c>
      <c r="G43" s="1">
        <f>+G7</f>
        <v/>
      </c>
      <c r="H43" s="1">
        <f>+H7</f>
        <v/>
      </c>
    </row>
    <row r="44" ht="15.75" customHeight="1">
      <c r="A44" s="5" t="inlineStr">
        <is>
          <t>1.A.4 - Other Sectors</t>
        </is>
      </c>
      <c r="B44" s="30">
        <f>+B8/1000</f>
        <v/>
      </c>
      <c r="C44" s="30">
        <f>+C8/1000</f>
        <v/>
      </c>
      <c r="D44" s="30">
        <f>+D8/1000</f>
        <v/>
      </c>
      <c r="E44" s="30">
        <f>+E8/1000</f>
        <v/>
      </c>
      <c r="F44" s="30">
        <f>+F8/1000</f>
        <v/>
      </c>
      <c r="G44" s="30">
        <f>+G8/1000</f>
        <v/>
      </c>
      <c r="H44" s="30">
        <f>+H8</f>
        <v/>
      </c>
    </row>
    <row r="45" ht="15.75" customHeight="1">
      <c r="A45" s="12" t="inlineStr">
        <is>
          <t>1.B - Fugitive emissions from fuels</t>
        </is>
      </c>
      <c r="B45" s="1">
        <f>+B9</f>
        <v/>
      </c>
      <c r="C45" s="1">
        <f>+C9</f>
        <v/>
      </c>
      <c r="D45" s="1">
        <f>+D9</f>
        <v/>
      </c>
      <c r="E45" s="1">
        <f>+E9</f>
        <v/>
      </c>
      <c r="F45" s="1">
        <f>+F9</f>
        <v/>
      </c>
      <c r="G45" s="1">
        <f>+G9</f>
        <v/>
      </c>
      <c r="H45" s="1">
        <f>+H9</f>
        <v/>
      </c>
    </row>
    <row r="46" ht="15.75" customHeight="1">
      <c r="A46" s="2" t="inlineStr">
        <is>
          <t>1.C - Carbon dioxide Transport and Storage</t>
        </is>
      </c>
      <c r="B46" s="1">
        <f>+B10</f>
        <v/>
      </c>
      <c r="C46" s="1">
        <f>+C10</f>
        <v/>
      </c>
      <c r="D46" s="1">
        <f>+D10</f>
        <v/>
      </c>
      <c r="E46" s="1">
        <f>+E10</f>
        <v/>
      </c>
      <c r="F46" s="1">
        <f>+F10</f>
        <v/>
      </c>
      <c r="G46" s="1">
        <f>+G10</f>
        <v/>
      </c>
      <c r="H46" s="1">
        <f>+H10</f>
        <v/>
      </c>
    </row>
    <row r="47" ht="15.75" customHeight="1">
      <c r="A47" s="7" t="inlineStr">
        <is>
          <t>2 - Industrial Processes and Product Use</t>
        </is>
      </c>
      <c r="B47" s="1">
        <f>+B11</f>
        <v/>
      </c>
      <c r="C47" s="1">
        <f>+C11</f>
        <v/>
      </c>
      <c r="D47" s="1">
        <f>+D11</f>
        <v/>
      </c>
      <c r="E47" s="1">
        <f>+E11</f>
        <v/>
      </c>
      <c r="F47" s="1">
        <f>+F11</f>
        <v/>
      </c>
      <c r="G47" s="1">
        <f>+G11</f>
        <v/>
      </c>
      <c r="H47" s="1">
        <f>+H11</f>
        <v/>
      </c>
    </row>
    <row r="48" ht="15.75" customHeight="1">
      <c r="A48" s="6" t="inlineStr">
        <is>
          <t>2.A - Mineral Industry</t>
        </is>
      </c>
      <c r="B48" s="1">
        <f>+B12</f>
        <v/>
      </c>
      <c r="C48" s="1">
        <f>+C12</f>
        <v/>
      </c>
      <c r="D48" s="1">
        <f>+D12</f>
        <v/>
      </c>
      <c r="E48" s="1">
        <f>+E12</f>
        <v/>
      </c>
      <c r="F48" s="1">
        <f>+F12</f>
        <v/>
      </c>
      <c r="G48" s="1">
        <f>+G12</f>
        <v/>
      </c>
      <c r="H48" s="1">
        <f>+H12</f>
        <v/>
      </c>
    </row>
    <row r="49" ht="15.75" customHeight="1">
      <c r="A49" s="5" t="inlineStr">
        <is>
          <t>2.A.1 - Cement production</t>
        </is>
      </c>
      <c r="B49" s="1">
        <f>+B13</f>
        <v/>
      </c>
      <c r="C49" s="1">
        <f>+C13</f>
        <v/>
      </c>
      <c r="D49" s="1">
        <f>+D13</f>
        <v/>
      </c>
      <c r="E49" s="1">
        <f>+E13</f>
        <v/>
      </c>
      <c r="F49" s="1">
        <f>+F13</f>
        <v/>
      </c>
      <c r="G49" s="1">
        <f>+G13</f>
        <v/>
      </c>
      <c r="H49" s="1">
        <f>+H13</f>
        <v/>
      </c>
    </row>
    <row r="50" ht="15.75" customHeight="1">
      <c r="A50" s="5" t="inlineStr">
        <is>
          <t>2.A.2 - Lime production</t>
        </is>
      </c>
      <c r="B50" s="30">
        <f>+B14/1000</f>
        <v/>
      </c>
      <c r="C50" s="30">
        <f>+C14/1000</f>
        <v/>
      </c>
      <c r="D50" s="30">
        <f>+D14/1000</f>
        <v/>
      </c>
      <c r="E50" s="30">
        <f>+E14/1000</f>
        <v/>
      </c>
      <c r="F50" s="30">
        <f>+F14/1000</f>
        <v/>
      </c>
      <c r="G50" s="30">
        <f>+G14/1000</f>
        <v/>
      </c>
      <c r="H50" s="30">
        <f>+H14/1000</f>
        <v/>
      </c>
    </row>
    <row r="51" ht="15.75" customHeight="1">
      <c r="A51" s="6" t="inlineStr">
        <is>
          <t>2.B - Chemical Industry</t>
        </is>
      </c>
      <c r="B51" s="30">
        <f>+B15/1000</f>
        <v/>
      </c>
      <c r="C51" s="30">
        <f>+C15/1000</f>
        <v/>
      </c>
      <c r="D51" s="30">
        <f>+D15/1000</f>
        <v/>
      </c>
      <c r="E51" s="30">
        <f>+E15/1000</f>
        <v/>
      </c>
      <c r="F51" s="30">
        <f>+F15/1000</f>
        <v/>
      </c>
      <c r="G51" s="30">
        <f>+G15/1000</f>
        <v/>
      </c>
      <c r="H51" s="30">
        <f>+H15/1000</f>
        <v/>
      </c>
    </row>
    <row r="52" ht="15.75" customHeight="1">
      <c r="A52" s="5" t="inlineStr">
        <is>
          <t>2.B.1 - Ammonia Production</t>
        </is>
      </c>
      <c r="B52" s="30">
        <f>+B16/1000</f>
        <v/>
      </c>
      <c r="C52" s="30">
        <f>+C16/1000</f>
        <v/>
      </c>
      <c r="D52" s="30">
        <f>+D16/1000</f>
        <v/>
      </c>
      <c r="E52" s="30">
        <f>+E16/1000</f>
        <v/>
      </c>
      <c r="F52" s="30">
        <f>+F16/1000</f>
        <v/>
      </c>
      <c r="G52" s="30">
        <f>+G16/1000</f>
        <v/>
      </c>
      <c r="H52" s="30">
        <f>+H16/1000</f>
        <v/>
      </c>
    </row>
    <row r="53" ht="15.75" customHeight="1">
      <c r="A53" s="5" t="inlineStr">
        <is>
          <t>2.B.8 - Petrochemical and Carbon Black Production</t>
        </is>
      </c>
      <c r="B53" s="30">
        <f>+B17/1000</f>
        <v/>
      </c>
      <c r="C53" s="30">
        <f>+C17/1000</f>
        <v/>
      </c>
      <c r="D53" s="30">
        <f>+D17/1000</f>
        <v/>
      </c>
      <c r="E53" s="30">
        <f>+E17/1000</f>
        <v/>
      </c>
      <c r="F53" s="30">
        <f>+F17/1000</f>
        <v/>
      </c>
      <c r="G53" s="30">
        <f>+G17/1000</f>
        <v/>
      </c>
      <c r="H53" s="30">
        <f>+H17/1000</f>
        <v/>
      </c>
    </row>
    <row r="54" ht="15.75" customHeight="1">
      <c r="A54" s="6" t="inlineStr">
        <is>
          <t>2.C - Metal Industry</t>
        </is>
      </c>
      <c r="B54" s="30">
        <f>+B18/1000</f>
        <v/>
      </c>
      <c r="C54" s="30">
        <f>+C18/1000</f>
        <v/>
      </c>
      <c r="D54" s="30">
        <f>+D18</f>
        <v/>
      </c>
      <c r="E54" s="30">
        <f>+E18</f>
        <v/>
      </c>
      <c r="F54" s="30">
        <f>+F18</f>
        <v/>
      </c>
      <c r="G54" s="30">
        <f>+G18</f>
        <v/>
      </c>
      <c r="H54" s="30">
        <f>+H18</f>
        <v/>
      </c>
    </row>
    <row r="55" ht="15.75" customHeight="1">
      <c r="A55" s="5" t="inlineStr">
        <is>
          <t>2.C.1 - Iron and Steel Production</t>
        </is>
      </c>
      <c r="B55" s="30">
        <f>+B19/1000</f>
        <v/>
      </c>
      <c r="C55" s="30">
        <f>+C19/1000</f>
        <v/>
      </c>
      <c r="D55" s="30">
        <f>+D19</f>
        <v/>
      </c>
      <c r="E55" s="30">
        <f>+E19</f>
        <v/>
      </c>
      <c r="F55" s="30">
        <f>+F19</f>
        <v/>
      </c>
      <c r="G55" s="30">
        <f>+G19</f>
        <v/>
      </c>
      <c r="H55" s="30">
        <f>+H19</f>
        <v/>
      </c>
    </row>
    <row r="56" ht="15.75" customHeight="1">
      <c r="A56" s="6" t="inlineStr">
        <is>
          <t>2.D - Non-Energy Products from Fuels and Solvent Use</t>
        </is>
      </c>
      <c r="B56" s="30">
        <f>+B20/100</f>
        <v/>
      </c>
      <c r="C56" s="30">
        <f>+C20/100</f>
        <v/>
      </c>
      <c r="D56" s="30">
        <f>+D20/100</f>
        <v/>
      </c>
      <c r="E56" s="30">
        <f>+E20/100</f>
        <v/>
      </c>
      <c r="F56" s="30">
        <f>+F20/100</f>
        <v/>
      </c>
      <c r="G56" s="30">
        <f>+G20/100</f>
        <v/>
      </c>
      <c r="H56" s="30">
        <f>+H20/100</f>
        <v/>
      </c>
    </row>
    <row r="57" ht="15.75" customHeight="1">
      <c r="A57" s="6" t="inlineStr">
        <is>
          <t>2.F - Product Uses as Substitutes for Ozone Depleting Substances</t>
        </is>
      </c>
      <c r="B57" s="33" t="n">
        <v>2.12</v>
      </c>
      <c r="C57" s="33" t="n">
        <v>2.107</v>
      </c>
      <c r="D57" s="34" t="n">
        <v>2.18</v>
      </c>
      <c r="E57" s="34" t="n">
        <v>2.262</v>
      </c>
      <c r="F57" s="34" t="n">
        <v>2.183</v>
      </c>
      <c r="G57" s="34" t="n">
        <v>2.238</v>
      </c>
      <c r="H57" s="34" t="n">
        <v>2.104</v>
      </c>
    </row>
    <row r="58" ht="15.75" customHeight="1">
      <c r="A58" s="5" t="inlineStr">
        <is>
          <t>2.F.1 - Refrigeration and Air Conditioning</t>
        </is>
      </c>
      <c r="B58" s="33" t="n">
        <v>2.12</v>
      </c>
      <c r="C58" s="33" t="n">
        <v>2.107</v>
      </c>
      <c r="D58" s="34" t="n">
        <v>2.18</v>
      </c>
      <c r="E58" s="34" t="n">
        <v>2.262</v>
      </c>
      <c r="F58" s="34" t="n">
        <v>2.183</v>
      </c>
      <c r="G58" s="34" t="n">
        <v>2.238</v>
      </c>
      <c r="H58" s="34" t="n">
        <v>2.104</v>
      </c>
    </row>
    <row r="59" ht="15.75" customHeight="1">
      <c r="A59" s="8" t="inlineStr">
        <is>
          <t>3 - Agriculture, Forestry, and Other Land Use</t>
        </is>
      </c>
      <c r="B59" s="1">
        <f>+B23</f>
        <v/>
      </c>
      <c r="C59" s="1">
        <f>+C23</f>
        <v/>
      </c>
      <c r="D59" s="1">
        <f>+D23</f>
        <v/>
      </c>
      <c r="E59" s="1">
        <f>+E23</f>
        <v/>
      </c>
      <c r="F59" s="1">
        <f>+F23</f>
        <v/>
      </c>
      <c r="G59" s="1">
        <f>+G23</f>
        <v/>
      </c>
      <c r="H59" s="1">
        <f>+H23</f>
        <v/>
      </c>
    </row>
    <row r="60" ht="15.75" customHeight="1">
      <c r="A60" s="9" t="inlineStr">
        <is>
          <t>3.A - Livestock</t>
        </is>
      </c>
      <c r="B60" s="1">
        <f>+B24</f>
        <v/>
      </c>
      <c r="C60" s="1">
        <f>+C24</f>
        <v/>
      </c>
      <c r="D60" s="1">
        <f>+D24</f>
        <v/>
      </c>
      <c r="E60" s="1">
        <f>+E24</f>
        <v/>
      </c>
      <c r="F60" s="1">
        <f>+F24</f>
        <v/>
      </c>
      <c r="G60" s="1">
        <f>+G24</f>
        <v/>
      </c>
      <c r="H60" s="1">
        <f>+H24</f>
        <v/>
      </c>
    </row>
    <row r="61" ht="15.75" customHeight="1">
      <c r="A61" s="5" t="inlineStr">
        <is>
          <t>3.A.1 - Enteric Fermentation</t>
        </is>
      </c>
      <c r="B61" s="1">
        <f>+B25</f>
        <v/>
      </c>
      <c r="C61" s="1">
        <f>+C25</f>
        <v/>
      </c>
      <c r="D61" s="1">
        <f>+D25</f>
        <v/>
      </c>
      <c r="E61" s="1">
        <f>+E25</f>
        <v/>
      </c>
      <c r="F61" s="1">
        <f>+F25</f>
        <v/>
      </c>
      <c r="G61" s="1">
        <f>+G25</f>
        <v/>
      </c>
      <c r="H61" s="1">
        <f>+H25</f>
        <v/>
      </c>
    </row>
    <row r="62" ht="15.75" customHeight="1">
      <c r="A62" s="5" t="inlineStr">
        <is>
          <t>3.A.2 - Manure Management</t>
        </is>
      </c>
      <c r="B62" s="1">
        <f>+B26/1000</f>
        <v/>
      </c>
      <c r="C62" s="1">
        <f>+C26/1000</f>
        <v/>
      </c>
      <c r="D62" s="1">
        <f>+D26/1000</f>
        <v/>
      </c>
      <c r="E62" s="1">
        <f>+E26/1000</f>
        <v/>
      </c>
      <c r="F62" s="1">
        <f>+F26/1000</f>
        <v/>
      </c>
      <c r="G62" s="1">
        <f>+G26/1000</f>
        <v/>
      </c>
      <c r="H62" s="1">
        <f>+H26/1000</f>
        <v/>
      </c>
    </row>
    <row r="63" ht="15.75" customHeight="1">
      <c r="A63" s="9" t="inlineStr">
        <is>
          <t>3.B.1 - Forest land</t>
        </is>
      </c>
      <c r="B63" t="n">
        <v>-0.653036222</v>
      </c>
      <c r="C63" t="n">
        <v>-0.783643466</v>
      </c>
      <c r="D63" t="n">
        <v>-0.94037216</v>
      </c>
      <c r="E63" t="n">
        <v>-1.128446592</v>
      </c>
      <c r="F63" t="n">
        <v>-1.35413591</v>
      </c>
      <c r="G63" t="n">
        <v>-1.624963092</v>
      </c>
      <c r="H63" t="n">
        <v>-1.94995571</v>
      </c>
    </row>
    <row r="64" ht="15.75" customHeight="1">
      <c r="A64" s="9" t="inlineStr">
        <is>
          <t>3.C - Aggregate sources and non-CO2 emissions sources on land</t>
        </is>
      </c>
      <c r="B64" s="1">
        <f>+B27</f>
        <v/>
      </c>
      <c r="C64" s="1">
        <f>+C27</f>
        <v/>
      </c>
      <c r="D64" s="1">
        <f>+D27/1000</f>
        <v/>
      </c>
      <c r="E64" s="1">
        <f>+E27</f>
        <v/>
      </c>
      <c r="F64" s="1">
        <f>+F27</f>
        <v/>
      </c>
      <c r="G64" s="1">
        <f>+G27</f>
        <v/>
      </c>
      <c r="H64" s="1">
        <f>+H27</f>
        <v/>
      </c>
    </row>
    <row r="65" ht="15.75" customHeight="1">
      <c r="A65" s="5" t="inlineStr">
        <is>
          <t>3.C.1 - Burning</t>
        </is>
      </c>
      <c r="B65" s="30">
        <f>+B28/1000</f>
        <v/>
      </c>
      <c r="C65" s="30">
        <f>+C28/1000</f>
        <v/>
      </c>
      <c r="D65" s="30">
        <f>+D28/1000</f>
        <v/>
      </c>
      <c r="E65" s="30">
        <f>+E28/1000</f>
        <v/>
      </c>
      <c r="F65" s="30">
        <f>+F28/1000</f>
        <v/>
      </c>
      <c r="G65" s="30">
        <f>+G28/1000</f>
        <v/>
      </c>
      <c r="H65" s="30">
        <f>+H28/1000</f>
        <v/>
      </c>
    </row>
    <row r="66" ht="15.75" customHeight="1">
      <c r="A66" s="5" t="inlineStr">
        <is>
          <t>3.C.2 - Liming</t>
        </is>
      </c>
      <c r="B66" s="30">
        <f>+B29/1000</f>
        <v/>
      </c>
      <c r="C66" s="30">
        <f>+C29/1000</f>
        <v/>
      </c>
      <c r="D66" s="30">
        <f>+D29/1000</f>
        <v/>
      </c>
      <c r="E66" s="30">
        <f>+E29/1000</f>
        <v/>
      </c>
      <c r="F66" s="30">
        <f>+F29/1000</f>
        <v/>
      </c>
      <c r="G66" s="30">
        <f>+G29/1000</f>
        <v/>
      </c>
      <c r="H66" s="30">
        <f>+H29/1000</f>
        <v/>
      </c>
    </row>
    <row r="67" ht="15.75" customHeight="1">
      <c r="A67" s="5" t="inlineStr">
        <is>
          <t>3.C.3 - Urea application</t>
        </is>
      </c>
      <c r="B67" s="30">
        <f>+B30/1000</f>
        <v/>
      </c>
      <c r="C67" s="30">
        <f>+C30/1000</f>
        <v/>
      </c>
      <c r="D67" s="30">
        <f>+D30/1000</f>
        <v/>
      </c>
      <c r="E67" s="30">
        <f>+E30/1000</f>
        <v/>
      </c>
      <c r="F67" s="30">
        <f>+F30/1000</f>
        <v/>
      </c>
      <c r="G67" s="30">
        <f>+G30/1000</f>
        <v/>
      </c>
      <c r="H67" s="30">
        <f>+H30/1000</f>
        <v/>
      </c>
    </row>
    <row r="68" ht="15.75" customHeight="1">
      <c r="A68" s="5" t="inlineStr">
        <is>
          <t>3.C.4 - Direct N2O Emissions from managed soils</t>
        </is>
      </c>
      <c r="B68" s="30">
        <f>+B31/1000</f>
        <v/>
      </c>
      <c r="C68" s="30">
        <f>+C31/1000</f>
        <v/>
      </c>
      <c r="D68" s="30">
        <f>+D31/1000</f>
        <v/>
      </c>
      <c r="E68" s="30">
        <f>+E31/1000</f>
        <v/>
      </c>
      <c r="F68" s="30">
        <f>+F31/1000</f>
        <v/>
      </c>
      <c r="G68" s="30">
        <f>+G31/1000</f>
        <v/>
      </c>
      <c r="H68" s="30">
        <f>+H31/1000</f>
        <v/>
      </c>
    </row>
    <row r="69" ht="15.75" customHeight="1">
      <c r="A69" s="5" t="inlineStr">
        <is>
          <t>3.C.5 - Indirect N2O Emissions from managed soils</t>
        </is>
      </c>
      <c r="B69" s="30">
        <f>+B32/1000</f>
        <v/>
      </c>
      <c r="C69" s="30">
        <f>+C32/1000</f>
        <v/>
      </c>
      <c r="D69" s="30">
        <f>+D32/1000</f>
        <v/>
      </c>
      <c r="E69" s="30">
        <f>+E32/1000</f>
        <v/>
      </c>
      <c r="F69" s="30">
        <f>+F32/1000</f>
        <v/>
      </c>
      <c r="G69" s="30">
        <f>+G32/1000</f>
        <v/>
      </c>
      <c r="H69" s="30">
        <f>+H32/1000</f>
        <v/>
      </c>
    </row>
    <row r="70" ht="15.75" customHeight="1">
      <c r="A70" s="5" t="inlineStr">
        <is>
          <t>3.C.6 - Indirect N2O Emissions from manure management</t>
        </is>
      </c>
      <c r="B70" s="30">
        <f>+B33/1000</f>
        <v/>
      </c>
      <c r="C70" s="30">
        <f>+C33/1000</f>
        <v/>
      </c>
      <c r="D70" s="30">
        <f>+D33/1000</f>
        <v/>
      </c>
      <c r="E70" s="30">
        <f>+E33/1000</f>
        <v/>
      </c>
      <c r="F70" s="30">
        <f>+F33/1000</f>
        <v/>
      </c>
      <c r="G70" s="30">
        <f>+G33/1000</f>
        <v/>
      </c>
      <c r="H70" s="30">
        <f>+H33/1000</f>
        <v/>
      </c>
    </row>
    <row r="71" ht="15.75" customHeight="1">
      <c r="A71" s="10" t="inlineStr">
        <is>
          <t>4 - Waste</t>
        </is>
      </c>
      <c r="B71" s="1">
        <f>+B34</f>
        <v/>
      </c>
      <c r="C71" s="1">
        <f>+C34</f>
        <v/>
      </c>
      <c r="D71" s="1">
        <f>+D34</f>
        <v/>
      </c>
      <c r="E71" s="1">
        <f>+E34</f>
        <v/>
      </c>
      <c r="F71" s="1">
        <f>+F34</f>
        <v/>
      </c>
      <c r="G71" s="1">
        <f>+G34</f>
        <v/>
      </c>
      <c r="H71" s="1">
        <f>+H34</f>
        <v/>
      </c>
    </row>
    <row r="72" ht="15.75" customHeight="1">
      <c r="A72" s="4" t="inlineStr">
        <is>
          <t>4.A - Solid Waste Disposal</t>
        </is>
      </c>
      <c r="B72" s="30">
        <f>+B35/1000</f>
        <v/>
      </c>
      <c r="C72" s="30">
        <f>+C35/1000</f>
        <v/>
      </c>
      <c r="D72" s="30">
        <f>+D35/1000</f>
        <v/>
      </c>
      <c r="E72" s="30">
        <f>+E35/1000</f>
        <v/>
      </c>
      <c r="F72" s="30">
        <f>+F35/1000</f>
        <v/>
      </c>
      <c r="G72" s="30">
        <f>+G71-G73</f>
        <v/>
      </c>
      <c r="H72" s="30">
        <f>+H35/1000</f>
        <v/>
      </c>
    </row>
    <row r="73" ht="15.75" customHeight="1">
      <c r="A73" s="4" t="inlineStr">
        <is>
          <t>4.D - Wastewater Treatment and Discharge</t>
        </is>
      </c>
      <c r="B73" s="30">
        <f>+B36/1000</f>
        <v/>
      </c>
      <c r="C73" s="30">
        <f>+C36/1000</f>
        <v/>
      </c>
      <c r="D73" s="30">
        <f>+D36/1000</f>
        <v/>
      </c>
      <c r="E73" s="30">
        <f>+E36/1000</f>
        <v/>
      </c>
      <c r="F73" s="30">
        <f>+F36/1000</f>
        <v/>
      </c>
      <c r="G73" s="30">
        <f>+G36/1000</f>
        <v/>
      </c>
      <c r="H73" s="30">
        <f>+H36/1000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tabSelected="1" zoomScale="150" workbookViewId="0">
      <selection activeCell="C16" sqref="C16"/>
    </sheetView>
  </sheetViews>
  <sheetFormatPr baseColWidth="10" defaultRowHeight="13"/>
  <cols>
    <col width="55.5" bestFit="1" customWidth="1" min="1" max="1"/>
  </cols>
  <sheetData>
    <row r="1">
      <c r="A1" s="3" t="inlineStr">
        <is>
          <t>Categories</t>
        </is>
      </c>
      <c r="B1" s="3" t="inlineStr">
        <is>
          <t>total</t>
        </is>
      </c>
      <c r="C1" s="3" t="inlineStr">
        <is>
          <t>co2</t>
        </is>
      </c>
      <c r="D1" s="3" t="inlineStr">
        <is>
          <t>ch4</t>
        </is>
      </c>
      <c r="E1" s="3" t="inlineStr">
        <is>
          <t>n2o</t>
        </is>
      </c>
      <c r="F1" s="3" t="inlineStr">
        <is>
          <t>hfcs</t>
        </is>
      </c>
      <c r="G1" s="3" t="inlineStr">
        <is>
          <t>pfcs</t>
        </is>
      </c>
    </row>
    <row r="2">
      <c r="A2" s="3" t="inlineStr">
        <is>
          <t>Total National Emissions and Removals</t>
        </is>
      </c>
      <c r="B2" s="17">
        <f>+'Tabla de Emisiones y Remociones'!B38</f>
        <v/>
      </c>
      <c r="C2" s="16">
        <f>+C3+C18+C31+C44</f>
        <v/>
      </c>
      <c r="D2" s="16">
        <f>+D3+D18+D31+D44</f>
        <v/>
      </c>
      <c r="E2" s="16">
        <f>+E3+E18+E31+E44</f>
        <v/>
      </c>
      <c r="F2" s="16">
        <f>+F3+F18+F31+F44</f>
        <v/>
      </c>
      <c r="G2" s="16">
        <f>+G3+G18+G31+G44</f>
        <v/>
      </c>
      <c r="H2" s="16">
        <f>+H3+H18+H31+H44</f>
        <v/>
      </c>
    </row>
    <row r="3">
      <c r="A3" s="11" t="inlineStr">
        <is>
          <t>1 - Energy</t>
        </is>
      </c>
      <c r="B3" s="18">
        <f>+'Tabla de Emisiones y Remociones'!B39</f>
        <v/>
      </c>
      <c r="C3" s="14">
        <f>+C4+C13</f>
        <v/>
      </c>
      <c r="D3" s="14">
        <f>+D4+D13</f>
        <v/>
      </c>
      <c r="E3" s="14">
        <f>+E4+E13</f>
        <v/>
      </c>
      <c r="F3" s="14" t="n"/>
      <c r="G3" s="14" t="n"/>
      <c r="H3" s="14">
        <f>+SUM(C3:G3)</f>
        <v/>
      </c>
    </row>
    <row r="4">
      <c r="A4" s="12" t="inlineStr">
        <is>
          <t>1.A - Fuel Combustion Activities</t>
        </is>
      </c>
      <c r="B4" s="19">
        <f>+'Tabla de Emisiones y Remociones'!B40</f>
        <v/>
      </c>
      <c r="C4" s="20">
        <f>+C5+C6+C7+C8+C11+C12</f>
        <v/>
      </c>
      <c r="D4" s="20">
        <f>+D5+D6+D7+D8+D11+D12</f>
        <v/>
      </c>
      <c r="E4" s="20">
        <f>+E5+E6+E7+E8+E11+E12</f>
        <v/>
      </c>
      <c r="F4" s="20" t="n"/>
      <c r="G4" s="20" t="n"/>
      <c r="H4" s="16" t="n"/>
    </row>
    <row r="5">
      <c r="A5" s="5" t="inlineStr">
        <is>
          <t>1.A.1 - Energy Industries</t>
        </is>
      </c>
      <c r="B5" s="17">
        <f>+'Tabla de Emisiones y Remociones'!B41</f>
        <v/>
      </c>
      <c r="C5" s="16">
        <f>+B5*0.997544526</f>
        <v/>
      </c>
      <c r="D5" s="16">
        <f>+B5*0.001565661</f>
        <v/>
      </c>
      <c r="E5" s="16">
        <f>+B5*0.000889813</f>
        <v/>
      </c>
      <c r="F5" s="16" t="n"/>
      <c r="G5" s="16" t="n"/>
      <c r="H5" s="16" t="n"/>
    </row>
    <row r="6">
      <c r="A6" s="5" t="inlineStr">
        <is>
          <t>1.A.1 - Electricity and Heat Generation</t>
        </is>
      </c>
      <c r="B6" s="17">
        <f>+B$5*0.7</f>
        <v/>
      </c>
      <c r="C6" s="17">
        <f>+C$5*0.7</f>
        <v/>
      </c>
      <c r="D6" s="17">
        <f>+D$5*0.7</f>
        <v/>
      </c>
      <c r="E6" s="17">
        <f>+E$5*0.7</f>
        <v/>
      </c>
      <c r="F6" s="16" t="n"/>
      <c r="G6" s="16" t="n"/>
      <c r="H6" s="16" t="n"/>
    </row>
    <row r="7">
      <c r="A7" s="5" t="inlineStr">
        <is>
          <t>1.A.1 - Fuel Production</t>
        </is>
      </c>
      <c r="B7" s="17">
        <f>+B$5*0.3</f>
        <v/>
      </c>
      <c r="C7" s="17">
        <f>+C$5*0.3</f>
        <v/>
      </c>
      <c r="D7" s="17">
        <f>+D$5*0.3</f>
        <v/>
      </c>
      <c r="E7" s="17">
        <f>+E$5*0.3</f>
        <v/>
      </c>
      <c r="F7" s="16" t="n"/>
      <c r="G7" s="16" t="n"/>
      <c r="H7" s="16" t="n"/>
    </row>
    <row r="8">
      <c r="A8" s="5" t="inlineStr">
        <is>
          <t>1.A.2 - Manufacturing Industries and Construction</t>
        </is>
      </c>
      <c r="B8" s="17">
        <f>+'Tabla de Emisiones y Remociones'!B42</f>
        <v/>
      </c>
      <c r="C8" s="16">
        <f>+B8*0.997804185</f>
        <v/>
      </c>
      <c r="D8" s="16">
        <f>+B8*0.000829605</f>
        <v/>
      </c>
      <c r="E8" s="16">
        <f>+B8*0.00136621</f>
        <v/>
      </c>
      <c r="F8" s="16" t="n"/>
      <c r="G8" s="16" t="n"/>
      <c r="H8" s="16" t="n"/>
    </row>
    <row r="9">
      <c r="A9" s="5" t="inlineStr">
        <is>
          <t>1.A.2.a - Iron and Steel</t>
        </is>
      </c>
      <c r="B9" s="17">
        <f>+B8*0.63</f>
        <v/>
      </c>
      <c r="C9" s="17">
        <f>+C8*0.63</f>
        <v/>
      </c>
      <c r="D9" s="17">
        <f>+D8*0.63</f>
        <v/>
      </c>
      <c r="E9" s="17">
        <f>+E8*0.63</f>
        <v/>
      </c>
      <c r="F9" s="16" t="n"/>
      <c r="G9" s="16" t="n"/>
      <c r="H9" s="16" t="n"/>
    </row>
    <row r="10">
      <c r="A10" s="5" t="inlineStr">
        <is>
          <t>1.A.2.f - Cement (Energy)</t>
        </is>
      </c>
      <c r="B10" s="17">
        <f>+B8*0.37</f>
        <v/>
      </c>
      <c r="C10" s="17">
        <f>+C8*0.37</f>
        <v/>
      </c>
      <c r="D10" s="17">
        <f>+D8*0.37</f>
        <v/>
      </c>
      <c r="E10" s="17">
        <f>+E8*0.37</f>
        <v/>
      </c>
      <c r="F10" s="16" t="n"/>
      <c r="G10" s="16" t="n"/>
      <c r="H10" s="16" t="n"/>
    </row>
    <row r="11" ht="15.75" customHeight="1">
      <c r="A11" s="5" t="inlineStr">
        <is>
          <t>1.A.3 - Transport</t>
        </is>
      </c>
      <c r="B11" s="17">
        <f>+'Tabla de Emisiones y Remociones'!B43</f>
        <v/>
      </c>
      <c r="C11" s="16">
        <f>+B11*0.980386029</f>
        <v/>
      </c>
      <c r="D11" s="16">
        <f>+B11*0.010583264</f>
        <v/>
      </c>
      <c r="E11" s="16">
        <f>+B11*0.009030706</f>
        <v/>
      </c>
      <c r="F11" s="16" t="n"/>
      <c r="G11" s="16" t="n"/>
      <c r="H11" s="16" t="n"/>
    </row>
    <row r="12">
      <c r="A12" s="5" t="inlineStr">
        <is>
          <t>1.A.4 - Other Sectors</t>
        </is>
      </c>
      <c r="B12" s="17">
        <f>+'Tabla de Emisiones y Remociones'!B44</f>
        <v/>
      </c>
      <c r="C12" s="16">
        <f>+B12*0.930398755</f>
        <v/>
      </c>
      <c r="D12" s="16">
        <f>+B12*0.062442227</f>
        <v/>
      </c>
      <c r="E12" s="16">
        <f>+B12*0.007159018</f>
        <v/>
      </c>
      <c r="F12" s="16" t="n"/>
      <c r="G12" s="16" t="n"/>
      <c r="H12" s="16" t="n"/>
    </row>
    <row r="13">
      <c r="A13" s="12" t="inlineStr">
        <is>
          <t>1.B - Fugitive emissions from fuels</t>
        </is>
      </c>
      <c r="B13" s="19">
        <f>+'Tabla de Emisiones y Remociones'!B45</f>
        <v/>
      </c>
      <c r="C13" s="20">
        <f>SUM(C14:C16)</f>
        <v/>
      </c>
      <c r="D13" s="20">
        <f>SUM(D14:D16)</f>
        <v/>
      </c>
      <c r="E13" s="20" t="n"/>
      <c r="F13" s="20" t="n"/>
      <c r="G13" s="20" t="n"/>
      <c r="H13" s="16" t="n"/>
    </row>
    <row r="14">
      <c r="A14" s="36" t="inlineStr">
        <is>
          <t>1.B - Fugitive emissions from fuels - Fugitive</t>
        </is>
      </c>
      <c r="B14" s="37">
        <f>B13*0.188</f>
        <v/>
      </c>
      <c r="C14" s="38">
        <f>B14*0.2</f>
        <v/>
      </c>
      <c r="D14" s="38">
        <f>B14*0.8</f>
        <v/>
      </c>
      <c r="E14" s="38" t="n"/>
      <c r="F14" s="38" t="n"/>
      <c r="G14" s="38" t="n"/>
      <c r="H14" s="16" t="n"/>
    </row>
    <row r="15">
      <c r="A15" s="36" t="inlineStr">
        <is>
          <t>1.B - Fugitive emissions from fuels - Venting</t>
        </is>
      </c>
      <c r="B15" s="37">
        <f>B13*0.58</f>
        <v/>
      </c>
      <c r="C15" s="38">
        <f>B15*0.3</f>
        <v/>
      </c>
      <c r="D15" s="38">
        <f>+B15*0.7</f>
        <v/>
      </c>
      <c r="E15" s="38" t="n"/>
      <c r="F15" s="38" t="n"/>
      <c r="G15" s="38" t="n"/>
      <c r="H15" s="16" t="n"/>
    </row>
    <row r="16">
      <c r="A16" s="36" t="inlineStr">
        <is>
          <t>1.B - Fugitive emissions from fuels - Flaring</t>
        </is>
      </c>
      <c r="B16" s="37">
        <f>B13*0.232</f>
        <v/>
      </c>
      <c r="C16" s="38">
        <f>B16*0.5</f>
        <v/>
      </c>
      <c r="D16" s="38">
        <f>B16*0.5</f>
        <v/>
      </c>
      <c r="E16" s="38" t="n"/>
      <c r="F16" s="38" t="n"/>
      <c r="G16" s="38" t="n"/>
      <c r="H16" s="16" t="n"/>
    </row>
    <row r="17">
      <c r="A17" s="2" t="inlineStr">
        <is>
          <t>1.C - Carbon dioxide Transport and Storage</t>
        </is>
      </c>
      <c r="B17" s="21">
        <f>+'Tabla de Emisiones y Remociones'!B46</f>
        <v/>
      </c>
      <c r="C17" s="21" t="n">
        <v>0</v>
      </c>
      <c r="D17" s="21" t="n">
        <v>0</v>
      </c>
      <c r="E17" s="21" t="n">
        <v>0</v>
      </c>
      <c r="F17" s="21" t="n">
        <v>0</v>
      </c>
      <c r="G17" s="21" t="n">
        <v>0</v>
      </c>
      <c r="H17" s="21" t="n">
        <v>0</v>
      </c>
    </row>
    <row r="18">
      <c r="A18" s="7" t="inlineStr">
        <is>
          <t>2 - Industrial Processes and Product Use</t>
        </is>
      </c>
      <c r="B18" s="22">
        <f>+'Tabla de Emisiones y Remociones'!B47</f>
        <v/>
      </c>
      <c r="C18" s="13">
        <f>+C19+C23+C26+C28+C29</f>
        <v/>
      </c>
      <c r="D18" s="13">
        <f>+D19+D23+D26+D28+D29</f>
        <v/>
      </c>
      <c r="E18" s="13">
        <f>+E19+E23+E26+E28+E29</f>
        <v/>
      </c>
      <c r="F18" s="13">
        <f>+F19+F23+F26+F28+F29</f>
        <v/>
      </c>
      <c r="G18" s="13" t="n"/>
      <c r="H18" s="13">
        <f>+SUM(C18:G18)</f>
        <v/>
      </c>
    </row>
    <row r="19">
      <c r="A19" s="6" t="inlineStr">
        <is>
          <t>2.A - Mineral Industry</t>
        </is>
      </c>
      <c r="B19" s="23">
        <f>+'Tabla de Emisiones y Remociones'!B48</f>
        <v/>
      </c>
      <c r="C19" s="24">
        <f>+C20+C21</f>
        <v/>
      </c>
      <c r="D19" s="24" t="n"/>
      <c r="E19" s="24" t="n"/>
      <c r="F19" s="24" t="n"/>
      <c r="G19" s="24" t="n"/>
      <c r="H19" s="16" t="n"/>
    </row>
    <row r="20">
      <c r="A20" s="5" t="inlineStr">
        <is>
          <t>2.A.1 - Cement production</t>
        </is>
      </c>
      <c r="B20" s="17">
        <f>+'Tabla de Emisiones y Remociones'!B49</f>
        <v/>
      </c>
      <c r="C20" s="16">
        <f>+B20*1</f>
        <v/>
      </c>
      <c r="D20" s="16" t="n"/>
      <c r="E20" s="16" t="n"/>
      <c r="F20" s="16" t="n"/>
      <c r="G20" s="16" t="n"/>
      <c r="H20" s="16" t="n"/>
    </row>
    <row r="21">
      <c r="A21" s="5" t="inlineStr">
        <is>
          <t>2.A.2 - Lime production</t>
        </is>
      </c>
      <c r="B21" s="17">
        <f>+'Tabla de Emisiones y Remociones'!B50</f>
        <v/>
      </c>
      <c r="C21" s="16">
        <f>+B21*1</f>
        <v/>
      </c>
      <c r="D21" s="16" t="n"/>
      <c r="E21" s="16" t="n"/>
      <c r="F21" s="16" t="n"/>
      <c r="G21" s="16" t="n"/>
      <c r="H21" s="16" t="n"/>
    </row>
    <row r="22">
      <c r="A22" s="5" t="inlineStr">
        <is>
          <t>2.A.3 - Glass production</t>
        </is>
      </c>
      <c r="B22" s="17" t="n">
        <v>0</v>
      </c>
      <c r="C22" s="16" t="n">
        <v>0</v>
      </c>
      <c r="D22" s="16" t="n"/>
      <c r="E22" s="16" t="n"/>
      <c r="F22" s="16" t="n"/>
      <c r="G22" s="16" t="n"/>
      <c r="H22" s="16" t="n"/>
    </row>
    <row r="23">
      <c r="A23" s="6" t="inlineStr">
        <is>
          <t>2.B - Chemical Industry</t>
        </is>
      </c>
      <c r="B23" s="23">
        <f>+'Tabla de Emisiones y Remociones'!B51</f>
        <v/>
      </c>
      <c r="C23" s="24">
        <f>+B23*0.35429321</f>
        <v/>
      </c>
      <c r="D23" s="24">
        <f>+B23*0.000491157</f>
        <v/>
      </c>
      <c r="E23" s="24">
        <f>+B23*0.051078759</f>
        <v/>
      </c>
      <c r="F23" s="24">
        <f>+B23*0.594136874</f>
        <v/>
      </c>
      <c r="G23" s="24" t="n"/>
      <c r="H23" s="16" t="n"/>
    </row>
    <row r="24">
      <c r="A24" s="5" t="inlineStr">
        <is>
          <t>2.B.1 - Ammonia Production</t>
        </is>
      </c>
      <c r="B24" s="17">
        <f>+'Tabla de Emisiones y Remociones'!B52</f>
        <v/>
      </c>
      <c r="C24" s="16">
        <f>+B24*0.35429321</f>
        <v/>
      </c>
      <c r="D24" s="16">
        <f>+B24*0.000491157</f>
        <v/>
      </c>
      <c r="E24" s="16">
        <f>+B24*0.051078759</f>
        <v/>
      </c>
      <c r="F24" s="16">
        <f>+B24*0.594136874</f>
        <v/>
      </c>
      <c r="G24" s="16" t="n"/>
      <c r="H24" s="16" t="n"/>
    </row>
    <row r="25">
      <c r="A25" s="5" t="inlineStr">
        <is>
          <t>2.B.8 - Petrochemical and Carbon Black Production</t>
        </is>
      </c>
      <c r="B25" s="17">
        <f>+'Tabla de Emisiones y Remociones'!B53</f>
        <v/>
      </c>
      <c r="C25" s="16">
        <f>+B25*0.35429321</f>
        <v/>
      </c>
      <c r="D25" s="16">
        <f>+B25*0.000491157</f>
        <v/>
      </c>
      <c r="E25" s="16">
        <f>+B25*0.051078759</f>
        <v/>
      </c>
      <c r="F25" s="16">
        <f>+B25*0.594136874</f>
        <v/>
      </c>
      <c r="G25" s="16" t="n"/>
      <c r="H25" s="16" t="n"/>
    </row>
    <row r="26">
      <c r="A26" s="6" t="inlineStr">
        <is>
          <t>2.C - Metal Industry</t>
        </is>
      </c>
      <c r="B26" s="23">
        <f>+'Tabla de Emisiones y Remociones'!B54</f>
        <v/>
      </c>
      <c r="C26" s="24">
        <f>+C27</f>
        <v/>
      </c>
      <c r="D26" s="24">
        <f>+D27</f>
        <v/>
      </c>
      <c r="E26" s="24" t="n"/>
      <c r="F26" s="24" t="n"/>
      <c r="G26" s="24" t="n"/>
      <c r="H26" s="16" t="n"/>
    </row>
    <row r="27">
      <c r="A27" s="5" t="inlineStr">
        <is>
          <t>2.C.1 - Iron and Steel Production</t>
        </is>
      </c>
      <c r="B27" s="17">
        <f>+'Tabla de Emisiones y Remociones'!B55</f>
        <v/>
      </c>
      <c r="C27" s="16">
        <f>+B27*0.98</f>
        <v/>
      </c>
      <c r="D27" s="16">
        <f>+B27*0.02</f>
        <v/>
      </c>
      <c r="E27" s="16" t="n"/>
      <c r="F27" s="16" t="n"/>
      <c r="G27" s="16" t="n"/>
      <c r="H27" s="16" t="n"/>
    </row>
    <row r="28">
      <c r="A28" s="6" t="inlineStr">
        <is>
          <t>2.D - Non-Energy Products from Fuels and Solvent Use</t>
        </is>
      </c>
      <c r="B28" s="23">
        <f>+'Tabla de Emisiones y Remociones'!B56</f>
        <v/>
      </c>
      <c r="C28" s="24">
        <f>+B28</f>
        <v/>
      </c>
      <c r="D28" s="24" t="n"/>
      <c r="E28" s="24" t="n"/>
      <c r="F28" s="24" t="n"/>
      <c r="G28" s="24" t="n"/>
      <c r="H28" s="16" t="n"/>
    </row>
    <row r="29">
      <c r="A29" s="6" t="inlineStr">
        <is>
          <t>2.F - Product Uses as Substitutes for Ozone Depleting Substances</t>
        </is>
      </c>
      <c r="B29" s="23">
        <f>+'Tabla de Emisiones y Remociones'!B57</f>
        <v/>
      </c>
      <c r="C29" s="24" t="n"/>
      <c r="D29" s="24" t="n"/>
      <c r="E29" s="24" t="n"/>
      <c r="F29" s="24">
        <f>+F30</f>
        <v/>
      </c>
      <c r="G29" s="24">
        <f>+G30</f>
        <v/>
      </c>
      <c r="H29" s="16" t="n"/>
    </row>
    <row r="30">
      <c r="A30" s="5" t="inlineStr">
        <is>
          <t>2.F.1 - Refrigeration and Air Conditioning</t>
        </is>
      </c>
      <c r="B30" s="17">
        <f>+'Tabla de Emisiones y Remociones'!B58</f>
        <v/>
      </c>
      <c r="C30" s="16" t="n"/>
      <c r="D30" s="16" t="n"/>
      <c r="E30" s="16" t="n"/>
      <c r="F30" s="17">
        <f>+B30/2</f>
        <v/>
      </c>
      <c r="G30" s="16">
        <f>+B30/2</f>
        <v/>
      </c>
      <c r="H30" s="16" t="n"/>
    </row>
    <row r="31">
      <c r="A31" s="8" t="inlineStr">
        <is>
          <t>3 - Agriculture, Forestry, and Other Land Use</t>
        </is>
      </c>
      <c r="B31" s="25">
        <f>+'Tabla de Emisiones y Remociones'!B59</f>
        <v/>
      </c>
      <c r="C31" s="26">
        <f>+SUM(C32+C37)</f>
        <v/>
      </c>
      <c r="D31" s="26">
        <f>+SUM(D32+D37)</f>
        <v/>
      </c>
      <c r="E31" s="26">
        <f>+SUM(E32+E37)</f>
        <v/>
      </c>
      <c r="F31" s="26" t="n"/>
      <c r="G31" s="26" t="n"/>
      <c r="H31" s="26">
        <f>+SUM(C31:G31)</f>
        <v/>
      </c>
    </row>
    <row r="32">
      <c r="A32" s="9" t="inlineStr">
        <is>
          <t>3.A - Livestock</t>
        </is>
      </c>
      <c r="B32" s="27">
        <f>+'Tabla de Emisiones y Remociones'!B60</f>
        <v/>
      </c>
      <c r="C32" s="28" t="n"/>
      <c r="D32" s="28">
        <f>+D33+D34</f>
        <v/>
      </c>
      <c r="E32" s="28">
        <f>+E33+E34</f>
        <v/>
      </c>
      <c r="F32" s="28" t="n"/>
      <c r="G32" s="28" t="n"/>
      <c r="H32" s="16" t="n"/>
    </row>
    <row r="33">
      <c r="A33" s="5" t="inlineStr">
        <is>
          <t>3.A.1 - Enteric Fermentation</t>
        </is>
      </c>
      <c r="B33" s="17">
        <f>+'Tabla de Emisiones y Remociones'!B61</f>
        <v/>
      </c>
      <c r="C33" s="16" t="n"/>
      <c r="D33" s="16">
        <f>+B33*0.996032041</f>
        <v/>
      </c>
      <c r="E33" s="16">
        <f>+B33*0.003967959</f>
        <v/>
      </c>
      <c r="F33" s="16" t="n"/>
      <c r="G33" s="16" t="n"/>
      <c r="H33" s="16" t="n"/>
    </row>
    <row r="34">
      <c r="A34" s="5" t="inlineStr">
        <is>
          <t>3.A.2 - Manure Management</t>
        </is>
      </c>
      <c r="B34" s="17">
        <f>+'Tabla de Emisiones y Remociones'!B62</f>
        <v/>
      </c>
      <c r="C34" s="16" t="n"/>
      <c r="D34" s="16">
        <f>+B34</f>
        <v/>
      </c>
      <c r="E34" s="16" t="n"/>
      <c r="F34" s="16" t="n"/>
      <c r="G34" s="16" t="n"/>
      <c r="H34" s="16" t="n"/>
    </row>
    <row r="35" ht="15.75" customHeight="1">
      <c r="A35" s="9" t="inlineStr">
        <is>
          <t>3.B - Land</t>
        </is>
      </c>
      <c r="B35" s="27">
        <f>+B36</f>
        <v/>
      </c>
      <c r="C35" s="27">
        <f>+C36</f>
        <v/>
      </c>
      <c r="D35" s="28" t="n"/>
      <c r="E35" s="28" t="n"/>
      <c r="F35" s="28" t="n"/>
      <c r="G35" s="28" t="n"/>
      <c r="H35" s="16" t="n"/>
    </row>
    <row r="36">
      <c r="A36" s="5" t="inlineStr">
        <is>
          <t>3.B.1 - Forest land</t>
        </is>
      </c>
      <c r="B36" s="17">
        <f>+'Tabla de Emisiones y Remociones'!B63</f>
        <v/>
      </c>
      <c r="C36" s="17">
        <f>+B36</f>
        <v/>
      </c>
      <c r="D36" s="16" t="n"/>
      <c r="E36" s="16" t="n"/>
      <c r="F36" s="16" t="n"/>
      <c r="G36" s="16" t="n"/>
      <c r="H36" s="16" t="n"/>
    </row>
    <row r="37">
      <c r="A37" s="9" t="inlineStr">
        <is>
          <t>3.C - Aggregate sources and non-CO2 emissions sources on land</t>
        </is>
      </c>
      <c r="B37" s="27">
        <f>+'Tabla de Emisiones y Remociones'!B64</f>
        <v/>
      </c>
      <c r="C37" s="28">
        <f>+SUM(C38:C43)</f>
        <v/>
      </c>
      <c r="D37" s="28">
        <f>+SUM(D38:D43)</f>
        <v/>
      </c>
      <c r="E37" s="28">
        <f>+SUM(E38:E43)</f>
        <v/>
      </c>
      <c r="F37" s="28" t="n"/>
      <c r="G37" s="28" t="n"/>
      <c r="H37" s="16" t="n"/>
    </row>
    <row r="38">
      <c r="A38" s="5" t="inlineStr">
        <is>
          <t>3.C.1 - Burning</t>
        </is>
      </c>
      <c r="B38" s="17">
        <f>+'Tabla de Emisiones y Remociones'!B65</f>
        <v/>
      </c>
      <c r="C38" s="16" t="n"/>
      <c r="D38" s="16">
        <f>+B38*0.996032041</f>
        <v/>
      </c>
      <c r="E38" s="16">
        <f>+B38*0.003967959</f>
        <v/>
      </c>
      <c r="F38" s="16" t="n"/>
      <c r="G38" s="16" t="n"/>
      <c r="H38" s="16" t="n"/>
    </row>
    <row r="39">
      <c r="A39" s="5" t="inlineStr">
        <is>
          <t>3.C.2 - Liming</t>
        </is>
      </c>
      <c r="B39" s="17">
        <f>+'Tabla de Emisiones y Remociones'!B66</f>
        <v/>
      </c>
      <c r="C39" s="16" t="n">
        <v>0</v>
      </c>
      <c r="D39" s="16" t="n">
        <v>0</v>
      </c>
      <c r="E39" s="16" t="n">
        <v>0</v>
      </c>
      <c r="F39" s="16" t="n"/>
      <c r="G39" s="16" t="n"/>
      <c r="H39" s="16" t="n"/>
    </row>
    <row r="40">
      <c r="A40" s="5" t="inlineStr">
        <is>
          <t>3.C.3 - Urea application</t>
        </is>
      </c>
      <c r="B40" s="17">
        <f>+'Tabla de Emisiones y Remociones'!B67</f>
        <v/>
      </c>
      <c r="C40" s="16">
        <f>+B40</f>
        <v/>
      </c>
      <c r="D40" s="16" t="n"/>
      <c r="E40" s="16" t="n"/>
      <c r="F40" s="16" t="n"/>
      <c r="G40" s="16" t="n"/>
      <c r="H40" s="16" t="n"/>
    </row>
    <row r="41">
      <c r="A41" s="5" t="inlineStr">
        <is>
          <t>3.C.4 - Direct N2O Emissions from managed soils</t>
        </is>
      </c>
      <c r="B41" s="17">
        <f>+'Tabla de Emisiones y Remociones'!B68</f>
        <v/>
      </c>
      <c r="C41" s="16" t="n"/>
      <c r="D41" s="16" t="n"/>
      <c r="E41" s="16">
        <f>+B41</f>
        <v/>
      </c>
      <c r="F41" s="16" t="n"/>
      <c r="G41" s="16" t="n"/>
      <c r="H41" s="16" t="n"/>
    </row>
    <row r="42">
      <c r="A42" s="5" t="inlineStr">
        <is>
          <t>3.C.5 - Indirect N2O Emissions from managed soils</t>
        </is>
      </c>
      <c r="B42" s="17">
        <f>+'Tabla de Emisiones y Remociones'!B69</f>
        <v/>
      </c>
      <c r="C42" s="16" t="n"/>
      <c r="D42" s="16" t="n"/>
      <c r="E42" s="16">
        <f>+B42</f>
        <v/>
      </c>
      <c r="F42" s="16" t="n"/>
      <c r="G42" s="16" t="n"/>
      <c r="H42" s="16" t="n"/>
    </row>
    <row r="43">
      <c r="A43" s="5" t="inlineStr">
        <is>
          <t>3.C.6 - Indirect N2O Emissions from manure management</t>
        </is>
      </c>
      <c r="B43" s="17">
        <f>+'Tabla de Emisiones y Remociones'!B70</f>
        <v/>
      </c>
      <c r="C43" s="16" t="n"/>
      <c r="D43" s="16" t="n"/>
      <c r="E43" s="16">
        <f>+B43</f>
        <v/>
      </c>
      <c r="F43" s="16" t="n"/>
      <c r="G43" s="16" t="n"/>
      <c r="H43" s="16" t="n"/>
    </row>
    <row r="44">
      <c r="A44" s="10" t="inlineStr">
        <is>
          <t>4 - Waste</t>
        </is>
      </c>
      <c r="B44" s="29">
        <f>+'Tabla de Emisiones y Remociones'!B71</f>
        <v/>
      </c>
      <c r="C44" s="15" t="n"/>
      <c r="D44" s="15">
        <f>+SUM(D45:D46)</f>
        <v/>
      </c>
      <c r="E44" s="15">
        <f>+SUM(E45:E46)</f>
        <v/>
      </c>
      <c r="F44" s="15" t="n"/>
      <c r="G44" s="15" t="n"/>
      <c r="H44" s="15">
        <f>+SUM(C44:G44)</f>
        <v/>
      </c>
    </row>
    <row r="45">
      <c r="A45" s="4" t="inlineStr">
        <is>
          <t>4.A - Solid Waste Disposal</t>
        </is>
      </c>
      <c r="B45" s="17">
        <f>+'Tabla de Emisiones y Remociones'!B72</f>
        <v/>
      </c>
      <c r="C45" s="16" t="n"/>
      <c r="D45" s="16">
        <f>+B45</f>
        <v/>
      </c>
      <c r="E45" s="16" t="n"/>
      <c r="F45" s="16" t="n"/>
      <c r="G45" s="16" t="n"/>
      <c r="H45" s="16" t="n"/>
    </row>
    <row r="46">
      <c r="A46" s="4" t="inlineStr">
        <is>
          <t>4.D - Wastewater Treatment and Discharge</t>
        </is>
      </c>
      <c r="B46" s="17">
        <f>+'Tabla de Emisiones y Remociones'!B73</f>
        <v/>
      </c>
      <c r="C46" s="16" t="n"/>
      <c r="D46" s="16">
        <f>+B46*0.910430473</f>
        <v/>
      </c>
      <c r="E46" s="16">
        <f>+B46*0.089569527</f>
        <v/>
      </c>
      <c r="F46" s="16" t="n"/>
      <c r="G46" s="16" t="n"/>
      <c r="H46" s="16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tabSelected="1" zoomScale="150" workbookViewId="0">
      <selection activeCell="C16" sqref="C16"/>
    </sheetView>
  </sheetViews>
  <sheetFormatPr baseColWidth="10" defaultRowHeight="13"/>
  <cols>
    <col width="55.5" bestFit="1" customWidth="1" min="1" max="1"/>
  </cols>
  <sheetData>
    <row r="1">
      <c r="A1" s="3" t="inlineStr">
        <is>
          <t>Categories</t>
        </is>
      </c>
      <c r="B1" s="3" t="inlineStr">
        <is>
          <t>total</t>
        </is>
      </c>
      <c r="C1" s="3" t="inlineStr">
        <is>
          <t>co2</t>
        </is>
      </c>
      <c r="D1" s="3" t="inlineStr">
        <is>
          <t>ch4</t>
        </is>
      </c>
      <c r="E1" s="3" t="inlineStr">
        <is>
          <t>n2o</t>
        </is>
      </c>
      <c r="F1" s="3" t="inlineStr">
        <is>
          <t>hfcs</t>
        </is>
      </c>
      <c r="G1" s="3" t="inlineStr">
        <is>
          <t>pfcs</t>
        </is>
      </c>
    </row>
    <row r="2">
      <c r="A2" s="3" t="inlineStr">
        <is>
          <t>Total National Emissions and Removals</t>
        </is>
      </c>
      <c r="B2" s="17">
        <f>+'Tabla de Emisiones y Remociones'!C38</f>
        <v/>
      </c>
      <c r="C2" s="16">
        <f>+C3+C18+C31+C44</f>
        <v/>
      </c>
      <c r="D2" s="16">
        <f>+D3+D18+D31+D44</f>
        <v/>
      </c>
      <c r="E2" s="16">
        <f>+E3+E18+E31+E44</f>
        <v/>
      </c>
      <c r="F2" s="16">
        <f>+F3+F18+F31+F44</f>
        <v/>
      </c>
      <c r="G2" s="16">
        <f>+G3+G18+G31+G44</f>
        <v/>
      </c>
      <c r="H2" s="16">
        <f>+H3+H18+H31+H44</f>
        <v/>
      </c>
    </row>
    <row r="3">
      <c r="A3" s="11" t="inlineStr">
        <is>
          <t>1 - Energy</t>
        </is>
      </c>
      <c r="B3" s="18">
        <f>+'Tabla de Emisiones y Remociones'!C39</f>
        <v/>
      </c>
      <c r="C3" s="14">
        <f>+C4+C13</f>
        <v/>
      </c>
      <c r="D3" s="14">
        <f>+D4+D13</f>
        <v/>
      </c>
      <c r="E3" s="14">
        <f>+E4+E13</f>
        <v/>
      </c>
      <c r="F3" s="14" t="n"/>
      <c r="G3" s="14" t="n"/>
      <c r="H3" s="14">
        <f>+SUM(C3:G3)</f>
        <v/>
      </c>
    </row>
    <row r="4">
      <c r="A4" s="12" t="inlineStr">
        <is>
          <t>1.A - Fuel Combustion Activities</t>
        </is>
      </c>
      <c r="B4" s="19">
        <f>+'Tabla de Emisiones y Remociones'!C40</f>
        <v/>
      </c>
      <c r="C4" s="20">
        <f>+C5+C6+C7+C8+C11+C12</f>
        <v/>
      </c>
      <c r="D4" s="20">
        <f>+D5+D6+D7+D8+D11+D12</f>
        <v/>
      </c>
      <c r="E4" s="20">
        <f>+E5+E6+E7+E8+E11+E12</f>
        <v/>
      </c>
      <c r="F4" s="20" t="n"/>
      <c r="G4" s="20" t="n"/>
      <c r="H4" s="16" t="n"/>
    </row>
    <row r="5">
      <c r="A5" s="5" t="inlineStr">
        <is>
          <t>1.A.1 - Energy Industries</t>
        </is>
      </c>
      <c r="B5" s="17">
        <f>+'Tabla de Emisiones y Remociones'!C41</f>
        <v/>
      </c>
      <c r="C5" s="16">
        <f>+B5*0.997544526</f>
        <v/>
      </c>
      <c r="D5" s="16">
        <f>+B5*0.001565661</f>
        <v/>
      </c>
      <c r="E5" s="16">
        <f>+B5*0.000889813</f>
        <v/>
      </c>
      <c r="F5" s="16" t="n"/>
      <c r="G5" s="16" t="n"/>
      <c r="H5" s="16" t="n"/>
    </row>
    <row r="6">
      <c r="A6" s="5" t="inlineStr">
        <is>
          <t>1.A.1 - Electricity and Heat Generation</t>
        </is>
      </c>
      <c r="B6" s="17">
        <f>+B$5*0.7</f>
        <v/>
      </c>
      <c r="C6" s="17">
        <f>+C$5*0.7</f>
        <v/>
      </c>
      <c r="D6" s="17">
        <f>+D$5*0.7</f>
        <v/>
      </c>
      <c r="E6" s="17">
        <f>+E$5*0.7</f>
        <v/>
      </c>
      <c r="F6" s="16" t="n"/>
      <c r="G6" s="16" t="n"/>
      <c r="H6" s="16" t="n"/>
    </row>
    <row r="7">
      <c r="A7" s="5" t="inlineStr">
        <is>
          <t>1.A.1 - Fuel Production</t>
        </is>
      </c>
      <c r="B7" s="17">
        <f>+B$5*0.3</f>
        <v/>
      </c>
      <c r="C7" s="17">
        <f>+C$5*0.3</f>
        <v/>
      </c>
      <c r="D7" s="17">
        <f>+D$5*0.3</f>
        <v/>
      </c>
      <c r="E7" s="17">
        <f>+E$5*0.3</f>
        <v/>
      </c>
      <c r="F7" s="16" t="n"/>
      <c r="G7" s="16" t="n"/>
      <c r="H7" s="16" t="n"/>
    </row>
    <row r="8">
      <c r="A8" s="5" t="inlineStr">
        <is>
          <t>1.A.2 - Manufacturing Industries and Construction</t>
        </is>
      </c>
      <c r="B8" s="17">
        <f>+'Tabla de Emisiones y Remociones'!C42</f>
        <v/>
      </c>
      <c r="C8" s="16">
        <f>+B8*0.997804185</f>
        <v/>
      </c>
      <c r="D8" s="16">
        <f>+B8*0.000829605</f>
        <v/>
      </c>
      <c r="E8" s="16">
        <f>+B8*0.00136621</f>
        <v/>
      </c>
      <c r="F8" s="16" t="n"/>
      <c r="G8" s="16" t="n"/>
      <c r="H8" s="16" t="n"/>
    </row>
    <row r="9">
      <c r="A9" s="5" t="inlineStr">
        <is>
          <t>1.A.2.a - Iron and Steel</t>
        </is>
      </c>
      <c r="B9" s="17">
        <f>+B8*0.63</f>
        <v/>
      </c>
      <c r="C9" s="17">
        <f>+C8*0.63</f>
        <v/>
      </c>
      <c r="D9" s="17">
        <f>+D8*0.63</f>
        <v/>
      </c>
      <c r="E9" s="17">
        <f>+E8*0.63</f>
        <v/>
      </c>
      <c r="F9" s="16" t="n"/>
      <c r="G9" s="16" t="n"/>
      <c r="H9" s="16" t="n"/>
    </row>
    <row r="10">
      <c r="A10" s="5" t="inlineStr">
        <is>
          <t>1.A.2.f - Cement (Energy)</t>
        </is>
      </c>
      <c r="B10" s="17">
        <f>+B8*0.37</f>
        <v/>
      </c>
      <c r="C10" s="17">
        <f>+C8*0.37</f>
        <v/>
      </c>
      <c r="D10" s="17">
        <f>+D8*0.37</f>
        <v/>
      </c>
      <c r="E10" s="17">
        <f>+E8*0.37</f>
        <v/>
      </c>
      <c r="F10" s="16" t="n"/>
      <c r="G10" s="16" t="n"/>
      <c r="H10" s="16" t="n"/>
    </row>
    <row r="11">
      <c r="A11" s="5" t="inlineStr">
        <is>
          <t>1.A.3 - Transport</t>
        </is>
      </c>
      <c r="B11" s="17">
        <f>+'Tabla de Emisiones y Remociones'!C43</f>
        <v/>
      </c>
      <c r="C11" s="16">
        <f>+B11*0.980386029</f>
        <v/>
      </c>
      <c r="D11" s="16">
        <f>+B11*0.010583264</f>
        <v/>
      </c>
      <c r="E11" s="16">
        <f>+B11*0.009030706</f>
        <v/>
      </c>
      <c r="F11" s="16" t="n"/>
      <c r="G11" s="16" t="n"/>
      <c r="H11" s="16" t="n"/>
    </row>
    <row r="12">
      <c r="A12" s="5" t="inlineStr">
        <is>
          <t>1.A.4 - Other Sectors</t>
        </is>
      </c>
      <c r="B12" s="17">
        <f>+'Tabla de Emisiones y Remociones'!C44</f>
        <v/>
      </c>
      <c r="C12" s="16">
        <f>+B12*0.930398755</f>
        <v/>
      </c>
      <c r="D12" s="16">
        <f>+B12*0.062442227</f>
        <v/>
      </c>
      <c r="E12" s="16">
        <f>+B12*0.007159018</f>
        <v/>
      </c>
      <c r="F12" s="16" t="n"/>
      <c r="G12" s="16" t="n"/>
      <c r="H12" s="16" t="n"/>
    </row>
    <row r="13">
      <c r="A13" s="12" t="inlineStr">
        <is>
          <t>1.B - Fugitive emissions from fuels</t>
        </is>
      </c>
      <c r="B13" s="19">
        <f>+'Tabla de Emisiones y Remociones'!C45</f>
        <v/>
      </c>
      <c r="C13" s="20">
        <f>SUM(C14:C16)</f>
        <v/>
      </c>
      <c r="D13" s="20">
        <f>SUM(D14:D16)</f>
        <v/>
      </c>
      <c r="E13" s="20" t="n"/>
      <c r="F13" s="20" t="n"/>
      <c r="G13" s="20" t="n"/>
      <c r="H13" s="16" t="n"/>
    </row>
    <row r="14">
      <c r="A14" s="36" t="inlineStr">
        <is>
          <t>1.B - Fugitive emissions from fuels - Fugitive</t>
        </is>
      </c>
      <c r="B14" s="37">
        <f>B13*0.188</f>
        <v/>
      </c>
      <c r="C14" s="38">
        <f>B14*0.2</f>
        <v/>
      </c>
      <c r="D14" s="38">
        <f>B14*0.8</f>
        <v/>
      </c>
      <c r="E14" s="38" t="n"/>
      <c r="F14" s="38" t="n"/>
      <c r="G14" s="38" t="n"/>
      <c r="H14" s="16" t="n"/>
    </row>
    <row r="15">
      <c r="A15" s="36" t="inlineStr">
        <is>
          <t>1.B - Fugitive emissions from fuels - Venting</t>
        </is>
      </c>
      <c r="B15" s="37">
        <f>B13*0.58</f>
        <v/>
      </c>
      <c r="C15" s="38">
        <f>B15*0.3</f>
        <v/>
      </c>
      <c r="D15" s="38">
        <f>+B15*0.7</f>
        <v/>
      </c>
      <c r="E15" s="38" t="n"/>
      <c r="F15" s="38" t="n"/>
      <c r="G15" s="38" t="n"/>
      <c r="H15" s="16" t="n"/>
    </row>
    <row r="16">
      <c r="A16" s="36" t="inlineStr">
        <is>
          <t>1.B - Fugitive emissions from fuels - Flaring</t>
        </is>
      </c>
      <c r="B16" s="37">
        <f>B13*0.232</f>
        <v/>
      </c>
      <c r="C16" s="38">
        <f>B16*0.5</f>
        <v/>
      </c>
      <c r="D16" s="38">
        <f>B16*0.5</f>
        <v/>
      </c>
      <c r="E16" s="38" t="n"/>
      <c r="F16" s="38" t="n"/>
      <c r="G16" s="38" t="n"/>
      <c r="H16" s="16" t="n"/>
    </row>
    <row r="17">
      <c r="A17" s="2" t="inlineStr">
        <is>
          <t>1.C - Carbon dioxide Transport and Storage</t>
        </is>
      </c>
      <c r="B17" s="21">
        <f>+'Tabla de Emisiones y Remociones'!C46</f>
        <v/>
      </c>
      <c r="C17" s="21" t="n">
        <v>0</v>
      </c>
      <c r="D17" s="21" t="n">
        <v>0</v>
      </c>
      <c r="E17" s="21" t="n">
        <v>0</v>
      </c>
      <c r="F17" s="21" t="n">
        <v>0</v>
      </c>
      <c r="G17" s="21" t="n">
        <v>0</v>
      </c>
      <c r="H17" s="21" t="n">
        <v>0</v>
      </c>
    </row>
    <row r="18">
      <c r="A18" s="7" t="inlineStr">
        <is>
          <t>2 - Industrial Processes and Product Use</t>
        </is>
      </c>
      <c r="B18" s="22">
        <f>+'Tabla de Emisiones y Remociones'!C47</f>
        <v/>
      </c>
      <c r="C18" s="13">
        <f>+C19+C23+C26+C28+C29</f>
        <v/>
      </c>
      <c r="D18" s="13">
        <f>+D19+D23+D26+D28+D29</f>
        <v/>
      </c>
      <c r="E18" s="13">
        <f>+E19+E23+E26+E28+E29</f>
        <v/>
      </c>
      <c r="F18" s="13">
        <f>+F19+F23+F26+F28+F29</f>
        <v/>
      </c>
      <c r="G18" s="13" t="n"/>
      <c r="H18" s="13">
        <f>+SUM(C18:G18)</f>
        <v/>
      </c>
    </row>
    <row r="19">
      <c r="A19" s="6" t="inlineStr">
        <is>
          <t>2.A - Mineral Industry</t>
        </is>
      </c>
      <c r="B19" s="23">
        <f>+'Tabla de Emisiones y Remociones'!C48</f>
        <v/>
      </c>
      <c r="C19" s="24">
        <f>+C20+C21</f>
        <v/>
      </c>
      <c r="D19" s="24" t="n"/>
      <c r="E19" s="24" t="n"/>
      <c r="F19" s="24" t="n"/>
      <c r="G19" s="24" t="n"/>
      <c r="H19" s="16" t="n"/>
    </row>
    <row r="20">
      <c r="A20" s="5" t="inlineStr">
        <is>
          <t>2.A.1 - Cement production</t>
        </is>
      </c>
      <c r="B20" s="17">
        <f>+'Tabla de Emisiones y Remociones'!C49</f>
        <v/>
      </c>
      <c r="C20" s="16">
        <f>+B20*1</f>
        <v/>
      </c>
      <c r="D20" s="16" t="n"/>
      <c r="E20" s="16" t="n"/>
      <c r="F20" s="16" t="n"/>
      <c r="G20" s="16" t="n"/>
      <c r="H20" s="16" t="n"/>
    </row>
    <row r="21">
      <c r="A21" s="5" t="inlineStr">
        <is>
          <t>2.A.2 - Lime production</t>
        </is>
      </c>
      <c r="B21" s="17">
        <f>+'Tabla de Emisiones y Remociones'!C50</f>
        <v/>
      </c>
      <c r="C21" s="16">
        <f>+B21*1</f>
        <v/>
      </c>
      <c r="D21" s="16" t="n"/>
      <c r="E21" s="16" t="n"/>
      <c r="F21" s="16" t="n"/>
      <c r="G21" s="16" t="n"/>
      <c r="H21" s="16" t="n"/>
    </row>
    <row r="22">
      <c r="A22" s="5" t="inlineStr">
        <is>
          <t>2.A.3 - Glass production</t>
        </is>
      </c>
      <c r="B22" s="17" t="n">
        <v>0</v>
      </c>
      <c r="C22" s="16" t="n">
        <v>0</v>
      </c>
      <c r="D22" s="16" t="n"/>
      <c r="E22" s="16" t="n"/>
      <c r="F22" s="16" t="n"/>
      <c r="G22" s="16" t="n"/>
      <c r="H22" s="16" t="n"/>
    </row>
    <row r="23">
      <c r="A23" s="6" t="inlineStr">
        <is>
          <t>2.B - Chemical Industry</t>
        </is>
      </c>
      <c r="B23" s="23">
        <f>+'Tabla de Emisiones y Remociones'!C51</f>
        <v/>
      </c>
      <c r="C23" s="24">
        <f>+B23*0.35429321</f>
        <v/>
      </c>
      <c r="D23" s="24">
        <f>+B23*0.000491157</f>
        <v/>
      </c>
      <c r="E23" s="24">
        <f>+B23*0.051078759</f>
        <v/>
      </c>
      <c r="F23" s="24">
        <f>+B23*0.594136874</f>
        <v/>
      </c>
      <c r="G23" s="24" t="n"/>
      <c r="H23" s="16" t="n"/>
    </row>
    <row r="24">
      <c r="A24" s="5" t="inlineStr">
        <is>
          <t>2.B.1 - Ammonia Production</t>
        </is>
      </c>
      <c r="B24" s="17">
        <f>+'Tabla de Emisiones y Remociones'!C52</f>
        <v/>
      </c>
      <c r="C24" s="16">
        <f>+B24*0.35429321</f>
        <v/>
      </c>
      <c r="D24" s="16">
        <f>+B24*0.000491157</f>
        <v/>
      </c>
      <c r="E24" s="16">
        <f>+B24*0.051078759</f>
        <v/>
      </c>
      <c r="F24" s="16">
        <f>+B24*0.594136874</f>
        <v/>
      </c>
      <c r="G24" s="16" t="n"/>
      <c r="H24" s="16" t="n"/>
    </row>
    <row r="25">
      <c r="A25" s="5" t="inlineStr">
        <is>
          <t>2.B.8 - Petrochemical and Carbon Black Production</t>
        </is>
      </c>
      <c r="B25" s="17">
        <f>+'Tabla de Emisiones y Remociones'!C53</f>
        <v/>
      </c>
      <c r="C25" s="16">
        <f>+B25*0.35429321</f>
        <v/>
      </c>
      <c r="D25" s="16">
        <f>+B25*0.000491157</f>
        <v/>
      </c>
      <c r="E25" s="16">
        <f>+B25*0.051078759</f>
        <v/>
      </c>
      <c r="F25" s="16">
        <f>+B25*0.594136874</f>
        <v/>
      </c>
      <c r="G25" s="16" t="n"/>
      <c r="H25" s="16" t="n"/>
    </row>
    <row r="26">
      <c r="A26" s="6" t="inlineStr">
        <is>
          <t>2.C - Metal Industry</t>
        </is>
      </c>
      <c r="B26" s="23">
        <f>+'Tabla de Emisiones y Remociones'!C54</f>
        <v/>
      </c>
      <c r="C26" s="24">
        <f>+C27</f>
        <v/>
      </c>
      <c r="D26" s="24">
        <f>+D27</f>
        <v/>
      </c>
      <c r="E26" s="24" t="n"/>
      <c r="F26" s="24" t="n"/>
      <c r="G26" s="24" t="n"/>
      <c r="H26" s="16" t="n"/>
    </row>
    <row r="27">
      <c r="A27" s="5" t="inlineStr">
        <is>
          <t>2.C.1 - Iron and Steel Production</t>
        </is>
      </c>
      <c r="B27" s="17">
        <f>+'Tabla de Emisiones y Remociones'!C55</f>
        <v/>
      </c>
      <c r="C27" s="16">
        <f>+B27*0.98</f>
        <v/>
      </c>
      <c r="D27" s="16">
        <f>+B27*0.02</f>
        <v/>
      </c>
      <c r="E27" s="16" t="n"/>
      <c r="F27" s="16" t="n"/>
      <c r="G27" s="16" t="n"/>
      <c r="H27" s="16" t="n"/>
    </row>
    <row r="28">
      <c r="A28" s="6" t="inlineStr">
        <is>
          <t>2.D - Non-Energy Products from Fuels and Solvent Use</t>
        </is>
      </c>
      <c r="B28" s="23">
        <f>+'Tabla de Emisiones y Remociones'!C56</f>
        <v/>
      </c>
      <c r="C28" s="24">
        <f>+B28</f>
        <v/>
      </c>
      <c r="D28" s="24" t="n"/>
      <c r="E28" s="24" t="n"/>
      <c r="F28" s="24" t="n"/>
      <c r="G28" s="24" t="n"/>
      <c r="H28" s="16" t="n"/>
    </row>
    <row r="29">
      <c r="A29" s="6" t="inlineStr">
        <is>
          <t>2.F - Product Uses as Substitutes for Ozone Depleting Substances</t>
        </is>
      </c>
      <c r="B29" s="23">
        <f>+'Tabla de Emisiones y Remociones'!C57</f>
        <v/>
      </c>
      <c r="C29" s="24" t="n"/>
      <c r="D29" s="24" t="n"/>
      <c r="E29" s="24" t="n"/>
      <c r="F29" s="24">
        <f>+F30</f>
        <v/>
      </c>
      <c r="G29" s="24">
        <f>+G30</f>
        <v/>
      </c>
      <c r="H29" s="16" t="n"/>
    </row>
    <row r="30">
      <c r="A30" s="5" t="inlineStr">
        <is>
          <t>2.F.1 - Refrigeration and Air Conditioning</t>
        </is>
      </c>
      <c r="B30" s="17">
        <f>+'Tabla de Emisiones y Remociones'!C58</f>
        <v/>
      </c>
      <c r="C30" s="16" t="n"/>
      <c r="D30" s="16" t="n"/>
      <c r="E30" s="16" t="n"/>
      <c r="F30" s="17">
        <f>+B30/2</f>
        <v/>
      </c>
      <c r="G30" s="16">
        <f>+B30/2</f>
        <v/>
      </c>
      <c r="H30" s="16" t="n"/>
    </row>
    <row r="31">
      <c r="A31" s="8" t="inlineStr">
        <is>
          <t>3 - Agriculture, Forestry, and Other Land Use</t>
        </is>
      </c>
      <c r="B31" s="25">
        <f>+'Tabla de Emisiones y Remociones'!C59</f>
        <v/>
      </c>
      <c r="C31" s="26">
        <f>+SUM(C32+C37)</f>
        <v/>
      </c>
      <c r="D31" s="26">
        <f>+SUM(D32+D37)</f>
        <v/>
      </c>
      <c r="E31" s="26">
        <f>+SUM(E32+E37)</f>
        <v/>
      </c>
      <c r="F31" s="26" t="n"/>
      <c r="G31" s="26" t="n"/>
      <c r="H31" s="26">
        <f>+SUM(C31:G31)</f>
        <v/>
      </c>
    </row>
    <row r="32">
      <c r="A32" s="9" t="inlineStr">
        <is>
          <t>3.A - Livestock</t>
        </is>
      </c>
      <c r="B32" s="27">
        <f>+'Tabla de Emisiones y Remociones'!C60</f>
        <v/>
      </c>
      <c r="C32" s="28" t="n"/>
      <c r="D32" s="28">
        <f>+D33+D34</f>
        <v/>
      </c>
      <c r="E32" s="28">
        <f>+E33+E34</f>
        <v/>
      </c>
      <c r="F32" s="28" t="n"/>
      <c r="G32" s="28" t="n"/>
      <c r="H32" s="16" t="n"/>
    </row>
    <row r="33">
      <c r="A33" s="5" t="inlineStr">
        <is>
          <t>3.A.1 - Enteric Fermentation</t>
        </is>
      </c>
      <c r="B33" s="17">
        <f>+'Tabla de Emisiones y Remociones'!C61</f>
        <v/>
      </c>
      <c r="C33" s="16" t="n"/>
      <c r="D33" s="16">
        <f>+B33*0.996032041</f>
        <v/>
      </c>
      <c r="E33" s="16">
        <f>+B33*0.003967959</f>
        <v/>
      </c>
      <c r="F33" s="16" t="n"/>
      <c r="G33" s="16" t="n"/>
      <c r="H33" s="16" t="n"/>
    </row>
    <row r="34">
      <c r="A34" s="5" t="inlineStr">
        <is>
          <t>3.A.2 - Manure Management</t>
        </is>
      </c>
      <c r="B34" s="17">
        <f>+'Tabla de Emisiones y Remociones'!C62</f>
        <v/>
      </c>
      <c r="C34" s="16" t="n"/>
      <c r="D34" s="16">
        <f>+B34</f>
        <v/>
      </c>
      <c r="E34" s="16" t="n"/>
      <c r="F34" s="16" t="n"/>
      <c r="G34" s="16" t="n"/>
      <c r="H34" s="16" t="n"/>
    </row>
    <row r="35">
      <c r="A35" s="9" t="inlineStr">
        <is>
          <t>3.B - Land</t>
        </is>
      </c>
      <c r="B35" s="27">
        <f>+B36</f>
        <v/>
      </c>
      <c r="C35" s="27">
        <f>+C36</f>
        <v/>
      </c>
      <c r="D35" s="28" t="n"/>
      <c r="E35" s="28" t="n"/>
      <c r="F35" s="28" t="n"/>
      <c r="G35" s="28" t="n"/>
      <c r="H35" s="16" t="n"/>
    </row>
    <row r="36">
      <c r="A36" s="5" t="inlineStr">
        <is>
          <t>3.B.1 - Forest land</t>
        </is>
      </c>
      <c r="B36" s="17">
        <f>+'Tabla de Emisiones y Remociones'!C63</f>
        <v/>
      </c>
      <c r="C36" s="17">
        <f>+B36</f>
        <v/>
      </c>
      <c r="D36" s="16" t="n"/>
      <c r="E36" s="16" t="n"/>
      <c r="F36" s="16" t="n"/>
      <c r="G36" s="16" t="n"/>
      <c r="H36" s="16" t="n"/>
    </row>
    <row r="37">
      <c r="A37" s="9" t="inlineStr">
        <is>
          <t>3.C - Aggregate sources and non-CO2 emissions sources on land</t>
        </is>
      </c>
      <c r="B37" s="27">
        <f>+'Tabla de Emisiones y Remociones'!C64</f>
        <v/>
      </c>
      <c r="C37" s="28">
        <f>+SUM(C38:C43)</f>
        <v/>
      </c>
      <c r="D37" s="28">
        <f>+SUM(D38:D43)</f>
        <v/>
      </c>
      <c r="E37" s="28">
        <f>+SUM(E38:E43)</f>
        <v/>
      </c>
      <c r="F37" s="28" t="n"/>
      <c r="G37" s="28" t="n"/>
      <c r="H37" s="16" t="n"/>
    </row>
    <row r="38">
      <c r="A38" s="5" t="inlineStr">
        <is>
          <t>3.C.1 - Burning</t>
        </is>
      </c>
      <c r="B38" s="17">
        <f>+'Tabla de Emisiones y Remociones'!C65</f>
        <v/>
      </c>
      <c r="C38" s="16" t="n"/>
      <c r="D38" s="16">
        <f>+B38*0.996032041</f>
        <v/>
      </c>
      <c r="E38" s="16">
        <f>+B38*0.003967959</f>
        <v/>
      </c>
      <c r="F38" s="16" t="n"/>
      <c r="G38" s="16" t="n"/>
      <c r="H38" s="16" t="n"/>
    </row>
    <row r="39">
      <c r="A39" s="5" t="inlineStr">
        <is>
          <t>3.C.2 - Liming</t>
        </is>
      </c>
      <c r="B39" s="17">
        <f>+'Tabla de Emisiones y Remociones'!C66</f>
        <v/>
      </c>
      <c r="C39" s="16" t="n">
        <v>0</v>
      </c>
      <c r="D39" s="16" t="n">
        <v>0</v>
      </c>
      <c r="E39" s="16" t="n">
        <v>0</v>
      </c>
      <c r="F39" s="16" t="n"/>
      <c r="G39" s="16" t="n"/>
      <c r="H39" s="16" t="n"/>
    </row>
    <row r="40">
      <c r="A40" s="5" t="inlineStr">
        <is>
          <t>3.C.3 - Urea application</t>
        </is>
      </c>
      <c r="B40" s="17">
        <f>+'Tabla de Emisiones y Remociones'!C67</f>
        <v/>
      </c>
      <c r="C40" s="16">
        <f>+B40</f>
        <v/>
      </c>
      <c r="D40" s="16" t="n"/>
      <c r="E40" s="16" t="n"/>
      <c r="F40" s="16" t="n"/>
      <c r="G40" s="16" t="n"/>
      <c r="H40" s="16" t="n"/>
    </row>
    <row r="41">
      <c r="A41" s="5" t="inlineStr">
        <is>
          <t>3.C.4 - Direct N2O Emissions from managed soils</t>
        </is>
      </c>
      <c r="B41" s="17">
        <f>+'Tabla de Emisiones y Remociones'!C68</f>
        <v/>
      </c>
      <c r="C41" s="16" t="n"/>
      <c r="D41" s="16" t="n"/>
      <c r="E41" s="16">
        <f>+B41</f>
        <v/>
      </c>
      <c r="F41" s="16" t="n"/>
      <c r="G41" s="16" t="n"/>
      <c r="H41" s="16" t="n"/>
    </row>
    <row r="42">
      <c r="A42" s="5" t="inlineStr">
        <is>
          <t>3.C.5 - Indirect N2O Emissions from managed soils</t>
        </is>
      </c>
      <c r="B42" s="17">
        <f>+'Tabla de Emisiones y Remociones'!C69</f>
        <v/>
      </c>
      <c r="C42" s="16" t="n"/>
      <c r="D42" s="16" t="n"/>
      <c r="E42" s="16">
        <f>+B42</f>
        <v/>
      </c>
      <c r="F42" s="16" t="n"/>
      <c r="G42" s="16" t="n"/>
      <c r="H42" s="16" t="n"/>
    </row>
    <row r="43">
      <c r="A43" s="5" t="inlineStr">
        <is>
          <t>3.C.6 - Indirect N2O Emissions from manure management</t>
        </is>
      </c>
      <c r="B43" s="17">
        <f>+'Tabla de Emisiones y Remociones'!C70</f>
        <v/>
      </c>
      <c r="C43" s="16" t="n"/>
      <c r="D43" s="16" t="n"/>
      <c r="E43" s="16">
        <f>+B43</f>
        <v/>
      </c>
      <c r="F43" s="16" t="n"/>
      <c r="G43" s="16" t="n"/>
      <c r="H43" s="16" t="n"/>
    </row>
    <row r="44">
      <c r="A44" s="10" t="inlineStr">
        <is>
          <t>4 - Waste</t>
        </is>
      </c>
      <c r="B44" s="29">
        <f>+'Tabla de Emisiones y Remociones'!C71</f>
        <v/>
      </c>
      <c r="C44" s="15" t="n"/>
      <c r="D44" s="15">
        <f>+SUM(D45:D46)</f>
        <v/>
      </c>
      <c r="E44" s="15">
        <f>+SUM(E45:E46)</f>
        <v/>
      </c>
      <c r="F44" s="15" t="n"/>
      <c r="G44" s="15" t="n"/>
      <c r="H44" s="15">
        <f>+SUM(C44:G44)</f>
        <v/>
      </c>
    </row>
    <row r="45">
      <c r="A45" s="4" t="inlineStr">
        <is>
          <t>4.A - Solid Waste Disposal</t>
        </is>
      </c>
      <c r="B45" s="17">
        <f>+'Tabla de Emisiones y Remociones'!C72</f>
        <v/>
      </c>
      <c r="C45" s="16" t="n"/>
      <c r="D45" s="16">
        <f>+B45</f>
        <v/>
      </c>
      <c r="E45" s="16" t="n"/>
      <c r="F45" s="16" t="n"/>
      <c r="G45" s="16" t="n"/>
      <c r="H45" s="16" t="n"/>
    </row>
    <row r="46">
      <c r="A46" s="4" t="inlineStr">
        <is>
          <t>4.D - Wastewater Treatment and Discharge</t>
        </is>
      </c>
      <c r="B46" s="17">
        <f>+'Tabla de Emisiones y Remociones'!C73</f>
        <v/>
      </c>
      <c r="C46" s="16" t="n"/>
      <c r="D46" s="16">
        <f>+B46*0.910430473</f>
        <v/>
      </c>
      <c r="E46" s="16">
        <f>+B46*0.089569527</f>
        <v/>
      </c>
      <c r="F46" s="16" t="n"/>
      <c r="G46" s="16" t="n"/>
      <c r="H46" s="1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tabSelected="1" zoomScale="150" workbookViewId="0">
      <selection activeCell="C16" sqref="C16"/>
    </sheetView>
  </sheetViews>
  <sheetFormatPr baseColWidth="10" defaultRowHeight="13"/>
  <cols>
    <col width="55.5" bestFit="1" customWidth="1" min="1" max="1"/>
  </cols>
  <sheetData>
    <row r="1">
      <c r="A1" s="3" t="inlineStr">
        <is>
          <t>Categories</t>
        </is>
      </c>
      <c r="B1" s="3" t="inlineStr">
        <is>
          <t>total</t>
        </is>
      </c>
      <c r="C1" s="3" t="inlineStr">
        <is>
          <t>co2</t>
        </is>
      </c>
      <c r="D1" s="3" t="inlineStr">
        <is>
          <t>ch4</t>
        </is>
      </c>
      <c r="E1" s="3" t="inlineStr">
        <is>
          <t>n2o</t>
        </is>
      </c>
      <c r="F1" s="3" t="inlineStr">
        <is>
          <t>hfcs</t>
        </is>
      </c>
      <c r="G1" s="3" t="inlineStr">
        <is>
          <t>pfcs</t>
        </is>
      </c>
    </row>
    <row r="2">
      <c r="A2" s="3" t="inlineStr">
        <is>
          <t>Total National Emissions and Removals</t>
        </is>
      </c>
      <c r="B2" s="17">
        <f>+'Tabla de Emisiones y Remociones'!D38</f>
        <v/>
      </c>
      <c r="C2" s="16">
        <f>+C3+C18+C31+C44</f>
        <v/>
      </c>
      <c r="D2" s="16">
        <f>+D3+D18+D31+D44</f>
        <v/>
      </c>
      <c r="E2" s="16">
        <f>+E3+E18+E31+E44</f>
        <v/>
      </c>
      <c r="F2" s="16">
        <f>+F3+F18+F31+F44</f>
        <v/>
      </c>
      <c r="G2" s="16">
        <f>+G3+G18+G31+G44</f>
        <v/>
      </c>
      <c r="H2" s="16">
        <f>+H3+H18+H31+H44</f>
        <v/>
      </c>
    </row>
    <row r="3">
      <c r="A3" s="11" t="inlineStr">
        <is>
          <t>1 - Energy</t>
        </is>
      </c>
      <c r="B3" s="18">
        <f>+'Tabla de Emisiones y Remociones'!D39</f>
        <v/>
      </c>
      <c r="C3" s="14">
        <f>+C4+C13</f>
        <v/>
      </c>
      <c r="D3" s="14">
        <f>+D4+D13</f>
        <v/>
      </c>
      <c r="E3" s="14">
        <f>+E4+E13</f>
        <v/>
      </c>
      <c r="F3" s="14" t="n"/>
      <c r="G3" s="14" t="n"/>
      <c r="H3" s="14">
        <f>+SUM(C3:G3)</f>
        <v/>
      </c>
    </row>
    <row r="4">
      <c r="A4" s="12" t="inlineStr">
        <is>
          <t>1.A - Fuel Combustion Activities</t>
        </is>
      </c>
      <c r="B4" s="19">
        <f>+'Tabla de Emisiones y Remociones'!D40</f>
        <v/>
      </c>
      <c r="C4" s="20">
        <f>+C5+C6+C7+C8+C11+C12</f>
        <v/>
      </c>
      <c r="D4" s="20">
        <f>+D5+D6+D7+D8+D11+D12</f>
        <v/>
      </c>
      <c r="E4" s="20">
        <f>+E5+E6+E7+E8+E11+E12</f>
        <v/>
      </c>
      <c r="F4" s="20" t="n"/>
      <c r="G4" s="20" t="n"/>
      <c r="H4" s="16" t="n"/>
    </row>
    <row r="5">
      <c r="A5" s="5" t="inlineStr">
        <is>
          <t>1.A.1 - Energy Industries</t>
        </is>
      </c>
      <c r="B5" s="17">
        <f>+'Tabla de Emisiones y Remociones'!D41</f>
        <v/>
      </c>
      <c r="C5" s="16">
        <f>+B5*0.997544526</f>
        <v/>
      </c>
      <c r="D5" s="16">
        <f>+B5*0.001565661</f>
        <v/>
      </c>
      <c r="E5" s="16">
        <f>+B5*0.000889813</f>
        <v/>
      </c>
      <c r="F5" s="16" t="n"/>
      <c r="G5" s="16" t="n"/>
      <c r="H5" s="16" t="n"/>
    </row>
    <row r="6">
      <c r="A6" s="5" t="inlineStr">
        <is>
          <t>1.A.1 - Electricity and Heat Generation</t>
        </is>
      </c>
      <c r="B6" s="17">
        <f>+B$5*0.7</f>
        <v/>
      </c>
      <c r="C6" s="17">
        <f>+C$5*0.7</f>
        <v/>
      </c>
      <c r="D6" s="17">
        <f>+D$5*0.7</f>
        <v/>
      </c>
      <c r="E6" s="17">
        <f>+E$5*0.7</f>
        <v/>
      </c>
      <c r="F6" s="16" t="n"/>
      <c r="G6" s="16" t="n"/>
      <c r="H6" s="16" t="n"/>
    </row>
    <row r="7">
      <c r="A7" s="5" t="inlineStr">
        <is>
          <t>1.A.1 - Fuel Production</t>
        </is>
      </c>
      <c r="B7" s="17">
        <f>+B$5*0.3</f>
        <v/>
      </c>
      <c r="C7" s="17">
        <f>+C$5*0.3</f>
        <v/>
      </c>
      <c r="D7" s="17">
        <f>+D$5*0.3</f>
        <v/>
      </c>
      <c r="E7" s="17">
        <f>+E$5*0.3</f>
        <v/>
      </c>
      <c r="F7" s="16" t="n"/>
      <c r="G7" s="16" t="n"/>
      <c r="H7" s="16" t="n"/>
    </row>
    <row r="8">
      <c r="A8" s="5" t="inlineStr">
        <is>
          <t>1.A.2 - Manufacturing Industries and Construction</t>
        </is>
      </c>
      <c r="B8" s="17">
        <f>+'Tabla de Emisiones y Remociones'!D42</f>
        <v/>
      </c>
      <c r="C8" s="16">
        <f>+B8*0.997804185</f>
        <v/>
      </c>
      <c r="D8" s="16">
        <f>+B8*0.000829605</f>
        <v/>
      </c>
      <c r="E8" s="16">
        <f>+B8*0.00136621</f>
        <v/>
      </c>
      <c r="F8" s="16" t="n"/>
      <c r="G8" s="16" t="n"/>
      <c r="H8" s="16" t="n"/>
    </row>
    <row r="9">
      <c r="A9" s="5" t="inlineStr">
        <is>
          <t>1.A.2.a - Iron and Steel</t>
        </is>
      </c>
      <c r="B9" s="17">
        <f>+B8*0.63</f>
        <v/>
      </c>
      <c r="C9" s="17">
        <f>+C8*0.63</f>
        <v/>
      </c>
      <c r="D9" s="17">
        <f>+D8*0.63</f>
        <v/>
      </c>
      <c r="E9" s="17">
        <f>+E8*0.63</f>
        <v/>
      </c>
      <c r="F9" s="16" t="n"/>
      <c r="G9" s="16" t="n"/>
      <c r="H9" s="16" t="n"/>
    </row>
    <row r="10">
      <c r="A10" s="5" t="inlineStr">
        <is>
          <t>1.A.2.f - Cement (Energy)</t>
        </is>
      </c>
      <c r="B10" s="17">
        <f>+B8*0.37</f>
        <v/>
      </c>
      <c r="C10" s="17">
        <f>+C8*0.37</f>
        <v/>
      </c>
      <c r="D10" s="17">
        <f>+D8*0.37</f>
        <v/>
      </c>
      <c r="E10" s="17">
        <f>+E8*0.37</f>
        <v/>
      </c>
      <c r="F10" s="16" t="n"/>
      <c r="G10" s="16" t="n"/>
      <c r="H10" s="16" t="n"/>
    </row>
    <row r="11">
      <c r="A11" s="5" t="inlineStr">
        <is>
          <t>1.A.3 - Transport</t>
        </is>
      </c>
      <c r="B11" s="17">
        <f>+'Tabla de Emisiones y Remociones'!D43</f>
        <v/>
      </c>
      <c r="C11" s="16">
        <f>+B11*0.980386029</f>
        <v/>
      </c>
      <c r="D11" s="16">
        <f>+B11*0.010583264</f>
        <v/>
      </c>
      <c r="E11" s="16">
        <f>+B11*0.009030706</f>
        <v/>
      </c>
      <c r="F11" s="16" t="n"/>
      <c r="G11" s="16" t="n"/>
      <c r="H11" s="16" t="n"/>
    </row>
    <row r="12">
      <c r="A12" s="5" t="inlineStr">
        <is>
          <t>1.A.4 - Other Sectors</t>
        </is>
      </c>
      <c r="B12" s="17">
        <f>+'Tabla de Emisiones y Remociones'!D44</f>
        <v/>
      </c>
      <c r="C12" s="16">
        <f>+B12*0.930398755</f>
        <v/>
      </c>
      <c r="D12" s="16">
        <f>+B12*0.062442227</f>
        <v/>
      </c>
      <c r="E12" s="16">
        <f>+B12*0.007159018</f>
        <v/>
      </c>
      <c r="F12" s="16" t="n"/>
      <c r="G12" s="16" t="n"/>
      <c r="H12" s="16" t="n"/>
    </row>
    <row r="13">
      <c r="A13" s="12" t="inlineStr">
        <is>
          <t>1.B - Fugitive emissions from fuels</t>
        </is>
      </c>
      <c r="B13" s="19">
        <f>+'Tabla de Emisiones y Remociones'!D45</f>
        <v/>
      </c>
      <c r="C13" s="20">
        <f>SUM(C14:C16)</f>
        <v/>
      </c>
      <c r="D13" s="20">
        <f>SUM(D14:D16)</f>
        <v/>
      </c>
      <c r="E13" s="20" t="n"/>
      <c r="F13" s="20" t="n"/>
      <c r="G13" s="20" t="n"/>
      <c r="H13" s="16" t="n"/>
    </row>
    <row r="14">
      <c r="A14" s="36" t="inlineStr">
        <is>
          <t>1.B - Fugitive emissions from fuels - Fugitive</t>
        </is>
      </c>
      <c r="B14" s="37">
        <f>B13*0.188</f>
        <v/>
      </c>
      <c r="C14" s="38">
        <f>B14*0.2</f>
        <v/>
      </c>
      <c r="D14" s="38">
        <f>B14*0.8</f>
        <v/>
      </c>
      <c r="E14" s="38" t="n"/>
      <c r="F14" s="38" t="n"/>
      <c r="G14" s="38" t="n"/>
      <c r="H14" s="16" t="n"/>
    </row>
    <row r="15">
      <c r="A15" s="36" t="inlineStr">
        <is>
          <t>1.B - Fugitive emissions from fuels - Venting</t>
        </is>
      </c>
      <c r="B15" s="37">
        <f>B13*0.58</f>
        <v/>
      </c>
      <c r="C15" s="38">
        <f>B15*0.3</f>
        <v/>
      </c>
      <c r="D15" s="38">
        <f>+B15*0.7</f>
        <v/>
      </c>
      <c r="E15" s="38" t="n"/>
      <c r="F15" s="38" t="n"/>
      <c r="G15" s="38" t="n"/>
      <c r="H15" s="16" t="n"/>
    </row>
    <row r="16">
      <c r="A16" s="36" t="inlineStr">
        <is>
          <t>1.B - Fugitive emissions from fuels - Flaring</t>
        </is>
      </c>
      <c r="B16" s="37">
        <f>B13*0.232</f>
        <v/>
      </c>
      <c r="C16" s="38">
        <f>B16*0.5</f>
        <v/>
      </c>
      <c r="D16" s="38">
        <f>B16*0.5</f>
        <v/>
      </c>
      <c r="E16" s="38" t="n"/>
      <c r="F16" s="38" t="n"/>
      <c r="G16" s="38" t="n"/>
      <c r="H16" s="16" t="n"/>
    </row>
    <row r="17">
      <c r="A17" s="2" t="inlineStr">
        <is>
          <t>1.C - Carbon dioxide Transport and Storage</t>
        </is>
      </c>
      <c r="B17" s="21">
        <f>+'Tabla de Emisiones y Remociones'!D46</f>
        <v/>
      </c>
      <c r="C17" s="21" t="n">
        <v>0</v>
      </c>
      <c r="D17" s="21" t="n">
        <v>0</v>
      </c>
      <c r="E17" s="21" t="n">
        <v>0</v>
      </c>
      <c r="F17" s="21" t="n">
        <v>0</v>
      </c>
      <c r="G17" s="21" t="n">
        <v>0</v>
      </c>
      <c r="H17" s="21" t="n">
        <v>0</v>
      </c>
    </row>
    <row r="18">
      <c r="A18" s="7" t="inlineStr">
        <is>
          <t>2 - Industrial Processes and Product Use</t>
        </is>
      </c>
      <c r="B18" s="22">
        <f>+'Tabla de Emisiones y Remociones'!D47</f>
        <v/>
      </c>
      <c r="C18" s="13">
        <f>+C19+C23+C26+C28+C29</f>
        <v/>
      </c>
      <c r="D18" s="13">
        <f>+D19+D23+D26+D28+D29</f>
        <v/>
      </c>
      <c r="E18" s="13">
        <f>+E19+E23+E26+E28+E29</f>
        <v/>
      </c>
      <c r="F18" s="13">
        <f>+F19+F23+F26+F28+F29</f>
        <v/>
      </c>
      <c r="G18" s="13" t="n"/>
      <c r="H18" s="13">
        <f>+SUM(C18:G18)</f>
        <v/>
      </c>
    </row>
    <row r="19">
      <c r="A19" s="6" t="inlineStr">
        <is>
          <t>2.A - Mineral Industry</t>
        </is>
      </c>
      <c r="B19" s="23">
        <f>+'Tabla de Emisiones y Remociones'!D48</f>
        <v/>
      </c>
      <c r="C19" s="24">
        <f>+C20+C21</f>
        <v/>
      </c>
      <c r="D19" s="24" t="n"/>
      <c r="E19" s="24" t="n"/>
      <c r="F19" s="24" t="n"/>
      <c r="G19" s="24" t="n"/>
      <c r="H19" s="16" t="n"/>
    </row>
    <row r="20">
      <c r="A20" s="5" t="inlineStr">
        <is>
          <t>2.A.1 - Cement production</t>
        </is>
      </c>
      <c r="B20" s="17">
        <f>+'Tabla de Emisiones y Remociones'!D49</f>
        <v/>
      </c>
      <c r="C20" s="16">
        <f>+B20*1</f>
        <v/>
      </c>
      <c r="D20" s="16" t="n"/>
      <c r="E20" s="16" t="n"/>
      <c r="F20" s="16" t="n"/>
      <c r="G20" s="16" t="n"/>
      <c r="H20" s="16" t="n"/>
    </row>
    <row r="21">
      <c r="A21" s="5" t="inlineStr">
        <is>
          <t>2.A.2 - Lime production</t>
        </is>
      </c>
      <c r="B21" s="17">
        <f>+'Tabla de Emisiones y Remociones'!D50</f>
        <v/>
      </c>
      <c r="C21" s="16">
        <f>+B21*1</f>
        <v/>
      </c>
      <c r="D21" s="16" t="n"/>
      <c r="E21" s="16" t="n"/>
      <c r="F21" s="16" t="n"/>
      <c r="G21" s="16" t="n"/>
      <c r="H21" s="16" t="n"/>
    </row>
    <row r="22">
      <c r="A22" s="5" t="inlineStr">
        <is>
          <t>2.A.3 - Glass production</t>
        </is>
      </c>
      <c r="B22" s="17" t="n">
        <v>0</v>
      </c>
      <c r="C22" s="16" t="n">
        <v>0</v>
      </c>
      <c r="D22" s="16" t="n"/>
      <c r="E22" s="16" t="n"/>
      <c r="F22" s="16" t="n"/>
      <c r="G22" s="16" t="n"/>
      <c r="H22" s="16" t="n"/>
    </row>
    <row r="23">
      <c r="A23" s="6" t="inlineStr">
        <is>
          <t>2.B - Chemical Industry</t>
        </is>
      </c>
      <c r="B23" s="23">
        <f>+'Tabla de Emisiones y Remociones'!D51</f>
        <v/>
      </c>
      <c r="C23" s="24">
        <f>+B23*0.35429321</f>
        <v/>
      </c>
      <c r="D23" s="24">
        <f>+B23*0.000491157</f>
        <v/>
      </c>
      <c r="E23" s="24">
        <f>+B23*0.051078759</f>
        <v/>
      </c>
      <c r="F23" s="24">
        <f>+B23*0.594136874</f>
        <v/>
      </c>
      <c r="G23" s="24" t="n"/>
      <c r="H23" s="16" t="n"/>
    </row>
    <row r="24">
      <c r="A24" s="5" t="inlineStr">
        <is>
          <t>2.B.1 - Ammonia Production</t>
        </is>
      </c>
      <c r="B24" s="17">
        <f>+'Tabla de Emisiones y Remociones'!D52</f>
        <v/>
      </c>
      <c r="C24" s="16">
        <f>+B24*0.35429321</f>
        <v/>
      </c>
      <c r="D24" s="16">
        <f>+B24*0.000491157</f>
        <v/>
      </c>
      <c r="E24" s="16">
        <f>+B24*0.051078759</f>
        <v/>
      </c>
      <c r="F24" s="16">
        <f>+B24*0.594136874</f>
        <v/>
      </c>
      <c r="G24" s="16" t="n"/>
      <c r="H24" s="16" t="n"/>
    </row>
    <row r="25">
      <c r="A25" s="5" t="inlineStr">
        <is>
          <t>2.B.8 - Petrochemical and Carbon Black Production</t>
        </is>
      </c>
      <c r="B25" s="17">
        <f>+'Tabla de Emisiones y Remociones'!D53</f>
        <v/>
      </c>
      <c r="C25" s="16">
        <f>+B25*0.35429321</f>
        <v/>
      </c>
      <c r="D25" s="16">
        <f>+B25*0.000491157</f>
        <v/>
      </c>
      <c r="E25" s="16">
        <f>+B25*0.051078759</f>
        <v/>
      </c>
      <c r="F25" s="16">
        <f>+B25*0.594136874</f>
        <v/>
      </c>
      <c r="G25" s="16" t="n"/>
      <c r="H25" s="16" t="n"/>
    </row>
    <row r="26">
      <c r="A26" s="6" t="inlineStr">
        <is>
          <t>2.C - Metal Industry</t>
        </is>
      </c>
      <c r="B26" s="23">
        <f>+'Tabla de Emisiones y Remociones'!D54</f>
        <v/>
      </c>
      <c r="C26" s="24">
        <f>+C27</f>
        <v/>
      </c>
      <c r="D26" s="24">
        <f>+D27</f>
        <v/>
      </c>
      <c r="E26" s="24" t="n"/>
      <c r="F26" s="24" t="n"/>
      <c r="G26" s="24" t="n"/>
      <c r="H26" s="16" t="n"/>
    </row>
    <row r="27">
      <c r="A27" s="5" t="inlineStr">
        <is>
          <t>2.C.1 - Iron and Steel Production</t>
        </is>
      </c>
      <c r="B27" s="17">
        <f>+'Tabla de Emisiones y Remociones'!D55</f>
        <v/>
      </c>
      <c r="C27" s="16">
        <f>+B27*0.98</f>
        <v/>
      </c>
      <c r="D27" s="16">
        <f>+B27*0.02</f>
        <v/>
      </c>
      <c r="E27" s="16" t="n"/>
      <c r="F27" s="16" t="n"/>
      <c r="G27" s="16" t="n"/>
      <c r="H27" s="16" t="n"/>
    </row>
    <row r="28">
      <c r="A28" s="6" t="inlineStr">
        <is>
          <t>2.D - Non-Energy Products from Fuels and Solvent Use</t>
        </is>
      </c>
      <c r="B28" s="23">
        <f>+'Tabla de Emisiones y Remociones'!D56</f>
        <v/>
      </c>
      <c r="C28" s="24">
        <f>+B28</f>
        <v/>
      </c>
      <c r="D28" s="24" t="n"/>
      <c r="E28" s="24" t="n"/>
      <c r="F28" s="24" t="n"/>
      <c r="G28" s="24" t="n"/>
      <c r="H28" s="16" t="n"/>
    </row>
    <row r="29">
      <c r="A29" s="6" t="inlineStr">
        <is>
          <t>2.F - Product Uses as Substitutes for Ozone Depleting Substances</t>
        </is>
      </c>
      <c r="B29" s="23">
        <f>+'Tabla de Emisiones y Remociones'!D57</f>
        <v/>
      </c>
      <c r="C29" s="24" t="n"/>
      <c r="D29" s="24" t="n"/>
      <c r="E29" s="24" t="n"/>
      <c r="F29" s="24">
        <f>+F30</f>
        <v/>
      </c>
      <c r="G29" s="24">
        <f>+G30</f>
        <v/>
      </c>
      <c r="H29" s="16" t="n"/>
    </row>
    <row r="30">
      <c r="A30" s="5" t="inlineStr">
        <is>
          <t>2.F.1 - Refrigeration and Air Conditioning</t>
        </is>
      </c>
      <c r="B30" s="17">
        <f>+'Tabla de Emisiones y Remociones'!D58</f>
        <v/>
      </c>
      <c r="C30" s="16" t="n"/>
      <c r="D30" s="16" t="n"/>
      <c r="E30" s="16" t="n"/>
      <c r="F30" s="17">
        <f>+B30/2</f>
        <v/>
      </c>
      <c r="G30" s="16">
        <f>+B30/2</f>
        <v/>
      </c>
      <c r="H30" s="16" t="n"/>
    </row>
    <row r="31">
      <c r="A31" s="8" t="inlineStr">
        <is>
          <t>3 - Agriculture, Forestry, and Other Land Use</t>
        </is>
      </c>
      <c r="B31" s="25">
        <f>+'Tabla de Emisiones y Remociones'!D59</f>
        <v/>
      </c>
      <c r="C31" s="26">
        <f>+SUM(C32+C37)</f>
        <v/>
      </c>
      <c r="D31" s="26">
        <f>+SUM(D32+D37)</f>
        <v/>
      </c>
      <c r="E31" s="26">
        <f>+SUM(E32+E37)</f>
        <v/>
      </c>
      <c r="F31" s="26" t="n"/>
      <c r="G31" s="26" t="n"/>
      <c r="H31" s="26">
        <f>+SUM(C31:G31)</f>
        <v/>
      </c>
    </row>
    <row r="32">
      <c r="A32" s="9" t="inlineStr">
        <is>
          <t>3.A - Livestock</t>
        </is>
      </c>
      <c r="B32" s="27">
        <f>+'Tabla de Emisiones y Remociones'!D60</f>
        <v/>
      </c>
      <c r="C32" s="28" t="n"/>
      <c r="D32" s="28">
        <f>+D33+D34</f>
        <v/>
      </c>
      <c r="E32" s="28">
        <f>+E33+E34</f>
        <v/>
      </c>
      <c r="F32" s="28" t="n"/>
      <c r="G32" s="28" t="n"/>
      <c r="H32" s="16" t="n"/>
    </row>
    <row r="33">
      <c r="A33" s="5" t="inlineStr">
        <is>
          <t>3.A.1 - Enteric Fermentation</t>
        </is>
      </c>
      <c r="B33" s="17">
        <f>+'Tabla de Emisiones y Remociones'!D61</f>
        <v/>
      </c>
      <c r="C33" s="16" t="n"/>
      <c r="D33" s="16">
        <f>+B33*0.996032041</f>
        <v/>
      </c>
      <c r="E33" s="16">
        <f>+B33*0.003967959</f>
        <v/>
      </c>
      <c r="F33" s="16" t="n"/>
      <c r="G33" s="16" t="n"/>
      <c r="H33" s="16" t="n"/>
    </row>
    <row r="34">
      <c r="A34" s="5" t="inlineStr">
        <is>
          <t>3.A.2 - Manure Management</t>
        </is>
      </c>
      <c r="B34" s="17">
        <f>+'Tabla de Emisiones y Remociones'!D62</f>
        <v/>
      </c>
      <c r="C34" s="16" t="n"/>
      <c r="D34" s="16">
        <f>+B34</f>
        <v/>
      </c>
      <c r="E34" s="16" t="n"/>
      <c r="F34" s="16" t="n"/>
      <c r="G34" s="16" t="n"/>
      <c r="H34" s="16" t="n"/>
    </row>
    <row r="35">
      <c r="A35" s="9" t="inlineStr">
        <is>
          <t>3.B - Land</t>
        </is>
      </c>
      <c r="B35" s="27">
        <f>+B36</f>
        <v/>
      </c>
      <c r="C35" s="27">
        <f>+C36</f>
        <v/>
      </c>
      <c r="D35" s="28" t="n"/>
      <c r="E35" s="28" t="n"/>
      <c r="F35" s="28" t="n"/>
      <c r="G35" s="28" t="n"/>
      <c r="H35" s="16" t="n"/>
    </row>
    <row r="36">
      <c r="A36" s="5" t="inlineStr">
        <is>
          <t>3.B.1 - Forest land</t>
        </is>
      </c>
      <c r="B36" s="17">
        <f>+'Tabla de Emisiones y Remociones'!D63</f>
        <v/>
      </c>
      <c r="C36" s="17">
        <f>+B36</f>
        <v/>
      </c>
      <c r="D36" s="16" t="n"/>
      <c r="E36" s="16" t="n"/>
      <c r="F36" s="16" t="n"/>
      <c r="G36" s="16" t="n"/>
      <c r="H36" s="16" t="n"/>
    </row>
    <row r="37">
      <c r="A37" s="9" t="inlineStr">
        <is>
          <t>3.C - Aggregate sources and non-CO2 emissions sources on land</t>
        </is>
      </c>
      <c r="B37" s="27">
        <f>+'Tabla de Emisiones y Remociones'!D64</f>
        <v/>
      </c>
      <c r="C37" s="28">
        <f>+SUM(C38:C43)</f>
        <v/>
      </c>
      <c r="D37" s="28">
        <f>+SUM(D38:D43)</f>
        <v/>
      </c>
      <c r="E37" s="28">
        <f>+SUM(E38:E43)</f>
        <v/>
      </c>
      <c r="F37" s="28" t="n"/>
      <c r="G37" s="28" t="n"/>
      <c r="H37" s="16" t="n"/>
    </row>
    <row r="38">
      <c r="A38" s="5" t="inlineStr">
        <is>
          <t>3.C.1 - Burning</t>
        </is>
      </c>
      <c r="B38" s="17">
        <f>+'Tabla de Emisiones y Remociones'!D65</f>
        <v/>
      </c>
      <c r="C38" s="16" t="n"/>
      <c r="D38" s="16">
        <f>+B38*0.996032041</f>
        <v/>
      </c>
      <c r="E38" s="16">
        <f>+B38*0.003967959</f>
        <v/>
      </c>
      <c r="F38" s="16" t="n"/>
      <c r="G38" s="16" t="n"/>
      <c r="H38" s="16" t="n"/>
    </row>
    <row r="39">
      <c r="A39" s="5" t="inlineStr">
        <is>
          <t>3.C.2 - Liming</t>
        </is>
      </c>
      <c r="B39" s="17">
        <f>+'Tabla de Emisiones y Remociones'!D66</f>
        <v/>
      </c>
      <c r="C39" s="16" t="n">
        <v>0</v>
      </c>
      <c r="D39" s="16" t="n">
        <v>0</v>
      </c>
      <c r="E39" s="16" t="n">
        <v>0</v>
      </c>
      <c r="F39" s="16" t="n"/>
      <c r="G39" s="16" t="n"/>
      <c r="H39" s="16" t="n"/>
    </row>
    <row r="40">
      <c r="A40" s="5" t="inlineStr">
        <is>
          <t>3.C.3 - Urea application</t>
        </is>
      </c>
      <c r="B40" s="17">
        <f>+'Tabla de Emisiones y Remociones'!D67</f>
        <v/>
      </c>
      <c r="C40" s="16">
        <f>+B40</f>
        <v/>
      </c>
      <c r="D40" s="16" t="n"/>
      <c r="E40" s="16" t="n"/>
      <c r="F40" s="16" t="n"/>
      <c r="G40" s="16" t="n"/>
      <c r="H40" s="16" t="n"/>
    </row>
    <row r="41">
      <c r="A41" s="5" t="inlineStr">
        <is>
          <t>3.C.4 - Direct N2O Emissions from managed soils</t>
        </is>
      </c>
      <c r="B41" s="17">
        <f>+'Tabla de Emisiones y Remociones'!D68</f>
        <v/>
      </c>
      <c r="C41" s="16" t="n"/>
      <c r="D41" s="16" t="n"/>
      <c r="E41" s="16">
        <f>+B41</f>
        <v/>
      </c>
      <c r="F41" s="16" t="n"/>
      <c r="G41" s="16" t="n"/>
      <c r="H41" s="16" t="n"/>
    </row>
    <row r="42">
      <c r="A42" s="5" t="inlineStr">
        <is>
          <t>3.C.5 - Indirect N2O Emissions from managed soils</t>
        </is>
      </c>
      <c r="B42" s="17">
        <f>+'Tabla de Emisiones y Remociones'!D69</f>
        <v/>
      </c>
      <c r="C42" s="16" t="n"/>
      <c r="D42" s="16" t="n"/>
      <c r="E42" s="16">
        <f>+B42</f>
        <v/>
      </c>
      <c r="F42" s="16" t="n"/>
      <c r="G42" s="16" t="n"/>
      <c r="H42" s="16" t="n"/>
    </row>
    <row r="43">
      <c r="A43" s="5" t="inlineStr">
        <is>
          <t>3.C.6 - Indirect N2O Emissions from manure management</t>
        </is>
      </c>
      <c r="B43" s="17">
        <f>+'Tabla de Emisiones y Remociones'!D70</f>
        <v/>
      </c>
      <c r="C43" s="16" t="n"/>
      <c r="D43" s="16" t="n"/>
      <c r="E43" s="16">
        <f>+B43</f>
        <v/>
      </c>
      <c r="F43" s="16" t="n"/>
      <c r="G43" s="16" t="n"/>
      <c r="H43" s="16" t="n"/>
    </row>
    <row r="44">
      <c r="A44" s="10" t="inlineStr">
        <is>
          <t>4 - Waste</t>
        </is>
      </c>
      <c r="B44" s="29">
        <f>+'Tabla de Emisiones y Remociones'!D71</f>
        <v/>
      </c>
      <c r="C44" s="15" t="n"/>
      <c r="D44" s="15">
        <f>+SUM(D45:D46)</f>
        <v/>
      </c>
      <c r="E44" s="15">
        <f>+SUM(E45:E46)</f>
        <v/>
      </c>
      <c r="F44" s="15" t="n"/>
      <c r="G44" s="15" t="n"/>
      <c r="H44" s="15">
        <f>+SUM(C44:G44)</f>
        <v/>
      </c>
    </row>
    <row r="45">
      <c r="A45" s="4" t="inlineStr">
        <is>
          <t>4.A - Solid Waste Disposal</t>
        </is>
      </c>
      <c r="B45" s="17">
        <f>+'Tabla de Emisiones y Remociones'!D72</f>
        <v/>
      </c>
      <c r="C45" s="16" t="n"/>
      <c r="D45" s="16">
        <f>+B45</f>
        <v/>
      </c>
      <c r="E45" s="16" t="n"/>
      <c r="F45" s="16" t="n"/>
      <c r="G45" s="16" t="n"/>
      <c r="H45" s="16" t="n"/>
    </row>
    <row r="46">
      <c r="A46" s="4" t="inlineStr">
        <is>
          <t>4.D - Wastewater Treatment and Discharge</t>
        </is>
      </c>
      <c r="B46" s="17">
        <f>+'Tabla de Emisiones y Remociones'!D73</f>
        <v/>
      </c>
      <c r="C46" s="16" t="n"/>
      <c r="D46" s="16">
        <f>+B46*0.910430473</f>
        <v/>
      </c>
      <c r="E46" s="16">
        <f>+B46*0.089569527</f>
        <v/>
      </c>
      <c r="F46" s="16" t="n"/>
      <c r="G46" s="16" t="n"/>
      <c r="H46" s="16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tabSelected="1" zoomScale="150" workbookViewId="0">
      <selection activeCell="C16" sqref="C16"/>
    </sheetView>
  </sheetViews>
  <sheetFormatPr baseColWidth="10" defaultRowHeight="13"/>
  <cols>
    <col width="55.5" bestFit="1" customWidth="1" min="1" max="1"/>
  </cols>
  <sheetData>
    <row r="1">
      <c r="A1" s="3" t="inlineStr">
        <is>
          <t>Categories</t>
        </is>
      </c>
      <c r="B1" s="3" t="inlineStr">
        <is>
          <t>total</t>
        </is>
      </c>
      <c r="C1" s="3" t="inlineStr">
        <is>
          <t>co2</t>
        </is>
      </c>
      <c r="D1" s="3" t="inlineStr">
        <is>
          <t>ch4</t>
        </is>
      </c>
      <c r="E1" s="3" t="inlineStr">
        <is>
          <t>n2o</t>
        </is>
      </c>
      <c r="F1" s="3" t="inlineStr">
        <is>
          <t>hfcs</t>
        </is>
      </c>
      <c r="G1" s="3" t="inlineStr">
        <is>
          <t>pfcs</t>
        </is>
      </c>
    </row>
    <row r="2">
      <c r="A2" s="3" t="inlineStr">
        <is>
          <t>Total National Emissions and Removals</t>
        </is>
      </c>
      <c r="B2" s="17">
        <f>+'Tabla de Emisiones y Remociones'!E38</f>
        <v/>
      </c>
      <c r="C2" s="16">
        <f>+C3+C18+C31+C44</f>
        <v/>
      </c>
      <c r="D2" s="16">
        <f>+D3+D18+D31+D44</f>
        <v/>
      </c>
      <c r="E2" s="16">
        <f>+E3+E18+E31+E44</f>
        <v/>
      </c>
      <c r="F2" s="16">
        <f>+F3+F18+F31+F44</f>
        <v/>
      </c>
      <c r="G2" s="16">
        <f>+G3+G18+G31+G44</f>
        <v/>
      </c>
      <c r="H2" s="16">
        <f>+H3+H18+H31+H44</f>
        <v/>
      </c>
    </row>
    <row r="3">
      <c r="A3" s="11" t="inlineStr">
        <is>
          <t>1 - Energy</t>
        </is>
      </c>
      <c r="B3" s="18">
        <f>+'Tabla de Emisiones y Remociones'!E39</f>
        <v/>
      </c>
      <c r="C3" s="14">
        <f>+C4+C13</f>
        <v/>
      </c>
      <c r="D3" s="14">
        <f>+D4+D13</f>
        <v/>
      </c>
      <c r="E3" s="14">
        <f>+E4+E13</f>
        <v/>
      </c>
      <c r="F3" s="14" t="n"/>
      <c r="G3" s="14" t="n"/>
      <c r="H3" s="14">
        <f>+SUM(C3:G3)</f>
        <v/>
      </c>
    </row>
    <row r="4">
      <c r="A4" s="12" t="inlineStr">
        <is>
          <t>1.A - Fuel Combustion Activities</t>
        </is>
      </c>
      <c r="B4" s="19">
        <f>+'Tabla de Emisiones y Remociones'!E40</f>
        <v/>
      </c>
      <c r="C4" s="20">
        <f>+C5+C6+C7+C8+C11+C12</f>
        <v/>
      </c>
      <c r="D4" s="20">
        <f>+D5+D6+D7+D8+D11+D12</f>
        <v/>
      </c>
      <c r="E4" s="20">
        <f>+E5+E6+E7+E8+E11+E12</f>
        <v/>
      </c>
      <c r="F4" s="20" t="n"/>
      <c r="G4" s="20" t="n"/>
      <c r="H4" s="16" t="n"/>
    </row>
    <row r="5">
      <c r="A5" s="5" t="inlineStr">
        <is>
          <t>1.A.1 - Energy Industries</t>
        </is>
      </c>
      <c r="B5" s="17">
        <f>+'Tabla de Emisiones y Remociones'!E41</f>
        <v/>
      </c>
      <c r="C5" s="16">
        <f>+B5*0.997544526</f>
        <v/>
      </c>
      <c r="D5" s="16">
        <f>+B5*0.001565661</f>
        <v/>
      </c>
      <c r="E5" s="16">
        <f>+B5*0.000889813</f>
        <v/>
      </c>
      <c r="F5" s="16" t="n"/>
      <c r="G5" s="16" t="n"/>
      <c r="H5" s="16" t="n"/>
    </row>
    <row r="6">
      <c r="A6" s="5" t="inlineStr">
        <is>
          <t>1.A.1 - Electricity and Heat Generation</t>
        </is>
      </c>
      <c r="B6" s="17">
        <f>+B$5*0.7</f>
        <v/>
      </c>
      <c r="C6" s="17">
        <f>+C$5*0.7</f>
        <v/>
      </c>
      <c r="D6" s="17">
        <f>+D$5*0.7</f>
        <v/>
      </c>
      <c r="E6" s="17">
        <f>+E$5*0.7</f>
        <v/>
      </c>
      <c r="F6" s="16" t="n"/>
      <c r="G6" s="16" t="n"/>
      <c r="H6" s="16" t="n"/>
    </row>
    <row r="7">
      <c r="A7" s="5" t="inlineStr">
        <is>
          <t>1.A.1 - Fuel Production</t>
        </is>
      </c>
      <c r="B7" s="17">
        <f>+B$5*0.3</f>
        <v/>
      </c>
      <c r="C7" s="17">
        <f>+C$5*0.3</f>
        <v/>
      </c>
      <c r="D7" s="17">
        <f>+D$5*0.3</f>
        <v/>
      </c>
      <c r="E7" s="17">
        <f>+E$5*0.3</f>
        <v/>
      </c>
      <c r="F7" s="16" t="n"/>
      <c r="G7" s="16" t="n"/>
      <c r="H7" s="16" t="n"/>
    </row>
    <row r="8">
      <c r="A8" s="5" t="inlineStr">
        <is>
          <t>1.A.2 - Manufacturing Industries and Construction</t>
        </is>
      </c>
      <c r="B8" s="17">
        <f>+'Tabla de Emisiones y Remociones'!E42</f>
        <v/>
      </c>
      <c r="C8" s="16">
        <f>+B8*0.997804185</f>
        <v/>
      </c>
      <c r="D8" s="16">
        <f>+B8*0.000829605</f>
        <v/>
      </c>
      <c r="E8" s="16">
        <f>+B8*0.00136621</f>
        <v/>
      </c>
      <c r="F8" s="16" t="n"/>
      <c r="G8" s="16" t="n"/>
      <c r="H8" s="16" t="n"/>
    </row>
    <row r="9">
      <c r="A9" s="5" t="inlineStr">
        <is>
          <t>1.A.2.a - Iron and Steel</t>
        </is>
      </c>
      <c r="B9" s="17">
        <f>+B8*0.63</f>
        <v/>
      </c>
      <c r="C9" s="17">
        <f>+C8*0.63</f>
        <v/>
      </c>
      <c r="D9" s="17">
        <f>+D8*0.63</f>
        <v/>
      </c>
      <c r="E9" s="17">
        <f>+E8*0.63</f>
        <v/>
      </c>
      <c r="F9" s="16" t="n"/>
      <c r="G9" s="16" t="n"/>
      <c r="H9" s="16" t="n"/>
    </row>
    <row r="10">
      <c r="A10" s="5" t="inlineStr">
        <is>
          <t>1.A.2.f - Cement (Energy)</t>
        </is>
      </c>
      <c r="B10" s="17">
        <f>+B8*0.37</f>
        <v/>
      </c>
      <c r="C10" s="17">
        <f>+C8*0.37</f>
        <v/>
      </c>
      <c r="D10" s="17">
        <f>+D8*0.37</f>
        <v/>
      </c>
      <c r="E10" s="17">
        <f>+E8*0.37</f>
        <v/>
      </c>
      <c r="F10" s="16" t="n"/>
      <c r="G10" s="16" t="n"/>
      <c r="H10" s="16" t="n"/>
    </row>
    <row r="11">
      <c r="A11" s="5" t="inlineStr">
        <is>
          <t>1.A.3 - Transport</t>
        </is>
      </c>
      <c r="B11" s="17">
        <f>+'Tabla de Emisiones y Remociones'!E43</f>
        <v/>
      </c>
      <c r="C11" s="16">
        <f>+B11*0.980386029</f>
        <v/>
      </c>
      <c r="D11" s="16">
        <f>+B11*0.010583264</f>
        <v/>
      </c>
      <c r="E11" s="16">
        <f>+B11*0.009030706</f>
        <v/>
      </c>
      <c r="F11" s="16" t="n"/>
      <c r="G11" s="16" t="n"/>
      <c r="H11" s="16" t="n"/>
    </row>
    <row r="12">
      <c r="A12" s="5" t="inlineStr">
        <is>
          <t>1.A.4 - Other Sectors</t>
        </is>
      </c>
      <c r="B12" s="17">
        <f>+'Tabla de Emisiones y Remociones'!E44</f>
        <v/>
      </c>
      <c r="C12" s="16">
        <f>+B12*0.930398755</f>
        <v/>
      </c>
      <c r="D12" s="16">
        <f>+B12*0.062442227</f>
        <v/>
      </c>
      <c r="E12" s="16">
        <f>+B12*0.007159018</f>
        <v/>
      </c>
      <c r="F12" s="16" t="n"/>
      <c r="G12" s="16" t="n"/>
      <c r="H12" s="16" t="n"/>
    </row>
    <row r="13">
      <c r="A13" s="12" t="inlineStr">
        <is>
          <t>1.B - Fugitive emissions from fuels</t>
        </is>
      </c>
      <c r="B13" s="19">
        <f>+'Tabla de Emisiones y Remociones'!E45</f>
        <v/>
      </c>
      <c r="C13" s="20">
        <f>SUM(C14:C16)</f>
        <v/>
      </c>
      <c r="D13" s="20">
        <f>SUM(D14:D16)</f>
        <v/>
      </c>
      <c r="E13" s="20" t="n"/>
      <c r="F13" s="20" t="n"/>
      <c r="G13" s="20" t="n"/>
      <c r="H13" s="16" t="n"/>
    </row>
    <row r="14">
      <c r="A14" s="36" t="inlineStr">
        <is>
          <t>1.B - Fugitive emissions from fuels - Fugitive</t>
        </is>
      </c>
      <c r="B14" s="37">
        <f>B13*0.188</f>
        <v/>
      </c>
      <c r="C14" s="38">
        <f>B14*0.2</f>
        <v/>
      </c>
      <c r="D14" s="38">
        <f>B14*0.8</f>
        <v/>
      </c>
      <c r="E14" s="38" t="n"/>
      <c r="F14" s="38" t="n"/>
      <c r="G14" s="38" t="n"/>
      <c r="H14" s="16" t="n"/>
    </row>
    <row r="15">
      <c r="A15" s="36" t="inlineStr">
        <is>
          <t>1.B - Fugitive emissions from fuels - Venting</t>
        </is>
      </c>
      <c r="B15" s="37">
        <f>B13*0.58</f>
        <v/>
      </c>
      <c r="C15" s="38">
        <f>B15*0.3</f>
        <v/>
      </c>
      <c r="D15" s="38">
        <f>+B15*0.7</f>
        <v/>
      </c>
      <c r="E15" s="38" t="n"/>
      <c r="F15" s="38" t="n"/>
      <c r="G15" s="38" t="n"/>
      <c r="H15" s="16" t="n"/>
    </row>
    <row r="16">
      <c r="A16" s="36" t="inlineStr">
        <is>
          <t>1.B - Fugitive emissions from fuels - Flaring</t>
        </is>
      </c>
      <c r="B16" s="37">
        <f>B13*0.232</f>
        <v/>
      </c>
      <c r="C16" s="38">
        <f>B16*0.5</f>
        <v/>
      </c>
      <c r="D16" s="38">
        <f>B16*0.5</f>
        <v/>
      </c>
      <c r="E16" s="38" t="n"/>
      <c r="F16" s="38" t="n"/>
      <c r="G16" s="38" t="n"/>
      <c r="H16" s="16" t="n"/>
    </row>
    <row r="17">
      <c r="A17" s="2" t="inlineStr">
        <is>
          <t>1.C - Carbon dioxide Transport and Storage</t>
        </is>
      </c>
      <c r="B17" s="21">
        <f>+'Tabla de Emisiones y Remociones'!E46</f>
        <v/>
      </c>
      <c r="C17" s="21" t="n">
        <v>0</v>
      </c>
      <c r="D17" s="21" t="n">
        <v>0</v>
      </c>
      <c r="E17" s="21" t="n">
        <v>0</v>
      </c>
      <c r="F17" s="21" t="n">
        <v>0</v>
      </c>
      <c r="G17" s="21" t="n">
        <v>0</v>
      </c>
      <c r="H17" s="21" t="n">
        <v>0</v>
      </c>
    </row>
    <row r="18">
      <c r="A18" s="7" t="inlineStr">
        <is>
          <t>2 - Industrial Processes and Product Use</t>
        </is>
      </c>
      <c r="B18" s="22">
        <f>+'Tabla de Emisiones y Remociones'!E47</f>
        <v/>
      </c>
      <c r="C18" s="13">
        <f>+C19+C23+C26+C28+C29</f>
        <v/>
      </c>
      <c r="D18" s="13">
        <f>+D19+D23+D26+D28+D29</f>
        <v/>
      </c>
      <c r="E18" s="13">
        <f>+E19+E23+E26+E28+E29</f>
        <v/>
      </c>
      <c r="F18" s="13">
        <f>+F19+F23+F26+F28+F29</f>
        <v/>
      </c>
      <c r="G18" s="13" t="n"/>
      <c r="H18" s="13">
        <f>+SUM(C18:G18)</f>
        <v/>
      </c>
    </row>
    <row r="19">
      <c r="A19" s="6" t="inlineStr">
        <is>
          <t>2.A - Mineral Industry</t>
        </is>
      </c>
      <c r="B19" s="23">
        <f>+'Tabla de Emisiones y Remociones'!E48</f>
        <v/>
      </c>
      <c r="C19" s="24">
        <f>+C20+C21</f>
        <v/>
      </c>
      <c r="D19" s="24" t="n"/>
      <c r="E19" s="24" t="n"/>
      <c r="F19" s="24" t="n"/>
      <c r="G19" s="24" t="n"/>
      <c r="H19" s="16" t="n"/>
    </row>
    <row r="20">
      <c r="A20" s="5" t="inlineStr">
        <is>
          <t>2.A.1 - Cement production</t>
        </is>
      </c>
      <c r="B20" s="17">
        <f>+'Tabla de Emisiones y Remociones'!E49</f>
        <v/>
      </c>
      <c r="C20" s="16">
        <f>+B20*1</f>
        <v/>
      </c>
      <c r="D20" s="16" t="n"/>
      <c r="E20" s="16" t="n"/>
      <c r="F20" s="16" t="n"/>
      <c r="G20" s="16" t="n"/>
      <c r="H20" s="16" t="n"/>
    </row>
    <row r="21">
      <c r="A21" s="5" t="inlineStr">
        <is>
          <t>2.A.2 - Lime production</t>
        </is>
      </c>
      <c r="B21" s="17">
        <f>+'Tabla de Emisiones y Remociones'!E50</f>
        <v/>
      </c>
      <c r="C21" s="16">
        <f>+B21*1</f>
        <v/>
      </c>
      <c r="D21" s="16" t="n"/>
      <c r="E21" s="16" t="n"/>
      <c r="F21" s="16" t="n"/>
      <c r="G21" s="16" t="n"/>
      <c r="H21" s="16" t="n"/>
    </row>
    <row r="22">
      <c r="A22" s="5" t="inlineStr">
        <is>
          <t>2.A.3 - Glass production</t>
        </is>
      </c>
      <c r="B22" s="17" t="n">
        <v>0</v>
      </c>
      <c r="C22" s="16" t="n">
        <v>0</v>
      </c>
      <c r="D22" s="16" t="n"/>
      <c r="E22" s="16" t="n"/>
      <c r="F22" s="16" t="n"/>
      <c r="G22" s="16" t="n"/>
      <c r="H22" s="16" t="n"/>
    </row>
    <row r="23">
      <c r="A23" s="6" t="inlineStr">
        <is>
          <t>2.B - Chemical Industry</t>
        </is>
      </c>
      <c r="B23" s="23">
        <f>+'Tabla de Emisiones y Remociones'!E51</f>
        <v/>
      </c>
      <c r="C23" s="24">
        <f>+B23*0.35429321</f>
        <v/>
      </c>
      <c r="D23" s="24">
        <f>+B23*0.000491157</f>
        <v/>
      </c>
      <c r="E23" s="24">
        <f>+B23*0.051078759</f>
        <v/>
      </c>
      <c r="F23" s="24">
        <f>+B23*0.594136874</f>
        <v/>
      </c>
      <c r="G23" s="24" t="n"/>
      <c r="H23" s="16" t="n"/>
    </row>
    <row r="24">
      <c r="A24" s="5" t="inlineStr">
        <is>
          <t>2.B.1 - Ammonia Production</t>
        </is>
      </c>
      <c r="B24" s="17">
        <f>+'Tabla de Emisiones y Remociones'!E52</f>
        <v/>
      </c>
      <c r="C24" s="16">
        <f>+B24*0.35429321</f>
        <v/>
      </c>
      <c r="D24" s="16">
        <f>+B24*0.000491157</f>
        <v/>
      </c>
      <c r="E24" s="16">
        <f>+B24*0.051078759</f>
        <v/>
      </c>
      <c r="F24" s="16">
        <f>+B24*0.594136874</f>
        <v/>
      </c>
      <c r="G24" s="16" t="n"/>
      <c r="H24" s="16" t="n"/>
    </row>
    <row r="25">
      <c r="A25" s="5" t="inlineStr">
        <is>
          <t>2.B.8 - Petrochemical and Carbon Black Production</t>
        </is>
      </c>
      <c r="B25" s="17">
        <f>+'Tabla de Emisiones y Remociones'!E53</f>
        <v/>
      </c>
      <c r="C25" s="16">
        <f>+B25*0.35429321</f>
        <v/>
      </c>
      <c r="D25" s="16">
        <f>+B25*0.000491157</f>
        <v/>
      </c>
      <c r="E25" s="16">
        <f>+B25*0.051078759</f>
        <v/>
      </c>
      <c r="F25" s="16">
        <f>+B25*0.594136874</f>
        <v/>
      </c>
      <c r="G25" s="16" t="n"/>
      <c r="H25" s="16" t="n"/>
    </row>
    <row r="26">
      <c r="A26" s="6" t="inlineStr">
        <is>
          <t>2.C - Metal Industry</t>
        </is>
      </c>
      <c r="B26" s="23">
        <f>+'Tabla de Emisiones y Remociones'!E54</f>
        <v/>
      </c>
      <c r="C26" s="24">
        <f>+C27</f>
        <v/>
      </c>
      <c r="D26" s="24">
        <f>+D27</f>
        <v/>
      </c>
      <c r="E26" s="24" t="n"/>
      <c r="F26" s="24" t="n"/>
      <c r="G26" s="24" t="n"/>
      <c r="H26" s="16" t="n"/>
    </row>
    <row r="27">
      <c r="A27" s="5" t="inlineStr">
        <is>
          <t>2.C.1 - Iron and Steel Production</t>
        </is>
      </c>
      <c r="B27" s="17">
        <f>+'Tabla de Emisiones y Remociones'!E55</f>
        <v/>
      </c>
      <c r="C27" s="16">
        <f>+B27*0.98</f>
        <v/>
      </c>
      <c r="D27" s="16">
        <f>+B27*0.02</f>
        <v/>
      </c>
      <c r="E27" s="16" t="n"/>
      <c r="F27" s="16" t="n"/>
      <c r="G27" s="16" t="n"/>
      <c r="H27" s="16" t="n"/>
    </row>
    <row r="28">
      <c r="A28" s="6" t="inlineStr">
        <is>
          <t>2.D - Non-Energy Products from Fuels and Solvent Use</t>
        </is>
      </c>
      <c r="B28" s="23">
        <f>+'Tabla de Emisiones y Remociones'!E56</f>
        <v/>
      </c>
      <c r="C28" s="24">
        <f>+B28</f>
        <v/>
      </c>
      <c r="D28" s="24" t="n"/>
      <c r="E28" s="24" t="n"/>
      <c r="F28" s="24" t="n"/>
      <c r="G28" s="24" t="n"/>
      <c r="H28" s="16" t="n"/>
    </row>
    <row r="29">
      <c r="A29" s="6" t="inlineStr">
        <is>
          <t>2.F - Product Uses as Substitutes for Ozone Depleting Substances</t>
        </is>
      </c>
      <c r="B29" s="23">
        <f>+'Tabla de Emisiones y Remociones'!E57</f>
        <v/>
      </c>
      <c r="C29" s="24" t="n"/>
      <c r="D29" s="24" t="n"/>
      <c r="E29" s="24" t="n"/>
      <c r="F29" s="24">
        <f>+F30</f>
        <v/>
      </c>
      <c r="G29" s="24">
        <f>+G30</f>
        <v/>
      </c>
      <c r="H29" s="16" t="n"/>
    </row>
    <row r="30">
      <c r="A30" s="5" t="inlineStr">
        <is>
          <t>2.F.1 - Refrigeration and Air Conditioning</t>
        </is>
      </c>
      <c r="B30" s="17">
        <f>+'Tabla de Emisiones y Remociones'!E58</f>
        <v/>
      </c>
      <c r="C30" s="16" t="n"/>
      <c r="D30" s="16" t="n"/>
      <c r="E30" s="16" t="n"/>
      <c r="F30" s="17">
        <f>+B30/2</f>
        <v/>
      </c>
      <c r="G30" s="16">
        <f>+B30/2</f>
        <v/>
      </c>
      <c r="H30" s="16" t="n"/>
    </row>
    <row r="31">
      <c r="A31" s="8" t="inlineStr">
        <is>
          <t>3 - Agriculture, Forestry, and Other Land Use</t>
        </is>
      </c>
      <c r="B31" s="25">
        <f>+'Tabla de Emisiones y Remociones'!E59</f>
        <v/>
      </c>
      <c r="C31" s="26">
        <f>+SUM(C32+C37)</f>
        <v/>
      </c>
      <c r="D31" s="26">
        <f>+SUM(D32+D37)</f>
        <v/>
      </c>
      <c r="E31" s="26">
        <f>+SUM(E32+E37)</f>
        <v/>
      </c>
      <c r="F31" s="26" t="n"/>
      <c r="G31" s="26" t="n"/>
      <c r="H31" s="26">
        <f>+SUM(C31:G31)</f>
        <v/>
      </c>
    </row>
    <row r="32">
      <c r="A32" s="9" t="inlineStr">
        <is>
          <t>3.A - Livestock</t>
        </is>
      </c>
      <c r="B32" s="27">
        <f>+'Tabla de Emisiones y Remociones'!E60</f>
        <v/>
      </c>
      <c r="C32" s="28" t="n"/>
      <c r="D32" s="28">
        <f>+D33+D34</f>
        <v/>
      </c>
      <c r="E32" s="28">
        <f>+E33+E34</f>
        <v/>
      </c>
      <c r="F32" s="28" t="n"/>
      <c r="G32" s="28" t="n"/>
      <c r="H32" s="16" t="n"/>
    </row>
    <row r="33">
      <c r="A33" s="5" t="inlineStr">
        <is>
          <t>3.A.1 - Enteric Fermentation</t>
        </is>
      </c>
      <c r="B33" s="17">
        <f>+'Tabla de Emisiones y Remociones'!E61</f>
        <v/>
      </c>
      <c r="C33" s="16" t="n"/>
      <c r="D33" s="16">
        <f>+B33*0.996032041</f>
        <v/>
      </c>
      <c r="E33" s="16">
        <f>+B33*0.003967959</f>
        <v/>
      </c>
      <c r="F33" s="16" t="n"/>
      <c r="G33" s="16" t="n"/>
      <c r="H33" s="16" t="n"/>
    </row>
    <row r="34">
      <c r="A34" s="5" t="inlineStr">
        <is>
          <t>3.A.2 - Manure Management</t>
        </is>
      </c>
      <c r="B34" s="17">
        <f>+'Tabla de Emisiones y Remociones'!E62</f>
        <v/>
      </c>
      <c r="C34" s="16" t="n"/>
      <c r="D34" s="16">
        <f>+B34</f>
        <v/>
      </c>
      <c r="E34" s="16" t="n"/>
      <c r="F34" s="16" t="n"/>
      <c r="G34" s="16" t="n"/>
      <c r="H34" s="16" t="n"/>
    </row>
    <row r="35">
      <c r="A35" s="9" t="inlineStr">
        <is>
          <t>3.B - Land</t>
        </is>
      </c>
      <c r="B35" s="27">
        <f>+B36</f>
        <v/>
      </c>
      <c r="C35" s="27">
        <f>+C36</f>
        <v/>
      </c>
      <c r="D35" s="28" t="n"/>
      <c r="E35" s="28" t="n"/>
      <c r="F35" s="28" t="n"/>
      <c r="G35" s="28" t="n"/>
      <c r="H35" s="16" t="n"/>
    </row>
    <row r="36">
      <c r="A36" s="5" t="inlineStr">
        <is>
          <t>3.B.1 - Forest land</t>
        </is>
      </c>
      <c r="B36" s="17">
        <f>+'Tabla de Emisiones y Remociones'!E63</f>
        <v/>
      </c>
      <c r="C36" s="17">
        <f>+B36</f>
        <v/>
      </c>
      <c r="D36" s="16" t="n"/>
      <c r="E36" s="16" t="n"/>
      <c r="F36" s="16" t="n"/>
      <c r="G36" s="16" t="n"/>
      <c r="H36" s="16" t="n"/>
    </row>
    <row r="37">
      <c r="A37" s="9" t="inlineStr">
        <is>
          <t>3.C - Aggregate sources and non-CO2 emissions sources on land</t>
        </is>
      </c>
      <c r="B37" s="27">
        <f>+'Tabla de Emisiones y Remociones'!E64</f>
        <v/>
      </c>
      <c r="C37" s="28">
        <f>+SUM(C38:C43)</f>
        <v/>
      </c>
      <c r="D37" s="28">
        <f>+SUM(D38:D43)</f>
        <v/>
      </c>
      <c r="E37" s="28">
        <f>+SUM(E38:E43)</f>
        <v/>
      </c>
      <c r="F37" s="28" t="n"/>
      <c r="G37" s="28" t="n"/>
      <c r="H37" s="16" t="n"/>
    </row>
    <row r="38">
      <c r="A38" s="5" t="inlineStr">
        <is>
          <t>3.C.1 - Burning</t>
        </is>
      </c>
      <c r="B38" s="17">
        <f>+'Tabla de Emisiones y Remociones'!E65</f>
        <v/>
      </c>
      <c r="C38" s="16" t="n"/>
      <c r="D38" s="16">
        <f>+B38*0.996032041</f>
        <v/>
      </c>
      <c r="E38" s="16">
        <f>+B38*0.003967959</f>
        <v/>
      </c>
      <c r="F38" s="16" t="n"/>
      <c r="G38" s="16" t="n"/>
      <c r="H38" s="16" t="n"/>
    </row>
    <row r="39">
      <c r="A39" s="5" t="inlineStr">
        <is>
          <t>3.C.2 - Liming</t>
        </is>
      </c>
      <c r="B39" s="17">
        <f>+'Tabla de Emisiones y Remociones'!E66</f>
        <v/>
      </c>
      <c r="C39" s="16" t="n">
        <v>0</v>
      </c>
      <c r="D39" s="16" t="n">
        <v>0</v>
      </c>
      <c r="E39" s="16" t="n">
        <v>0</v>
      </c>
      <c r="F39" s="16" t="n"/>
      <c r="G39" s="16" t="n"/>
      <c r="H39" s="16" t="n"/>
    </row>
    <row r="40">
      <c r="A40" s="5" t="inlineStr">
        <is>
          <t>3.C.3 - Urea application</t>
        </is>
      </c>
      <c r="B40" s="17">
        <f>+'Tabla de Emisiones y Remociones'!E67</f>
        <v/>
      </c>
      <c r="C40" s="16">
        <f>+B40</f>
        <v/>
      </c>
      <c r="D40" s="16" t="n"/>
      <c r="E40" s="16" t="n"/>
      <c r="F40" s="16" t="n"/>
      <c r="G40" s="16" t="n"/>
      <c r="H40" s="16" t="n"/>
    </row>
    <row r="41">
      <c r="A41" s="5" t="inlineStr">
        <is>
          <t>3.C.4 - Direct N2O Emissions from managed soils</t>
        </is>
      </c>
      <c r="B41" s="17">
        <f>+'Tabla de Emisiones y Remociones'!E68</f>
        <v/>
      </c>
      <c r="C41" s="16" t="n"/>
      <c r="D41" s="16" t="n"/>
      <c r="E41" s="16">
        <f>+B41</f>
        <v/>
      </c>
      <c r="F41" s="16" t="n"/>
      <c r="G41" s="16" t="n"/>
      <c r="H41" s="16" t="n"/>
    </row>
    <row r="42">
      <c r="A42" s="5" t="inlineStr">
        <is>
          <t>3.C.5 - Indirect N2O Emissions from managed soils</t>
        </is>
      </c>
      <c r="B42" s="17">
        <f>+'Tabla de Emisiones y Remociones'!E69</f>
        <v/>
      </c>
      <c r="C42" s="16" t="n"/>
      <c r="D42" s="16" t="n"/>
      <c r="E42" s="16">
        <f>+B42</f>
        <v/>
      </c>
      <c r="F42" s="16" t="n"/>
      <c r="G42" s="16" t="n"/>
      <c r="H42" s="16" t="n"/>
    </row>
    <row r="43">
      <c r="A43" s="5" t="inlineStr">
        <is>
          <t>3.C.6 - Indirect N2O Emissions from manure management</t>
        </is>
      </c>
      <c r="B43" s="17">
        <f>+'Tabla de Emisiones y Remociones'!E70</f>
        <v/>
      </c>
      <c r="C43" s="16" t="n"/>
      <c r="D43" s="16" t="n"/>
      <c r="E43" s="16">
        <f>+B43</f>
        <v/>
      </c>
      <c r="F43" s="16" t="n"/>
      <c r="G43" s="16" t="n"/>
      <c r="H43" s="16" t="n"/>
    </row>
    <row r="44">
      <c r="A44" s="10" t="inlineStr">
        <is>
          <t>4 - Waste</t>
        </is>
      </c>
      <c r="B44" s="29">
        <f>+'Tabla de Emisiones y Remociones'!E71</f>
        <v/>
      </c>
      <c r="C44" s="15" t="n"/>
      <c r="D44" s="15">
        <f>+SUM(D45:D46)</f>
        <v/>
      </c>
      <c r="E44" s="15">
        <f>+SUM(E45:E46)</f>
        <v/>
      </c>
      <c r="F44" s="15" t="n"/>
      <c r="G44" s="15" t="n"/>
      <c r="H44" s="15">
        <f>+SUM(C44:G44)</f>
        <v/>
      </c>
    </row>
    <row r="45">
      <c r="A45" s="4" t="inlineStr">
        <is>
          <t>4.A - Solid Waste Disposal</t>
        </is>
      </c>
      <c r="B45" s="17">
        <f>+'Tabla de Emisiones y Remociones'!E72</f>
        <v/>
      </c>
      <c r="C45" s="16" t="n"/>
      <c r="D45" s="16">
        <f>+B45</f>
        <v/>
      </c>
      <c r="E45" s="16" t="n"/>
      <c r="F45" s="16" t="n"/>
      <c r="G45" s="16" t="n"/>
      <c r="H45" s="16" t="n"/>
    </row>
    <row r="46">
      <c r="A46" s="4" t="inlineStr">
        <is>
          <t>4.D - Wastewater Treatment and Discharge</t>
        </is>
      </c>
      <c r="B46" s="17">
        <f>+'Tabla de Emisiones y Remociones'!E73</f>
        <v/>
      </c>
      <c r="C46" s="16" t="n"/>
      <c r="D46" s="16">
        <f>+B46*0.910430473</f>
        <v/>
      </c>
      <c r="E46" s="16">
        <f>+B46*0.089569527</f>
        <v/>
      </c>
      <c r="F46" s="16" t="n"/>
      <c r="G46" s="16" t="n"/>
      <c r="H46" s="16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tabSelected="1" zoomScale="150" workbookViewId="0">
      <selection activeCell="C16" sqref="C16"/>
    </sheetView>
  </sheetViews>
  <sheetFormatPr baseColWidth="10" defaultRowHeight="13"/>
  <cols>
    <col width="55.5" bestFit="1" customWidth="1" min="1" max="1"/>
  </cols>
  <sheetData>
    <row r="1">
      <c r="A1" s="3" t="inlineStr">
        <is>
          <t>Categories</t>
        </is>
      </c>
      <c r="B1" s="3" t="inlineStr">
        <is>
          <t>total</t>
        </is>
      </c>
      <c r="C1" s="3" t="inlineStr">
        <is>
          <t>co2</t>
        </is>
      </c>
      <c r="D1" s="3" t="inlineStr">
        <is>
          <t>ch4</t>
        </is>
      </c>
      <c r="E1" s="3" t="inlineStr">
        <is>
          <t>n2o</t>
        </is>
      </c>
      <c r="F1" s="3" t="inlineStr">
        <is>
          <t>hfcs</t>
        </is>
      </c>
      <c r="G1" s="3" t="inlineStr">
        <is>
          <t>pfcs</t>
        </is>
      </c>
    </row>
    <row r="2">
      <c r="A2" s="3" t="inlineStr">
        <is>
          <t>Total National Emissions and Removals</t>
        </is>
      </c>
      <c r="B2" s="17">
        <f>+'Tabla de Emisiones y Remociones'!F38</f>
        <v/>
      </c>
      <c r="C2" s="16">
        <f>+C3+C18+C31+C44</f>
        <v/>
      </c>
      <c r="D2" s="16">
        <f>+D3+D18+D31+D44</f>
        <v/>
      </c>
      <c r="E2" s="16">
        <f>+E3+E18+E31+E44</f>
        <v/>
      </c>
      <c r="F2" s="16">
        <f>+F3+F18+F31+F44</f>
        <v/>
      </c>
      <c r="G2" s="16">
        <f>+G3+G18+G31+G44</f>
        <v/>
      </c>
      <c r="H2" s="16">
        <f>+H3+H18+H31+H44</f>
        <v/>
      </c>
    </row>
    <row r="3">
      <c r="A3" s="11" t="inlineStr">
        <is>
          <t>1 - Energy</t>
        </is>
      </c>
      <c r="B3" s="18">
        <f>+'Tabla de Emisiones y Remociones'!F39</f>
        <v/>
      </c>
      <c r="C3" s="14">
        <f>+C4+C13</f>
        <v/>
      </c>
      <c r="D3" s="14">
        <f>+D4+D13</f>
        <v/>
      </c>
      <c r="E3" s="14">
        <f>+E4+E13</f>
        <v/>
      </c>
      <c r="F3" s="14" t="n"/>
      <c r="G3" s="14" t="n"/>
      <c r="H3" s="14">
        <f>+SUM(C3:G3)</f>
        <v/>
      </c>
    </row>
    <row r="4">
      <c r="A4" s="12" t="inlineStr">
        <is>
          <t>1.A - Fuel Combustion Activities</t>
        </is>
      </c>
      <c r="B4" s="19">
        <f>+'Tabla de Emisiones y Remociones'!F40</f>
        <v/>
      </c>
      <c r="C4" s="20">
        <f>+C5+C6+C7+C8+C11+C12</f>
        <v/>
      </c>
      <c r="D4" s="20">
        <f>+D5+D6+D7+D8+D11+D12</f>
        <v/>
      </c>
      <c r="E4" s="20">
        <f>+E5+E6+E7+E8+E11+E12</f>
        <v/>
      </c>
      <c r="F4" s="20" t="n"/>
      <c r="G4" s="20" t="n"/>
      <c r="H4" s="16" t="n"/>
    </row>
    <row r="5">
      <c r="A5" s="5" t="inlineStr">
        <is>
          <t>1.A.1 - Energy Industries</t>
        </is>
      </c>
      <c r="B5" s="17">
        <f>+'Tabla de Emisiones y Remociones'!F41</f>
        <v/>
      </c>
      <c r="C5" s="16">
        <f>+B5*0.997544526</f>
        <v/>
      </c>
      <c r="D5" s="16">
        <f>+B5*0.001565661</f>
        <v/>
      </c>
      <c r="E5" s="16">
        <f>+B5*0.000889813</f>
        <v/>
      </c>
      <c r="F5" s="16" t="n"/>
      <c r="G5" s="16" t="n"/>
      <c r="H5" s="16" t="n"/>
    </row>
    <row r="6">
      <c r="A6" s="5" t="inlineStr">
        <is>
          <t>1.A.1 - Electricity and Heat Generation</t>
        </is>
      </c>
      <c r="B6" s="17">
        <f>+B$5*0.7</f>
        <v/>
      </c>
      <c r="C6" s="17">
        <f>+C$5*0.7</f>
        <v/>
      </c>
      <c r="D6" s="17">
        <f>+D$5*0.7</f>
        <v/>
      </c>
      <c r="E6" s="17">
        <f>+E$5*0.7</f>
        <v/>
      </c>
      <c r="F6" s="16" t="n"/>
      <c r="G6" s="16" t="n"/>
      <c r="H6" s="16" t="n"/>
    </row>
    <row r="7">
      <c r="A7" s="5" t="inlineStr">
        <is>
          <t>1.A.1 - Fuel Production</t>
        </is>
      </c>
      <c r="B7" s="17">
        <f>+B$5*0.3</f>
        <v/>
      </c>
      <c r="C7" s="17">
        <f>+C$5*0.3</f>
        <v/>
      </c>
      <c r="D7" s="17">
        <f>+D$5*0.3</f>
        <v/>
      </c>
      <c r="E7" s="17">
        <f>+E$5*0.3</f>
        <v/>
      </c>
      <c r="F7" s="16" t="n"/>
      <c r="G7" s="16" t="n"/>
      <c r="H7" s="16" t="n"/>
    </row>
    <row r="8">
      <c r="A8" s="5" t="inlineStr">
        <is>
          <t>1.A.2 - Manufacturing Industries and Construction</t>
        </is>
      </c>
      <c r="B8" s="17">
        <f>+'Tabla de Emisiones y Remociones'!F42</f>
        <v/>
      </c>
      <c r="C8" s="16">
        <f>+B8*0.997804185</f>
        <v/>
      </c>
      <c r="D8" s="16">
        <f>+B8*0.000829605</f>
        <v/>
      </c>
      <c r="E8" s="16">
        <f>+B8*0.00136621</f>
        <v/>
      </c>
      <c r="F8" s="16" t="n"/>
      <c r="G8" s="16" t="n"/>
      <c r="H8" s="16" t="n"/>
    </row>
    <row r="9">
      <c r="A9" s="5" t="inlineStr">
        <is>
          <t>1.A.2.a - Iron and Steel</t>
        </is>
      </c>
      <c r="B9" s="17">
        <f>+B8*0.63</f>
        <v/>
      </c>
      <c r="C9" s="17">
        <f>+C8*0.63</f>
        <v/>
      </c>
      <c r="D9" s="17">
        <f>+D8*0.63</f>
        <v/>
      </c>
      <c r="E9" s="17">
        <f>+E8*0.63</f>
        <v/>
      </c>
      <c r="F9" s="16" t="n"/>
      <c r="G9" s="16" t="n"/>
      <c r="H9" s="16" t="n"/>
    </row>
    <row r="10">
      <c r="A10" s="5" t="inlineStr">
        <is>
          <t>1.A.2.f - Cement (Energy)</t>
        </is>
      </c>
      <c r="B10" s="17">
        <f>+B8*0.37</f>
        <v/>
      </c>
      <c r="C10" s="17">
        <f>+C8*0.37</f>
        <v/>
      </c>
      <c r="D10" s="17">
        <f>+D8*0.37</f>
        <v/>
      </c>
      <c r="E10" s="17">
        <f>+E8*0.37</f>
        <v/>
      </c>
      <c r="F10" s="16" t="n"/>
      <c r="G10" s="16" t="n"/>
      <c r="H10" s="16" t="n"/>
    </row>
    <row r="11">
      <c r="A11" s="5" t="inlineStr">
        <is>
          <t>1.A.3 - Transport</t>
        </is>
      </c>
      <c r="B11" s="17">
        <f>+'Tabla de Emisiones y Remociones'!F43</f>
        <v/>
      </c>
      <c r="C11" s="16">
        <f>+B11*0.980386029</f>
        <v/>
      </c>
      <c r="D11" s="16">
        <f>+B11*0.010583264</f>
        <v/>
      </c>
      <c r="E11" s="16">
        <f>+B11*0.009030706</f>
        <v/>
      </c>
      <c r="F11" s="16" t="n"/>
      <c r="G11" s="16" t="n"/>
      <c r="H11" s="16" t="n"/>
    </row>
    <row r="12">
      <c r="A12" s="5" t="inlineStr">
        <is>
          <t>1.A.4 - Other Sectors</t>
        </is>
      </c>
      <c r="B12" s="17">
        <f>+'Tabla de Emisiones y Remociones'!F44</f>
        <v/>
      </c>
      <c r="C12" s="16">
        <f>+B12*0.930398755</f>
        <v/>
      </c>
      <c r="D12" s="16">
        <f>+B12*0.062442227</f>
        <v/>
      </c>
      <c r="E12" s="16">
        <f>+B12*0.007159018</f>
        <v/>
      </c>
      <c r="F12" s="16" t="n"/>
      <c r="G12" s="16" t="n"/>
      <c r="H12" s="16" t="n"/>
    </row>
    <row r="13">
      <c r="A13" s="12" t="inlineStr">
        <is>
          <t>1.B - Fugitive emissions from fuels</t>
        </is>
      </c>
      <c r="B13" s="19">
        <f>+'Tabla de Emisiones y Remociones'!F45</f>
        <v/>
      </c>
      <c r="C13" s="20">
        <f>SUM(C14:C16)</f>
        <v/>
      </c>
      <c r="D13" s="20">
        <f>SUM(D14:D16)</f>
        <v/>
      </c>
      <c r="E13" s="20" t="n"/>
      <c r="F13" s="20" t="n"/>
      <c r="G13" s="20" t="n"/>
      <c r="H13" s="16" t="n"/>
    </row>
    <row r="14">
      <c r="A14" s="36" t="inlineStr">
        <is>
          <t>1.B - Fugitive emissions from fuels - Fugitive</t>
        </is>
      </c>
      <c r="B14" s="37">
        <f>B13*0.188</f>
        <v/>
      </c>
      <c r="C14" s="38">
        <f>B14*0.2</f>
        <v/>
      </c>
      <c r="D14" s="38">
        <f>B14*0.8</f>
        <v/>
      </c>
      <c r="E14" s="38" t="n"/>
      <c r="F14" s="38" t="n"/>
      <c r="G14" s="38" t="n"/>
      <c r="H14" s="16" t="n"/>
    </row>
    <row r="15">
      <c r="A15" s="36" t="inlineStr">
        <is>
          <t>1.B - Fugitive emissions from fuels - Venting</t>
        </is>
      </c>
      <c r="B15" s="37">
        <f>B13*0.58</f>
        <v/>
      </c>
      <c r="C15" s="38">
        <f>B15*0.3</f>
        <v/>
      </c>
      <c r="D15" s="38">
        <f>+B15*0.7</f>
        <v/>
      </c>
      <c r="E15" s="38" t="n"/>
      <c r="F15" s="38" t="n"/>
      <c r="G15" s="38" t="n"/>
      <c r="H15" s="16" t="n"/>
    </row>
    <row r="16">
      <c r="A16" s="36" t="inlineStr">
        <is>
          <t>1.B - Fugitive emissions from fuels - Flaring</t>
        </is>
      </c>
      <c r="B16" s="37">
        <f>B13*0.232</f>
        <v/>
      </c>
      <c r="C16" s="38">
        <f>B16*0.5</f>
        <v/>
      </c>
      <c r="D16" s="38">
        <f>B16*0.5</f>
        <v/>
      </c>
      <c r="E16" s="38" t="n"/>
      <c r="F16" s="38" t="n"/>
      <c r="G16" s="38" t="n"/>
      <c r="H16" s="16" t="n"/>
    </row>
    <row r="17">
      <c r="A17" s="2" t="inlineStr">
        <is>
          <t>1.C - Carbon dioxide Transport and Storage</t>
        </is>
      </c>
      <c r="B17" s="21">
        <f>+'Tabla de Emisiones y Remociones'!F46</f>
        <v/>
      </c>
      <c r="C17" s="21" t="n">
        <v>0</v>
      </c>
      <c r="D17" s="21" t="n">
        <v>0</v>
      </c>
      <c r="E17" s="21" t="n">
        <v>0</v>
      </c>
      <c r="F17" s="21" t="n">
        <v>0</v>
      </c>
      <c r="G17" s="21" t="n">
        <v>0</v>
      </c>
      <c r="H17" s="21" t="n">
        <v>0</v>
      </c>
    </row>
    <row r="18">
      <c r="A18" s="7" t="inlineStr">
        <is>
          <t>2 - Industrial Processes and Product Use</t>
        </is>
      </c>
      <c r="B18" s="22">
        <f>+'Tabla de Emisiones y Remociones'!F47</f>
        <v/>
      </c>
      <c r="C18" s="13">
        <f>+C19+C23+C26+C28+C29</f>
        <v/>
      </c>
      <c r="D18" s="13">
        <f>+D19+D23+D26+D28+D29</f>
        <v/>
      </c>
      <c r="E18" s="13">
        <f>+E19+E23+E26+E28+E29</f>
        <v/>
      </c>
      <c r="F18" s="13">
        <f>+F19+F23+F26+F28+F29</f>
        <v/>
      </c>
      <c r="G18" s="13" t="n"/>
      <c r="H18" s="13">
        <f>+SUM(C18:G18)</f>
        <v/>
      </c>
    </row>
    <row r="19">
      <c r="A19" s="6" t="inlineStr">
        <is>
          <t>2.A - Mineral Industry</t>
        </is>
      </c>
      <c r="B19" s="23">
        <f>+'Tabla de Emisiones y Remociones'!F48</f>
        <v/>
      </c>
      <c r="C19" s="24">
        <f>+C20+C21</f>
        <v/>
      </c>
      <c r="D19" s="24" t="n"/>
      <c r="E19" s="24" t="n"/>
      <c r="F19" s="24" t="n"/>
      <c r="G19" s="24" t="n"/>
      <c r="H19" s="16" t="n"/>
    </row>
    <row r="20">
      <c r="A20" s="5" t="inlineStr">
        <is>
          <t>2.A.1 - Cement production</t>
        </is>
      </c>
      <c r="B20" s="17">
        <f>+'Tabla de Emisiones y Remociones'!F49</f>
        <v/>
      </c>
      <c r="C20" s="16">
        <f>+B20*1</f>
        <v/>
      </c>
      <c r="D20" s="16" t="n"/>
      <c r="E20" s="16" t="n"/>
      <c r="F20" s="16" t="n"/>
      <c r="G20" s="16" t="n"/>
      <c r="H20" s="16" t="n"/>
    </row>
    <row r="21">
      <c r="A21" s="5" t="inlineStr">
        <is>
          <t>2.A.2 - Lime production</t>
        </is>
      </c>
      <c r="B21" s="17">
        <f>+'Tabla de Emisiones y Remociones'!F50</f>
        <v/>
      </c>
      <c r="C21" s="16">
        <f>+B21*1</f>
        <v/>
      </c>
      <c r="D21" s="16" t="n"/>
      <c r="E21" s="16" t="n"/>
      <c r="F21" s="16" t="n"/>
      <c r="G21" s="16" t="n"/>
      <c r="H21" s="16" t="n"/>
    </row>
    <row r="22">
      <c r="A22" s="5" t="inlineStr">
        <is>
          <t>2.A.3 - Glass production</t>
        </is>
      </c>
      <c r="B22" s="17" t="n">
        <v>0</v>
      </c>
      <c r="C22" s="16" t="n">
        <v>0</v>
      </c>
      <c r="D22" s="16" t="n"/>
      <c r="E22" s="16" t="n"/>
      <c r="F22" s="16" t="n"/>
      <c r="G22" s="16" t="n"/>
      <c r="H22" s="16" t="n"/>
    </row>
    <row r="23">
      <c r="A23" s="6" t="inlineStr">
        <is>
          <t>2.B - Chemical Industry</t>
        </is>
      </c>
      <c r="B23" s="23">
        <f>+'Tabla de Emisiones y Remociones'!F51</f>
        <v/>
      </c>
      <c r="C23" s="24">
        <f>+B23*0.35429321</f>
        <v/>
      </c>
      <c r="D23" s="24">
        <f>+B23*0.000491157</f>
        <v/>
      </c>
      <c r="E23" s="24">
        <f>+B23*0.051078759</f>
        <v/>
      </c>
      <c r="F23" s="24">
        <f>+B23*0.594136874</f>
        <v/>
      </c>
      <c r="G23" s="24" t="n"/>
      <c r="H23" s="16" t="n"/>
    </row>
    <row r="24">
      <c r="A24" s="5" t="inlineStr">
        <is>
          <t>2.B.1 - Ammonia Production</t>
        </is>
      </c>
      <c r="B24" s="17">
        <f>+'Tabla de Emisiones y Remociones'!F52</f>
        <v/>
      </c>
      <c r="C24" s="16">
        <f>+B24*0.35429321</f>
        <v/>
      </c>
      <c r="D24" s="16">
        <f>+B24*0.000491157</f>
        <v/>
      </c>
      <c r="E24" s="16">
        <f>+B24*0.051078759</f>
        <v/>
      </c>
      <c r="F24" s="16">
        <f>+B24*0.594136874</f>
        <v/>
      </c>
      <c r="G24" s="16" t="n"/>
      <c r="H24" s="16" t="n"/>
    </row>
    <row r="25">
      <c r="A25" s="5" t="inlineStr">
        <is>
          <t>2.B.8 - Petrochemical and Carbon Black Production</t>
        </is>
      </c>
      <c r="B25" s="17">
        <f>+'Tabla de Emisiones y Remociones'!F53</f>
        <v/>
      </c>
      <c r="C25" s="16">
        <f>+B25*0.35429321</f>
        <v/>
      </c>
      <c r="D25" s="16">
        <f>+B25*0.000491157</f>
        <v/>
      </c>
      <c r="E25" s="16">
        <f>+B25*0.051078759</f>
        <v/>
      </c>
      <c r="F25" s="16">
        <f>+B25*0.594136874</f>
        <v/>
      </c>
      <c r="G25" s="16" t="n"/>
      <c r="H25" s="16" t="n"/>
    </row>
    <row r="26">
      <c r="A26" s="6" t="inlineStr">
        <is>
          <t>2.C - Metal Industry</t>
        </is>
      </c>
      <c r="B26" s="23">
        <f>+'Tabla de Emisiones y Remociones'!F54</f>
        <v/>
      </c>
      <c r="C26" s="24">
        <f>+C27</f>
        <v/>
      </c>
      <c r="D26" s="24">
        <f>+D27</f>
        <v/>
      </c>
      <c r="E26" s="24" t="n"/>
      <c r="F26" s="24" t="n"/>
      <c r="G26" s="24" t="n"/>
      <c r="H26" s="16" t="n"/>
    </row>
    <row r="27">
      <c r="A27" s="5" t="inlineStr">
        <is>
          <t>2.C.1 - Iron and Steel Production</t>
        </is>
      </c>
      <c r="B27" s="17">
        <f>+'Tabla de Emisiones y Remociones'!F55</f>
        <v/>
      </c>
      <c r="C27" s="16">
        <f>+B27*0.98</f>
        <v/>
      </c>
      <c r="D27" s="16">
        <f>+B27*0.02</f>
        <v/>
      </c>
      <c r="E27" s="16" t="n"/>
      <c r="F27" s="16" t="n"/>
      <c r="G27" s="16" t="n"/>
      <c r="H27" s="16" t="n"/>
    </row>
    <row r="28">
      <c r="A28" s="6" t="inlineStr">
        <is>
          <t>2.D - Non-Energy Products from Fuels and Solvent Use</t>
        </is>
      </c>
      <c r="B28" s="23">
        <f>+'Tabla de Emisiones y Remociones'!F56</f>
        <v/>
      </c>
      <c r="C28" s="24">
        <f>+B28</f>
        <v/>
      </c>
      <c r="D28" s="24" t="n"/>
      <c r="E28" s="24" t="n"/>
      <c r="F28" s="24" t="n"/>
      <c r="G28" s="24" t="n"/>
      <c r="H28" s="16" t="n"/>
    </row>
    <row r="29">
      <c r="A29" s="6" t="inlineStr">
        <is>
          <t>2.F - Product Uses as Substitutes for Ozone Depleting Substances</t>
        </is>
      </c>
      <c r="B29" s="23">
        <f>+'Tabla de Emisiones y Remociones'!F57</f>
        <v/>
      </c>
      <c r="C29" s="24" t="n"/>
      <c r="D29" s="24" t="n"/>
      <c r="E29" s="24" t="n"/>
      <c r="F29" s="24">
        <f>+F30</f>
        <v/>
      </c>
      <c r="G29" s="24">
        <f>+G30</f>
        <v/>
      </c>
      <c r="H29" s="16" t="n"/>
    </row>
    <row r="30">
      <c r="A30" s="5" t="inlineStr">
        <is>
          <t>2.F.1 - Refrigeration and Air Conditioning</t>
        </is>
      </c>
      <c r="B30" s="17">
        <f>+'Tabla de Emisiones y Remociones'!F58</f>
        <v/>
      </c>
      <c r="C30" s="16" t="n"/>
      <c r="D30" s="16" t="n"/>
      <c r="E30" s="16" t="n"/>
      <c r="F30" s="17">
        <f>+B30/2</f>
        <v/>
      </c>
      <c r="G30" s="16">
        <f>+B30/2</f>
        <v/>
      </c>
      <c r="H30" s="16" t="n"/>
    </row>
    <row r="31">
      <c r="A31" s="8" t="inlineStr">
        <is>
          <t>3 - Agriculture, Forestry, and Other Land Use</t>
        </is>
      </c>
      <c r="B31" s="25">
        <f>+'Tabla de Emisiones y Remociones'!F59</f>
        <v/>
      </c>
      <c r="C31" s="26">
        <f>+SUM(C32+C37)</f>
        <v/>
      </c>
      <c r="D31" s="26">
        <f>+SUM(D32+D37)</f>
        <v/>
      </c>
      <c r="E31" s="26">
        <f>+SUM(E32+E37)</f>
        <v/>
      </c>
      <c r="F31" s="26" t="n"/>
      <c r="G31" s="26" t="n"/>
      <c r="H31" s="26">
        <f>+SUM(C31:G31)</f>
        <v/>
      </c>
    </row>
    <row r="32">
      <c r="A32" s="9" t="inlineStr">
        <is>
          <t>3.A - Livestock</t>
        </is>
      </c>
      <c r="B32" s="27">
        <f>+'Tabla de Emisiones y Remociones'!F60</f>
        <v/>
      </c>
      <c r="C32" s="28" t="n"/>
      <c r="D32" s="28">
        <f>+D33+D34</f>
        <v/>
      </c>
      <c r="E32" s="28">
        <f>+E33+E34</f>
        <v/>
      </c>
      <c r="F32" s="28" t="n"/>
      <c r="G32" s="28" t="n"/>
      <c r="H32" s="16" t="n"/>
    </row>
    <row r="33">
      <c r="A33" s="5" t="inlineStr">
        <is>
          <t>3.A.1 - Enteric Fermentation</t>
        </is>
      </c>
      <c r="B33" s="17">
        <f>+'Tabla de Emisiones y Remociones'!F61</f>
        <v/>
      </c>
      <c r="C33" s="16" t="n"/>
      <c r="D33" s="16">
        <f>+B33*0.996032041</f>
        <v/>
      </c>
      <c r="E33" s="16">
        <f>+B33*0.003967959</f>
        <v/>
      </c>
      <c r="F33" s="16" t="n"/>
      <c r="G33" s="16" t="n"/>
      <c r="H33" s="16" t="n"/>
    </row>
    <row r="34">
      <c r="A34" s="5" t="inlineStr">
        <is>
          <t>3.A.2 - Manure Management</t>
        </is>
      </c>
      <c r="B34" s="17">
        <f>+'Tabla de Emisiones y Remociones'!F62</f>
        <v/>
      </c>
      <c r="C34" s="16" t="n"/>
      <c r="D34" s="16">
        <f>+B34</f>
        <v/>
      </c>
      <c r="E34" s="16" t="n"/>
      <c r="F34" s="16" t="n"/>
      <c r="G34" s="16" t="n"/>
      <c r="H34" s="16" t="n"/>
    </row>
    <row r="35">
      <c r="A35" s="9" t="inlineStr">
        <is>
          <t>3.B - Land</t>
        </is>
      </c>
      <c r="B35" s="27">
        <f>+B36</f>
        <v/>
      </c>
      <c r="C35" s="27">
        <f>+C36</f>
        <v/>
      </c>
      <c r="D35" s="28" t="n"/>
      <c r="E35" s="28" t="n"/>
      <c r="F35" s="28" t="n"/>
      <c r="G35" s="28" t="n"/>
      <c r="H35" s="16" t="n"/>
    </row>
    <row r="36">
      <c r="A36" s="5" t="inlineStr">
        <is>
          <t>3.B.1 - Forest land</t>
        </is>
      </c>
      <c r="B36" s="17">
        <f>+'Tabla de Emisiones y Remociones'!F63</f>
        <v/>
      </c>
      <c r="C36" s="17">
        <f>+B36</f>
        <v/>
      </c>
      <c r="D36" s="16" t="n"/>
      <c r="E36" s="16" t="n"/>
      <c r="F36" s="16" t="n"/>
      <c r="G36" s="16" t="n"/>
      <c r="H36" s="16" t="n"/>
    </row>
    <row r="37">
      <c r="A37" s="9" t="inlineStr">
        <is>
          <t>3.C - Aggregate sources and non-CO2 emissions sources on land</t>
        </is>
      </c>
      <c r="B37" s="27">
        <f>+'Tabla de Emisiones y Remociones'!F64</f>
        <v/>
      </c>
      <c r="C37" s="28">
        <f>+SUM(C38:C43)</f>
        <v/>
      </c>
      <c r="D37" s="28">
        <f>+SUM(D38:D43)</f>
        <v/>
      </c>
      <c r="E37" s="28">
        <f>+SUM(E38:E43)</f>
        <v/>
      </c>
      <c r="F37" s="28" t="n"/>
      <c r="G37" s="28" t="n"/>
      <c r="H37" s="16" t="n"/>
    </row>
    <row r="38">
      <c r="A38" s="5" t="inlineStr">
        <is>
          <t>3.C.1 - Burning</t>
        </is>
      </c>
      <c r="B38" s="17">
        <f>+'Tabla de Emisiones y Remociones'!F65</f>
        <v/>
      </c>
      <c r="C38" s="16" t="n"/>
      <c r="D38" s="16">
        <f>+B38*0.996032041</f>
        <v/>
      </c>
      <c r="E38" s="16">
        <f>+B38*0.003967959</f>
        <v/>
      </c>
      <c r="F38" s="16" t="n"/>
      <c r="G38" s="16" t="n"/>
      <c r="H38" s="16" t="n"/>
    </row>
    <row r="39">
      <c r="A39" s="5" t="inlineStr">
        <is>
          <t>3.C.2 - Liming</t>
        </is>
      </c>
      <c r="B39" s="17">
        <f>+'Tabla de Emisiones y Remociones'!F66</f>
        <v/>
      </c>
      <c r="C39" s="16" t="n">
        <v>0</v>
      </c>
      <c r="D39" s="16" t="n">
        <v>0</v>
      </c>
      <c r="E39" s="16" t="n">
        <v>0</v>
      </c>
      <c r="F39" s="16" t="n"/>
      <c r="G39" s="16" t="n"/>
      <c r="H39" s="16" t="n"/>
    </row>
    <row r="40">
      <c r="A40" s="5" t="inlineStr">
        <is>
          <t>3.C.3 - Urea application</t>
        </is>
      </c>
      <c r="B40" s="17">
        <f>+'Tabla de Emisiones y Remociones'!F67</f>
        <v/>
      </c>
      <c r="C40" s="16">
        <f>+B40</f>
        <v/>
      </c>
      <c r="D40" s="16" t="n"/>
      <c r="E40" s="16" t="n"/>
      <c r="F40" s="16" t="n"/>
      <c r="G40" s="16" t="n"/>
      <c r="H40" s="16" t="n"/>
    </row>
    <row r="41">
      <c r="A41" s="5" t="inlineStr">
        <is>
          <t>3.C.4 - Direct N2O Emissions from managed soils</t>
        </is>
      </c>
      <c r="B41" s="17">
        <f>+'Tabla de Emisiones y Remociones'!F68</f>
        <v/>
      </c>
      <c r="C41" s="16" t="n"/>
      <c r="D41" s="16" t="n"/>
      <c r="E41" s="16">
        <f>+B41</f>
        <v/>
      </c>
      <c r="F41" s="16" t="n"/>
      <c r="G41" s="16" t="n"/>
      <c r="H41" s="16" t="n"/>
    </row>
    <row r="42">
      <c r="A42" s="5" t="inlineStr">
        <is>
          <t>3.C.5 - Indirect N2O Emissions from managed soils</t>
        </is>
      </c>
      <c r="B42" s="17">
        <f>+'Tabla de Emisiones y Remociones'!F69</f>
        <v/>
      </c>
      <c r="C42" s="16" t="n"/>
      <c r="D42" s="16" t="n"/>
      <c r="E42" s="16">
        <f>+B42</f>
        <v/>
      </c>
      <c r="F42" s="16" t="n"/>
      <c r="G42" s="16" t="n"/>
      <c r="H42" s="16" t="n"/>
    </row>
    <row r="43">
      <c r="A43" s="5" t="inlineStr">
        <is>
          <t>3.C.6 - Indirect N2O Emissions from manure management</t>
        </is>
      </c>
      <c r="B43" s="17">
        <f>+'Tabla de Emisiones y Remociones'!F70</f>
        <v/>
      </c>
      <c r="C43" s="16" t="n"/>
      <c r="D43" s="16" t="n"/>
      <c r="E43" s="16">
        <f>+B43</f>
        <v/>
      </c>
      <c r="F43" s="16" t="n"/>
      <c r="G43" s="16" t="n"/>
      <c r="H43" s="16" t="n"/>
    </row>
    <row r="44">
      <c r="A44" s="10" t="inlineStr">
        <is>
          <t>4 - Waste</t>
        </is>
      </c>
      <c r="B44" s="29">
        <f>+'Tabla de Emisiones y Remociones'!F71</f>
        <v/>
      </c>
      <c r="C44" s="15" t="n"/>
      <c r="D44" s="15">
        <f>+SUM(D45:D46)</f>
        <v/>
      </c>
      <c r="E44" s="15">
        <f>+SUM(E45:E46)</f>
        <v/>
      </c>
      <c r="F44" s="15" t="n"/>
      <c r="G44" s="15" t="n"/>
      <c r="H44" s="15">
        <f>+SUM(C44:G44)</f>
        <v/>
      </c>
    </row>
    <row r="45">
      <c r="A45" s="4" t="inlineStr">
        <is>
          <t>4.A - Solid Waste Disposal</t>
        </is>
      </c>
      <c r="B45" s="17">
        <f>+'Tabla de Emisiones y Remociones'!F72</f>
        <v/>
      </c>
      <c r="C45" s="16" t="n"/>
      <c r="D45" s="16">
        <f>+B45</f>
        <v/>
      </c>
      <c r="E45" s="16" t="n"/>
      <c r="F45" s="16" t="n"/>
      <c r="G45" s="16" t="n"/>
      <c r="H45" s="16" t="n"/>
    </row>
    <row r="46">
      <c r="A46" s="4" t="inlineStr">
        <is>
          <t>4.D - Wastewater Treatment and Discharge</t>
        </is>
      </c>
      <c r="B46" s="17">
        <f>+'Tabla de Emisiones y Remociones'!F73</f>
        <v/>
      </c>
      <c r="C46" s="16" t="n"/>
      <c r="D46" s="16">
        <f>+B46*0.910430473</f>
        <v/>
      </c>
      <c r="E46" s="16">
        <f>+B46*0.089569527</f>
        <v/>
      </c>
      <c r="F46" s="16" t="n"/>
      <c r="G46" s="16" t="n"/>
      <c r="H46" s="16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6"/>
  <sheetViews>
    <sheetView tabSelected="1" zoomScale="150" workbookViewId="0">
      <selection activeCell="C16" sqref="C16"/>
    </sheetView>
  </sheetViews>
  <sheetFormatPr baseColWidth="10" defaultRowHeight="13"/>
  <cols>
    <col width="55.5" bestFit="1" customWidth="1" min="1" max="1"/>
  </cols>
  <sheetData>
    <row r="1">
      <c r="A1" s="3" t="inlineStr">
        <is>
          <t>Categories</t>
        </is>
      </c>
      <c r="B1" s="3" t="inlineStr">
        <is>
          <t>total</t>
        </is>
      </c>
      <c r="C1" s="3" t="inlineStr">
        <is>
          <t>co2</t>
        </is>
      </c>
      <c r="D1" s="3" t="inlineStr">
        <is>
          <t>ch4</t>
        </is>
      </c>
      <c r="E1" s="3" t="inlineStr">
        <is>
          <t>n2o</t>
        </is>
      </c>
      <c r="F1" s="3" t="inlineStr">
        <is>
          <t>hfcs</t>
        </is>
      </c>
      <c r="G1" s="3" t="inlineStr">
        <is>
          <t>pfcs</t>
        </is>
      </c>
    </row>
    <row r="2">
      <c r="A2" s="3" t="inlineStr">
        <is>
          <t>Total National Emissions and Removals</t>
        </is>
      </c>
      <c r="B2" s="17">
        <f>+'Tabla de Emisiones y Remociones'!G38</f>
        <v/>
      </c>
      <c r="C2" s="16">
        <f>+C3+C18+C31+C44</f>
        <v/>
      </c>
      <c r="D2" s="16">
        <f>+D3+D18+D31+D44</f>
        <v/>
      </c>
      <c r="E2" s="16">
        <f>+E3+E18+E31+E44</f>
        <v/>
      </c>
      <c r="F2" s="16">
        <f>+F3+F18+F31+F44</f>
        <v/>
      </c>
      <c r="G2" s="16">
        <f>+G3+G18+G31+G44</f>
        <v/>
      </c>
      <c r="H2" s="16">
        <f>+H3+H18+H31+H44</f>
        <v/>
      </c>
    </row>
    <row r="3">
      <c r="A3" s="11" t="inlineStr">
        <is>
          <t>1 - Energy</t>
        </is>
      </c>
      <c r="B3" s="18">
        <f>+'Tabla de Emisiones y Remociones'!G39</f>
        <v/>
      </c>
      <c r="C3" s="14">
        <f>+C4+C13</f>
        <v/>
      </c>
      <c r="D3" s="14">
        <f>+D4+D13</f>
        <v/>
      </c>
      <c r="E3" s="14">
        <f>+E4+E13</f>
        <v/>
      </c>
      <c r="F3" s="14" t="n"/>
      <c r="G3" s="14" t="n"/>
      <c r="H3" s="14">
        <f>+SUM(C3:G3)</f>
        <v/>
      </c>
    </row>
    <row r="4">
      <c r="A4" s="12" t="inlineStr">
        <is>
          <t>1.A - Fuel Combustion Activities</t>
        </is>
      </c>
      <c r="B4" s="19">
        <f>+'Tabla de Emisiones y Remociones'!G40</f>
        <v/>
      </c>
      <c r="C4" s="20">
        <f>+C5+C6+C7+C8+C11+C12</f>
        <v/>
      </c>
      <c r="D4" s="20">
        <f>+D5+D6+D7+D8+D11+D12</f>
        <v/>
      </c>
      <c r="E4" s="20">
        <f>+E5+E6+E7+E8+E11+E12</f>
        <v/>
      </c>
      <c r="F4" s="20" t="n"/>
      <c r="G4" s="20" t="n"/>
      <c r="H4" s="16" t="n"/>
    </row>
    <row r="5">
      <c r="A5" s="5" t="inlineStr">
        <is>
          <t>1.A.1 - Energy Industries</t>
        </is>
      </c>
      <c r="B5" s="17">
        <f>+'Tabla de Emisiones y Remociones'!G41</f>
        <v/>
      </c>
      <c r="C5" s="16">
        <f>+B5*0.997544526</f>
        <v/>
      </c>
      <c r="D5" s="16">
        <f>+B5*0.001565661</f>
        <v/>
      </c>
      <c r="E5" s="16">
        <f>+B5*0.000889813</f>
        <v/>
      </c>
      <c r="F5" s="16" t="n"/>
      <c r="G5" s="16" t="n"/>
      <c r="H5" s="16" t="n"/>
    </row>
    <row r="6">
      <c r="A6" s="5" t="inlineStr">
        <is>
          <t>1.A.1 - Electricity and Heat Generation</t>
        </is>
      </c>
      <c r="B6" s="17">
        <f>+B$5*0.7</f>
        <v/>
      </c>
      <c r="C6" s="17">
        <f>+C$5*0.7</f>
        <v/>
      </c>
      <c r="D6" s="17">
        <f>+D$5*0.7</f>
        <v/>
      </c>
      <c r="E6" s="17">
        <f>+E$5*0.7</f>
        <v/>
      </c>
      <c r="F6" s="16" t="n"/>
      <c r="G6" s="16" t="n"/>
      <c r="H6" s="16" t="n"/>
    </row>
    <row r="7">
      <c r="A7" s="5" t="inlineStr">
        <is>
          <t>1.A.1 - Fuel Production</t>
        </is>
      </c>
      <c r="B7" s="17">
        <f>+B$5*0.3</f>
        <v/>
      </c>
      <c r="C7" s="17">
        <f>+C$5*0.3</f>
        <v/>
      </c>
      <c r="D7" s="17">
        <f>+D$5*0.3</f>
        <v/>
      </c>
      <c r="E7" s="17">
        <f>+E$5*0.3</f>
        <v/>
      </c>
      <c r="F7" s="16" t="n"/>
      <c r="G7" s="16" t="n"/>
      <c r="H7" s="16" t="n"/>
    </row>
    <row r="8">
      <c r="A8" s="5" t="inlineStr">
        <is>
          <t>1.A.2 - Manufacturing Industries and Construction</t>
        </is>
      </c>
      <c r="B8" s="17">
        <f>+'Tabla de Emisiones y Remociones'!G42</f>
        <v/>
      </c>
      <c r="C8" s="16">
        <f>+B8*0.997804185</f>
        <v/>
      </c>
      <c r="D8" s="16">
        <f>+B8*0.000829605</f>
        <v/>
      </c>
      <c r="E8" s="16">
        <f>+B8*0.00136621</f>
        <v/>
      </c>
      <c r="F8" s="16" t="n"/>
      <c r="G8" s="16" t="n"/>
      <c r="H8" s="16" t="n"/>
    </row>
    <row r="9">
      <c r="A9" s="5" t="inlineStr">
        <is>
          <t>1.A.2.a - Iron and Steel</t>
        </is>
      </c>
      <c r="B9" s="17">
        <f>+B8*0.63</f>
        <v/>
      </c>
      <c r="C9" s="17">
        <f>+C8*0.63</f>
        <v/>
      </c>
      <c r="D9" s="17">
        <f>+D8*0.63</f>
        <v/>
      </c>
      <c r="E9" s="17">
        <f>+E8*0.63</f>
        <v/>
      </c>
      <c r="F9" s="16" t="n"/>
      <c r="G9" s="16" t="n"/>
      <c r="H9" s="16" t="n"/>
    </row>
    <row r="10">
      <c r="A10" s="5" t="inlineStr">
        <is>
          <t>1.A.2.f - Cement (Energy)</t>
        </is>
      </c>
      <c r="B10" s="17">
        <f>+B8*0.37</f>
        <v/>
      </c>
      <c r="C10" s="17">
        <f>+C8*0.37</f>
        <v/>
      </c>
      <c r="D10" s="17">
        <f>+D8*0.37</f>
        <v/>
      </c>
      <c r="E10" s="17">
        <f>+E8*0.37</f>
        <v/>
      </c>
      <c r="F10" s="16" t="n"/>
      <c r="G10" s="16" t="n"/>
      <c r="H10" s="16" t="n"/>
    </row>
    <row r="11">
      <c r="A11" s="5" t="inlineStr">
        <is>
          <t>1.A.3 - Transport</t>
        </is>
      </c>
      <c r="B11" s="17">
        <f>+'Tabla de Emisiones y Remociones'!G43</f>
        <v/>
      </c>
      <c r="C11" s="16">
        <f>+B11*0.980386029</f>
        <v/>
      </c>
      <c r="D11" s="16">
        <f>+B11*0.010583264</f>
        <v/>
      </c>
      <c r="E11" s="16">
        <f>+B11*0.009030706</f>
        <v/>
      </c>
      <c r="F11" s="16" t="n"/>
      <c r="G11" s="16" t="n"/>
      <c r="H11" s="16" t="n"/>
    </row>
    <row r="12">
      <c r="A12" s="5" t="inlineStr">
        <is>
          <t>1.A.4 - Other Sectors</t>
        </is>
      </c>
      <c r="B12" s="17">
        <f>+'Tabla de Emisiones y Remociones'!G44</f>
        <v/>
      </c>
      <c r="C12" s="16">
        <f>+B12*0.930398755</f>
        <v/>
      </c>
      <c r="D12" s="16">
        <f>+B12*0.062442227</f>
        <v/>
      </c>
      <c r="E12" s="16">
        <f>+B12*0.007159018</f>
        <v/>
      </c>
      <c r="F12" s="16" t="n"/>
      <c r="G12" s="16" t="n"/>
      <c r="H12" s="16" t="n"/>
    </row>
    <row r="13">
      <c r="A13" s="12" t="inlineStr">
        <is>
          <t>1.B - Fugitive emissions from fuels</t>
        </is>
      </c>
      <c r="B13" s="19">
        <f>+'Tabla de Emisiones y Remociones'!G45</f>
        <v/>
      </c>
      <c r="C13" s="20">
        <f>SUM(C14:C16)</f>
        <v/>
      </c>
      <c r="D13" s="20">
        <f>SUM(D14:D16)</f>
        <v/>
      </c>
      <c r="E13" s="20" t="n"/>
      <c r="F13" s="20" t="n"/>
      <c r="G13" s="20" t="n"/>
      <c r="H13" s="16" t="n"/>
    </row>
    <row r="14">
      <c r="A14" s="36" t="inlineStr">
        <is>
          <t>1.B - Fugitive emissions from fuels - Fugitive</t>
        </is>
      </c>
      <c r="B14" s="37">
        <f>B13*0.188</f>
        <v/>
      </c>
      <c r="C14" s="38">
        <f>B14*0.2</f>
        <v/>
      </c>
      <c r="D14" s="38">
        <f>B14*0.8</f>
        <v/>
      </c>
      <c r="E14" s="38" t="n"/>
      <c r="F14" s="38" t="n"/>
      <c r="G14" s="38" t="n"/>
      <c r="H14" s="16" t="n"/>
    </row>
    <row r="15">
      <c r="A15" s="36" t="inlineStr">
        <is>
          <t>1.B - Fugitive emissions from fuels - Venting</t>
        </is>
      </c>
      <c r="B15" s="37">
        <f>B13*0.58</f>
        <v/>
      </c>
      <c r="C15" s="38">
        <f>B15*0.3</f>
        <v/>
      </c>
      <c r="D15" s="38">
        <f>+B15*0.7</f>
        <v/>
      </c>
      <c r="E15" s="38" t="n"/>
      <c r="F15" s="38" t="n"/>
      <c r="G15" s="38" t="n"/>
      <c r="H15" s="16" t="n"/>
    </row>
    <row r="16">
      <c r="A16" s="36" t="inlineStr">
        <is>
          <t>1.B - Fugitive emissions from fuels - Flaring</t>
        </is>
      </c>
      <c r="B16" s="37">
        <f>B13*0.232</f>
        <v/>
      </c>
      <c r="C16" s="38">
        <f>B16*0.5</f>
        <v/>
      </c>
      <c r="D16" s="38">
        <f>B16*0.5</f>
        <v/>
      </c>
      <c r="E16" s="38" t="n"/>
      <c r="F16" s="38" t="n"/>
      <c r="G16" s="38" t="n"/>
      <c r="H16" s="16" t="n"/>
    </row>
    <row r="17">
      <c r="A17" s="2" t="inlineStr">
        <is>
          <t>1.C - Carbon dioxide Transport and Storage</t>
        </is>
      </c>
      <c r="B17" s="21">
        <f>+'Tabla de Emisiones y Remociones'!G46</f>
        <v/>
      </c>
      <c r="C17" s="21" t="n">
        <v>0</v>
      </c>
      <c r="D17" s="21" t="n">
        <v>0</v>
      </c>
      <c r="E17" s="21" t="n">
        <v>0</v>
      </c>
      <c r="F17" s="21" t="n">
        <v>0</v>
      </c>
      <c r="G17" s="21" t="n">
        <v>0</v>
      </c>
      <c r="H17" s="21" t="n">
        <v>0</v>
      </c>
    </row>
    <row r="18">
      <c r="A18" s="7" t="inlineStr">
        <is>
          <t>2 - Industrial Processes and Product Use</t>
        </is>
      </c>
      <c r="B18" s="22">
        <f>+'Tabla de Emisiones y Remociones'!G47</f>
        <v/>
      </c>
      <c r="C18" s="13">
        <f>+C19+C23+C26+C28+C29</f>
        <v/>
      </c>
      <c r="D18" s="13">
        <f>+D19+D23+D26+D28+D29</f>
        <v/>
      </c>
      <c r="E18" s="13">
        <f>+E19+E23+E26+E28+E29</f>
        <v/>
      </c>
      <c r="F18" s="13">
        <f>+F19+F23+F26+F28+F29</f>
        <v/>
      </c>
      <c r="G18" s="13">
        <f>+G29</f>
        <v/>
      </c>
      <c r="H18" s="13">
        <f>+SUM(C18:G18)</f>
        <v/>
      </c>
    </row>
    <row r="19">
      <c r="A19" s="6" t="inlineStr">
        <is>
          <t>2.A - Mineral Industry</t>
        </is>
      </c>
      <c r="B19" s="23">
        <f>+'Tabla de Emisiones y Remociones'!G48</f>
        <v/>
      </c>
      <c r="C19" s="24">
        <f>+C20+C21</f>
        <v/>
      </c>
      <c r="D19" s="24" t="n"/>
      <c r="E19" s="24" t="n"/>
      <c r="F19" s="24" t="n"/>
      <c r="G19" s="24" t="n"/>
      <c r="H19" s="16" t="n"/>
    </row>
    <row r="20">
      <c r="A20" s="5" t="inlineStr">
        <is>
          <t>2.A.1 - Cement production</t>
        </is>
      </c>
      <c r="B20" s="17">
        <f>+'Tabla de Emisiones y Remociones'!G49</f>
        <v/>
      </c>
      <c r="C20" s="16">
        <f>+B20*1</f>
        <v/>
      </c>
      <c r="D20" s="16" t="n"/>
      <c r="E20" s="16" t="n"/>
      <c r="F20" s="16" t="n"/>
      <c r="G20" s="16" t="n"/>
      <c r="H20" s="16" t="n"/>
    </row>
    <row r="21">
      <c r="A21" s="5" t="inlineStr">
        <is>
          <t>2.A.2 - Lime production</t>
        </is>
      </c>
      <c r="B21" s="17">
        <f>+'Tabla de Emisiones y Remociones'!G50</f>
        <v/>
      </c>
      <c r="C21" s="16">
        <f>+B21*1</f>
        <v/>
      </c>
      <c r="D21" s="16" t="n"/>
      <c r="E21" s="16" t="n"/>
      <c r="F21" s="16" t="n"/>
      <c r="G21" s="16" t="n"/>
      <c r="H21" s="16" t="n"/>
    </row>
    <row r="22">
      <c r="A22" s="5" t="inlineStr">
        <is>
          <t>2.A.3 - Glass production</t>
        </is>
      </c>
      <c r="B22" s="17" t="n">
        <v>0</v>
      </c>
      <c r="C22" s="16" t="n">
        <v>0</v>
      </c>
      <c r="D22" s="16" t="n"/>
      <c r="E22" s="16" t="n"/>
      <c r="F22" s="16" t="n"/>
      <c r="G22" s="16" t="n"/>
      <c r="H22" s="16" t="n"/>
    </row>
    <row r="23">
      <c r="A23" s="6" t="inlineStr">
        <is>
          <t>2.B - Chemical Industry</t>
        </is>
      </c>
      <c r="B23" s="23">
        <f>+'Tabla de Emisiones y Remociones'!G51</f>
        <v/>
      </c>
      <c r="C23" s="24">
        <f>+B23*0.35429321</f>
        <v/>
      </c>
      <c r="D23" s="24">
        <f>+B23*0.000491157</f>
        <v/>
      </c>
      <c r="E23" s="24">
        <f>+B23*0.051078759</f>
        <v/>
      </c>
      <c r="F23" s="24">
        <f>+B23*0.594136874</f>
        <v/>
      </c>
      <c r="G23" s="24" t="n"/>
      <c r="H23" s="16" t="n"/>
    </row>
    <row r="24">
      <c r="A24" s="5" t="inlineStr">
        <is>
          <t>2.B.1 - Ammonia Production</t>
        </is>
      </c>
      <c r="B24" s="17">
        <f>+'Tabla de Emisiones y Remociones'!G52</f>
        <v/>
      </c>
      <c r="C24" s="16">
        <f>+B24*0.35429321</f>
        <v/>
      </c>
      <c r="D24" s="16">
        <f>+B24*0.000491157</f>
        <v/>
      </c>
      <c r="E24" s="16">
        <f>+B24*0.051078759</f>
        <v/>
      </c>
      <c r="F24" s="16">
        <f>+B24*0.594136874</f>
        <v/>
      </c>
      <c r="G24" s="16" t="n"/>
      <c r="H24" s="16" t="n"/>
    </row>
    <row r="25">
      <c r="A25" s="5" t="inlineStr">
        <is>
          <t>2.B.8 - Petrochemical and Carbon Black Production</t>
        </is>
      </c>
      <c r="B25" s="17">
        <f>+'Tabla de Emisiones y Remociones'!G53</f>
        <v/>
      </c>
      <c r="C25" s="16">
        <f>+B25*0.35429321</f>
        <v/>
      </c>
      <c r="D25" s="16">
        <f>+B25*0.000491157</f>
        <v/>
      </c>
      <c r="E25" s="16">
        <f>+B25*0.051078759</f>
        <v/>
      </c>
      <c r="F25" s="16">
        <f>+B25*0.594136874</f>
        <v/>
      </c>
      <c r="G25" s="16" t="n"/>
      <c r="H25" s="16" t="n"/>
    </row>
    <row r="26">
      <c r="A26" s="6" t="inlineStr">
        <is>
          <t>2.C - Metal Industry</t>
        </is>
      </c>
      <c r="B26" s="23">
        <f>+'Tabla de Emisiones y Remociones'!G54</f>
        <v/>
      </c>
      <c r="C26" s="24">
        <f>+C27</f>
        <v/>
      </c>
      <c r="D26" s="24">
        <f>+D27</f>
        <v/>
      </c>
      <c r="E26" s="24" t="n"/>
      <c r="F26" s="24" t="n"/>
      <c r="G26" s="24" t="n"/>
      <c r="H26" s="16" t="n"/>
    </row>
    <row r="27">
      <c r="A27" s="5" t="inlineStr">
        <is>
          <t>2.C.1 - Iron and Steel Production</t>
        </is>
      </c>
      <c r="B27" s="17">
        <f>+'Tabla de Emisiones y Remociones'!G55</f>
        <v/>
      </c>
      <c r="C27" s="16">
        <f>+B27*0.98</f>
        <v/>
      </c>
      <c r="D27" s="16">
        <f>+B27*0.02</f>
        <v/>
      </c>
      <c r="E27" s="16" t="n"/>
      <c r="F27" s="16" t="n"/>
      <c r="G27" s="16" t="n"/>
      <c r="H27" s="16" t="n"/>
    </row>
    <row r="28">
      <c r="A28" s="6" t="inlineStr">
        <is>
          <t>2.D - Non-Energy Products from Fuels and Solvent Use</t>
        </is>
      </c>
      <c r="B28" s="23">
        <f>+'Tabla de Emisiones y Remociones'!G56</f>
        <v/>
      </c>
      <c r="C28" s="24">
        <f>+B28</f>
        <v/>
      </c>
      <c r="D28" s="24" t="n"/>
      <c r="E28" s="24" t="n"/>
      <c r="F28" s="24" t="n"/>
      <c r="G28" s="24" t="n"/>
      <c r="H28" s="16" t="n"/>
    </row>
    <row r="29">
      <c r="A29" s="6" t="inlineStr">
        <is>
          <t>2.F - Product Uses as Substitutes for Ozone Depleting Substances</t>
        </is>
      </c>
      <c r="B29" s="23">
        <f>+'Tabla de Emisiones y Remociones'!G57</f>
        <v/>
      </c>
      <c r="C29" s="24" t="n"/>
      <c r="D29" s="24" t="n"/>
      <c r="E29" s="24" t="n"/>
      <c r="F29" s="24">
        <f>+F30</f>
        <v/>
      </c>
      <c r="G29" s="24">
        <f>+G30</f>
        <v/>
      </c>
      <c r="H29" s="16" t="n"/>
    </row>
    <row r="30">
      <c r="A30" s="5" t="inlineStr">
        <is>
          <t>2.F.1 - Refrigeration and Air Conditioning</t>
        </is>
      </c>
      <c r="B30" s="17">
        <f>+'Tabla de Emisiones y Remociones'!G58</f>
        <v/>
      </c>
      <c r="C30" s="16" t="n"/>
      <c r="D30" s="16" t="n"/>
      <c r="E30" s="16" t="n"/>
      <c r="F30" s="17">
        <f>+B30/2</f>
        <v/>
      </c>
      <c r="G30" s="16">
        <f>+B30/2</f>
        <v/>
      </c>
      <c r="H30" s="16" t="n"/>
    </row>
    <row r="31">
      <c r="A31" s="8" t="inlineStr">
        <is>
          <t>3 - Agriculture, Forestry, and Other Land Use</t>
        </is>
      </c>
      <c r="B31" s="25">
        <f>+'Tabla de Emisiones y Remociones'!G59</f>
        <v/>
      </c>
      <c r="C31" s="26">
        <f>+SUM(C32+C37)</f>
        <v/>
      </c>
      <c r="D31" s="26">
        <f>+SUM(D32+D37)</f>
        <v/>
      </c>
      <c r="E31" s="26">
        <f>+SUM(E32+E37)</f>
        <v/>
      </c>
      <c r="F31" s="26" t="n"/>
      <c r="G31" s="26" t="n"/>
      <c r="H31" s="26">
        <f>+SUM(C31:G31)</f>
        <v/>
      </c>
    </row>
    <row r="32">
      <c r="A32" s="9" t="inlineStr">
        <is>
          <t>3.A - Livestock</t>
        </is>
      </c>
      <c r="B32" s="27">
        <f>+'Tabla de Emisiones y Remociones'!G60</f>
        <v/>
      </c>
      <c r="C32" s="28" t="n"/>
      <c r="D32" s="28">
        <f>+D33+D34</f>
        <v/>
      </c>
      <c r="E32" s="28">
        <f>+E33+E34</f>
        <v/>
      </c>
      <c r="F32" s="28" t="n"/>
      <c r="G32" s="28" t="n"/>
      <c r="H32" s="16" t="n"/>
    </row>
    <row r="33">
      <c r="A33" s="5" t="inlineStr">
        <is>
          <t>3.A.1 - Enteric Fermentation</t>
        </is>
      </c>
      <c r="B33" s="17">
        <f>+'Tabla de Emisiones y Remociones'!G61</f>
        <v/>
      </c>
      <c r="C33" s="16" t="n"/>
      <c r="D33" s="16">
        <f>+B33*0.996032041</f>
        <v/>
      </c>
      <c r="E33" s="16">
        <f>+B33*0.003967959</f>
        <v/>
      </c>
      <c r="F33" s="16" t="n"/>
      <c r="G33" s="16" t="n"/>
      <c r="H33" s="16" t="n"/>
    </row>
    <row r="34">
      <c r="A34" s="5" t="inlineStr">
        <is>
          <t>3.A.2 - Manure Management</t>
        </is>
      </c>
      <c r="B34" s="17">
        <f>+'Tabla de Emisiones y Remociones'!G62</f>
        <v/>
      </c>
      <c r="C34" s="16" t="n"/>
      <c r="D34" s="16">
        <f>+B34</f>
        <v/>
      </c>
      <c r="E34" s="16" t="n"/>
      <c r="F34" s="16" t="n"/>
      <c r="G34" s="16" t="n"/>
      <c r="H34" s="16" t="n"/>
    </row>
    <row r="35">
      <c r="A35" s="9" t="inlineStr">
        <is>
          <t>3.B - Land</t>
        </is>
      </c>
      <c r="B35" s="27">
        <f>+B36</f>
        <v/>
      </c>
      <c r="C35" s="27">
        <f>+C36</f>
        <v/>
      </c>
      <c r="D35" s="28" t="n"/>
      <c r="E35" s="28" t="n"/>
      <c r="F35" s="28" t="n"/>
      <c r="G35" s="28" t="n"/>
      <c r="H35" s="16" t="n"/>
    </row>
    <row r="36">
      <c r="A36" s="5" t="inlineStr">
        <is>
          <t>3.B.1 - Forest land</t>
        </is>
      </c>
      <c r="B36" s="17">
        <f>+'Tabla de Emisiones y Remociones'!G63</f>
        <v/>
      </c>
      <c r="C36" s="17">
        <f>+B36</f>
        <v/>
      </c>
      <c r="D36" s="16" t="n"/>
      <c r="E36" s="16" t="n"/>
      <c r="F36" s="16" t="n"/>
      <c r="G36" s="16" t="n"/>
      <c r="H36" s="16" t="n"/>
    </row>
    <row r="37">
      <c r="A37" s="9" t="inlineStr">
        <is>
          <t>3.C - Aggregate sources and non-CO2 emissions sources on land</t>
        </is>
      </c>
      <c r="B37" s="27">
        <f>+'Tabla de Emisiones y Remociones'!G64</f>
        <v/>
      </c>
      <c r="C37" s="28">
        <f>+SUM(C38:C43)</f>
        <v/>
      </c>
      <c r="D37" s="28">
        <f>+SUM(D38:D43)</f>
        <v/>
      </c>
      <c r="E37" s="28">
        <f>+SUM(E38:E43)</f>
        <v/>
      </c>
      <c r="F37" s="28" t="n"/>
      <c r="G37" s="28" t="n"/>
      <c r="H37" s="16" t="n"/>
    </row>
    <row r="38">
      <c r="A38" s="5" t="inlineStr">
        <is>
          <t>3.C.1 - Burning</t>
        </is>
      </c>
      <c r="B38" s="17">
        <f>+'Tabla de Emisiones y Remociones'!G65</f>
        <v/>
      </c>
      <c r="C38" s="16" t="n"/>
      <c r="D38" s="16">
        <f>+B38*0.996032041</f>
        <v/>
      </c>
      <c r="E38" s="16">
        <f>+B38*0.003967959</f>
        <v/>
      </c>
      <c r="F38" s="16" t="n"/>
      <c r="G38" s="16" t="n"/>
      <c r="H38" s="16" t="n"/>
    </row>
    <row r="39">
      <c r="A39" s="5" t="inlineStr">
        <is>
          <t>3.C.2 - Liming</t>
        </is>
      </c>
      <c r="B39" s="17">
        <f>+'Tabla de Emisiones y Remociones'!G66</f>
        <v/>
      </c>
      <c r="C39" s="16" t="n">
        <v>0</v>
      </c>
      <c r="D39" s="16" t="n">
        <v>0</v>
      </c>
      <c r="E39" s="16" t="n">
        <v>0</v>
      </c>
      <c r="F39" s="16" t="n"/>
      <c r="G39" s="16" t="n"/>
      <c r="H39" s="16" t="n"/>
    </row>
    <row r="40">
      <c r="A40" s="5" t="inlineStr">
        <is>
          <t>3.C.3 - Urea application</t>
        </is>
      </c>
      <c r="B40" s="17">
        <f>+'Tabla de Emisiones y Remociones'!G67</f>
        <v/>
      </c>
      <c r="C40" s="16">
        <f>+B40</f>
        <v/>
      </c>
      <c r="D40" s="16" t="n"/>
      <c r="E40" s="16" t="n"/>
      <c r="F40" s="16" t="n"/>
      <c r="G40" s="16" t="n"/>
      <c r="H40" s="16" t="n"/>
    </row>
    <row r="41">
      <c r="A41" s="5" t="inlineStr">
        <is>
          <t>3.C.4 - Direct N2O Emissions from managed soils</t>
        </is>
      </c>
      <c r="B41" s="17">
        <f>+'Tabla de Emisiones y Remociones'!G68</f>
        <v/>
      </c>
      <c r="C41" s="16" t="n"/>
      <c r="D41" s="16" t="n"/>
      <c r="E41" s="16">
        <f>+B41</f>
        <v/>
      </c>
      <c r="F41" s="16" t="n"/>
      <c r="G41" s="16" t="n"/>
      <c r="H41" s="16" t="n"/>
    </row>
    <row r="42">
      <c r="A42" s="5" t="inlineStr">
        <is>
          <t>3.C.5 - Indirect N2O Emissions from managed soils</t>
        </is>
      </c>
      <c r="B42" s="17">
        <f>+'Tabla de Emisiones y Remociones'!G69</f>
        <v/>
      </c>
      <c r="C42" s="16" t="n"/>
      <c r="D42" s="16" t="n"/>
      <c r="E42" s="16">
        <f>+B42</f>
        <v/>
      </c>
      <c r="F42" s="16" t="n"/>
      <c r="G42" s="16" t="n"/>
      <c r="H42" s="16" t="n"/>
    </row>
    <row r="43">
      <c r="A43" s="5" t="inlineStr">
        <is>
          <t>3.C.6 - Indirect N2O Emissions from manure management</t>
        </is>
      </c>
      <c r="B43" s="17">
        <f>+'Tabla de Emisiones y Remociones'!G70</f>
        <v/>
      </c>
      <c r="C43" s="16" t="n"/>
      <c r="D43" s="16" t="n"/>
      <c r="E43" s="16">
        <f>+B43</f>
        <v/>
      </c>
      <c r="F43" s="16" t="n"/>
      <c r="G43" s="16" t="n"/>
      <c r="H43" s="16" t="n"/>
    </row>
    <row r="44">
      <c r="A44" s="10" t="inlineStr">
        <is>
          <t>4 - Waste</t>
        </is>
      </c>
      <c r="B44" s="29">
        <f>+'Tabla de Emisiones y Remociones'!G71</f>
        <v/>
      </c>
      <c r="C44" s="15" t="n"/>
      <c r="D44" s="15">
        <f>+SUM(D45:D46)</f>
        <v/>
      </c>
      <c r="E44" s="15">
        <f>+SUM(E45:E46)</f>
        <v/>
      </c>
      <c r="F44" s="15" t="n"/>
      <c r="G44" s="15" t="n"/>
      <c r="H44" s="15">
        <f>+SUM(C44:G44)</f>
        <v/>
      </c>
    </row>
    <row r="45">
      <c r="A45" s="4" t="inlineStr">
        <is>
          <t>4.A - Solid Waste Disposal</t>
        </is>
      </c>
      <c r="B45" s="17">
        <f>+'Tabla de Emisiones y Remociones'!G72</f>
        <v/>
      </c>
      <c r="C45" s="16" t="n"/>
      <c r="D45" s="16">
        <f>+B45</f>
        <v/>
      </c>
      <c r="E45" s="16" t="n"/>
      <c r="F45" s="16" t="n"/>
      <c r="G45" s="16" t="n"/>
      <c r="H45" s="16" t="n"/>
    </row>
    <row r="46">
      <c r="A46" s="4" t="inlineStr">
        <is>
          <t>4.D - Wastewater Treatment and Discharge</t>
        </is>
      </c>
      <c r="B46" s="17">
        <f>+'Tabla de Emisiones y Remociones'!G73</f>
        <v/>
      </c>
      <c r="C46" s="16" t="n"/>
      <c r="D46" s="16">
        <f>+B46*0.910430473</f>
        <v/>
      </c>
      <c r="E46" s="16">
        <f>+B46*0.089569527</f>
        <v/>
      </c>
      <c r="F46" s="16" t="n"/>
      <c r="G46" s="16" t="n"/>
      <c r="H46" s="16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6"/>
  <sheetViews>
    <sheetView tabSelected="1" topLeftCell="A8" zoomScale="150" workbookViewId="0">
      <selection activeCell="C16" sqref="C16"/>
    </sheetView>
  </sheetViews>
  <sheetFormatPr baseColWidth="10" defaultRowHeight="13"/>
  <cols>
    <col width="55.5" bestFit="1" customWidth="1" min="1" max="1"/>
  </cols>
  <sheetData>
    <row r="1">
      <c r="A1" s="3" t="inlineStr">
        <is>
          <t>Categories</t>
        </is>
      </c>
      <c r="B1" s="3" t="inlineStr">
        <is>
          <t>total</t>
        </is>
      </c>
      <c r="C1" s="3" t="inlineStr">
        <is>
          <t>co2</t>
        </is>
      </c>
      <c r="D1" s="3" t="inlineStr">
        <is>
          <t>ch4</t>
        </is>
      </c>
      <c r="E1" s="3" t="inlineStr">
        <is>
          <t>n2o</t>
        </is>
      </c>
      <c r="F1" s="3" t="inlineStr">
        <is>
          <t>hfcs</t>
        </is>
      </c>
      <c r="G1" s="3" t="inlineStr">
        <is>
          <t>pfcs</t>
        </is>
      </c>
    </row>
    <row r="2">
      <c r="A2" s="3" t="inlineStr">
        <is>
          <t>Total National Emissions and Removals</t>
        </is>
      </c>
      <c r="B2" s="17">
        <f>+'Tabla de Emisiones y Remociones'!H38</f>
        <v/>
      </c>
      <c r="C2" s="16">
        <f>+C3+C18+C31+C44</f>
        <v/>
      </c>
      <c r="D2" s="16">
        <f>+D3+D18+D31+D44</f>
        <v/>
      </c>
      <c r="E2" s="16">
        <f>+E3+E18+E31+E44</f>
        <v/>
      </c>
      <c r="F2" s="16">
        <f>+F3+F18+F31+F44</f>
        <v/>
      </c>
      <c r="G2" s="16">
        <f>+G3+G18+G31+G44</f>
        <v/>
      </c>
      <c r="H2" s="16">
        <f>+H3+H18+H31+H44</f>
        <v/>
      </c>
    </row>
    <row r="3">
      <c r="A3" s="11" t="inlineStr">
        <is>
          <t>1 - Energy</t>
        </is>
      </c>
      <c r="B3" s="18">
        <f>+'Tabla de Emisiones y Remociones'!H39</f>
        <v/>
      </c>
      <c r="C3" s="14">
        <f>+C4+C13</f>
        <v/>
      </c>
      <c r="D3" s="14">
        <f>+D4+D13</f>
        <v/>
      </c>
      <c r="E3" s="14">
        <f>+E4+E13</f>
        <v/>
      </c>
      <c r="F3" s="14" t="n"/>
      <c r="G3" s="14" t="n"/>
      <c r="H3" s="14">
        <f>+SUM(C3:G3)</f>
        <v/>
      </c>
    </row>
    <row r="4">
      <c r="A4" s="12" t="inlineStr">
        <is>
          <t>1.A - Fuel Combustion Activities</t>
        </is>
      </c>
      <c r="B4" s="19">
        <f>+'Tabla de Emisiones y Remociones'!H40</f>
        <v/>
      </c>
      <c r="C4" s="20">
        <f>+C5+C6+C7+C8+C11+C12</f>
        <v/>
      </c>
      <c r="D4" s="20">
        <f>+D5+D6+D7+D8+D11+D12</f>
        <v/>
      </c>
      <c r="E4" s="20">
        <f>+E5+E6+E7+E8+E11+E12</f>
        <v/>
      </c>
      <c r="F4" s="20" t="n"/>
      <c r="G4" s="20" t="n"/>
      <c r="H4" s="16" t="n"/>
    </row>
    <row r="5">
      <c r="A5" s="5" t="inlineStr">
        <is>
          <t>1.A.1 - Energy Industries</t>
        </is>
      </c>
      <c r="B5" s="17">
        <f>+'Tabla de Emisiones y Remociones'!H41</f>
        <v/>
      </c>
      <c r="C5" s="16">
        <f>+B5*0.997544526</f>
        <v/>
      </c>
      <c r="D5" s="16">
        <f>+B5*0.001565661</f>
        <v/>
      </c>
      <c r="E5" s="16">
        <f>+B5*0.000889813</f>
        <v/>
      </c>
      <c r="F5" s="16" t="n"/>
      <c r="G5" s="16" t="n"/>
      <c r="H5" s="16" t="n"/>
    </row>
    <row r="6">
      <c r="A6" s="5" t="inlineStr">
        <is>
          <t>1.A.1 - Electricity and Heat Generation</t>
        </is>
      </c>
      <c r="B6" s="17">
        <f>+B$5*0.7</f>
        <v/>
      </c>
      <c r="C6" s="17">
        <f>+C$5*0.7</f>
        <v/>
      </c>
      <c r="D6" s="17">
        <f>+D$5*0.7</f>
        <v/>
      </c>
      <c r="E6" s="17">
        <f>+E$5*0.7</f>
        <v/>
      </c>
      <c r="F6" s="16" t="n"/>
      <c r="G6" s="16" t="n"/>
      <c r="H6" s="16" t="n"/>
    </row>
    <row r="7">
      <c r="A7" s="5" t="inlineStr">
        <is>
          <t>1.A.1 - Fuel Production</t>
        </is>
      </c>
      <c r="B7" s="17">
        <f>+B$5*0.3</f>
        <v/>
      </c>
      <c r="C7" s="17">
        <f>+C$5*0.3</f>
        <v/>
      </c>
      <c r="D7" s="17">
        <f>+D$5*0.3</f>
        <v/>
      </c>
      <c r="E7" s="17">
        <f>+E$5*0.3</f>
        <v/>
      </c>
      <c r="F7" s="16" t="n"/>
      <c r="G7" s="16" t="n"/>
      <c r="H7" s="16" t="n"/>
    </row>
    <row r="8">
      <c r="A8" s="5" t="inlineStr">
        <is>
          <t>1.A.2 - Manufacturing Industries and Construction</t>
        </is>
      </c>
      <c r="B8" s="17">
        <f>+'Tabla de Emisiones y Remociones'!H42</f>
        <v/>
      </c>
      <c r="C8" s="16">
        <f>+B8*0.997804185</f>
        <v/>
      </c>
      <c r="D8" s="16">
        <f>+B8*0.000829605</f>
        <v/>
      </c>
      <c r="E8" s="16">
        <f>+B8*0.00136621</f>
        <v/>
      </c>
      <c r="F8" s="16" t="n"/>
      <c r="G8" s="16" t="n"/>
      <c r="H8" s="16" t="n"/>
    </row>
    <row r="9">
      <c r="A9" s="35" t="inlineStr">
        <is>
          <t>1.A.2.a - Iron and Steel</t>
        </is>
      </c>
      <c r="B9" s="17">
        <f>+B8*0.63</f>
        <v/>
      </c>
      <c r="C9" s="17">
        <f>+C8*0.63</f>
        <v/>
      </c>
      <c r="D9" s="17">
        <f>+D8*0.63</f>
        <v/>
      </c>
      <c r="E9" s="17">
        <f>+E8*0.63</f>
        <v/>
      </c>
      <c r="F9" s="16" t="n"/>
      <c r="G9" s="16" t="n"/>
      <c r="H9" s="16" t="n"/>
    </row>
    <row r="10">
      <c r="A10" s="35" t="inlineStr">
        <is>
          <t>1.A.2.f - Cement (Energy)</t>
        </is>
      </c>
      <c r="B10" s="17">
        <f>+B8*0.37</f>
        <v/>
      </c>
      <c r="C10" s="17">
        <f>+C8*0.37</f>
        <v/>
      </c>
      <c r="D10" s="17">
        <f>+D8*0.37</f>
        <v/>
      </c>
      <c r="E10" s="17">
        <f>+E8*0.37</f>
        <v/>
      </c>
      <c r="F10" s="16" t="n"/>
      <c r="G10" s="16" t="n"/>
      <c r="H10" s="16" t="n"/>
    </row>
    <row r="11">
      <c r="A11" s="5" t="inlineStr">
        <is>
          <t>1.A.3 - Transport</t>
        </is>
      </c>
      <c r="B11" s="17">
        <f>+'Tabla de Emisiones y Remociones'!H43</f>
        <v/>
      </c>
      <c r="C11" s="16">
        <f>+B11*0.980386029</f>
        <v/>
      </c>
      <c r="D11" s="16">
        <f>+B11*0.010583264</f>
        <v/>
      </c>
      <c r="E11" s="16">
        <f>+B11*0.009030706</f>
        <v/>
      </c>
      <c r="F11" s="16" t="n"/>
      <c r="G11" s="16" t="n"/>
      <c r="H11" s="16" t="n"/>
    </row>
    <row r="12">
      <c r="A12" s="5" t="inlineStr">
        <is>
          <t>1.A.4 - Other Sectors</t>
        </is>
      </c>
      <c r="B12" s="17">
        <f>+'Tabla de Emisiones y Remociones'!H44</f>
        <v/>
      </c>
      <c r="C12" s="16">
        <f>+B12*0.930398755</f>
        <v/>
      </c>
      <c r="D12" s="16">
        <f>+B12*0.062442227</f>
        <v/>
      </c>
      <c r="E12" s="16">
        <f>+B12*0.007159018</f>
        <v/>
      </c>
      <c r="F12" s="16" t="n"/>
      <c r="G12" s="16" t="n"/>
      <c r="H12" s="16" t="n"/>
    </row>
    <row r="13">
      <c r="A13" s="12" t="inlineStr">
        <is>
          <t>1.B - Fugitive emissions from fuels</t>
        </is>
      </c>
      <c r="B13" s="19">
        <f>+'Tabla de Emisiones y Remociones'!H45</f>
        <v/>
      </c>
      <c r="C13" s="20">
        <f>SUM(C14:C16)</f>
        <v/>
      </c>
      <c r="D13" s="20">
        <f>SUM(D14:D16)</f>
        <v/>
      </c>
      <c r="E13" s="20" t="n"/>
      <c r="F13" s="20" t="n"/>
      <c r="G13" s="20" t="n"/>
      <c r="H13" s="16" t="n"/>
    </row>
    <row r="14">
      <c r="A14" s="36" t="inlineStr">
        <is>
          <t>1.B - Fugitive emissions from fuels - Fugitive</t>
        </is>
      </c>
      <c r="B14" s="37">
        <f>B13*0.188</f>
        <v/>
      </c>
      <c r="C14" s="38">
        <f>B14*0.2</f>
        <v/>
      </c>
      <c r="D14" s="38">
        <f>B14*0.8</f>
        <v/>
      </c>
      <c r="E14" s="38" t="n"/>
      <c r="F14" s="38" t="n"/>
      <c r="G14" s="38" t="n"/>
      <c r="H14" s="16" t="n"/>
    </row>
    <row r="15">
      <c r="A15" s="36" t="inlineStr">
        <is>
          <t>1.B - Fugitive emissions from fuels - Venting</t>
        </is>
      </c>
      <c r="B15" s="37">
        <f>B13*0.58</f>
        <v/>
      </c>
      <c r="C15" s="38">
        <f>B15*0.3</f>
        <v/>
      </c>
      <c r="D15" s="38">
        <f>+B15*0.7</f>
        <v/>
      </c>
      <c r="E15" s="38" t="n"/>
      <c r="F15" s="38" t="n"/>
      <c r="G15" s="38" t="n"/>
      <c r="H15" s="16" t="n"/>
    </row>
    <row r="16">
      <c r="A16" s="36" t="inlineStr">
        <is>
          <t>1.B - Fugitive emissions from fuels - Flaring</t>
        </is>
      </c>
      <c r="B16" s="37">
        <f>B13*0.232</f>
        <v/>
      </c>
      <c r="C16" s="38">
        <f>B16*0.5</f>
        <v/>
      </c>
      <c r="D16" s="38">
        <f>B16*0.5</f>
        <v/>
      </c>
      <c r="E16" s="38" t="n"/>
      <c r="F16" s="38" t="n"/>
      <c r="G16" s="38" t="n"/>
      <c r="H16" s="16" t="n"/>
    </row>
    <row r="17">
      <c r="A17" s="2" t="inlineStr">
        <is>
          <t>1.C - Carbon dioxide Transport and Storage</t>
        </is>
      </c>
      <c r="B17" s="21">
        <f>+'Tabla de Emisiones y Remociones'!H46</f>
        <v/>
      </c>
      <c r="C17" s="21" t="n">
        <v>0</v>
      </c>
      <c r="D17" s="21" t="n">
        <v>0</v>
      </c>
      <c r="E17" s="21" t="n">
        <v>0</v>
      </c>
      <c r="F17" s="21" t="n">
        <v>0</v>
      </c>
      <c r="G17" s="21" t="n">
        <v>0</v>
      </c>
      <c r="H17" s="21" t="n">
        <v>0</v>
      </c>
    </row>
    <row r="18">
      <c r="A18" s="7" t="inlineStr">
        <is>
          <t>2 - Industrial Processes and Product Use</t>
        </is>
      </c>
      <c r="B18" s="22">
        <f>+'Tabla de Emisiones y Remociones'!H47</f>
        <v/>
      </c>
      <c r="C18" s="13">
        <f>+C19+C23+C26+C28+C29</f>
        <v/>
      </c>
      <c r="D18" s="13">
        <f>+D19+D23+D26+D28+D29</f>
        <v/>
      </c>
      <c r="E18" s="13">
        <f>+E19+E23+E26+E28+E29</f>
        <v/>
      </c>
      <c r="F18" s="13">
        <f>+F19+F23+F26+F28+F29</f>
        <v/>
      </c>
      <c r="G18" s="13">
        <f>+G29</f>
        <v/>
      </c>
      <c r="H18" s="13">
        <f>+SUM(C18:G18)</f>
        <v/>
      </c>
    </row>
    <row r="19">
      <c r="A19" s="6" t="inlineStr">
        <is>
          <t>2.A - Mineral Industry</t>
        </is>
      </c>
      <c r="B19" s="23">
        <f>+'Tabla de Emisiones y Remociones'!H48</f>
        <v/>
      </c>
      <c r="C19" s="24">
        <f>+C20+C21</f>
        <v/>
      </c>
      <c r="D19" s="24" t="n"/>
      <c r="E19" s="24" t="n"/>
      <c r="F19" s="24" t="n"/>
      <c r="G19" s="24" t="n"/>
      <c r="H19" s="16" t="n"/>
    </row>
    <row r="20">
      <c r="A20" s="5" t="inlineStr">
        <is>
          <t>2.A.1 - Cement production</t>
        </is>
      </c>
      <c r="B20" s="17">
        <f>+'Tabla de Emisiones y Remociones'!H49</f>
        <v/>
      </c>
      <c r="C20" s="16">
        <f>+B20*1</f>
        <v/>
      </c>
      <c r="D20" s="16" t="n"/>
      <c r="E20" s="16" t="n"/>
      <c r="F20" s="16" t="n"/>
      <c r="G20" s="16" t="n"/>
      <c r="H20" s="16" t="n"/>
    </row>
    <row r="21">
      <c r="A21" s="5" t="inlineStr">
        <is>
          <t>2.A.2 - Lime production</t>
        </is>
      </c>
      <c r="B21" s="17">
        <f>+'Tabla de Emisiones y Remociones'!H50</f>
        <v/>
      </c>
      <c r="C21" s="16">
        <f>+B21*1</f>
        <v/>
      </c>
      <c r="D21" s="16" t="n"/>
      <c r="E21" s="16" t="n"/>
      <c r="F21" s="16" t="n"/>
      <c r="G21" s="16" t="n"/>
      <c r="H21" s="16" t="n"/>
    </row>
    <row r="22">
      <c r="A22" s="5" t="inlineStr">
        <is>
          <t>2.A.3 - Glass production</t>
        </is>
      </c>
      <c r="B22" s="17" t="n">
        <v>0</v>
      </c>
      <c r="C22" s="16" t="n">
        <v>0</v>
      </c>
      <c r="D22" s="16" t="n"/>
      <c r="E22" s="16" t="n"/>
      <c r="F22" s="16" t="n"/>
      <c r="G22" s="16" t="n"/>
      <c r="H22" s="16" t="n"/>
    </row>
    <row r="23">
      <c r="A23" s="6" t="inlineStr">
        <is>
          <t>2.B - Chemical Industry</t>
        </is>
      </c>
      <c r="B23" s="23">
        <f>+'Tabla de Emisiones y Remociones'!H51</f>
        <v/>
      </c>
      <c r="C23" s="24">
        <f>+B23*0.35429321</f>
        <v/>
      </c>
      <c r="D23" s="24">
        <f>+B23*0.000491157</f>
        <v/>
      </c>
      <c r="E23" s="24">
        <f>+B23*0.051078759</f>
        <v/>
      </c>
      <c r="F23" s="24">
        <f>+B23*0.594136874</f>
        <v/>
      </c>
      <c r="G23" s="24" t="n"/>
      <c r="H23" s="16" t="n"/>
    </row>
    <row r="24">
      <c r="A24" s="5" t="inlineStr">
        <is>
          <t>2.B.1 - Ammonia Production</t>
        </is>
      </c>
      <c r="B24" s="17">
        <f>+'Tabla de Emisiones y Remociones'!H52</f>
        <v/>
      </c>
      <c r="C24" s="16">
        <f>+B24*0.35429321</f>
        <v/>
      </c>
      <c r="D24" s="16">
        <f>+B24*0.000491157</f>
        <v/>
      </c>
      <c r="E24" s="16">
        <f>+B24*0.051078759</f>
        <v/>
      </c>
      <c r="F24" s="16">
        <f>+B24*0.594136874</f>
        <v/>
      </c>
      <c r="G24" s="16" t="n"/>
      <c r="H24" s="16" t="n"/>
    </row>
    <row r="25">
      <c r="A25" s="5" t="inlineStr">
        <is>
          <t>2.B.8 - Petrochemical and Carbon Black Production</t>
        </is>
      </c>
      <c r="B25" s="17">
        <f>+'Tabla de Emisiones y Remociones'!H53</f>
        <v/>
      </c>
      <c r="C25" s="16">
        <f>+B25*0.35429321</f>
        <v/>
      </c>
      <c r="D25" s="16">
        <f>+B25*0.000491157</f>
        <v/>
      </c>
      <c r="E25" s="16">
        <f>+B25*0.051078759</f>
        <v/>
      </c>
      <c r="F25" s="16">
        <f>+B25*0.594136874</f>
        <v/>
      </c>
      <c r="G25" s="16" t="n"/>
      <c r="H25" s="16" t="n"/>
    </row>
    <row r="26">
      <c r="A26" s="6" t="inlineStr">
        <is>
          <t>2.C - Metal Industry</t>
        </is>
      </c>
      <c r="B26" s="23">
        <f>+'Tabla de Emisiones y Remociones'!H54</f>
        <v/>
      </c>
      <c r="C26" s="24">
        <f>+C27</f>
        <v/>
      </c>
      <c r="D26" s="24">
        <f>+D27</f>
        <v/>
      </c>
      <c r="E26" s="24" t="n"/>
      <c r="F26" s="24" t="n"/>
      <c r="G26" s="24" t="n"/>
      <c r="H26" s="16" t="n"/>
    </row>
    <row r="27">
      <c r="A27" s="5" t="inlineStr">
        <is>
          <t>2.C.1 - Iron and Steel Production</t>
        </is>
      </c>
      <c r="B27" s="17">
        <f>+'Tabla de Emisiones y Remociones'!H55</f>
        <v/>
      </c>
      <c r="C27" s="16">
        <f>+B27*0.98</f>
        <v/>
      </c>
      <c r="D27" s="16">
        <f>+B27*0.02</f>
        <v/>
      </c>
      <c r="E27" s="16" t="n"/>
      <c r="F27" s="16" t="n"/>
      <c r="G27" s="16" t="n"/>
      <c r="H27" s="16" t="n"/>
    </row>
    <row r="28">
      <c r="A28" s="6" t="inlineStr">
        <is>
          <t>2.D - Non-Energy Products from Fuels and Solvent Use</t>
        </is>
      </c>
      <c r="B28" s="23">
        <f>+'Tabla de Emisiones y Remociones'!H56</f>
        <v/>
      </c>
      <c r="C28" s="24">
        <f>+B28</f>
        <v/>
      </c>
      <c r="D28" s="24" t="n"/>
      <c r="E28" s="24" t="n"/>
      <c r="F28" s="24" t="n"/>
      <c r="G28" s="24" t="n"/>
      <c r="H28" s="16" t="n"/>
    </row>
    <row r="29">
      <c r="A29" s="6" t="inlineStr">
        <is>
          <t>2.F - Product Uses as Substitutes for Ozone Depleting Substances</t>
        </is>
      </c>
      <c r="B29" s="23">
        <f>+'Tabla de Emisiones y Remociones'!H57</f>
        <v/>
      </c>
      <c r="C29" s="24" t="n"/>
      <c r="D29" s="24" t="n"/>
      <c r="E29" s="24" t="n"/>
      <c r="F29" s="24">
        <f>+F30</f>
        <v/>
      </c>
      <c r="G29" s="24">
        <f>+G30</f>
        <v/>
      </c>
      <c r="H29" s="16" t="n"/>
    </row>
    <row r="30">
      <c r="A30" s="5" t="inlineStr">
        <is>
          <t>2.F.1 - Refrigeration and Air Conditioning</t>
        </is>
      </c>
      <c r="B30" s="17">
        <f>+'Tabla de Emisiones y Remociones'!H58</f>
        <v/>
      </c>
      <c r="C30" s="16" t="n"/>
      <c r="D30" s="16" t="n"/>
      <c r="E30" s="16" t="n"/>
      <c r="F30" s="17">
        <f>+B30/2</f>
        <v/>
      </c>
      <c r="G30" s="16">
        <f>+B30/2</f>
        <v/>
      </c>
      <c r="H30" s="16" t="n"/>
    </row>
    <row r="31">
      <c r="A31" s="8" t="inlineStr">
        <is>
          <t>3 - Agriculture, Forestry, and Other Land Use</t>
        </is>
      </c>
      <c r="B31" s="25">
        <f>+'Tabla de Emisiones y Remociones'!H59</f>
        <v/>
      </c>
      <c r="C31" s="26">
        <f>+SUM(C32+C35+CC2737)</f>
        <v/>
      </c>
      <c r="D31" s="26">
        <f>+SUM(D32+D37)</f>
        <v/>
      </c>
      <c r="E31" s="26">
        <f>+SUM(E32+E37)</f>
        <v/>
      </c>
      <c r="F31" s="26" t="n"/>
      <c r="G31" s="26" t="n"/>
      <c r="H31" s="26">
        <f>+SUM(C31:G31)</f>
        <v/>
      </c>
    </row>
    <row r="32">
      <c r="A32" s="9" t="inlineStr">
        <is>
          <t>3.A - Livestock</t>
        </is>
      </c>
      <c r="B32" s="27">
        <f>+'Tabla de Emisiones y Remociones'!H60</f>
        <v/>
      </c>
      <c r="C32" s="28" t="n"/>
      <c r="D32" s="28">
        <f>+D33+D34</f>
        <v/>
      </c>
      <c r="E32" s="28">
        <f>+E33+E34</f>
        <v/>
      </c>
      <c r="F32" s="28" t="n"/>
      <c r="G32" s="28" t="n"/>
      <c r="H32" s="16" t="n"/>
    </row>
    <row r="33">
      <c r="A33" s="5" t="inlineStr">
        <is>
          <t>3.A.1 - Enteric Fermentation</t>
        </is>
      </c>
      <c r="B33" s="17">
        <f>+'Tabla de Emisiones y Remociones'!H61</f>
        <v/>
      </c>
      <c r="C33" s="16" t="n"/>
      <c r="D33" s="16">
        <f>+B33*0.996032041</f>
        <v/>
      </c>
      <c r="E33" s="16">
        <f>+B33*0.003967959</f>
        <v/>
      </c>
      <c r="F33" s="16" t="n"/>
      <c r="G33" s="16" t="n"/>
      <c r="H33" s="16" t="n"/>
    </row>
    <row r="34">
      <c r="A34" s="5" t="inlineStr">
        <is>
          <t>3.A.2 - Manure Management</t>
        </is>
      </c>
      <c r="B34" s="17">
        <f>+'Tabla de Emisiones y Remociones'!H62</f>
        <v/>
      </c>
      <c r="C34" s="16" t="n"/>
      <c r="D34" s="16">
        <f>+B34</f>
        <v/>
      </c>
      <c r="E34" s="16" t="n"/>
      <c r="F34" s="16" t="n"/>
      <c r="G34" s="16" t="n"/>
      <c r="H34" s="16" t="n"/>
    </row>
    <row r="35">
      <c r="A35" s="9" t="inlineStr">
        <is>
          <t>3.B - Land</t>
        </is>
      </c>
      <c r="B35" s="27">
        <f>+B36</f>
        <v/>
      </c>
      <c r="C35" s="27">
        <f>+C36</f>
        <v/>
      </c>
      <c r="D35" s="28" t="n"/>
      <c r="E35" s="28" t="n"/>
      <c r="F35" s="28" t="n"/>
      <c r="G35" s="28" t="n"/>
      <c r="H35" s="28" t="n"/>
    </row>
    <row r="36">
      <c r="A36" s="5" t="inlineStr">
        <is>
          <t>3.B.1 - Forest land</t>
        </is>
      </c>
      <c r="B36" s="17">
        <f>+'Tabla de Emisiones y Remociones'!H63</f>
        <v/>
      </c>
      <c r="C36" s="17">
        <f>+B36</f>
        <v/>
      </c>
      <c r="D36" s="16" t="n"/>
      <c r="E36" s="16" t="n"/>
      <c r="F36" s="16" t="n"/>
      <c r="G36" s="16" t="n"/>
      <c r="H36" s="16" t="n"/>
    </row>
    <row r="37">
      <c r="A37" s="9" t="inlineStr">
        <is>
          <t>3.C - Aggregate sources and non-CO2 emissions sources on land</t>
        </is>
      </c>
      <c r="B37" s="27">
        <f>+'Tabla de Emisiones y Remociones'!H64</f>
        <v/>
      </c>
      <c r="C37" s="28">
        <f>+SUM(C38:C43)</f>
        <v/>
      </c>
      <c r="D37" s="28">
        <f>+SUM(D38:D43)</f>
        <v/>
      </c>
      <c r="E37" s="28">
        <f>+SUM(E38:E43)</f>
        <v/>
      </c>
      <c r="F37" s="28" t="n"/>
      <c r="G37" s="28" t="n"/>
      <c r="H37" s="16" t="n"/>
    </row>
    <row r="38">
      <c r="A38" s="5" t="inlineStr">
        <is>
          <t>3.C.1 - Burning</t>
        </is>
      </c>
      <c r="B38" s="17">
        <f>+'Tabla de Emisiones y Remociones'!H65</f>
        <v/>
      </c>
      <c r="C38" s="16" t="n"/>
      <c r="D38" s="16">
        <f>+B38*0.996032041</f>
        <v/>
      </c>
      <c r="E38" s="16">
        <f>+B38*0.003967959</f>
        <v/>
      </c>
      <c r="F38" s="16" t="n"/>
      <c r="G38" s="16" t="n"/>
      <c r="H38" s="16" t="n"/>
    </row>
    <row r="39">
      <c r="A39" s="5" t="inlineStr">
        <is>
          <t>3.C.2 - Liming</t>
        </is>
      </c>
      <c r="B39" s="17">
        <f>+'Tabla de Emisiones y Remociones'!H66</f>
        <v/>
      </c>
      <c r="C39" s="16" t="n">
        <v>0</v>
      </c>
      <c r="D39" s="16" t="n">
        <v>0</v>
      </c>
      <c r="E39" s="16" t="n">
        <v>0</v>
      </c>
      <c r="F39" s="16" t="n"/>
      <c r="G39" s="16" t="n"/>
      <c r="H39" s="16" t="n"/>
    </row>
    <row r="40">
      <c r="A40" s="5" t="inlineStr">
        <is>
          <t>3.C.3 - Urea application</t>
        </is>
      </c>
      <c r="B40" s="17">
        <f>+'Tabla de Emisiones y Remociones'!H67</f>
        <v/>
      </c>
      <c r="C40" s="16">
        <f>+B40</f>
        <v/>
      </c>
      <c r="D40" s="16" t="n"/>
      <c r="E40" s="16" t="n"/>
      <c r="F40" s="16" t="n"/>
      <c r="G40" s="16" t="n"/>
      <c r="H40" s="16" t="n"/>
    </row>
    <row r="41">
      <c r="A41" s="5" t="inlineStr">
        <is>
          <t>3.C.4 - Direct N2O Emissions from managed soils</t>
        </is>
      </c>
      <c r="B41" s="17">
        <f>+'Tabla de Emisiones y Remociones'!H68</f>
        <v/>
      </c>
      <c r="C41" s="16" t="n"/>
      <c r="D41" s="16" t="n"/>
      <c r="E41" s="16">
        <f>+B41</f>
        <v/>
      </c>
      <c r="F41" s="16" t="n"/>
      <c r="G41" s="16" t="n"/>
      <c r="H41" s="16" t="n"/>
    </row>
    <row r="42">
      <c r="A42" s="5" t="inlineStr">
        <is>
          <t>3.C.5 - Indirect N2O Emissions from managed soils</t>
        </is>
      </c>
      <c r="B42" s="17">
        <f>+'Tabla de Emisiones y Remociones'!H69</f>
        <v/>
      </c>
      <c r="C42" s="16" t="n"/>
      <c r="D42" s="16" t="n"/>
      <c r="E42" s="16">
        <f>+B42</f>
        <v/>
      </c>
      <c r="F42" s="16" t="n"/>
      <c r="G42" s="16" t="n"/>
      <c r="H42" s="16" t="n"/>
    </row>
    <row r="43">
      <c r="A43" s="5" t="inlineStr">
        <is>
          <t>3.C.6 - Indirect N2O Emissions from manure management</t>
        </is>
      </c>
      <c r="B43" s="17">
        <f>+'Tabla de Emisiones y Remociones'!H70</f>
        <v/>
      </c>
      <c r="C43" s="16" t="n"/>
      <c r="D43" s="16" t="n"/>
      <c r="E43" s="16">
        <f>+B43</f>
        <v/>
      </c>
      <c r="F43" s="16" t="n"/>
      <c r="G43" s="16" t="n"/>
      <c r="H43" s="16" t="n"/>
    </row>
    <row r="44">
      <c r="A44" s="10" t="inlineStr">
        <is>
          <t>4 - Waste</t>
        </is>
      </c>
      <c r="B44" s="29">
        <f>+'Tabla de Emisiones y Remociones'!H71</f>
        <v/>
      </c>
      <c r="C44" s="15" t="n"/>
      <c r="D44" s="15">
        <f>+SUM(D45:D46)</f>
        <v/>
      </c>
      <c r="E44" s="15">
        <f>+SUM(E45:E46)</f>
        <v/>
      </c>
      <c r="F44" s="15" t="n"/>
      <c r="G44" s="15" t="n"/>
      <c r="H44" s="15">
        <f>+SUM(C44:G44)</f>
        <v/>
      </c>
    </row>
    <row r="45">
      <c r="A45" s="4" t="inlineStr">
        <is>
          <t>4.A - Solid Waste Disposal</t>
        </is>
      </c>
      <c r="B45" s="17">
        <f>+'Tabla de Emisiones y Remociones'!H72</f>
        <v/>
      </c>
      <c r="C45" s="16" t="n"/>
      <c r="D45" s="16">
        <f>+B45</f>
        <v/>
      </c>
      <c r="E45" s="16" t="n"/>
      <c r="F45" s="16" t="n"/>
      <c r="G45" s="16" t="n"/>
      <c r="H45" s="16" t="n"/>
    </row>
    <row r="46">
      <c r="A46" s="4" t="inlineStr">
        <is>
          <t>4.D - Wastewater Treatment and Discharge</t>
        </is>
      </c>
      <c r="B46" s="17">
        <f>+'Tabla de Emisiones y Remociones'!H73</f>
        <v/>
      </c>
      <c r="C46" s="16" t="n"/>
      <c r="D46" s="16">
        <f>+B46*0.910430473</f>
        <v/>
      </c>
      <c r="E46" s="16">
        <f>+B46*0.089569527</f>
        <v/>
      </c>
      <c r="F46" s="16" t="n"/>
      <c r="G46" s="16" t="n"/>
      <c r="H46" s="16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39" t="inlineStr">
        <is>
          <t>Correccion al desglose 1.A.1 - Energy Industries</t>
        </is>
      </c>
    </row>
    <row r="2">
      <c r="A2" t="inlineStr"/>
    </row>
    <row r="3">
      <c r="A3" s="40" t="inlineStr">
        <is>
          <t>Problema detectado en version anterior:</t>
        </is>
      </c>
    </row>
    <row r="4">
      <c r="A4" t="inlineStr">
        <is>
          <t xml:space="preserve">  - Las celdas de '1.A.1 - Electricity and Heat Generation' y '1.A.1 - Fuel Production'</t>
        </is>
      </c>
    </row>
    <row r="5">
      <c r="A5" t="inlineStr">
        <is>
          <t xml:space="preserve">    contenian la formula =B$5/2 (split 50/50 hard-coded en el archivo).</t>
        </is>
      </c>
    </row>
    <row r="6">
      <c r="A6" t="inlineStr">
        <is>
          <t xml:space="preserve">  - Las dos filas eran identicas en los 7 anos (2017-2023) y para los 3 gases (CO2, CH4, N2O).</t>
        </is>
      </c>
    </row>
    <row r="7">
      <c r="A7" t="inlineStr">
        <is>
          <t xml:space="preserve">  - No tiene fundamento metodologico: el dato fuente entrega 1.A.1 agregado.</t>
        </is>
      </c>
    </row>
    <row r="8">
      <c r="A8" t="inlineStr"/>
    </row>
    <row r="9">
      <c r="A9" s="40" t="inlineStr">
        <is>
          <t>Metodologia aplicada en esta version:</t>
        </is>
      </c>
    </row>
    <row r="10">
      <c r="A10" t="inlineStr">
        <is>
          <t xml:space="preserve">  - Split 70% Electricity &amp; Heat Generation / 30% Fuel Production.</t>
        </is>
      </c>
    </row>
    <row r="11">
      <c r="A11" t="inlineStr">
        <is>
          <t xml:space="preserve">  - Implementado como formulas: '=+B$5*0.70' y '=+B$5*0.30' (analogo para C, D, E).</t>
        </is>
      </c>
    </row>
    <row r="12">
      <c r="A12" t="inlineStr">
        <is>
          <t xml:space="preserve">  - El padre '1.A.1 - Energy Industries' no se modifica.</t>
        </is>
      </c>
    </row>
    <row r="13">
      <c r="A13" t="inlineStr"/>
    </row>
    <row r="14">
      <c r="A14" s="40" t="inlineStr">
        <is>
          <t>Justificacion del 70/30 para Libia:</t>
        </is>
      </c>
    </row>
    <row r="15">
      <c r="A15" t="inlineStr">
        <is>
          <t xml:space="preserve">  1. Bottom-up con slide 14 NDC (mix de combustibles power gen 2023 = 12.2 Mtoe):</t>
        </is>
      </c>
    </row>
    <row r="16">
      <c r="A16" t="inlineStr">
        <is>
          <t xml:space="preserve">     NG 7.385 + FO 0.740 + Dsl 3.234 + Otros 0.803 con factores IPCC 2006 -&gt; ~32.3 Mt CO2.</t>
        </is>
      </c>
    </row>
    <row r="17">
      <c r="A17" t="inlineStr">
        <is>
          <t xml:space="preserve">     Implicito ~99% del total 1.A.1 (probablemente sobre-estimado en slide 14).</t>
        </is>
      </c>
    </row>
    <row r="18">
      <c r="A18" t="inlineStr">
        <is>
          <t xml:space="preserve">  2. Top-down con generacion electrica real Libia 2023 (~35 TWh x ~600 g CO2/kWh):</t>
        </is>
      </c>
    </row>
    <row r="19">
      <c r="A19" t="inlineStr">
        <is>
          <t xml:space="preserve">     ~21 Mt CO2 -&gt; ~65% del total 1.A.1.</t>
        </is>
      </c>
    </row>
    <row r="20">
      <c r="A20" t="inlineStr">
        <is>
          <t xml:space="preserve">  3. EDGAR v8.0 / IEA Energy Balances para Libia: 1.A.1.a (electricidad) ~70-75%.</t>
        </is>
      </c>
    </row>
    <row r="21">
      <c r="A21" t="inlineStr"/>
    </row>
    <row r="22">
      <c r="A22" t="inlineStr">
        <is>
          <t xml:space="preserve">  Promedio defendible ~ 70% electricidad / 30% fuel production.</t>
        </is>
      </c>
    </row>
    <row r="23">
      <c r="A23" t="inlineStr"/>
    </row>
    <row r="24">
      <c r="A24" s="40" t="inlineStr">
        <is>
          <t>Como cambiar el split (sin script):</t>
        </is>
      </c>
    </row>
    <row r="25">
      <c r="A25" t="inlineStr">
        <is>
          <t xml:space="preserve">  - Hacer find/replace en el archivo: cambiar '*0.7' por el nuevo % de electricidad</t>
        </is>
      </c>
    </row>
    <row r="26">
      <c r="A26" t="inlineStr">
        <is>
          <t xml:space="preserve">    y '*0.3' por el complemento. Aplicar en las 4 columnas de cada hoja anual.</t>
        </is>
      </c>
    </row>
    <row r="27">
      <c r="A27" t="inlineStr">
        <is>
          <t xml:space="preserve">  - Si tienes el NIR oficial de Libia con 1.A.1.a/b/c desglosado, reemplaza directo.</t>
        </is>
      </c>
    </row>
    <row r="28">
      <c r="A28" t="inlineStr"/>
    </row>
    <row r="29">
      <c r="A29" t="inlineStr">
        <is>
          <t>Generado: 2026-05-05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2026-04-27T21:10:37Z</dcterms:created>
  <dcterms:modified xmlns:dcterms="http://purl.org/dc/terms/" xmlns:xsi="http://www.w3.org/2001/XMLSchema-instance" xsi:type="dcterms:W3CDTF">2026-05-05T18:31:58Z</dcterms:modified>
  <cp:lastModifiedBy>Carlos Fabian Fuentes Rivas</cp:lastModifiedBy>
</cp:coreProperties>
</file>