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abianfuentes/Downloads/"/>
    </mc:Choice>
  </mc:AlternateContent>
  <xr:revisionPtr revIDLastSave="0" documentId="13_ncr:1_{2A987C64-CBE0-7449-B84D-242E07F5248F}" xr6:coauthVersionLast="47" xr6:coauthVersionMax="47" xr10:uidLastSave="{00000000-0000-0000-0000-000000000000}"/>
  <bookViews>
    <workbookView xWindow="-45740" yWindow="-7160" windowWidth="43980" windowHeight="28200" tabRatio="500" activeTab="5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definedNames>
    <definedName name="_xlchart.v1.0" hidden="1">Summary!$C$121</definedName>
    <definedName name="_xlchart.v1.1" hidden="1">Summary!$C$122:$C$152</definedName>
    <definedName name="_xlchart.v1.10" hidden="1">Summary!$C$121</definedName>
    <definedName name="_xlchart.v1.11" hidden="1">Summary!$C$122:$C$152</definedName>
    <definedName name="_xlchart.v1.12" hidden="1">Summary!$D$121</definedName>
    <definedName name="_xlchart.v1.13" hidden="1">Summary!$D$122:$D$152</definedName>
    <definedName name="_xlchart.v1.14" hidden="1">Summary!$E$121</definedName>
    <definedName name="_xlchart.v1.15" hidden="1">Summary!$E$122:$E$152</definedName>
    <definedName name="_xlchart.v1.16" hidden="1">Summary!$F$121</definedName>
    <definedName name="_xlchart.v1.17" hidden="1">Summary!$F$122:$F$152</definedName>
    <definedName name="_xlchart.v1.18" hidden="1">Summary!$G$201</definedName>
    <definedName name="_xlchart.v1.19" hidden="1">Summary!$G$202:$G$232</definedName>
    <definedName name="_xlchart.v1.2" hidden="1">Summary!$D$121</definedName>
    <definedName name="_xlchart.v1.3" hidden="1">Summary!$D$122:$D$152</definedName>
    <definedName name="_xlchart.v1.4" hidden="1">Summary!$E$121</definedName>
    <definedName name="_xlchart.v1.5" hidden="1">Summary!$E$122:$E$152</definedName>
    <definedName name="_xlchart.v1.6" hidden="1">Summary!$F$121</definedName>
    <definedName name="_xlchart.v1.7" hidden="1">Summary!$F$122:$F$152</definedName>
    <definedName name="_xlchart.v1.8" hidden="1">Summary!$G$201</definedName>
    <definedName name="_xlchart.v1.9" hidden="1">Summary!$G$202:$G$232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D31" i="4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02" i="6"/>
  <c r="B16" i="2"/>
  <c r="B26" i="2"/>
  <c r="D40" i="5"/>
  <c r="D11" i="3" l="1"/>
  <c r="D9" i="4" l="1"/>
  <c r="D10" i="5" s="1"/>
  <c r="D8" i="4"/>
  <c r="E8" i="4"/>
  <c r="D5" i="5"/>
  <c r="D6" i="5"/>
  <c r="D7" i="5"/>
  <c r="D13" i="5"/>
  <c r="D9" i="5" l="1"/>
  <c r="D10" i="4"/>
  <c r="AH9" i="4" l="1"/>
  <c r="AG9" i="4"/>
  <c r="D151" i="6" s="1"/>
  <c r="AF9" i="4"/>
  <c r="AE9" i="4"/>
  <c r="D149" i="6" s="1"/>
  <c r="AD9" i="4"/>
  <c r="AC9" i="4"/>
  <c r="AB9" i="4"/>
  <c r="D146" i="6" s="1"/>
  <c r="AA9" i="4"/>
  <c r="D145" i="6" s="1"/>
  <c r="Z9" i="4"/>
  <c r="Y9" i="4"/>
  <c r="X9" i="4"/>
  <c r="D142" i="6" s="1"/>
  <c r="W9" i="4"/>
  <c r="D141" i="6" s="1"/>
  <c r="V9" i="4"/>
  <c r="D140" i="6" s="1"/>
  <c r="U9" i="4"/>
  <c r="D139" i="6" s="1"/>
  <c r="T9" i="4"/>
  <c r="D138" i="6" s="1"/>
  <c r="S9" i="4"/>
  <c r="D137" i="6" s="1"/>
  <c r="R9" i="4"/>
  <c r="Q9" i="4"/>
  <c r="P9" i="4"/>
  <c r="O9" i="4"/>
  <c r="N9" i="4"/>
  <c r="M9" i="4"/>
  <c r="L9" i="4"/>
  <c r="D130" i="6" s="1"/>
  <c r="K9" i="4"/>
  <c r="D129" i="6" s="1"/>
  <c r="J9" i="4"/>
  <c r="D128" i="6" s="1"/>
  <c r="I9" i="4"/>
  <c r="D127" i="6" s="1"/>
  <c r="H9" i="4"/>
  <c r="D126" i="6" s="1"/>
  <c r="G9" i="4"/>
  <c r="D125" i="6" s="1"/>
  <c r="F9" i="4"/>
  <c r="D124" i="6" s="1"/>
  <c r="E9" i="4"/>
  <c r="D122" i="6"/>
  <c r="AH8" i="4"/>
  <c r="AH10" i="4" s="1"/>
  <c r="AG8" i="4"/>
  <c r="AF8" i="4"/>
  <c r="AE8" i="4"/>
  <c r="AD8" i="4"/>
  <c r="AC8" i="4"/>
  <c r="C147" i="6" s="1"/>
  <c r="AB8" i="4"/>
  <c r="AA8" i="4"/>
  <c r="Z8" i="4"/>
  <c r="C144" i="6" s="1"/>
  <c r="Y8" i="4"/>
  <c r="C143" i="6" s="1"/>
  <c r="X8" i="4"/>
  <c r="C142" i="6" s="1"/>
  <c r="W8" i="4"/>
  <c r="C141" i="6" s="1"/>
  <c r="V8" i="4"/>
  <c r="C140" i="6" s="1"/>
  <c r="U8" i="4"/>
  <c r="T8" i="4"/>
  <c r="S8" i="4"/>
  <c r="R8" i="4"/>
  <c r="Q8" i="4"/>
  <c r="P8" i="4"/>
  <c r="O8" i="4"/>
  <c r="N8" i="4"/>
  <c r="M8" i="4"/>
  <c r="C131" i="6" s="1"/>
  <c r="L8" i="4"/>
  <c r="C130" i="6" s="1"/>
  <c r="K8" i="4"/>
  <c r="C129" i="6" s="1"/>
  <c r="J8" i="4"/>
  <c r="C128" i="6" s="1"/>
  <c r="I8" i="4"/>
  <c r="H8" i="4"/>
  <c r="G8" i="4"/>
  <c r="F8" i="4"/>
  <c r="AH16" i="3"/>
  <c r="AH17" i="3" s="1"/>
  <c r="AG16" i="3"/>
  <c r="AG17" i="3" s="1"/>
  <c r="AF16" i="3"/>
  <c r="AF17" i="3" s="1"/>
  <c r="AE16" i="3"/>
  <c r="AE17" i="3" s="1"/>
  <c r="AD16" i="3"/>
  <c r="AD17" i="3" s="1"/>
  <c r="AC16" i="3"/>
  <c r="AC17" i="3" s="1"/>
  <c r="AB16" i="3"/>
  <c r="AB17" i="3" s="1"/>
  <c r="AA16" i="3"/>
  <c r="AA17" i="3" s="1"/>
  <c r="Z16" i="3"/>
  <c r="Z17" i="3" s="1"/>
  <c r="Y16" i="3"/>
  <c r="Y17" i="3" s="1"/>
  <c r="X16" i="3"/>
  <c r="X17" i="3" s="1"/>
  <c r="W16" i="3"/>
  <c r="W17" i="3" s="1"/>
  <c r="V16" i="3"/>
  <c r="V17" i="3" s="1"/>
  <c r="U16" i="3"/>
  <c r="U17" i="3" s="1"/>
  <c r="T16" i="3"/>
  <c r="T17" i="3" s="1"/>
  <c r="S16" i="3"/>
  <c r="S17" i="3" s="1"/>
  <c r="R16" i="3"/>
  <c r="R17" i="3" s="1"/>
  <c r="Q16" i="3"/>
  <c r="Q17" i="3" s="1"/>
  <c r="P16" i="3"/>
  <c r="P17" i="3" s="1"/>
  <c r="O16" i="3"/>
  <c r="O17" i="3" s="1"/>
  <c r="N16" i="3"/>
  <c r="N17" i="3" s="1"/>
  <c r="M16" i="3"/>
  <c r="M17" i="3" s="1"/>
  <c r="L16" i="3"/>
  <c r="L17" i="3" s="1"/>
  <c r="K16" i="3"/>
  <c r="K17" i="3" s="1"/>
  <c r="J16" i="3"/>
  <c r="J17" i="3" s="1"/>
  <c r="I16" i="3"/>
  <c r="I17" i="3" s="1"/>
  <c r="H16" i="3"/>
  <c r="H17" i="3" s="1"/>
  <c r="G16" i="3"/>
  <c r="G17" i="3" s="1"/>
  <c r="F16" i="3"/>
  <c r="F17" i="3" s="1"/>
  <c r="E16" i="3"/>
  <c r="E17" i="3" s="1"/>
  <c r="D16" i="3"/>
  <c r="D17" i="3" s="1"/>
  <c r="D6" i="4" s="1"/>
  <c r="F13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S7" i="3"/>
  <c r="S14" i="3" s="1"/>
  <c r="AH6" i="3"/>
  <c r="C5" i="6" s="1"/>
  <c r="AG6" i="3"/>
  <c r="AF6" i="3"/>
  <c r="AE6" i="3"/>
  <c r="AD6" i="3"/>
  <c r="AD7" i="3" s="1"/>
  <c r="AD14" i="3" s="1"/>
  <c r="AC6" i="3"/>
  <c r="AB6" i="3"/>
  <c r="AB7" i="3" s="1"/>
  <c r="AA6" i="3"/>
  <c r="Z6" i="3"/>
  <c r="Y6" i="3"/>
  <c r="X6" i="3"/>
  <c r="W6" i="3"/>
  <c r="V6" i="3"/>
  <c r="U6" i="3"/>
  <c r="T6" i="3"/>
  <c r="S6" i="3"/>
  <c r="R6" i="3"/>
  <c r="Q6" i="3"/>
  <c r="P6" i="3"/>
  <c r="P7" i="3" s="1"/>
  <c r="O6" i="3"/>
  <c r="N6" i="3"/>
  <c r="M6" i="3"/>
  <c r="L6" i="3"/>
  <c r="K6" i="3"/>
  <c r="J6" i="3"/>
  <c r="I6" i="3"/>
  <c r="H6" i="3"/>
  <c r="G6" i="3"/>
  <c r="F6" i="3"/>
  <c r="E6" i="3"/>
  <c r="D6" i="3"/>
  <c r="B5" i="6" s="1"/>
  <c r="AH5" i="3"/>
  <c r="C4" i="6" s="1"/>
  <c r="AG5" i="3"/>
  <c r="AF5" i="3"/>
  <c r="AE5" i="3"/>
  <c r="AD5" i="3"/>
  <c r="AD15" i="3" s="1"/>
  <c r="AD14" i="4" s="1"/>
  <c r="AC5" i="3"/>
  <c r="AC13" i="3" s="1"/>
  <c r="AB5" i="3"/>
  <c r="AA5" i="3"/>
  <c r="Z5" i="3"/>
  <c r="Y5" i="3"/>
  <c r="X5" i="3"/>
  <c r="X13" i="3" s="1"/>
  <c r="W5" i="3"/>
  <c r="V5" i="3"/>
  <c r="U5" i="3"/>
  <c r="U13" i="3" s="1"/>
  <c r="T5" i="3"/>
  <c r="S5" i="3"/>
  <c r="R5" i="3"/>
  <c r="R13" i="3" s="1"/>
  <c r="Q5" i="3"/>
  <c r="P5" i="3"/>
  <c r="P15" i="3" s="1"/>
  <c r="P14" i="4" s="1"/>
  <c r="O5" i="3"/>
  <c r="O15" i="3" s="1"/>
  <c r="O14" i="4" s="1"/>
  <c r="N5" i="3"/>
  <c r="M5" i="3"/>
  <c r="L5" i="3"/>
  <c r="K5" i="3"/>
  <c r="J5" i="3"/>
  <c r="J13" i="3" s="1"/>
  <c r="I5" i="3"/>
  <c r="H5" i="3"/>
  <c r="G5" i="3"/>
  <c r="F5" i="3"/>
  <c r="F15" i="3" s="1"/>
  <c r="F14" i="4" s="1"/>
  <c r="E5" i="3"/>
  <c r="E15" i="3" s="1"/>
  <c r="E14" i="4" s="1"/>
  <c r="D5" i="3"/>
  <c r="D15" i="3" s="1"/>
  <c r="D14" i="4" s="1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V30" i="5" s="1"/>
  <c r="U29" i="5"/>
  <c r="T29" i="5"/>
  <c r="S29" i="5"/>
  <c r="S30" i="5" s="1"/>
  <c r="R29" i="5"/>
  <c r="Q29" i="5"/>
  <c r="P29" i="5"/>
  <c r="O29" i="5"/>
  <c r="N29" i="5"/>
  <c r="M29" i="5"/>
  <c r="L29" i="5"/>
  <c r="K29" i="5"/>
  <c r="J29" i="5"/>
  <c r="I29" i="5"/>
  <c r="H29" i="5"/>
  <c r="G29" i="5"/>
  <c r="G30" i="5" s="1"/>
  <c r="F29" i="5"/>
  <c r="E29" i="5"/>
  <c r="D29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X10" i="5"/>
  <c r="L142" i="6" s="1"/>
  <c r="Z9" i="5"/>
  <c r="K144" i="6" s="1"/>
  <c r="AH7" i="5"/>
  <c r="AG7" i="5"/>
  <c r="AF7" i="5"/>
  <c r="AE7" i="5"/>
  <c r="AD7" i="5"/>
  <c r="AC7" i="5"/>
  <c r="AB7" i="5"/>
  <c r="AA7" i="5"/>
  <c r="AA30" i="5" s="1"/>
  <c r="Z7" i="5"/>
  <c r="Z30" i="5" s="1"/>
  <c r="Y7" i="5"/>
  <c r="Y30" i="5" s="1"/>
  <c r="X7" i="5"/>
  <c r="W7" i="5"/>
  <c r="V7" i="5"/>
  <c r="U7" i="5"/>
  <c r="T7" i="5"/>
  <c r="S7" i="5"/>
  <c r="R7" i="5"/>
  <c r="Q7" i="5"/>
  <c r="P7" i="5"/>
  <c r="O7" i="5"/>
  <c r="O30" i="5" s="1"/>
  <c r="N7" i="5"/>
  <c r="N30" i="5" s="1"/>
  <c r="M7" i="5"/>
  <c r="M30" i="5" s="1"/>
  <c r="L7" i="5"/>
  <c r="K7" i="5"/>
  <c r="J7" i="5"/>
  <c r="I7" i="5"/>
  <c r="H7" i="5"/>
  <c r="G7" i="5"/>
  <c r="F7" i="5"/>
  <c r="E7" i="5"/>
  <c r="AH6" i="5"/>
  <c r="AH10" i="5" s="1"/>
  <c r="AG6" i="5"/>
  <c r="AG10" i="5" s="1"/>
  <c r="L151" i="6" s="1"/>
  <c r="AF6" i="5"/>
  <c r="AF10" i="5" s="1"/>
  <c r="L150" i="6" s="1"/>
  <c r="AE6" i="5"/>
  <c r="AE10" i="5" s="1"/>
  <c r="L149" i="6" s="1"/>
  <c r="AD6" i="5"/>
  <c r="AD10" i="5" s="1"/>
  <c r="AC6" i="5"/>
  <c r="AC10" i="5" s="1"/>
  <c r="AB6" i="5"/>
  <c r="AA6" i="5"/>
  <c r="Z6" i="5"/>
  <c r="Z10" i="5" s="1"/>
  <c r="L144" i="6" s="1"/>
  <c r="Y6" i="5"/>
  <c r="Y10" i="5" s="1"/>
  <c r="L143" i="6" s="1"/>
  <c r="X6" i="5"/>
  <c r="W6" i="5"/>
  <c r="W10" i="5" s="1"/>
  <c r="L141" i="6" s="1"/>
  <c r="V6" i="5"/>
  <c r="V10" i="5" s="1"/>
  <c r="L140" i="6" s="1"/>
  <c r="U6" i="5"/>
  <c r="U10" i="5" s="1"/>
  <c r="L139" i="6" s="1"/>
  <c r="T6" i="5"/>
  <c r="T10" i="5" s="1"/>
  <c r="L138" i="6" s="1"/>
  <c r="S6" i="5"/>
  <c r="S10" i="5" s="1"/>
  <c r="L137" i="6" s="1"/>
  <c r="R6" i="5"/>
  <c r="R10" i="5" s="1"/>
  <c r="Q6" i="5"/>
  <c r="Q10" i="5" s="1"/>
  <c r="P6" i="5"/>
  <c r="O6" i="5"/>
  <c r="N6" i="5"/>
  <c r="N10" i="5" s="1"/>
  <c r="L132" i="6" s="1"/>
  <c r="M6" i="5"/>
  <c r="M10" i="5" s="1"/>
  <c r="L131" i="6" s="1"/>
  <c r="L6" i="5"/>
  <c r="K6" i="5"/>
  <c r="K10" i="5" s="1"/>
  <c r="L129" i="6" s="1"/>
  <c r="J6" i="5"/>
  <c r="J10" i="5" s="1"/>
  <c r="L128" i="6" s="1"/>
  <c r="I6" i="5"/>
  <c r="I10" i="5" s="1"/>
  <c r="L127" i="6" s="1"/>
  <c r="H6" i="5"/>
  <c r="H10" i="5" s="1"/>
  <c r="L126" i="6" s="1"/>
  <c r="G6" i="5"/>
  <c r="G10" i="5" s="1"/>
  <c r="L125" i="6" s="1"/>
  <c r="F6" i="5"/>
  <c r="F10" i="5" s="1"/>
  <c r="E6" i="5"/>
  <c r="E10" i="5" s="1"/>
  <c r="AH5" i="5"/>
  <c r="AG5" i="5"/>
  <c r="AF5" i="5"/>
  <c r="AE5" i="5"/>
  <c r="AD5" i="5"/>
  <c r="AD9" i="5" s="1"/>
  <c r="AC5" i="5"/>
  <c r="AC9" i="5" s="1"/>
  <c r="AB5" i="5"/>
  <c r="AB9" i="5" s="1"/>
  <c r="K146" i="6" s="1"/>
  <c r="AA5" i="5"/>
  <c r="Z5" i="5"/>
  <c r="Y5" i="5"/>
  <c r="Y9" i="5" s="1"/>
  <c r="X5" i="5"/>
  <c r="W5" i="5"/>
  <c r="V5" i="5"/>
  <c r="U5" i="5"/>
  <c r="T5" i="5"/>
  <c r="S5" i="5"/>
  <c r="R5" i="5"/>
  <c r="R9" i="5" s="1"/>
  <c r="Q5" i="5"/>
  <c r="P5" i="5"/>
  <c r="P9" i="5" s="1"/>
  <c r="K134" i="6" s="1"/>
  <c r="O5" i="5"/>
  <c r="O9" i="5" s="1"/>
  <c r="K133" i="6" s="1"/>
  <c r="N5" i="5"/>
  <c r="M5" i="5"/>
  <c r="M9" i="5" s="1"/>
  <c r="L5" i="5"/>
  <c r="L9" i="5" s="1"/>
  <c r="K5" i="5"/>
  <c r="J5" i="5"/>
  <c r="I5" i="5"/>
  <c r="H5" i="5"/>
  <c r="G5" i="5"/>
  <c r="F5" i="5"/>
  <c r="F9" i="5" s="1"/>
  <c r="E5" i="5"/>
  <c r="E9" i="5" s="1"/>
  <c r="K15" i="3" l="1"/>
  <c r="K14" i="4" s="1"/>
  <c r="W15" i="3"/>
  <c r="W14" i="4" s="1"/>
  <c r="T15" i="3"/>
  <c r="T14" i="4" s="1"/>
  <c r="V15" i="3"/>
  <c r="V14" i="4" s="1"/>
  <c r="Q7" i="3"/>
  <c r="Q14" i="3" s="1"/>
  <c r="AF7" i="3"/>
  <c r="AF14" i="3" s="1"/>
  <c r="G7" i="3"/>
  <c r="G14" i="3" s="1"/>
  <c r="I7" i="3"/>
  <c r="I14" i="3" s="1"/>
  <c r="R7" i="3"/>
  <c r="R14" i="3" s="1"/>
  <c r="E13" i="3"/>
  <c r="E7" i="3"/>
  <c r="E14" i="3" s="1"/>
  <c r="D62" i="6" s="1"/>
  <c r="G9" i="5"/>
  <c r="K125" i="6" s="1"/>
  <c r="AE9" i="5"/>
  <c r="K149" i="6" s="1"/>
  <c r="N9" i="5"/>
  <c r="K132" i="6" s="1"/>
  <c r="AB14" i="3"/>
  <c r="AB13" i="4" s="1"/>
  <c r="J15" i="3"/>
  <c r="J14" i="4" s="1"/>
  <c r="O10" i="5"/>
  <c r="L133" i="6" s="1"/>
  <c r="F7" i="3"/>
  <c r="F14" i="3" s="1"/>
  <c r="D63" i="6" s="1"/>
  <c r="AA10" i="5"/>
  <c r="L145" i="6" s="1"/>
  <c r="J9" i="5"/>
  <c r="K128" i="6" s="1"/>
  <c r="V9" i="5"/>
  <c r="K140" i="6" s="1"/>
  <c r="P10" i="5"/>
  <c r="L134" i="6" s="1"/>
  <c r="AB10" i="5"/>
  <c r="L146" i="6" s="1"/>
  <c r="H13" i="3"/>
  <c r="AF13" i="3"/>
  <c r="AH15" i="3"/>
  <c r="AH14" i="4" s="1"/>
  <c r="P14" i="3"/>
  <c r="D73" i="6" s="1"/>
  <c r="T30" i="5"/>
  <c r="V13" i="3"/>
  <c r="C220" i="6" s="1"/>
  <c r="P30" i="5"/>
  <c r="AB30" i="5"/>
  <c r="I30" i="5"/>
  <c r="U30" i="5"/>
  <c r="AG30" i="5"/>
  <c r="AH7" i="3"/>
  <c r="C6" i="6" s="1"/>
  <c r="Q30" i="5"/>
  <c r="E30" i="5"/>
  <c r="L10" i="5"/>
  <c r="L130" i="6" s="1"/>
  <c r="AD13" i="3"/>
  <c r="C228" i="6" s="1"/>
  <c r="D123" i="6"/>
  <c r="E10" i="4"/>
  <c r="H30" i="5"/>
  <c r="AC30" i="5"/>
  <c r="Q13" i="3"/>
  <c r="Q12" i="4" s="1"/>
  <c r="W9" i="5"/>
  <c r="W28" i="5" s="1"/>
  <c r="X9" i="5"/>
  <c r="X28" i="5" s="1"/>
  <c r="AH9" i="5"/>
  <c r="K152" i="6" s="1"/>
  <c r="K9" i="5"/>
  <c r="K28" i="5" s="1"/>
  <c r="AA9" i="5"/>
  <c r="K145" i="6" s="1"/>
  <c r="Q9" i="5"/>
  <c r="K135" i="6" s="1"/>
  <c r="S9" i="5"/>
  <c r="K137" i="6" s="1"/>
  <c r="H9" i="5"/>
  <c r="H28" i="5" s="1"/>
  <c r="T9" i="5"/>
  <c r="K138" i="6" s="1"/>
  <c r="AF9" i="5"/>
  <c r="K150" i="6" s="1"/>
  <c r="I9" i="5"/>
  <c r="K127" i="6" s="1"/>
  <c r="U9" i="5"/>
  <c r="U28" i="5" s="1"/>
  <c r="AG9" i="5"/>
  <c r="K151" i="6" s="1"/>
  <c r="J30" i="5"/>
  <c r="AE30" i="5"/>
  <c r="AH30" i="5"/>
  <c r="X30" i="5"/>
  <c r="K30" i="5"/>
  <c r="W30" i="5"/>
  <c r="L30" i="5"/>
  <c r="AF30" i="5"/>
  <c r="K123" i="6"/>
  <c r="E28" i="5"/>
  <c r="K147" i="6"/>
  <c r="AC28" i="5"/>
  <c r="K124" i="6"/>
  <c r="F28" i="5"/>
  <c r="K136" i="6"/>
  <c r="R28" i="5"/>
  <c r="K148" i="6"/>
  <c r="AD28" i="5"/>
  <c r="G28" i="5"/>
  <c r="D30" i="5"/>
  <c r="AE28" i="5"/>
  <c r="C89" i="6"/>
  <c r="C230" i="6"/>
  <c r="AF15" i="4"/>
  <c r="AF12" i="4"/>
  <c r="K130" i="6"/>
  <c r="L28" i="5"/>
  <c r="L135" i="6"/>
  <c r="L147" i="6"/>
  <c r="K131" i="6"/>
  <c r="M28" i="5"/>
  <c r="E79" i="6"/>
  <c r="E220" i="6"/>
  <c r="L123" i="6"/>
  <c r="E77" i="6"/>
  <c r="E218" i="6"/>
  <c r="L124" i="6"/>
  <c r="L148" i="6"/>
  <c r="C208" i="6"/>
  <c r="C67" i="6"/>
  <c r="J12" i="4"/>
  <c r="J15" i="4"/>
  <c r="C65" i="6"/>
  <c r="C206" i="6"/>
  <c r="H12" i="4"/>
  <c r="H15" i="4"/>
  <c r="K143" i="6"/>
  <c r="Y28" i="5"/>
  <c r="L136" i="6"/>
  <c r="D207" i="6"/>
  <c r="D66" i="6"/>
  <c r="I13" i="4"/>
  <c r="E204" i="6"/>
  <c r="E63" i="6"/>
  <c r="C216" i="6"/>
  <c r="C75" i="6"/>
  <c r="R15" i="4"/>
  <c r="R12" i="4"/>
  <c r="E228" i="6"/>
  <c r="E87" i="6"/>
  <c r="D203" i="6"/>
  <c r="E13" i="4"/>
  <c r="K129" i="6"/>
  <c r="B18" i="6"/>
  <c r="L122" i="6"/>
  <c r="E73" i="6"/>
  <c r="E214" i="6"/>
  <c r="N28" i="5"/>
  <c r="Z28" i="5"/>
  <c r="D7" i="3"/>
  <c r="T13" i="3"/>
  <c r="F211" i="6"/>
  <c r="F70" i="6"/>
  <c r="M6" i="4"/>
  <c r="F223" i="6"/>
  <c r="Y6" i="4"/>
  <c r="F82" i="6"/>
  <c r="O28" i="5"/>
  <c r="AA28" i="5"/>
  <c r="G13" i="3"/>
  <c r="G15" i="3"/>
  <c r="G14" i="4" s="1"/>
  <c r="S13" i="3"/>
  <c r="S15" i="3"/>
  <c r="S14" i="4" s="1"/>
  <c r="AE13" i="3"/>
  <c r="AE15" i="3"/>
  <c r="AE14" i="4" s="1"/>
  <c r="D228" i="6"/>
  <c r="AD13" i="4"/>
  <c r="D87" i="6"/>
  <c r="H15" i="3"/>
  <c r="H14" i="4" s="1"/>
  <c r="AF15" i="3"/>
  <c r="AF14" i="4" s="1"/>
  <c r="F71" i="6"/>
  <c r="F212" i="6"/>
  <c r="F36" i="6"/>
  <c r="N6" i="4"/>
  <c r="F83" i="6"/>
  <c r="F224" i="6"/>
  <c r="Z6" i="4"/>
  <c r="D28" i="5"/>
  <c r="P28" i="5"/>
  <c r="AB28" i="5"/>
  <c r="F13" i="4"/>
  <c r="D216" i="6"/>
  <c r="D75" i="6"/>
  <c r="R13" i="4"/>
  <c r="AE7" i="3"/>
  <c r="AE14" i="3" s="1"/>
  <c r="W13" i="3"/>
  <c r="I15" i="3"/>
  <c r="I14" i="4" s="1"/>
  <c r="F213" i="6"/>
  <c r="F72" i="6"/>
  <c r="O6" i="4"/>
  <c r="F225" i="6"/>
  <c r="F84" i="6"/>
  <c r="AA6" i="4"/>
  <c r="U15" i="4"/>
  <c r="C219" i="6"/>
  <c r="U12" i="4"/>
  <c r="C78" i="6"/>
  <c r="AG15" i="3"/>
  <c r="AG14" i="4" s="1"/>
  <c r="AG13" i="3"/>
  <c r="D205" i="6"/>
  <c r="G13" i="4"/>
  <c r="D64" i="6"/>
  <c r="D217" i="6"/>
  <c r="D76" i="6"/>
  <c r="S13" i="4"/>
  <c r="D230" i="6"/>
  <c r="D89" i="6"/>
  <c r="AF13" i="4"/>
  <c r="C62" i="6"/>
  <c r="C203" i="6"/>
  <c r="E15" i="4"/>
  <c r="E19" i="3"/>
  <c r="E5" i="4" s="1"/>
  <c r="E37" i="4" s="1"/>
  <c r="E12" i="4"/>
  <c r="C37" i="6"/>
  <c r="C81" i="6"/>
  <c r="C222" i="6"/>
  <c r="X12" i="4"/>
  <c r="X15" i="4"/>
  <c r="D215" i="6"/>
  <c r="D74" i="6"/>
  <c r="Q13" i="4"/>
  <c r="F202" i="6"/>
  <c r="F35" i="6"/>
  <c r="F61" i="6"/>
  <c r="B11" i="6"/>
  <c r="F214" i="6"/>
  <c r="P6" i="4"/>
  <c r="F73" i="6"/>
  <c r="F226" i="6"/>
  <c r="AB6" i="4"/>
  <c r="F85" i="6"/>
  <c r="H7" i="3"/>
  <c r="H14" i="3" s="1"/>
  <c r="T7" i="3"/>
  <c r="T14" i="3" s="1"/>
  <c r="AG7" i="3"/>
  <c r="AG14" i="3" s="1"/>
  <c r="C63" i="6"/>
  <c r="C204" i="6"/>
  <c r="F15" i="4"/>
  <c r="F12" i="4"/>
  <c r="C86" i="6"/>
  <c r="C227" i="6"/>
  <c r="AC15" i="4"/>
  <c r="AC12" i="4"/>
  <c r="E213" i="6"/>
  <c r="E72" i="6"/>
  <c r="F62" i="6"/>
  <c r="F203" i="6"/>
  <c r="E6" i="4"/>
  <c r="F74" i="6"/>
  <c r="F215" i="6"/>
  <c r="Q6" i="4"/>
  <c r="F86" i="6"/>
  <c r="F227" i="6"/>
  <c r="AC6" i="4"/>
  <c r="E68" i="6"/>
  <c r="E209" i="6"/>
  <c r="U7" i="3"/>
  <c r="U14" i="3" s="1"/>
  <c r="C18" i="6"/>
  <c r="L152" i="6"/>
  <c r="F30" i="5"/>
  <c r="R30" i="5"/>
  <c r="AD30" i="5"/>
  <c r="L15" i="3"/>
  <c r="L14" i="4" s="1"/>
  <c r="X15" i="3"/>
  <c r="X14" i="4" s="1"/>
  <c r="J7" i="3"/>
  <c r="J14" i="3" s="1"/>
  <c r="V7" i="3"/>
  <c r="V14" i="3" s="1"/>
  <c r="I13" i="3"/>
  <c r="R15" i="3"/>
  <c r="F205" i="6"/>
  <c r="F64" i="6"/>
  <c r="G6" i="4"/>
  <c r="F217" i="6"/>
  <c r="F76" i="6"/>
  <c r="S6" i="4"/>
  <c r="F229" i="6"/>
  <c r="F88" i="6"/>
  <c r="AE6" i="4"/>
  <c r="AD12" i="4"/>
  <c r="M15" i="3"/>
  <c r="M14" i="4" s="1"/>
  <c r="M13" i="3"/>
  <c r="Y15" i="3"/>
  <c r="Y14" i="4" s="1"/>
  <c r="Y13" i="3"/>
  <c r="K7" i="3"/>
  <c r="K14" i="3" s="1"/>
  <c r="W7" i="3"/>
  <c r="W14" i="3" s="1"/>
  <c r="AH13" i="3"/>
  <c r="F65" i="6"/>
  <c r="F206" i="6"/>
  <c r="H6" i="4"/>
  <c r="F77" i="6"/>
  <c r="F218" i="6"/>
  <c r="T6" i="4"/>
  <c r="F89" i="6"/>
  <c r="F230" i="6"/>
  <c r="AF6" i="4"/>
  <c r="F204" i="6"/>
  <c r="F6" i="4"/>
  <c r="F63" i="6"/>
  <c r="N15" i="3"/>
  <c r="N14" i="4" s="1"/>
  <c r="N13" i="3"/>
  <c r="Z15" i="3"/>
  <c r="Z14" i="4" s="1"/>
  <c r="Z13" i="3"/>
  <c r="L7" i="3"/>
  <c r="L14" i="3" s="1"/>
  <c r="X7" i="3"/>
  <c r="X14" i="3" s="1"/>
  <c r="K13" i="3"/>
  <c r="U15" i="3"/>
  <c r="U14" i="4" s="1"/>
  <c r="F207" i="6"/>
  <c r="F66" i="6"/>
  <c r="I6" i="4"/>
  <c r="F219" i="6"/>
  <c r="F78" i="6"/>
  <c r="U6" i="4"/>
  <c r="F231" i="6"/>
  <c r="F90" i="6"/>
  <c r="AG6" i="4"/>
  <c r="B17" i="6"/>
  <c r="K122" i="6"/>
  <c r="F228" i="6"/>
  <c r="F87" i="6"/>
  <c r="AD6" i="4"/>
  <c r="O13" i="3"/>
  <c r="AA13" i="3"/>
  <c r="M7" i="3"/>
  <c r="M14" i="3" s="1"/>
  <c r="Y7" i="3"/>
  <c r="Y14" i="3" s="1"/>
  <c r="L13" i="3"/>
  <c r="F208" i="6"/>
  <c r="F67" i="6"/>
  <c r="J6" i="4"/>
  <c r="F220" i="6"/>
  <c r="F79" i="6"/>
  <c r="V6" i="4"/>
  <c r="F232" i="6"/>
  <c r="F38" i="6"/>
  <c r="C11" i="6"/>
  <c r="D11" i="6" s="1"/>
  <c r="F91" i="6"/>
  <c r="AH6" i="4"/>
  <c r="B4" i="6"/>
  <c r="D4" i="6" s="1"/>
  <c r="D13" i="3"/>
  <c r="P13" i="3"/>
  <c r="AB13" i="3"/>
  <c r="N7" i="3"/>
  <c r="N14" i="3" s="1"/>
  <c r="Z7" i="3"/>
  <c r="Z14" i="3" s="1"/>
  <c r="AH14" i="3"/>
  <c r="AA15" i="3"/>
  <c r="AA14" i="4" s="1"/>
  <c r="F68" i="6"/>
  <c r="F209" i="6"/>
  <c r="K6" i="4"/>
  <c r="F80" i="6"/>
  <c r="F221" i="6"/>
  <c r="W6" i="4"/>
  <c r="F216" i="6"/>
  <c r="F75" i="6"/>
  <c r="R6" i="4"/>
  <c r="E62" i="6"/>
  <c r="E203" i="6"/>
  <c r="Q15" i="3"/>
  <c r="Q14" i="4" s="1"/>
  <c r="AC15" i="3"/>
  <c r="AC14" i="4" s="1"/>
  <c r="AC7" i="3"/>
  <c r="AC14" i="3" s="1"/>
  <c r="D5" i="6"/>
  <c r="O7" i="3"/>
  <c r="O14" i="3" s="1"/>
  <c r="AA7" i="3"/>
  <c r="AA14" i="3" s="1"/>
  <c r="AB15" i="3"/>
  <c r="AB14" i="4" s="1"/>
  <c r="F210" i="6"/>
  <c r="F69" i="6"/>
  <c r="L6" i="4"/>
  <c r="F37" i="6"/>
  <c r="F222" i="6"/>
  <c r="F81" i="6"/>
  <c r="X6" i="4"/>
  <c r="D135" i="6"/>
  <c r="D147" i="6"/>
  <c r="J10" i="4"/>
  <c r="V10" i="4"/>
  <c r="C124" i="6"/>
  <c r="D136" i="6"/>
  <c r="D148" i="6"/>
  <c r="K10" i="4"/>
  <c r="W10" i="4"/>
  <c r="L10" i="4"/>
  <c r="X10" i="4"/>
  <c r="C133" i="6"/>
  <c r="C145" i="6"/>
  <c r="D150" i="6"/>
  <c r="M10" i="4"/>
  <c r="Y10" i="4"/>
  <c r="B12" i="6"/>
  <c r="C122" i="6"/>
  <c r="C134" i="6"/>
  <c r="C146" i="6"/>
  <c r="N10" i="4"/>
  <c r="Z10" i="4"/>
  <c r="C132" i="6"/>
  <c r="C123" i="6"/>
  <c r="C135" i="6"/>
  <c r="D152" i="6"/>
  <c r="C13" i="6"/>
  <c r="O10" i="4"/>
  <c r="AA10" i="4"/>
  <c r="C136" i="6"/>
  <c r="C148" i="6"/>
  <c r="P10" i="4"/>
  <c r="AB10" i="4"/>
  <c r="C125" i="6"/>
  <c r="C137" i="6"/>
  <c r="C149" i="6"/>
  <c r="Q10" i="4"/>
  <c r="AC10" i="4"/>
  <c r="C126" i="6"/>
  <c r="C138" i="6"/>
  <c r="C150" i="6"/>
  <c r="D131" i="6"/>
  <c r="D143" i="6"/>
  <c r="F10" i="4"/>
  <c r="R10" i="4"/>
  <c r="AD10" i="4"/>
  <c r="C127" i="6"/>
  <c r="C139" i="6"/>
  <c r="C151" i="6"/>
  <c r="D132" i="6"/>
  <c r="D144" i="6"/>
  <c r="G10" i="4"/>
  <c r="S10" i="4"/>
  <c r="AE10" i="4"/>
  <c r="C152" i="6"/>
  <c r="C12" i="6"/>
  <c r="D133" i="6"/>
  <c r="H10" i="4"/>
  <c r="T10" i="4"/>
  <c r="AF10" i="4"/>
  <c r="B13" i="6"/>
  <c r="D134" i="6"/>
  <c r="I10" i="4"/>
  <c r="U10" i="4"/>
  <c r="AG10" i="4"/>
  <c r="AC19" i="3" l="1"/>
  <c r="AC5" i="4" s="1"/>
  <c r="C10" i="6"/>
  <c r="E91" i="6"/>
  <c r="E221" i="6"/>
  <c r="E80" i="6"/>
  <c r="D85" i="6"/>
  <c r="P13" i="4"/>
  <c r="F19" i="3"/>
  <c r="F5" i="4" s="1"/>
  <c r="D226" i="6"/>
  <c r="D214" i="6"/>
  <c r="D204" i="6"/>
  <c r="E36" i="4"/>
  <c r="AD15" i="4"/>
  <c r="H19" i="3"/>
  <c r="H5" i="4" s="1"/>
  <c r="H36" i="4" s="1"/>
  <c r="E67" i="6"/>
  <c r="E38" i="6"/>
  <c r="V15" i="4"/>
  <c r="V19" i="3"/>
  <c r="V5" i="4" s="1"/>
  <c r="C87" i="6"/>
  <c r="U19" i="3"/>
  <c r="U5" i="4" s="1"/>
  <c r="U37" i="4" s="1"/>
  <c r="E208" i="6"/>
  <c r="AD19" i="3"/>
  <c r="AD5" i="4" s="1"/>
  <c r="E232" i="6"/>
  <c r="V12" i="4"/>
  <c r="V18" i="4" s="1"/>
  <c r="V19" i="4" s="1"/>
  <c r="V20" i="4" s="1"/>
  <c r="C79" i="6"/>
  <c r="K142" i="6"/>
  <c r="Q28" i="5"/>
  <c r="J28" i="5"/>
  <c r="V28" i="5"/>
  <c r="K141" i="6"/>
  <c r="AH28" i="5"/>
  <c r="C17" i="6"/>
  <c r="Q15" i="4"/>
  <c r="D12" i="4"/>
  <c r="D18" i="4" s="1"/>
  <c r="D15" i="4"/>
  <c r="C215" i="6"/>
  <c r="C74" i="6"/>
  <c r="R19" i="3"/>
  <c r="R5" i="4" s="1"/>
  <c r="R37" i="4" s="1"/>
  <c r="R14" i="4"/>
  <c r="S28" i="5"/>
  <c r="AF28" i="5"/>
  <c r="I28" i="5"/>
  <c r="T28" i="5"/>
  <c r="K126" i="6"/>
  <c r="AG28" i="5"/>
  <c r="K139" i="6"/>
  <c r="AC36" i="4"/>
  <c r="AC37" i="4"/>
  <c r="D13" i="6"/>
  <c r="E74" i="6"/>
  <c r="E215" i="6"/>
  <c r="D232" i="6"/>
  <c r="C9" i="6"/>
  <c r="D38" i="6"/>
  <c r="D91" i="6"/>
  <c r="AH13" i="4"/>
  <c r="D80" i="6"/>
  <c r="D221" i="6"/>
  <c r="W13" i="4"/>
  <c r="D220" i="6"/>
  <c r="D79" i="6"/>
  <c r="V13" i="4"/>
  <c r="E18" i="4"/>
  <c r="E19" i="4" s="1"/>
  <c r="H18" i="4"/>
  <c r="H19" i="4" s="1"/>
  <c r="H20" i="4" s="1"/>
  <c r="E71" i="6"/>
  <c r="E36" i="6"/>
  <c r="E212" i="6"/>
  <c r="D224" i="6"/>
  <c r="D83" i="6"/>
  <c r="Z13" i="4"/>
  <c r="D209" i="6"/>
  <c r="D68" i="6"/>
  <c r="K13" i="4"/>
  <c r="D208" i="6"/>
  <c r="D67" i="6"/>
  <c r="J13" i="4"/>
  <c r="E88" i="6"/>
  <c r="E229" i="6"/>
  <c r="C77" i="6"/>
  <c r="C218" i="6"/>
  <c r="T15" i="4"/>
  <c r="T19" i="3"/>
  <c r="T5" i="4" s="1"/>
  <c r="T12" i="4"/>
  <c r="J19" i="3"/>
  <c r="J5" i="4" s="1"/>
  <c r="D12" i="6"/>
  <c r="C223" i="6"/>
  <c r="C82" i="6"/>
  <c r="Y12" i="4"/>
  <c r="Y19" i="3"/>
  <c r="Y5" i="4" s="1"/>
  <c r="Y15" i="4"/>
  <c r="E37" i="6"/>
  <c r="E222" i="6"/>
  <c r="E81" i="6"/>
  <c r="E16" i="4"/>
  <c r="E27" i="4" s="1"/>
  <c r="C231" i="6"/>
  <c r="C90" i="6"/>
  <c r="AG15" i="4"/>
  <c r="AG12" i="4"/>
  <c r="AG19" i="3"/>
  <c r="AG5" i="4" s="1"/>
  <c r="C229" i="6"/>
  <c r="C88" i="6"/>
  <c r="AE19" i="3"/>
  <c r="AE5" i="4" s="1"/>
  <c r="AE15" i="4"/>
  <c r="AE12" i="4"/>
  <c r="B6" i="6"/>
  <c r="D6" i="6" s="1"/>
  <c r="D14" i="3"/>
  <c r="D13" i="4" s="1"/>
  <c r="D21" i="4" s="1"/>
  <c r="Q18" i="4"/>
  <c r="Q21" i="4" s="1"/>
  <c r="J16" i="4"/>
  <c r="J27" i="4" s="1"/>
  <c r="D227" i="6"/>
  <c r="AC13" i="4"/>
  <c r="D86" i="6"/>
  <c r="C226" i="6"/>
  <c r="C85" i="6"/>
  <c r="AB19" i="3"/>
  <c r="AB5" i="4" s="1"/>
  <c r="AB15" i="4"/>
  <c r="AB12" i="4"/>
  <c r="E219" i="6"/>
  <c r="E78" i="6"/>
  <c r="E82" i="6"/>
  <c r="E223" i="6"/>
  <c r="E210" i="6"/>
  <c r="E69" i="6"/>
  <c r="F18" i="4"/>
  <c r="F21" i="4" s="1"/>
  <c r="E231" i="6"/>
  <c r="E90" i="6"/>
  <c r="E89" i="6"/>
  <c r="E230" i="6"/>
  <c r="E76" i="6"/>
  <c r="E217" i="6"/>
  <c r="Q19" i="3"/>
  <c r="Q5" i="4" s="1"/>
  <c r="J18" i="4"/>
  <c r="J19" i="4"/>
  <c r="D36" i="6"/>
  <c r="D71" i="6"/>
  <c r="D212" i="6"/>
  <c r="N13" i="4"/>
  <c r="C214" i="6"/>
  <c r="P15" i="4"/>
  <c r="P19" i="3"/>
  <c r="P5" i="4" s="1"/>
  <c r="P12" i="4"/>
  <c r="C73" i="6"/>
  <c r="C68" i="6"/>
  <c r="C209" i="6"/>
  <c r="K12" i="4"/>
  <c r="K15" i="4"/>
  <c r="K19" i="3"/>
  <c r="K5" i="4" s="1"/>
  <c r="C211" i="6"/>
  <c r="C70" i="6"/>
  <c r="M12" i="4"/>
  <c r="M15" i="4"/>
  <c r="M19" i="3"/>
  <c r="M5" i="4" s="1"/>
  <c r="D18" i="6"/>
  <c r="E65" i="6"/>
  <c r="E206" i="6"/>
  <c r="C217" i="6"/>
  <c r="C76" i="6"/>
  <c r="S15" i="4"/>
  <c r="S19" i="3"/>
  <c r="S5" i="4" s="1"/>
  <c r="S12" i="4"/>
  <c r="D17" i="6"/>
  <c r="Q16" i="4"/>
  <c r="Q27" i="4" s="1"/>
  <c r="E85" i="6"/>
  <c r="E226" i="6"/>
  <c r="C202" i="6"/>
  <c r="B8" i="6"/>
  <c r="C61" i="6"/>
  <c r="C35" i="6"/>
  <c r="L12" i="4"/>
  <c r="C210" i="6"/>
  <c r="C69" i="6"/>
  <c r="L15" i="4"/>
  <c r="L19" i="3"/>
  <c r="L5" i="4" s="1"/>
  <c r="D222" i="6"/>
  <c r="D81" i="6"/>
  <c r="D37" i="6"/>
  <c r="X13" i="4"/>
  <c r="E70" i="6"/>
  <c r="E211" i="6"/>
  <c r="F16" i="4"/>
  <c r="F27" i="4" s="1"/>
  <c r="V16" i="4"/>
  <c r="E64" i="6"/>
  <c r="E205" i="6"/>
  <c r="X16" i="4"/>
  <c r="U18" i="4"/>
  <c r="U19" i="4" s="1"/>
  <c r="U20" i="4" s="1"/>
  <c r="AF18" i="4"/>
  <c r="AF21" i="4" s="1"/>
  <c r="E61" i="6"/>
  <c r="E35" i="6"/>
  <c r="E202" i="6"/>
  <c r="B10" i="6"/>
  <c r="D10" i="6" s="1"/>
  <c r="D223" i="6"/>
  <c r="D82" i="6"/>
  <c r="Y13" i="4"/>
  <c r="D210" i="6"/>
  <c r="D69" i="6"/>
  <c r="L13" i="4"/>
  <c r="D219" i="6"/>
  <c r="D78" i="6"/>
  <c r="U13" i="4"/>
  <c r="C205" i="6"/>
  <c r="G15" i="4"/>
  <c r="G19" i="3"/>
  <c r="G5" i="4" s="1"/>
  <c r="G12" i="4"/>
  <c r="C64" i="6"/>
  <c r="D225" i="6"/>
  <c r="D84" i="6"/>
  <c r="AA13" i="4"/>
  <c r="D70" i="6"/>
  <c r="D211" i="6"/>
  <c r="M13" i="4"/>
  <c r="C83" i="6"/>
  <c r="C224" i="6"/>
  <c r="Z12" i="4"/>
  <c r="Z19" i="3"/>
  <c r="Z5" i="4" s="1"/>
  <c r="Z15" i="4"/>
  <c r="X19" i="3"/>
  <c r="X5" i="4" s="1"/>
  <c r="AF17" i="4"/>
  <c r="AF16" i="4"/>
  <c r="AF27" i="4" s="1"/>
  <c r="C225" i="6"/>
  <c r="C84" i="6"/>
  <c r="AA19" i="3"/>
  <c r="AA5" i="4" s="1"/>
  <c r="AA15" i="4"/>
  <c r="AA12" i="4"/>
  <c r="E83" i="6"/>
  <c r="E224" i="6"/>
  <c r="AD18" i="4"/>
  <c r="AD21" i="4" s="1"/>
  <c r="D231" i="6"/>
  <c r="D90" i="6"/>
  <c r="AG13" i="4"/>
  <c r="X18" i="4"/>
  <c r="U16" i="4"/>
  <c r="U27" i="4" s="1"/>
  <c r="AF19" i="3"/>
  <c r="AF5" i="4" s="1"/>
  <c r="D213" i="6"/>
  <c r="D72" i="6"/>
  <c r="O13" i="4"/>
  <c r="C72" i="6"/>
  <c r="C213" i="6"/>
  <c r="O15" i="4"/>
  <c r="O19" i="3"/>
  <c r="O5" i="4" s="1"/>
  <c r="O12" i="4"/>
  <c r="C71" i="6"/>
  <c r="C212" i="6"/>
  <c r="C36" i="6"/>
  <c r="N12" i="4"/>
  <c r="N15" i="4"/>
  <c r="N19" i="3"/>
  <c r="N5" i="4" s="1"/>
  <c r="D218" i="6"/>
  <c r="D77" i="6"/>
  <c r="T13" i="4"/>
  <c r="E207" i="6"/>
  <c r="E66" i="6"/>
  <c r="R18" i="4"/>
  <c r="AC18" i="4"/>
  <c r="D206" i="6"/>
  <c r="D65" i="6"/>
  <c r="H13" i="4"/>
  <c r="C80" i="6"/>
  <c r="C221" i="6"/>
  <c r="W12" i="4"/>
  <c r="W19" i="3"/>
  <c r="W5" i="4" s="1"/>
  <c r="W15" i="4"/>
  <c r="X27" i="4"/>
  <c r="AD16" i="4"/>
  <c r="AD17" i="4" s="1"/>
  <c r="E216" i="6"/>
  <c r="E75" i="6"/>
  <c r="E86" i="6"/>
  <c r="E227" i="6"/>
  <c r="E225" i="6"/>
  <c r="E84" i="6"/>
  <c r="V27" i="4"/>
  <c r="C232" i="6"/>
  <c r="C8" i="6"/>
  <c r="D8" i="6" s="1"/>
  <c r="AH15" i="4"/>
  <c r="C38" i="6"/>
  <c r="AH12" i="4"/>
  <c r="C91" i="6"/>
  <c r="AH19" i="3"/>
  <c r="C207" i="6"/>
  <c r="I15" i="4"/>
  <c r="C66" i="6"/>
  <c r="I12" i="4"/>
  <c r="I19" i="3"/>
  <c r="I5" i="4" s="1"/>
  <c r="AC16" i="4"/>
  <c r="AC27" i="4" s="1"/>
  <c r="AC17" i="4"/>
  <c r="D229" i="6"/>
  <c r="D88" i="6"/>
  <c r="AE13" i="4"/>
  <c r="R16" i="4"/>
  <c r="R27" i="4" s="1"/>
  <c r="H16" i="4"/>
  <c r="H27" i="4" s="1"/>
  <c r="U36" i="4" l="1"/>
  <c r="H37" i="4"/>
  <c r="F17" i="4"/>
  <c r="E21" i="4"/>
  <c r="AD36" i="4"/>
  <c r="AD37" i="4"/>
  <c r="F37" i="4"/>
  <c r="F36" i="4"/>
  <c r="H17" i="4"/>
  <c r="H14" i="5" s="1"/>
  <c r="N126" i="6" s="1"/>
  <c r="V36" i="4"/>
  <c r="V37" i="4"/>
  <c r="AD27" i="4"/>
  <c r="R36" i="4"/>
  <c r="U17" i="4"/>
  <c r="E17" i="4"/>
  <c r="E24" i="4" s="1"/>
  <c r="AD24" i="4"/>
  <c r="D16" i="4"/>
  <c r="D19" i="4"/>
  <c r="D20" i="4" s="1"/>
  <c r="Q19" i="4"/>
  <c r="Q20" i="4" s="1"/>
  <c r="AD19" i="4"/>
  <c r="AD20" i="4" s="1"/>
  <c r="E22" i="4"/>
  <c r="E23" i="4" s="1"/>
  <c r="F24" i="4"/>
  <c r="R19" i="4"/>
  <c r="R20" i="4" s="1"/>
  <c r="I16" i="4"/>
  <c r="I17" i="4" s="1"/>
  <c r="W18" i="4"/>
  <c r="N18" i="4"/>
  <c r="G16" i="4"/>
  <c r="B27" i="6"/>
  <c r="B9" i="6"/>
  <c r="D9" i="6" s="1"/>
  <c r="D61" i="6"/>
  <c r="D35" i="6"/>
  <c r="D202" i="6"/>
  <c r="E34" i="4"/>
  <c r="F123" i="6" s="1"/>
  <c r="E14" i="5"/>
  <c r="N123" i="6" s="1"/>
  <c r="AF36" i="4"/>
  <c r="AF37" i="4"/>
  <c r="X21" i="4"/>
  <c r="S18" i="4"/>
  <c r="S19" i="4" s="1"/>
  <c r="P18" i="4"/>
  <c r="C7" i="6"/>
  <c r="AH5" i="4"/>
  <c r="P36" i="4"/>
  <c r="P37" i="4"/>
  <c r="AC21" i="4"/>
  <c r="AE18" i="4"/>
  <c r="AE19" i="4" s="1"/>
  <c r="S37" i="4"/>
  <c r="S36" i="4"/>
  <c r="X19" i="4"/>
  <c r="X20" i="4" s="1"/>
  <c r="U21" i="4"/>
  <c r="AE16" i="4"/>
  <c r="J36" i="4"/>
  <c r="J37" i="4"/>
  <c r="H21" i="4"/>
  <c r="H22" i="4" s="1"/>
  <c r="S16" i="4"/>
  <c r="M16" i="4"/>
  <c r="P16" i="4"/>
  <c r="P17" i="4" s="1"/>
  <c r="AE21" i="4"/>
  <c r="AH18" i="4"/>
  <c r="AH19" i="4" s="1"/>
  <c r="AH20" i="4" s="1"/>
  <c r="X17" i="4"/>
  <c r="X34" i="4" s="1"/>
  <c r="F142" i="6" s="1"/>
  <c r="M18" i="4"/>
  <c r="M19" i="4" s="1"/>
  <c r="M20" i="4" s="1"/>
  <c r="J20" i="4"/>
  <c r="AF24" i="4"/>
  <c r="AB18" i="4"/>
  <c r="AE37" i="4"/>
  <c r="AE36" i="4"/>
  <c r="R21" i="4"/>
  <c r="M37" i="4"/>
  <c r="M36" i="4"/>
  <c r="O18" i="4"/>
  <c r="AA18" i="4"/>
  <c r="AA21" i="4" s="1"/>
  <c r="L36" i="4"/>
  <c r="L37" i="4"/>
  <c r="Q37" i="4"/>
  <c r="Q36" i="4"/>
  <c r="AB16" i="4"/>
  <c r="AB17" i="4" s="1"/>
  <c r="J17" i="4"/>
  <c r="J14" i="5" s="1"/>
  <c r="N128" i="6" s="1"/>
  <c r="T18" i="4"/>
  <c r="T21" i="4" s="1"/>
  <c r="O37" i="4"/>
  <c r="O36" i="4"/>
  <c r="AA16" i="4"/>
  <c r="AA17" i="4"/>
  <c r="Z16" i="4"/>
  <c r="Z17" i="4" s="1"/>
  <c r="F34" i="4"/>
  <c r="F124" i="6" s="1"/>
  <c r="F14" i="5"/>
  <c r="N124" i="6" s="1"/>
  <c r="L16" i="4"/>
  <c r="F19" i="4"/>
  <c r="F20" i="4" s="1"/>
  <c r="AB36" i="4"/>
  <c r="AB37" i="4"/>
  <c r="T37" i="4"/>
  <c r="T36" i="4"/>
  <c r="J21" i="4"/>
  <c r="O16" i="4"/>
  <c r="AA36" i="4"/>
  <c r="AA37" i="4"/>
  <c r="Z36" i="4"/>
  <c r="Z37" i="4"/>
  <c r="K37" i="4"/>
  <c r="K36" i="4"/>
  <c r="AG36" i="4"/>
  <c r="AG37" i="4"/>
  <c r="Y16" i="4"/>
  <c r="Y17" i="4" s="1"/>
  <c r="T16" i="4"/>
  <c r="T17" i="4" s="1"/>
  <c r="AC19" i="4"/>
  <c r="AC20" i="4" s="1"/>
  <c r="K16" i="4"/>
  <c r="AG18" i="4"/>
  <c r="AG19" i="4" s="1"/>
  <c r="AG20" i="4" s="1"/>
  <c r="Y36" i="4"/>
  <c r="Y37" i="4"/>
  <c r="C27" i="6"/>
  <c r="AH16" i="4"/>
  <c r="AH17" i="4" s="1"/>
  <c r="AC34" i="4"/>
  <c r="F147" i="6" s="1"/>
  <c r="AC14" i="5"/>
  <c r="N147" i="6" s="1"/>
  <c r="Y18" i="4"/>
  <c r="Y21" i="4" s="1"/>
  <c r="E20" i="4"/>
  <c r="I37" i="4"/>
  <c r="I36" i="4"/>
  <c r="AF19" i="4"/>
  <c r="AF20" i="4" s="1"/>
  <c r="L18" i="4"/>
  <c r="L21" i="4" s="1"/>
  <c r="K18" i="4"/>
  <c r="K19" i="4" s="1"/>
  <c r="AG16" i="4"/>
  <c r="I18" i="4"/>
  <c r="AD34" i="4"/>
  <c r="F148" i="6" s="1"/>
  <c r="AD14" i="5"/>
  <c r="N148" i="6" s="1"/>
  <c r="W16" i="4"/>
  <c r="N36" i="4"/>
  <c r="N37" i="4"/>
  <c r="U34" i="4"/>
  <c r="F139" i="6" s="1"/>
  <c r="U14" i="5"/>
  <c r="N139" i="6" s="1"/>
  <c r="X37" i="4"/>
  <c r="X36" i="4"/>
  <c r="G18" i="4"/>
  <c r="V17" i="4"/>
  <c r="V34" i="4" s="1"/>
  <c r="F140" i="6" s="1"/>
  <c r="Q17" i="4"/>
  <c r="Q34" i="4" s="1"/>
  <c r="F135" i="6" s="1"/>
  <c r="Z18" i="4"/>
  <c r="R17" i="4"/>
  <c r="R34" i="4" s="1"/>
  <c r="F136" i="6" s="1"/>
  <c r="W37" i="4"/>
  <c r="W36" i="4"/>
  <c r="N16" i="4"/>
  <c r="N17" i="4"/>
  <c r="AF34" i="4"/>
  <c r="F150" i="6" s="1"/>
  <c r="AF14" i="5"/>
  <c r="N150" i="6" s="1"/>
  <c r="G36" i="4"/>
  <c r="G37" i="4"/>
  <c r="D19" i="3"/>
  <c r="D5" i="4" s="1"/>
  <c r="V21" i="4"/>
  <c r="H34" i="4" l="1"/>
  <c r="F126" i="6" s="1"/>
  <c r="Q22" i="4"/>
  <c r="Q23" i="4" s="1"/>
  <c r="H24" i="4"/>
  <c r="D27" i="4"/>
  <c r="D22" i="4"/>
  <c r="D23" i="4" s="1"/>
  <c r="AD22" i="4"/>
  <c r="D17" i="4"/>
  <c r="D24" i="4" s="1"/>
  <c r="D25" i="4" s="1"/>
  <c r="D26" i="4" s="1"/>
  <c r="D29" i="4" s="1"/>
  <c r="AA19" i="4"/>
  <c r="AA22" i="4" s="1"/>
  <c r="AA23" i="4" s="1"/>
  <c r="L19" i="4"/>
  <c r="L20" i="4" s="1"/>
  <c r="Y19" i="4"/>
  <c r="Y20" i="4" s="1"/>
  <c r="AG21" i="4"/>
  <c r="AG22" i="4" s="1"/>
  <c r="AG23" i="4" s="1"/>
  <c r="AE20" i="4"/>
  <c r="AE22" i="4"/>
  <c r="AE23" i="4" s="1"/>
  <c r="AA24" i="4"/>
  <c r="S20" i="4"/>
  <c r="X24" i="4"/>
  <c r="X14" i="5"/>
  <c r="N142" i="6" s="1"/>
  <c r="R24" i="4"/>
  <c r="D37" i="4"/>
  <c r="D36" i="4"/>
  <c r="C29" i="6"/>
  <c r="I24" i="4"/>
  <c r="AC23" i="4"/>
  <c r="T24" i="4"/>
  <c r="O27" i="4"/>
  <c r="J24" i="4"/>
  <c r="S27" i="4"/>
  <c r="AE27" i="4"/>
  <c r="AH37" i="4"/>
  <c r="AH36" i="4"/>
  <c r="P21" i="4"/>
  <c r="P24" i="4" s="1"/>
  <c r="Y34" i="4"/>
  <c r="F143" i="6" s="1"/>
  <c r="Y14" i="5"/>
  <c r="N143" i="6" s="1"/>
  <c r="Y27" i="4"/>
  <c r="S17" i="4"/>
  <c r="AE17" i="4"/>
  <c r="P19" i="4"/>
  <c r="P20" i="4" s="1"/>
  <c r="AC24" i="4"/>
  <c r="N19" i="4"/>
  <c r="N20" i="4" s="1"/>
  <c r="U24" i="4"/>
  <c r="AF22" i="4"/>
  <c r="AF23" i="4" s="1"/>
  <c r="K21" i="4"/>
  <c r="K20" i="4"/>
  <c r="Z34" i="4"/>
  <c r="F144" i="6" s="1"/>
  <c r="Z14" i="5"/>
  <c r="N144" i="6" s="1"/>
  <c r="Z27" i="4"/>
  <c r="AB34" i="4"/>
  <c r="F146" i="6" s="1"/>
  <c r="AB14" i="5"/>
  <c r="N146" i="6" s="1"/>
  <c r="AB27" i="4"/>
  <c r="B28" i="6"/>
  <c r="AC22" i="4"/>
  <c r="H25" i="4"/>
  <c r="H26" i="4" s="1"/>
  <c r="O19" i="4"/>
  <c r="O20" i="4" s="1"/>
  <c r="Q24" i="4"/>
  <c r="J22" i="4"/>
  <c r="J23" i="4" s="1"/>
  <c r="L27" i="4"/>
  <c r="N21" i="4"/>
  <c r="N24" i="4" s="1"/>
  <c r="J34" i="4"/>
  <c r="F128" i="6" s="1"/>
  <c r="I34" i="4"/>
  <c r="F127" i="6" s="1"/>
  <c r="I14" i="5"/>
  <c r="N127" i="6" s="1"/>
  <c r="I27" i="4"/>
  <c r="I21" i="4"/>
  <c r="L17" i="4"/>
  <c r="AB21" i="4"/>
  <c r="X22" i="4"/>
  <c r="X23" i="4" s="1"/>
  <c r="G27" i="4"/>
  <c r="Z21" i="4"/>
  <c r="Z24" i="4" s="1"/>
  <c r="Q14" i="5"/>
  <c r="N135" i="6" s="1"/>
  <c r="S21" i="4"/>
  <c r="K27" i="4"/>
  <c r="U22" i="4"/>
  <c r="U23" i="4" s="1"/>
  <c r="W19" i="4"/>
  <c r="W20" i="4" s="1"/>
  <c r="V22" i="4"/>
  <c r="O21" i="4"/>
  <c r="R14" i="5"/>
  <c r="N136" i="6" s="1"/>
  <c r="AH21" i="4"/>
  <c r="R22" i="4"/>
  <c r="AB19" i="4"/>
  <c r="AB20" i="4" s="1"/>
  <c r="H23" i="4"/>
  <c r="W21" i="4"/>
  <c r="G17" i="4"/>
  <c r="G34" i="4" s="1"/>
  <c r="F125" i="6" s="1"/>
  <c r="F22" i="4"/>
  <c r="AH34" i="4"/>
  <c r="F152" i="6" s="1"/>
  <c r="C28" i="6"/>
  <c r="AH14" i="5"/>
  <c r="AH27" i="4"/>
  <c r="K17" i="4"/>
  <c r="K34" i="4" s="1"/>
  <c r="F129" i="6" s="1"/>
  <c r="AA34" i="4"/>
  <c r="F145" i="6" s="1"/>
  <c r="AA14" i="5"/>
  <c r="N145" i="6" s="1"/>
  <c r="AA27" i="4"/>
  <c r="N34" i="4"/>
  <c r="F132" i="6" s="1"/>
  <c r="N14" i="5"/>
  <c r="N132" i="6" s="1"/>
  <c r="N27" i="4"/>
  <c r="V24" i="4"/>
  <c r="I19" i="4"/>
  <c r="I20" i="4" s="1"/>
  <c r="P34" i="4"/>
  <c r="F134" i="6" s="1"/>
  <c r="P14" i="5"/>
  <c r="N134" i="6" s="1"/>
  <c r="P27" i="4"/>
  <c r="M21" i="4"/>
  <c r="T19" i="4"/>
  <c r="T22" i="4" s="1"/>
  <c r="T23" i="4" s="1"/>
  <c r="M27" i="4"/>
  <c r="E25" i="4"/>
  <c r="E26" i="4" s="1"/>
  <c r="E30" i="4" s="1"/>
  <c r="B7" i="6"/>
  <c r="D7" i="6" s="1"/>
  <c r="Z19" i="4"/>
  <c r="Z20" i="4" s="1"/>
  <c r="Y24" i="4"/>
  <c r="G21" i="4"/>
  <c r="W27" i="4"/>
  <c r="AG27" i="4"/>
  <c r="G19" i="4"/>
  <c r="G20" i="4" s="1"/>
  <c r="W17" i="4"/>
  <c r="W14" i="5" s="1"/>
  <c r="N141" i="6" s="1"/>
  <c r="AG17" i="4"/>
  <c r="AG34" i="4" s="1"/>
  <c r="F151" i="6" s="1"/>
  <c r="V14" i="5"/>
  <c r="N140" i="6" s="1"/>
  <c r="T34" i="4"/>
  <c r="F138" i="6" s="1"/>
  <c r="T14" i="5"/>
  <c r="N138" i="6" s="1"/>
  <c r="T27" i="4"/>
  <c r="O17" i="4"/>
  <c r="M17" i="4"/>
  <c r="M34" i="4" s="1"/>
  <c r="F131" i="6" s="1"/>
  <c r="L22" i="4" l="1"/>
  <c r="L23" i="4" s="1"/>
  <c r="AA20" i="4"/>
  <c r="D30" i="4"/>
  <c r="B29" i="6"/>
  <c r="AD25" i="4"/>
  <c r="AD26" i="4" s="1"/>
  <c r="AD23" i="4"/>
  <c r="D38" i="4"/>
  <c r="D14" i="5"/>
  <c r="B30" i="6" s="1"/>
  <c r="D34" i="4"/>
  <c r="D35" i="4" s="1"/>
  <c r="D40" i="4" s="1"/>
  <c r="Y22" i="4"/>
  <c r="Y23" i="4" s="1"/>
  <c r="D28" i="4"/>
  <c r="AA25" i="4"/>
  <c r="AA26" i="4" s="1"/>
  <c r="AA30" i="4" s="1"/>
  <c r="AF25" i="4"/>
  <c r="AF26" i="4" s="1"/>
  <c r="AF29" i="4" s="1"/>
  <c r="X25" i="4"/>
  <c r="X26" i="4" s="1"/>
  <c r="X30" i="4" s="1"/>
  <c r="T20" i="4"/>
  <c r="H30" i="4"/>
  <c r="X29" i="4"/>
  <c r="X31" i="5" s="1"/>
  <c r="X32" i="5" s="1"/>
  <c r="X28" i="4"/>
  <c r="M14" i="5"/>
  <c r="N131" i="6" s="1"/>
  <c r="AF30" i="4"/>
  <c r="AF31" i="4" s="1"/>
  <c r="W34" i="4"/>
  <c r="F141" i="6" s="1"/>
  <c r="H28" i="4"/>
  <c r="E29" i="4"/>
  <c r="O24" i="4"/>
  <c r="G24" i="4"/>
  <c r="G14" i="5"/>
  <c r="N125" i="6" s="1"/>
  <c r="Q25" i="4"/>
  <c r="Q26" i="4" s="1"/>
  <c r="F23" i="4"/>
  <c r="F25" i="4"/>
  <c r="F26" i="4" s="1"/>
  <c r="F30" i="4" s="1"/>
  <c r="AE24" i="4"/>
  <c r="AE25" i="4" s="1"/>
  <c r="AE14" i="5"/>
  <c r="N149" i="6" s="1"/>
  <c r="T25" i="4"/>
  <c r="T26" i="4" s="1"/>
  <c r="V23" i="4"/>
  <c r="W22" i="4"/>
  <c r="W23" i="4" s="1"/>
  <c r="S24" i="4"/>
  <c r="O34" i="4"/>
  <c r="F133" i="6" s="1"/>
  <c r="K14" i="5"/>
  <c r="N129" i="6" s="1"/>
  <c r="L24" i="4"/>
  <c r="O14" i="5"/>
  <c r="N133" i="6" s="1"/>
  <c r="S14" i="5"/>
  <c r="N137" i="6" s="1"/>
  <c r="K24" i="4"/>
  <c r="AB22" i="4"/>
  <c r="AB23" i="4" s="1"/>
  <c r="AG24" i="4"/>
  <c r="AG25" i="4" s="1"/>
  <c r="AG26" i="4" s="1"/>
  <c r="N22" i="4"/>
  <c r="N23" i="4" s="1"/>
  <c r="AE34" i="4"/>
  <c r="F149" i="6" s="1"/>
  <c r="V25" i="4"/>
  <c r="V26" i="4" s="1"/>
  <c r="AH22" i="4"/>
  <c r="AH23" i="4" s="1"/>
  <c r="S22" i="4"/>
  <c r="E28" i="4"/>
  <c r="L14" i="5"/>
  <c r="N130" i="6" s="1"/>
  <c r="C30" i="6"/>
  <c r="N152" i="6"/>
  <c r="L34" i="4"/>
  <c r="F130" i="6" s="1"/>
  <c r="S34" i="4"/>
  <c r="F137" i="6" s="1"/>
  <c r="AH24" i="4"/>
  <c r="AB24" i="4"/>
  <c r="E150" i="6"/>
  <c r="AF38" i="4"/>
  <c r="AF35" i="4"/>
  <c r="AF40" i="4" s="1"/>
  <c r="AF11" i="5"/>
  <c r="AF31" i="5"/>
  <c r="AF32" i="5" s="1"/>
  <c r="G22" i="4"/>
  <c r="R23" i="4"/>
  <c r="W24" i="4"/>
  <c r="M24" i="4"/>
  <c r="I22" i="4"/>
  <c r="I25" i="4" s="1"/>
  <c r="I26" i="4" s="1"/>
  <c r="K22" i="4"/>
  <c r="R25" i="4"/>
  <c r="R26" i="4" s="1"/>
  <c r="J25" i="4"/>
  <c r="O22" i="4"/>
  <c r="O23" i="4" s="1"/>
  <c r="P22" i="4"/>
  <c r="P25" i="4" s="1"/>
  <c r="P26" i="4" s="1"/>
  <c r="U25" i="4"/>
  <c r="U26" i="4" s="1"/>
  <c r="H29" i="4"/>
  <c r="AG14" i="5"/>
  <c r="N151" i="6" s="1"/>
  <c r="M22" i="4"/>
  <c r="M23" i="4" s="1"/>
  <c r="Z22" i="4"/>
  <c r="Z25" i="4" s="1"/>
  <c r="Z26" i="4" s="1"/>
  <c r="AF28" i="4"/>
  <c r="AC25" i="4"/>
  <c r="AC26" i="4" s="1"/>
  <c r="AC29" i="4" s="1"/>
  <c r="E142" i="6" l="1"/>
  <c r="AA28" i="4"/>
  <c r="AA29" i="4"/>
  <c r="P23" i="4"/>
  <c r="N122" i="6"/>
  <c r="AD28" i="4"/>
  <c r="AD29" i="4"/>
  <c r="AD30" i="4"/>
  <c r="Y25" i="4"/>
  <c r="Y26" i="4" s="1"/>
  <c r="Y30" i="4" s="1"/>
  <c r="X35" i="4"/>
  <c r="X40" i="4" s="1"/>
  <c r="X11" i="5"/>
  <c r="M142" i="6" s="1"/>
  <c r="W25" i="4"/>
  <c r="W26" i="4" s="1"/>
  <c r="W29" i="4" s="1"/>
  <c r="X38" i="4"/>
  <c r="X31" i="4"/>
  <c r="X32" i="4" s="1"/>
  <c r="I23" i="4"/>
  <c r="I28" i="4" s="1"/>
  <c r="Z23" i="4"/>
  <c r="Z28" i="4" s="1"/>
  <c r="K25" i="4"/>
  <c r="K26" i="4" s="1"/>
  <c r="F28" i="4"/>
  <c r="AG29" i="4"/>
  <c r="AG30" i="4"/>
  <c r="T29" i="4"/>
  <c r="T28" i="4"/>
  <c r="T30" i="4"/>
  <c r="P30" i="4"/>
  <c r="P29" i="4"/>
  <c r="U30" i="4"/>
  <c r="U29" i="4"/>
  <c r="U28" i="4"/>
  <c r="AC38" i="4"/>
  <c r="E147" i="6"/>
  <c r="AC11" i="5"/>
  <c r="AC31" i="5"/>
  <c r="AC32" i="5" s="1"/>
  <c r="AC35" i="4"/>
  <c r="AC40" i="4" s="1"/>
  <c r="Q30" i="4"/>
  <c r="Q29" i="4"/>
  <c r="Q28" i="4"/>
  <c r="J26" i="4"/>
  <c r="J30" i="4" s="1"/>
  <c r="R29" i="4"/>
  <c r="R30" i="4"/>
  <c r="R28" i="4"/>
  <c r="P28" i="4"/>
  <c r="AH25" i="4"/>
  <c r="AH26" i="4" s="1"/>
  <c r="AH29" i="4" s="1"/>
  <c r="E126" i="6"/>
  <c r="H31" i="4"/>
  <c r="H38" i="4"/>
  <c r="H11" i="5"/>
  <c r="H31" i="5"/>
  <c r="H32" i="5" s="1"/>
  <c r="H35" i="4"/>
  <c r="H40" i="4" s="1"/>
  <c r="L25" i="4"/>
  <c r="AG28" i="4"/>
  <c r="G23" i="4"/>
  <c r="AB25" i="4"/>
  <c r="AB26" i="4" s="1"/>
  <c r="AB29" i="4" s="1"/>
  <c r="V29" i="4"/>
  <c r="V30" i="4"/>
  <c r="S23" i="4"/>
  <c r="V28" i="4"/>
  <c r="AC30" i="4"/>
  <c r="AC31" i="4" s="1"/>
  <c r="AE26" i="4"/>
  <c r="G25" i="4"/>
  <c r="G26" i="4" s="1"/>
  <c r="G30" i="4" s="1"/>
  <c r="S25" i="4"/>
  <c r="S26" i="4" s="1"/>
  <c r="M25" i="4"/>
  <c r="M26" i="4" s="1"/>
  <c r="M29" i="4" s="1"/>
  <c r="M150" i="6"/>
  <c r="AF20" i="5"/>
  <c r="AF21" i="5"/>
  <c r="AF15" i="5"/>
  <c r="AA38" i="4"/>
  <c r="E145" i="6"/>
  <c r="AA31" i="4"/>
  <c r="AA11" i="5"/>
  <c r="AA35" i="4"/>
  <c r="AA40" i="4" s="1"/>
  <c r="AA31" i="5"/>
  <c r="AA32" i="5" s="1"/>
  <c r="O25" i="4"/>
  <c r="N25" i="4"/>
  <c r="N26" i="4" s="1"/>
  <c r="N30" i="4" s="1"/>
  <c r="AC28" i="4"/>
  <c r="K23" i="4"/>
  <c r="AF32" i="4"/>
  <c r="AF12" i="5"/>
  <c r="AF35" i="5" s="1"/>
  <c r="F29" i="4"/>
  <c r="E123" i="6"/>
  <c r="E38" i="4"/>
  <c r="E31" i="4"/>
  <c r="E11" i="5"/>
  <c r="E31" i="5"/>
  <c r="E32" i="5" s="1"/>
  <c r="E35" i="4"/>
  <c r="E40" i="4" s="1"/>
  <c r="X21" i="5" l="1"/>
  <c r="X15" i="5"/>
  <c r="X25" i="5" s="1"/>
  <c r="Y28" i="4"/>
  <c r="X20" i="5"/>
  <c r="K28" i="4"/>
  <c r="Y29" i="4"/>
  <c r="Y31" i="4" s="1"/>
  <c r="AD31" i="4"/>
  <c r="E148" i="6"/>
  <c r="AD11" i="5"/>
  <c r="AD35" i="4"/>
  <c r="AD40" i="4" s="1"/>
  <c r="AD31" i="5"/>
  <c r="AD32" i="5" s="1"/>
  <c r="AD38" i="4"/>
  <c r="Z29" i="4"/>
  <c r="Z38" i="4" s="1"/>
  <c r="X12" i="5"/>
  <c r="X19" i="5" s="1"/>
  <c r="Z30" i="4"/>
  <c r="I29" i="4"/>
  <c r="E127" i="6" s="1"/>
  <c r="I30" i="4"/>
  <c r="J28" i="4"/>
  <c r="K30" i="4"/>
  <c r="E20" i="5"/>
  <c r="H20" i="5"/>
  <c r="M28" i="4"/>
  <c r="AH28" i="4"/>
  <c r="X35" i="5"/>
  <c r="W30" i="4"/>
  <c r="W31" i="4" s="1"/>
  <c r="AH30" i="4"/>
  <c r="AH31" i="4" s="1"/>
  <c r="AB28" i="4"/>
  <c r="W28" i="4"/>
  <c r="AF19" i="5"/>
  <c r="AF34" i="5" s="1"/>
  <c r="E146" i="6"/>
  <c r="AB38" i="4"/>
  <c r="AB11" i="5"/>
  <c r="AB31" i="5"/>
  <c r="AB32" i="5" s="1"/>
  <c r="AB35" i="4"/>
  <c r="AB40" i="4" s="1"/>
  <c r="E131" i="6"/>
  <c r="M38" i="4"/>
  <c r="M11" i="5"/>
  <c r="M20" i="5" s="1"/>
  <c r="M31" i="5"/>
  <c r="M32" i="5" s="1"/>
  <c r="M35" i="4"/>
  <c r="M40" i="4" s="1"/>
  <c r="AC32" i="4"/>
  <c r="AC12" i="5"/>
  <c r="AC19" i="5" s="1"/>
  <c r="E138" i="6"/>
  <c r="T38" i="4"/>
  <c r="T31" i="4"/>
  <c r="T11" i="5"/>
  <c r="T31" i="5"/>
  <c r="T32" i="5" s="1"/>
  <c r="T35" i="4"/>
  <c r="T40" i="4" s="1"/>
  <c r="E139" i="6"/>
  <c r="U38" i="4"/>
  <c r="U31" i="4"/>
  <c r="U11" i="5"/>
  <c r="U35" i="4"/>
  <c r="U40" i="4" s="1"/>
  <c r="U31" i="5"/>
  <c r="U32" i="5" s="1"/>
  <c r="M123" i="6"/>
  <c r="E15" i="5"/>
  <c r="E25" i="5" s="1"/>
  <c r="E21" i="5"/>
  <c r="AE30" i="4"/>
  <c r="AE29" i="4"/>
  <c r="R38" i="4"/>
  <c r="E136" i="6"/>
  <c r="R31" i="4"/>
  <c r="R35" i="4"/>
  <c r="R40" i="4" s="1"/>
  <c r="R11" i="5"/>
  <c r="R31" i="5"/>
  <c r="R32" i="5" s="1"/>
  <c r="S30" i="4"/>
  <c r="S29" i="4"/>
  <c r="N29" i="4"/>
  <c r="M126" i="6"/>
  <c r="H15" i="5"/>
  <c r="H21" i="5"/>
  <c r="E134" i="6"/>
  <c r="P31" i="4"/>
  <c r="P38" i="4"/>
  <c r="P11" i="5"/>
  <c r="P31" i="5"/>
  <c r="P32" i="5" s="1"/>
  <c r="P35" i="4"/>
  <c r="P40" i="4" s="1"/>
  <c r="AB30" i="4"/>
  <c r="AB31" i="4" s="1"/>
  <c r="AA32" i="4"/>
  <c r="AA12" i="5"/>
  <c r="AA35" i="5" s="1"/>
  <c r="E152" i="6"/>
  <c r="AH38" i="4"/>
  <c r="C14" i="6"/>
  <c r="AH31" i="5"/>
  <c r="AH32" i="5" s="1"/>
  <c r="AH11" i="5"/>
  <c r="AH35" i="4"/>
  <c r="AH40" i="4" s="1"/>
  <c r="F38" i="4"/>
  <c r="F31" i="4"/>
  <c r="E124" i="6"/>
  <c r="F35" i="4"/>
  <c r="F40" i="4" s="1"/>
  <c r="F11" i="5"/>
  <c r="F31" i="5"/>
  <c r="F32" i="5" s="1"/>
  <c r="E135" i="6"/>
  <c r="Q31" i="4"/>
  <c r="Q38" i="4"/>
  <c r="Q11" i="5"/>
  <c r="Q31" i="5"/>
  <c r="Q32" i="5" s="1"/>
  <c r="Q35" i="4"/>
  <c r="Q40" i="4" s="1"/>
  <c r="L26" i="4"/>
  <c r="L30" i="4" s="1"/>
  <c r="Y38" i="4"/>
  <c r="Y11" i="5"/>
  <c r="AE28" i="4"/>
  <c r="S28" i="4"/>
  <c r="M30" i="4"/>
  <c r="M31" i="4" s="1"/>
  <c r="E32" i="4"/>
  <c r="E12" i="5"/>
  <c r="E19" i="5" s="1"/>
  <c r="H32" i="4"/>
  <c r="H12" i="5"/>
  <c r="H19" i="5" s="1"/>
  <c r="O150" i="6"/>
  <c r="AF16" i="5"/>
  <c r="AF23" i="5"/>
  <c r="AF33" i="5"/>
  <c r="AF17" i="5"/>
  <c r="AF24" i="5"/>
  <c r="E140" i="6"/>
  <c r="V31" i="4"/>
  <c r="V38" i="4"/>
  <c r="V31" i="5"/>
  <c r="V32" i="5" s="1"/>
  <c r="V35" i="4"/>
  <c r="V40" i="4" s="1"/>
  <c r="V11" i="5"/>
  <c r="E141" i="6"/>
  <c r="W38" i="4"/>
  <c r="W35" i="4"/>
  <c r="W40" i="4" s="1"/>
  <c r="W31" i="5"/>
  <c r="W32" i="5" s="1"/>
  <c r="W11" i="5"/>
  <c r="N28" i="4"/>
  <c r="O26" i="4"/>
  <c r="O28" i="4" s="1"/>
  <c r="E151" i="6"/>
  <c r="AG31" i="4"/>
  <c r="AG38" i="4"/>
  <c r="AG11" i="5"/>
  <c r="AG31" i="5"/>
  <c r="AG32" i="5" s="1"/>
  <c r="AG35" i="4"/>
  <c r="AG40" i="4" s="1"/>
  <c r="O142" i="6"/>
  <c r="X33" i="5"/>
  <c r="X17" i="5"/>
  <c r="X24" i="5"/>
  <c r="X16" i="5"/>
  <c r="X23" i="5"/>
  <c r="J29" i="4"/>
  <c r="M147" i="6"/>
  <c r="AC20" i="5"/>
  <c r="AC15" i="5"/>
  <c r="AC21" i="5"/>
  <c r="AF25" i="5"/>
  <c r="G29" i="4"/>
  <c r="K29" i="4"/>
  <c r="M145" i="6"/>
  <c r="AA20" i="5"/>
  <c r="AA21" i="5"/>
  <c r="AA15" i="5"/>
  <c r="G28" i="4"/>
  <c r="Y35" i="4" l="1"/>
  <c r="Y40" i="4" s="1"/>
  <c r="E143" i="6"/>
  <c r="I11" i="5"/>
  <c r="I38" i="4"/>
  <c r="I31" i="4"/>
  <c r="Y31" i="5"/>
  <c r="Y32" i="5" s="1"/>
  <c r="X34" i="5"/>
  <c r="I31" i="5"/>
  <c r="I32" i="5" s="1"/>
  <c r="I35" i="4"/>
  <c r="I40" i="4" s="1"/>
  <c r="Z31" i="5"/>
  <c r="Z32" i="5" s="1"/>
  <c r="Z11" i="5"/>
  <c r="Z20" i="5" s="1"/>
  <c r="Z35" i="4"/>
  <c r="Z40" i="4" s="1"/>
  <c r="Z31" i="4"/>
  <c r="AD20" i="5"/>
  <c r="AD15" i="5"/>
  <c r="M148" i="6"/>
  <c r="AD21" i="5"/>
  <c r="E144" i="6"/>
  <c r="AD32" i="4"/>
  <c r="AD12" i="5"/>
  <c r="AD35" i="5" s="1"/>
  <c r="I20" i="5"/>
  <c r="F20" i="5"/>
  <c r="AC35" i="5"/>
  <c r="L28" i="4"/>
  <c r="H35" i="5"/>
  <c r="M32" i="4"/>
  <c r="M12" i="5"/>
  <c r="M19" i="5" s="1"/>
  <c r="AB32" i="4"/>
  <c r="AB12" i="5"/>
  <c r="AB35" i="5" s="1"/>
  <c r="M131" i="6"/>
  <c r="M15" i="5"/>
  <c r="M21" i="5"/>
  <c r="G38" i="4"/>
  <c r="E125" i="6"/>
  <c r="G31" i="4"/>
  <c r="G35" i="4"/>
  <c r="G40" i="4" s="1"/>
  <c r="G31" i="5"/>
  <c r="G32" i="5" s="1"/>
  <c r="G11" i="5"/>
  <c r="M138" i="6"/>
  <c r="T21" i="5"/>
  <c r="T20" i="5"/>
  <c r="T15" i="5"/>
  <c r="M127" i="6"/>
  <c r="I21" i="5"/>
  <c r="I15" i="5"/>
  <c r="O126" i="6"/>
  <c r="H17" i="5"/>
  <c r="H16" i="5"/>
  <c r="H23" i="5"/>
  <c r="H33" i="5"/>
  <c r="H24" i="5"/>
  <c r="E35" i="5"/>
  <c r="T32" i="4"/>
  <c r="T12" i="5"/>
  <c r="T19" i="5" s="1"/>
  <c r="H25" i="5"/>
  <c r="M136" i="6"/>
  <c r="R20" i="5"/>
  <c r="R15" i="5"/>
  <c r="R21" i="5"/>
  <c r="Z32" i="4"/>
  <c r="Z12" i="5"/>
  <c r="O30" i="4"/>
  <c r="O29" i="4"/>
  <c r="V32" i="4"/>
  <c r="V12" i="5"/>
  <c r="V35" i="5" s="1"/>
  <c r="M135" i="6"/>
  <c r="Q20" i="5"/>
  <c r="Q15" i="5"/>
  <c r="Q25" i="5" s="1"/>
  <c r="Q21" i="5"/>
  <c r="I32" i="4"/>
  <c r="I12" i="5"/>
  <c r="I35" i="5" s="1"/>
  <c r="W32" i="4"/>
  <c r="W12" i="5"/>
  <c r="W35" i="5" s="1"/>
  <c r="M143" i="6"/>
  <c r="Y15" i="5"/>
  <c r="Y25" i="5" s="1"/>
  <c r="Y21" i="5"/>
  <c r="Y20" i="5"/>
  <c r="M124" i="6"/>
  <c r="F15" i="5"/>
  <c r="F25" i="5" s="1"/>
  <c r="F21" i="5"/>
  <c r="M152" i="6"/>
  <c r="C19" i="6"/>
  <c r="AH15" i="5"/>
  <c r="AH25" i="5" s="1"/>
  <c r="C25" i="6" s="1"/>
  <c r="AH20" i="5"/>
  <c r="AH21" i="5"/>
  <c r="M134" i="6"/>
  <c r="P15" i="5"/>
  <c r="P21" i="5"/>
  <c r="P20" i="5"/>
  <c r="S38" i="4"/>
  <c r="E137" i="6"/>
  <c r="S31" i="4"/>
  <c r="S31" i="5"/>
  <c r="S32" i="5" s="1"/>
  <c r="S35" i="4"/>
  <c r="S40" i="4" s="1"/>
  <c r="S11" i="5"/>
  <c r="O145" i="6"/>
  <c r="AA24" i="5"/>
  <c r="AA16" i="5"/>
  <c r="AA23" i="5"/>
  <c r="AA33" i="5"/>
  <c r="AA17" i="5"/>
  <c r="Q32" i="4"/>
  <c r="Q12" i="5"/>
  <c r="Q19" i="5" s="1"/>
  <c r="AA19" i="5"/>
  <c r="AA34" i="5" s="1"/>
  <c r="O147" i="6"/>
  <c r="AC16" i="5"/>
  <c r="AC23" i="5"/>
  <c r="AC33" i="5"/>
  <c r="AC17" i="5"/>
  <c r="AC24" i="5"/>
  <c r="M139" i="6"/>
  <c r="U20" i="5"/>
  <c r="U21" i="5"/>
  <c r="U15" i="5"/>
  <c r="U25" i="5" s="1"/>
  <c r="M146" i="6"/>
  <c r="AB20" i="5"/>
  <c r="AB21" i="5"/>
  <c r="AB15" i="5"/>
  <c r="N38" i="4"/>
  <c r="N31" i="4"/>
  <c r="E132" i="6"/>
  <c r="N11" i="5"/>
  <c r="N20" i="5" s="1"/>
  <c r="N35" i="4"/>
  <c r="N40" i="4" s="1"/>
  <c r="N31" i="5"/>
  <c r="N32" i="5" s="1"/>
  <c r="R32" i="4"/>
  <c r="R12" i="5"/>
  <c r="R35" i="5" s="1"/>
  <c r="AC34" i="5"/>
  <c r="AA25" i="5"/>
  <c r="AC25" i="5"/>
  <c r="M151" i="6"/>
  <c r="AG21" i="5"/>
  <c r="AG15" i="5"/>
  <c r="AG20" i="5"/>
  <c r="M140" i="6"/>
  <c r="V21" i="5"/>
  <c r="V20" i="5"/>
  <c r="V15" i="5"/>
  <c r="P32" i="4"/>
  <c r="P12" i="5"/>
  <c r="P35" i="5" s="1"/>
  <c r="AE38" i="4"/>
  <c r="AE31" i="4"/>
  <c r="E149" i="6"/>
  <c r="AE31" i="5"/>
  <c r="AE32" i="5" s="1"/>
  <c r="AE11" i="5"/>
  <c r="AE35" i="4"/>
  <c r="AE40" i="4" s="1"/>
  <c r="U32" i="4"/>
  <c r="U12" i="5"/>
  <c r="U35" i="5" s="1"/>
  <c r="O123" i="6"/>
  <c r="E16" i="5"/>
  <c r="E23" i="5"/>
  <c r="E33" i="5"/>
  <c r="E17" i="5"/>
  <c r="E24" i="5"/>
  <c r="Y32" i="4"/>
  <c r="Y12" i="5"/>
  <c r="Y35" i="5" s="1"/>
  <c r="F32" i="4"/>
  <c r="F12" i="5"/>
  <c r="F35" i="5" s="1"/>
  <c r="E129" i="6"/>
  <c r="K31" i="4"/>
  <c r="K38" i="4"/>
  <c r="K31" i="5"/>
  <c r="K32" i="5" s="1"/>
  <c r="K35" i="4"/>
  <c r="K40" i="4" s="1"/>
  <c r="K11" i="5"/>
  <c r="E128" i="6"/>
  <c r="J31" i="4"/>
  <c r="J38" i="4"/>
  <c r="J35" i="4"/>
  <c r="J40" i="4" s="1"/>
  <c r="J11" i="5"/>
  <c r="J31" i="5"/>
  <c r="J32" i="5" s="1"/>
  <c r="H34" i="5"/>
  <c r="E34" i="5"/>
  <c r="M141" i="6"/>
  <c r="W20" i="5"/>
  <c r="W15" i="5"/>
  <c r="W25" i="5" s="1"/>
  <c r="W21" i="5"/>
  <c r="AG32" i="4"/>
  <c r="AG12" i="5"/>
  <c r="AG19" i="5" s="1"/>
  <c r="L29" i="4"/>
  <c r="AH32" i="4"/>
  <c r="C16" i="6" s="1"/>
  <c r="C15" i="6"/>
  <c r="AH12" i="5"/>
  <c r="C20" i="6" s="1"/>
  <c r="M144" i="6" l="1"/>
  <c r="AD19" i="5"/>
  <c r="Z15" i="5"/>
  <c r="Z25" i="5" s="1"/>
  <c r="Z21" i="5"/>
  <c r="AD34" i="5"/>
  <c r="AD25" i="5"/>
  <c r="AD24" i="5"/>
  <c r="AD17" i="5"/>
  <c r="O148" i="6"/>
  <c r="AD16" i="5"/>
  <c r="AD33" i="5"/>
  <c r="AD23" i="5"/>
  <c r="Z19" i="5"/>
  <c r="Z34" i="5" s="1"/>
  <c r="G20" i="5"/>
  <c r="F19" i="5"/>
  <c r="F34" i="5" s="1"/>
  <c r="J20" i="5"/>
  <c r="I19" i="5"/>
  <c r="I34" i="5" s="1"/>
  <c r="K20" i="5"/>
  <c r="T35" i="5"/>
  <c r="M35" i="5"/>
  <c r="AB19" i="5"/>
  <c r="Z35" i="5"/>
  <c r="W19" i="5"/>
  <c r="W34" i="5" s="1"/>
  <c r="Y19" i="5"/>
  <c r="AG35" i="5"/>
  <c r="R19" i="5"/>
  <c r="R34" i="5" s="1"/>
  <c r="U19" i="5"/>
  <c r="M34" i="5"/>
  <c r="AG34" i="5"/>
  <c r="T34" i="5"/>
  <c r="O138" i="6"/>
  <c r="T16" i="5"/>
  <c r="T23" i="5"/>
  <c r="T33" i="5"/>
  <c r="T17" i="5"/>
  <c r="T24" i="5"/>
  <c r="O141" i="6"/>
  <c r="W17" i="5"/>
  <c r="W33" i="5"/>
  <c r="W24" i="5"/>
  <c r="W16" i="5"/>
  <c r="W23" i="5"/>
  <c r="AH35" i="5"/>
  <c r="O135" i="6"/>
  <c r="Q16" i="5"/>
  <c r="Q23" i="5"/>
  <c r="Q33" i="5"/>
  <c r="Q17" i="5"/>
  <c r="Q24" i="5"/>
  <c r="O136" i="6"/>
  <c r="R16" i="5"/>
  <c r="R23" i="5"/>
  <c r="R17" i="5"/>
  <c r="R33" i="5"/>
  <c r="R24" i="5"/>
  <c r="J32" i="4"/>
  <c r="J12" i="5"/>
  <c r="J35" i="5" s="1"/>
  <c r="AE32" i="4"/>
  <c r="AE12" i="5"/>
  <c r="AE19" i="5" s="1"/>
  <c r="P19" i="5"/>
  <c r="P34" i="5" s="1"/>
  <c r="O143" i="6"/>
  <c r="Y33" i="5"/>
  <c r="Y17" i="5"/>
  <c r="Y24" i="5"/>
  <c r="Y16" i="5"/>
  <c r="Y23" i="5"/>
  <c r="Q34" i="5"/>
  <c r="Q35" i="5"/>
  <c r="O151" i="6"/>
  <c r="AG16" i="5"/>
  <c r="AG23" i="5"/>
  <c r="AG33" i="5"/>
  <c r="AG17" i="5"/>
  <c r="AG24" i="5"/>
  <c r="M132" i="6"/>
  <c r="N15" i="5"/>
  <c r="N25" i="5" s="1"/>
  <c r="N21" i="5"/>
  <c r="O131" i="6"/>
  <c r="M33" i="5"/>
  <c r="M17" i="5"/>
  <c r="M24" i="5"/>
  <c r="M23" i="5"/>
  <c r="M16" i="5"/>
  <c r="AG25" i="5"/>
  <c r="R25" i="5"/>
  <c r="T25" i="5"/>
  <c r="M25" i="5"/>
  <c r="O127" i="6"/>
  <c r="I16" i="5"/>
  <c r="I23" i="5"/>
  <c r="I33" i="5"/>
  <c r="I17" i="5"/>
  <c r="I24" i="5"/>
  <c r="M125" i="6"/>
  <c r="G21" i="5"/>
  <c r="G15" i="5"/>
  <c r="O140" i="6"/>
  <c r="V23" i="5"/>
  <c r="V33" i="5"/>
  <c r="V17" i="5"/>
  <c r="V24" i="5"/>
  <c r="V16" i="5"/>
  <c r="O38" i="4"/>
  <c r="O31" i="4"/>
  <c r="E133" i="6"/>
  <c r="O11" i="5"/>
  <c r="O20" i="5" s="1"/>
  <c r="O31" i="5"/>
  <c r="O32" i="5" s="1"/>
  <c r="O35" i="4"/>
  <c r="O40" i="4" s="1"/>
  <c r="I25" i="5"/>
  <c r="M128" i="6"/>
  <c r="J15" i="5"/>
  <c r="J21" i="5"/>
  <c r="M149" i="6"/>
  <c r="AE15" i="5"/>
  <c r="AE21" i="5"/>
  <c r="AE20" i="5"/>
  <c r="V25" i="5"/>
  <c r="S32" i="4"/>
  <c r="S12" i="5"/>
  <c r="S35" i="5" s="1"/>
  <c r="O152" i="6"/>
  <c r="C21" i="6"/>
  <c r="AH23" i="5"/>
  <c r="C23" i="6" s="1"/>
  <c r="AH33" i="5"/>
  <c r="AH17" i="5"/>
  <c r="AH24" i="5"/>
  <c r="C24" i="6" s="1"/>
  <c r="AH16" i="5"/>
  <c r="C22" i="6" s="1"/>
  <c r="G32" i="4"/>
  <c r="G12" i="5"/>
  <c r="G19" i="5" s="1"/>
  <c r="M129" i="6"/>
  <c r="K21" i="5"/>
  <c r="K15" i="5"/>
  <c r="O139" i="6"/>
  <c r="U16" i="5"/>
  <c r="U23" i="5"/>
  <c r="U33" i="5"/>
  <c r="U17" i="5"/>
  <c r="U24" i="5"/>
  <c r="O134" i="6"/>
  <c r="P16" i="5"/>
  <c r="P23" i="5"/>
  <c r="P33" i="5"/>
  <c r="P17" i="5"/>
  <c r="P24" i="5"/>
  <c r="N32" i="4"/>
  <c r="N12" i="5"/>
  <c r="N35" i="5" s="1"/>
  <c r="P25" i="5"/>
  <c r="O124" i="6"/>
  <c r="F16" i="5"/>
  <c r="F33" i="5"/>
  <c r="F23" i="5"/>
  <c r="F24" i="5"/>
  <c r="F17" i="5"/>
  <c r="K32" i="4"/>
  <c r="K12" i="5"/>
  <c r="K35" i="5" s="1"/>
  <c r="O146" i="6"/>
  <c r="AB16" i="5"/>
  <c r="AB23" i="5"/>
  <c r="AB33" i="5"/>
  <c r="AB17" i="5"/>
  <c r="AB24" i="5"/>
  <c r="M137" i="6"/>
  <c r="S21" i="5"/>
  <c r="S20" i="5"/>
  <c r="S15" i="5"/>
  <c r="E130" i="6"/>
  <c r="L31" i="4"/>
  <c r="L38" i="4"/>
  <c r="L11" i="5"/>
  <c r="L20" i="5" s="1"/>
  <c r="L31" i="5"/>
  <c r="L32" i="5" s="1"/>
  <c r="L35" i="4"/>
  <c r="L40" i="4" s="1"/>
  <c r="V19" i="5"/>
  <c r="V34" i="5" s="1"/>
  <c r="O144" i="6"/>
  <c r="Z33" i="5"/>
  <c r="Z17" i="5"/>
  <c r="Z24" i="5"/>
  <c r="Z23" i="5"/>
  <c r="Z16" i="5"/>
  <c r="AB25" i="5"/>
  <c r="AH19" i="5"/>
  <c r="J19" i="5" l="1"/>
  <c r="AB34" i="5"/>
  <c r="K19" i="5"/>
  <c r="K34" i="5" s="1"/>
  <c r="AE35" i="5"/>
  <c r="U34" i="5"/>
  <c r="Y34" i="5"/>
  <c r="G35" i="5"/>
  <c r="S19" i="5"/>
  <c r="S34" i="5" s="1"/>
  <c r="AH34" i="5"/>
  <c r="AE34" i="5"/>
  <c r="N19" i="5"/>
  <c r="N34" i="5" s="1"/>
  <c r="O149" i="6"/>
  <c r="AE16" i="5"/>
  <c r="AE23" i="5"/>
  <c r="AE24" i="5"/>
  <c r="AE33" i="5"/>
  <c r="AE17" i="5"/>
  <c r="AE25" i="5"/>
  <c r="O125" i="6"/>
  <c r="G16" i="5"/>
  <c r="G23" i="5"/>
  <c r="G24" i="5"/>
  <c r="G33" i="5"/>
  <c r="G17" i="5"/>
  <c r="O137" i="6"/>
  <c r="S23" i="5"/>
  <c r="S16" i="5"/>
  <c r="S24" i="5"/>
  <c r="S33" i="5"/>
  <c r="S17" i="5"/>
  <c r="G34" i="5"/>
  <c r="O129" i="6"/>
  <c r="K17" i="5"/>
  <c r="K33" i="5"/>
  <c r="K24" i="5"/>
  <c r="K16" i="5"/>
  <c r="K23" i="5"/>
  <c r="S25" i="5"/>
  <c r="M133" i="6"/>
  <c r="O21" i="5"/>
  <c r="O15" i="5"/>
  <c r="O25" i="5" s="1"/>
  <c r="K25" i="5"/>
  <c r="O32" i="4"/>
  <c r="O12" i="5"/>
  <c r="O35" i="5" s="1"/>
  <c r="M130" i="6"/>
  <c r="L15" i="5"/>
  <c r="L25" i="5" s="1"/>
  <c r="L21" i="5"/>
  <c r="O128" i="6"/>
  <c r="J23" i="5"/>
  <c r="J33" i="5"/>
  <c r="J17" i="5"/>
  <c r="J24" i="5"/>
  <c r="J16" i="5"/>
  <c r="J34" i="5"/>
  <c r="G25" i="5"/>
  <c r="J25" i="5"/>
  <c r="L32" i="4"/>
  <c r="L12" i="5"/>
  <c r="L19" i="5" s="1"/>
  <c r="O132" i="6"/>
  <c r="N33" i="5"/>
  <c r="N17" i="5"/>
  <c r="N24" i="5"/>
  <c r="N16" i="5"/>
  <c r="N23" i="5"/>
  <c r="L35" i="5" l="1"/>
  <c r="O133" i="6"/>
  <c r="O24" i="5"/>
  <c r="O16" i="5"/>
  <c r="O23" i="5"/>
  <c r="O33" i="5"/>
  <c r="O17" i="5"/>
  <c r="O19" i="5"/>
  <c r="O34" i="5" s="1"/>
  <c r="O130" i="6"/>
  <c r="L24" i="5"/>
  <c r="L33" i="5"/>
  <c r="L17" i="5"/>
  <c r="L16" i="5"/>
  <c r="L23" i="5"/>
  <c r="L34" i="5"/>
  <c r="F122" i="6" l="1"/>
  <c r="D11" i="5" l="1"/>
  <c r="B14" i="6"/>
  <c r="D14" i="6" s="1"/>
  <c r="D31" i="5"/>
  <c r="D32" i="5" s="1"/>
  <c r="E122" i="6"/>
  <c r="D15" i="5" l="1"/>
  <c r="D25" i="5" s="1"/>
  <c r="B25" i="6" s="1"/>
  <c r="D25" i="6" s="1"/>
  <c r="D20" i="5"/>
  <c r="D21" i="5"/>
  <c r="M122" i="6"/>
  <c r="B19" i="6"/>
  <c r="D19" i="6" s="1"/>
  <c r="B16" i="6"/>
  <c r="D16" i="6" s="1"/>
  <c r="D12" i="5"/>
  <c r="B20" i="6" s="1"/>
  <c r="D20" i="6" s="1"/>
  <c r="B15" i="6"/>
  <c r="D15" i="6" s="1"/>
  <c r="D35" i="5" l="1"/>
  <c r="D19" i="5"/>
  <c r="D39" i="5" s="1"/>
  <c r="D17" i="5"/>
  <c r="D16" i="5"/>
  <c r="B22" i="6" s="1"/>
  <c r="D22" i="6" s="1"/>
  <c r="O122" i="6"/>
  <c r="B21" i="6"/>
  <c r="D21" i="6" s="1"/>
  <c r="D23" i="5"/>
  <c r="B23" i="6" s="1"/>
  <c r="D23" i="6" s="1"/>
  <c r="D33" i="5"/>
  <c r="D24" i="5"/>
  <c r="B24" i="6" s="1"/>
  <c r="D24" i="6" s="1"/>
  <c r="D34" i="5" l="1"/>
</calcChain>
</file>

<file path=xl/sharedStrings.xml><?xml version="1.0" encoding="utf-8"?>
<sst xmlns="http://schemas.openxmlformats.org/spreadsheetml/2006/main" count="505" uniqueCount="366">
  <si>
    <t>Electricity Demand for Water Supply — Libya (2020–2050)</t>
  </si>
  <si>
    <t>Metric</t>
  </si>
  <si>
    <t>Units</t>
  </si>
  <si>
    <t>Notes</t>
  </si>
  <si>
    <t>EI local groundwater</t>
  </si>
  <si>
    <t>kWh/m³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</si>
  <si>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</si>
  <si>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</si>
  <si>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</si>
  <si>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</si>
  <si>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</si>
  <si>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Local groundwater</t>
  </si>
  <si>
    <t>GWh/yr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</si>
  <si>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</si>
  <si>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</si>
  <si>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</si>
  <si>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</si>
  <si>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</si>
  <si>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</si>
  <si>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</si>
  <si>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</si>
  <si>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</si>
  <si>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</si>
  <si>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</si>
  <si>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</si>
  <si>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</si>
  <si>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</si>
  <si>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</si>
  <si>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</si>
  <si>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</si>
  <si>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</si>
  <si>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</si>
  <si>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</si>
  <si>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System-avg EI (kWh/m³)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</si>
  <si>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</si>
  <si>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</si>
  <si>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</si>
  <si>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</si>
  <si>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</si>
  <si>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%</t>
  </si>
  <si>
    <t>ADJUSTED SCENARIOS (v2 — from technical review)</t>
  </si>
  <si>
    <t>Adj: Groundwater (grid-electrified only)</t>
  </si>
  <si>
    <t>GW energy × Inputs!B60</t>
  </si>
  <si>
    <t>Adj: Thermal desal fleet share</t>
  </si>
  <si>
    <t>share</t>
  </si>
  <si>
    <t>Linear interp B61 → B62</t>
  </si>
  <si>
    <t>Adj: Fleet-blended desal EI</t>
  </si>
  <si>
    <t>(1-share)×SWRO + share×thermal</t>
  </si>
  <si>
    <t>Adj: Desal energy (fleet-blended)</t>
  </si>
  <si>
    <t>Blended EI × total desal volume</t>
  </si>
  <si>
    <t>Adj: TOTAL electricity (v2 fleet-blended)</t>
  </si>
  <si>
    <t>GridGW + GMMR + FleetDesal + RW</t>
  </si>
  <si>
    <t>% of Libya total generation (cross-check)</t>
  </si>
  <si>
    <t>Uncond total / Inputs!B65</t>
  </si>
  <si>
    <t>VALIDATION: Uncond − (BAU + tree incr)</t>
  </si>
  <si>
    <t>Should be 0 for all years</t>
  </si>
  <si>
    <t>VALIDATION: desal total − tree (≥ 0)</t>
  </si>
  <si>
    <t>Tree incr must be subset of total</t>
  </si>
  <si>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</si>
  <si>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</si>
  <si>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</si>
  <si>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</si>
  <si>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</si>
  <si>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</si>
  <si>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</si>
  <si>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</si>
  <si>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</si>
  <si>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</si>
  <si>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</si>
  <si>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</si>
  <si>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</si>
  <si>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</si>
  <si>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</si>
  <si>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</si>
  <si>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</si>
  <si>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</si>
  <si>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</si>
  <si>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</si>
  <si>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</si>
  <si>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</si>
  <si>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</si>
  <si>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</si>
  <si>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</si>
  <si>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</si>
  <si>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</si>
  <si>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</si>
  <si>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</si>
  <si>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</si>
  <si>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</si>
  <si>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</si>
  <si>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</si>
  <si>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</si>
  <si>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</si>
  <si>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</si>
  <si>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</si>
  <si>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</si>
  <si>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</si>
  <si>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</si>
  <si>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</si>
  <si>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</si>
  <si>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</si>
  <si>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</si>
  <si>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</si>
  <si>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</si>
  <si>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</si>
  <si>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</si>
  <si>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</si>
  <si>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</si>
  <si>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</si>
  <si>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</si>
  <si>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</si>
  <si>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</si>
  <si>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</si>
  <si>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</si>
  <si>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</si>
  <si>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</si>
  <si>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Libya Water-Energy Model — Inputs &amp; Assumptions</t>
  </si>
  <si>
    <t>Parameter</t>
  </si>
  <si>
    <t>Value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</si>
  <si>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</si>
  <si>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</si>
  <si>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</si>
  <si>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</si>
  <si>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</si>
  <si>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</si>
  <si>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</si>
  <si>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GDP per capita 2020</t>
  </si>
  <si>
    <t>USD (current)</t>
  </si>
  <si>
    <t>World Bank WDI 2020 (volatile)</t>
  </si>
  <si>
    <t>GDP per capita CAGR</t>
  </si>
  <si>
    <t>per year</t>
  </si>
  <si>
    <t>WATER DEMAND INTENSITIES</t>
  </si>
  <si>
    <t>Domestic water use 2020</t>
  </si>
  <si>
    <t>L/cap/day</t>
  </si>
  <si>
    <t>UNICEF 2022 citing Libya VNR 2020</t>
  </si>
  <si>
    <t>Domestic efficiency trend</t>
  </si>
  <si>
    <t>Assumption: leak reduction, metering</t>
  </si>
  <si>
    <t>Industrial water intensity 2020</t>
  </si>
  <si>
    <t>m³ per $1000 GDP</t>
  </si>
  <si>
    <t>Derived: AQUASTAT industrial share ÷ WB GDP 2020</t>
  </si>
  <si>
    <t>Industrial efficiency trend</t>
  </si>
  <si>
    <t>Assumption: process efficiency</t>
  </si>
  <si>
    <t>Agricultural water use 2020</t>
  </si>
  <si>
    <t>UNICEF 2022 citing AQUASTAT (~83% of total)</t>
  </si>
  <si>
    <t>Agricultural efficiency trend</t>
  </si>
  <si>
    <t>Assumption: irrigation modernization</t>
  </si>
  <si>
    <t>SUPPLY CAPACITY &amp; TRENDS</t>
  </si>
  <si>
    <t>Local groundwater yield 2020</t>
  </si>
  <si>
    <t>M m³/yr</t>
  </si>
  <si>
    <t>Residual estimate: total use ~5.5 Gm³ − GMMR − desal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</si>
  <si>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</si>
  <si>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</si>
  <si>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</si>
  <si>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</si>
  <si>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</si>
  <si>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</si>
  <si>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</si>
  <si>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ENERGY INTENSITIES</t>
  </si>
  <si>
    <t>EI local groundwater 2020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</si>
  <si>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</si>
  <si>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</si>
  <si>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</si>
  <si>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</si>
  <si>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</si>
  <si>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</si>
  <si>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</si>
  <si>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</si>
  <si>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</si>
  <si>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</si>
  <si>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</si>
  <si>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</si>
  <si>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</si>
  <si>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</si>
  <si>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</si>
  <si>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</si>
  <si>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</si>
  <si>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</si>
  <si>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</si>
  <si>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</si>
  <si>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</si>
  <si>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</si>
  <si>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</si>
  <si>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</si>
  <si>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</si>
  <si>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</si>
  <si>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</si>
  <si>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</si>
  <si>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</si>
  <si>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</si>
  <si>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</si>
  <si>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</si>
  <si>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</si>
  <si>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</si>
  <si>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</si>
  <si>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</si>
  <si>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</si>
  <si>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</si>
  <si>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</si>
  <si>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</si>
  <si>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</si>
  <si>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</si>
  <si>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</si>
  <si>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</si>
  <si>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</si>
  <si>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</si>
  <si>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</si>
  <si>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</si>
  <si>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</si>
  <si>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</si>
  <si>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</si>
  <si>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</si>
  <si>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</si>
  <si>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</si>
  <si>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</si>
  <si>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</si>
  <si>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</si>
  <si>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</si>
  <si>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</si>
  <si>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</si>
  <si>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</si>
  <si>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</si>
  <si>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</si>
  <si>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</si>
  <si>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</si>
  <si>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</si>
  <si>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</si>
  <si>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</si>
  <si>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IEA/OEC ~35 TWh (2021). Reference for Energy cross-check</t>
  </si>
  <si>
    <t>Water Demand Projections — Libya (2020–2050)</t>
  </si>
  <si>
    <t>Population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</si>
  <si>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</si>
  <si>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</si>
  <si>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</si>
  <si>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</si>
  <si>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</si>
  <si>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</si>
  <si>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</si>
  <si>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</si>
  <si>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</si>
  <si>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</si>
  <si>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</si>
  <si>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</si>
  <si>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</si>
  <si>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</si>
  <si>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</si>
  <si>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</si>
  <si>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</si>
  <si>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</si>
  <si>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</si>
  <si>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</si>
  <si>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</si>
  <si>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</si>
  <si>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</si>
  <si>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</si>
  <si>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</si>
  <si>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</si>
  <si>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</si>
  <si>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</si>
  <si>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Local groundwater available</t>
  </si>
  <si>
    <t>GW_2020 × (1+decline)^(year-2020)</t>
  </si>
  <si>
    <t>Pipeline (GMMR) available</t>
  </si>
  <si>
    <t>GMMR_2020 × (1+decline)^(year-2020)</t>
  </si>
  <si>
    <t>Groundwater + Pipeline</t>
  </si>
  <si>
    <t>GW + GMMR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</si>
  <si>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</si>
  <si>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</si>
  <si>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</si>
  <si>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</si>
  <si>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</si>
  <si>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</si>
  <si>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</si>
  <si>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</si>
  <si>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</si>
  <si>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</si>
  <si>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</si>
  <si>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</si>
  <si>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</si>
  <si>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</si>
  <si>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</si>
  <si>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</si>
  <si>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</si>
  <si>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</si>
  <si>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</si>
  <si>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</si>
  <si>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</si>
  <si>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</si>
  <si>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</si>
  <si>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</si>
  <si>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</si>
  <si>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</si>
  <si>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</si>
  <si>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</si>
  <si>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</si>
  <si>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</si>
  <si>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</si>
  <si>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</si>
  <si>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</si>
  <si>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</si>
  <si>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</si>
  <si>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</si>
  <si>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</si>
  <si>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</si>
  <si>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</si>
  <si>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</si>
  <si>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</si>
  <si>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</si>
  <si>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</si>
  <si>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</si>
  <si>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</si>
  <si>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Share: GMMR pipeline</t>
  </si>
  <si>
    <t>Share: Desalination</t>
  </si>
  <si>
    <t>CHECK: Supply − Demand</t>
  </si>
  <si>
    <t>Should equal zero</t>
  </si>
  <si>
    <t>Libya Water-Energy Model — Summary (2020 vs 2050)</t>
  </si>
  <si>
    <t>2020</t>
  </si>
  <si>
    <t>2050</t>
  </si>
  <si>
    <t>CAGR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</si>
  <si>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</si>
  <si>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</si>
  <si>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</si>
  <si>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</si>
  <si>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</si>
  <si>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</si>
  <si>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</si>
  <si>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</si>
  <si>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</si>
  <si>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</si>
  <si>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</si>
  <si>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</si>
  <si>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</si>
  <si>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</si>
  <si>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</si>
  <si>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</si>
  <si>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</si>
  <si>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</si>
  <si>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</si>
  <si>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</si>
  <si>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</si>
  <si>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</si>
  <si>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</si>
  <si>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</si>
  <si>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</si>
  <si>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</si>
  <si>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</si>
  <si>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</si>
  <si>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</si>
  <si>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</si>
  <si>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</si>
  <si>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</si>
  <si>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</si>
  <si>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</si>
  <si>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</si>
  <si>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</si>
  <si>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</si>
  <si>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</si>
  <si>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Supply mix data</t>
  </si>
  <si>
    <t>Energy demand data</t>
  </si>
  <si>
    <t>Groundwater</t>
  </si>
  <si>
    <t>GMMR</t>
  </si>
  <si>
    <t>Desalination</t>
  </si>
  <si>
    <t>Treated wastewater</t>
  </si>
  <si>
    <t>Total</t>
  </si>
  <si>
    <t>Demand by sector data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</si>
  <si>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</si>
  <si>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>Matched to SISEPUEDE</t>
  </si>
  <si>
    <t>Total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</si>
</sst>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%"/>
    <numFmt numFmtId="167" formatCode="0.000"/>
    <numFmt numFmtId="168" formatCode="0.0000"/>
  </numFmts>
  <fonts count="25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563C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00FF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charset val="1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4F6E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9" fontId="17" fillId="0" borderId="0"/>
  </cellStyleXfs>
  <cellXfs count="9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3" fontId="7" fillId="0" borderId="0" xfId="0" applyNumberFormat="1" applyFont="1"/>
    <xf numFmtId="164" fontId="11" fillId="0" borderId="0" xfId="0" applyNumberFormat="1" applyFont="1"/>
    <xf numFmtId="2" fontId="11" fillId="0" borderId="0" xfId="0" applyNumberFormat="1" applyFont="1"/>
    <xf numFmtId="165" fontId="7" fillId="0" borderId="0" xfId="0" applyNumberFormat="1" applyFont="1"/>
    <xf numFmtId="3" fontId="11" fillId="5" borderId="0" xfId="0" applyNumberFormat="1" applyFont="1" applyFill="1"/>
    <xf numFmtId="165" fontId="7" fillId="5" borderId="0" xfId="0" applyNumberFormat="1" applyFont="1" applyFill="1"/>
    <xf numFmtId="0" fontId="12" fillId="0" borderId="0" xfId="0" applyFont="1"/>
    <xf numFmtId="165" fontId="12" fillId="6" borderId="0" xfId="0" applyNumberFormat="1" applyFont="1" applyFill="1"/>
    <xf numFmtId="165" fontId="11" fillId="0" borderId="0" xfId="0" applyNumberFormat="1" applyFont="1"/>
    <xf numFmtId="165" fontId="11" fillId="5" borderId="0" xfId="0" applyNumberFormat="1" applyFont="1" applyFill="1"/>
    <xf numFmtId="165" fontId="12" fillId="5" borderId="0" xfId="0" applyNumberFormat="1" applyFont="1" applyFill="1"/>
    <xf numFmtId="3" fontId="7" fillId="5" borderId="0" xfId="0" applyNumberFormat="1" applyFont="1" applyFill="1"/>
    <xf numFmtId="166" fontId="7" fillId="0" borderId="0" xfId="0" applyNumberFormat="1" applyFont="1"/>
    <xf numFmtId="4" fontId="7" fillId="7" borderId="0" xfId="0" applyNumberFormat="1" applyFont="1" applyFill="1"/>
    <xf numFmtId="167" fontId="11" fillId="0" borderId="0" xfId="0" applyNumberFormat="1" applyFont="1"/>
    <xf numFmtId="2" fontId="12" fillId="6" borderId="0" xfId="0" applyNumberFormat="1" applyFont="1" applyFill="1"/>
    <xf numFmtId="167" fontId="7" fillId="0" borderId="0" xfId="0" applyNumberFormat="1" applyFont="1"/>
    <xf numFmtId="0" fontId="7" fillId="0" borderId="1" xfId="0" applyFont="1" applyBorder="1"/>
    <xf numFmtId="3" fontId="11" fillId="0" borderId="1" xfId="0" applyNumberFormat="1" applyFont="1" applyBorder="1"/>
    <xf numFmtId="10" fontId="7" fillId="0" borderId="1" xfId="0" applyNumberFormat="1" applyFont="1" applyBorder="1"/>
    <xf numFmtId="0" fontId="13" fillId="0" borderId="1" xfId="0" applyFont="1" applyBorder="1"/>
    <xf numFmtId="0" fontId="12" fillId="6" borderId="1" xfId="0" applyFont="1" applyFill="1" applyBorder="1"/>
    <xf numFmtId="165" fontId="14" fillId="6" borderId="1" xfId="0" applyNumberFormat="1" applyFont="1" applyFill="1" applyBorder="1"/>
    <xf numFmtId="10" fontId="12" fillId="6" borderId="1" xfId="0" applyNumberFormat="1" applyFont="1" applyFill="1" applyBorder="1"/>
    <xf numFmtId="0" fontId="13" fillId="6" borderId="1" xfId="0" applyFont="1" applyFill="1" applyBorder="1"/>
    <xf numFmtId="165" fontId="11" fillId="0" borderId="1" xfId="0" applyNumberFormat="1" applyFont="1" applyBorder="1"/>
    <xf numFmtId="0" fontId="7" fillId="5" borderId="1" xfId="0" applyFont="1" applyFill="1" applyBorder="1"/>
    <xf numFmtId="165" fontId="11" fillId="5" borderId="1" xfId="0" applyNumberFormat="1" applyFont="1" applyFill="1" applyBorder="1"/>
    <xf numFmtId="10" fontId="7" fillId="5" borderId="1" xfId="0" applyNumberFormat="1" applyFont="1" applyFill="1" applyBorder="1"/>
    <xf numFmtId="0" fontId="13" fillId="5" borderId="1" xfId="0" applyFont="1" applyFill="1" applyBorder="1"/>
    <xf numFmtId="0" fontId="12" fillId="0" borderId="1" xfId="0" applyFont="1" applyBorder="1"/>
    <xf numFmtId="165" fontId="14" fillId="0" borderId="1" xfId="0" applyNumberFormat="1" applyFont="1" applyBorder="1"/>
    <xf numFmtId="10" fontId="12" fillId="0" borderId="1" xfId="0" applyNumberFormat="1" applyFont="1" applyBorder="1"/>
    <xf numFmtId="3" fontId="11" fillId="5" borderId="1" xfId="0" applyNumberFormat="1" applyFont="1" applyFill="1" applyBorder="1"/>
    <xf numFmtId="3" fontId="14" fillId="6" borderId="1" xfId="0" applyNumberFormat="1" applyFont="1" applyFill="1" applyBorder="1"/>
    <xf numFmtId="2" fontId="14" fillId="6" borderId="1" xfId="0" applyNumberFormat="1" applyFont="1" applyFill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0" fontId="15" fillId="8" borderId="0" xfId="0" applyFont="1" applyFill="1"/>
    <xf numFmtId="0" fontId="16" fillId="0" borderId="0" xfId="0" applyFont="1"/>
    <xf numFmtId="0" fontId="0" fillId="0" borderId="0" xfId="0" applyAlignment="1">
      <alignment wrapText="1"/>
    </xf>
    <xf numFmtId="0" fontId="9" fillId="9" borderId="0" xfId="0" applyFont="1" applyFill="1"/>
    <xf numFmtId="0" fontId="10" fillId="9" borderId="0" xfId="0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0" fontId="12" fillId="10" borderId="0" xfId="0" applyFont="1" applyFill="1"/>
    <xf numFmtId="2" fontId="12" fillId="11" borderId="0" xfId="0" applyNumberFormat="1" applyFont="1" applyFill="1"/>
    <xf numFmtId="2" fontId="12" fillId="0" borderId="0" xfId="0" applyNumberFormat="1" applyFont="1"/>
    <xf numFmtId="0" fontId="0" fillId="12" borderId="0" xfId="0" applyFill="1"/>
    <xf numFmtId="2" fontId="0" fillId="0" borderId="0" xfId="0" applyNumberFormat="1"/>
    <xf numFmtId="0" fontId="18" fillId="13" borderId="0" xfId="0" applyFont="1" applyFill="1"/>
    <xf numFmtId="0" fontId="19" fillId="0" borderId="0" xfId="0" applyFont="1"/>
    <xf numFmtId="0" fontId="20" fillId="14" borderId="0" xfId="0" applyFont="1" applyFill="1"/>
    <xf numFmtId="0" fontId="21" fillId="0" borderId="0" xfId="0" applyFont="1"/>
    <xf numFmtId="0" fontId="22" fillId="0" borderId="0" xfId="0" applyFont="1"/>
    <xf numFmtId="165" fontId="19" fillId="0" borderId="0" xfId="0" applyNumberFormat="1" applyFont="1"/>
    <xf numFmtId="166" fontId="19" fillId="0" borderId="0" xfId="1" applyNumberFormat="1" applyFont="1"/>
    <xf numFmtId="166" fontId="19" fillId="0" borderId="0" xfId="0" applyNumberFormat="1" applyFont="1"/>
    <xf numFmtId="2" fontId="19" fillId="0" borderId="0" xfId="0" applyNumberFormat="1" applyFont="1"/>
    <xf numFmtId="4" fontId="19" fillId="0" borderId="0" xfId="0" applyNumberFormat="1" applyFont="1"/>
    <xf numFmtId="0" fontId="23" fillId="0" borderId="0" xfId="0" applyFont="1"/>
    <xf numFmtId="167" fontId="19" fillId="0" borderId="0" xfId="0" applyNumberFormat="1" applyFont="1"/>
    <xf numFmtId="165" fontId="24" fillId="5" borderId="0" xfId="0" applyNumberFormat="1" applyFont="1" applyFill="1"/>
    <xf numFmtId="0" fontId="7" fillId="15" borderId="0" xfId="0" applyFont="1" applyFill="1"/>
    <xf numFmtId="0" fontId="9" fillId="15" borderId="0" xfId="0" applyFont="1" applyFill="1"/>
    <xf numFmtId="0" fontId="10" fillId="15" borderId="0" xfId="0" applyFont="1" applyFill="1"/>
    <xf numFmtId="3" fontId="8" fillId="4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8" fontId="0" fillId="0" borderId="0" xfId="0" applyNumberFormat="1"/>
    <xf numFmtId="165" fontId="7" fillId="15" borderId="0" xfId="0" applyNumberFormat="1" applyFont="1" applyFill="1"/>
    <xf numFmtId="167" fontId="0" fillId="0" borderId="0" xfId="0" applyNumberFormat="1"/>
    <xf numFmtId="9" fontId="17" fillId="15" borderId="0" xfId="1" applyFill="1"/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16A9C"/>
      <rgbColor rgb="FFB4B4B4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4F6E1"/>
      <rgbColor rgb="FFF9F9F9"/>
      <rgbColor rgb="FFAABAD7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MX"/>
              <a:t>Electricity Demand for Water Supply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15.455915538138264</c:v>
                </c:pt>
                <c:pt idx="1">
                  <c:v>16.941670008722124</c:v>
                </c:pt>
                <c:pt idx="2">
                  <c:v>18.387393522263324</c:v>
                </c:pt>
                <c:pt idx="3">
                  <c:v>19.79393968501795</c:v>
                </c:pt>
                <c:pt idx="4">
                  <c:v>21.162148327544323</c:v>
                </c:pt>
                <c:pt idx="5">
                  <c:v>22.492845730498271</c:v>
                </c:pt>
                <c:pt idx="6">
                  <c:v>23.786844846205454</c:v>
                </c:pt>
                <c:pt idx="7">
                  <c:v>25.711800516070916</c:v>
                </c:pt>
                <c:pt idx="8">
                  <c:v>27.507931631853715</c:v>
                </c:pt>
                <c:pt idx="9">
                  <c:v>28.725888546438245</c:v>
                </c:pt>
                <c:pt idx="10">
                  <c:v>29.908991578686798</c:v>
                </c:pt>
                <c:pt idx="11">
                  <c:v>31.057957754613483</c:v>
                </c:pt>
                <c:pt idx="12">
                  <c:v>32.173493989200416</c:v>
                </c:pt>
                <c:pt idx="13">
                  <c:v>33.256297240297783</c:v>
                </c:pt>
                <c:pt idx="14">
                  <c:v>34.307054659284361</c:v>
                </c:pt>
                <c:pt idx="15">
                  <c:v>35.326443738530713</c:v>
                </c:pt>
                <c:pt idx="16">
                  <c:v>36.315132455705253</c:v>
                </c:pt>
                <c:pt idx="17">
                  <c:v>37.273779414963293</c:v>
                </c:pt>
                <c:pt idx="18">
                  <c:v>38.20303398505623</c:v>
                </c:pt>
                <c:pt idx="19">
                  <c:v>39.103536434398016</c:v>
                </c:pt>
                <c:pt idx="20">
                  <c:v>39.9759180631238</c:v>
                </c:pt>
                <c:pt idx="21">
                  <c:v>40.82080133217476</c:v>
                </c:pt>
                <c:pt idx="22">
                  <c:v>41.638799989441594</c:v>
                </c:pt>
                <c:pt idx="23">
                  <c:v>42.430519192997799</c:v>
                </c:pt>
                <c:pt idx="24">
                  <c:v>43.196555631453009</c:v>
                </c:pt>
                <c:pt idx="25">
                  <c:v>43.937497641454314</c:v>
                </c:pt>
                <c:pt idx="26">
                  <c:v>44.653925322363463</c:v>
                </c:pt>
                <c:pt idx="27">
                  <c:v>45.346410648135596</c:v>
                </c:pt>
                <c:pt idx="28">
                  <c:v>46.015517576424216</c:v>
                </c:pt>
                <c:pt idx="29">
                  <c:v>46.661802154935906</c:v>
                </c:pt>
                <c:pt idx="30">
                  <c:v>47.28581262505687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B34A-A27C-442236D998B1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15.455915538138264</c:v>
                </c:pt>
                <c:pt idx="1">
                  <c:v>16.941670008722124</c:v>
                </c:pt>
                <c:pt idx="2">
                  <c:v>18.387393522263324</c:v>
                </c:pt>
                <c:pt idx="3">
                  <c:v>19.79393968501795</c:v>
                </c:pt>
                <c:pt idx="4">
                  <c:v>21.162148327544323</c:v>
                </c:pt>
                <c:pt idx="5">
                  <c:v>22.492845730498271</c:v>
                </c:pt>
                <c:pt idx="6">
                  <c:v>23.786844846205454</c:v>
                </c:pt>
                <c:pt idx="7">
                  <c:v>25.711800516070916</c:v>
                </c:pt>
                <c:pt idx="8">
                  <c:v>27.595074683884512</c:v>
                </c:pt>
                <c:pt idx="9">
                  <c:v>29.437441605079862</c:v>
                </c:pt>
                <c:pt idx="10">
                  <c:v>31.239663052002104</c:v>
                </c:pt>
                <c:pt idx="11">
                  <c:v>33.002488515238753</c:v>
                </c:pt>
                <c:pt idx="12">
                  <c:v>34.726655401066374</c:v>
                </c:pt>
                <c:pt idx="13">
                  <c:v>36.412889225063786</c:v>
                </c:pt>
                <c:pt idx="14">
                  <c:v>38.061903801941988</c:v>
                </c:pt>
                <c:pt idx="15">
                  <c:v>39.674401431638593</c:v>
                </c:pt>
                <c:pt idx="16">
                  <c:v>41.251073081723256</c:v>
                </c:pt>
                <c:pt idx="17">
                  <c:v>42.158593566159929</c:v>
                </c:pt>
                <c:pt idx="18">
                  <c:v>43.038206720469134</c:v>
                </c:pt>
                <c:pt idx="19">
                  <c:v>43.890570573333065</c:v>
                </c:pt>
                <c:pt idx="20">
                  <c:v>44.716332514684176</c:v>
                </c:pt>
                <c:pt idx="21">
                  <c:v>45.516129460316947</c:v>
                </c:pt>
                <c:pt idx="22">
                  <c:v>46.290588013061118</c:v>
                </c:pt>
                <c:pt idx="23">
                  <c:v>47.040324620552795</c:v>
                </c:pt>
                <c:pt idx="24">
                  <c:v>47.765945729639441</c:v>
                </c:pt>
                <c:pt idx="25">
                  <c:v>48.468047937452098</c:v>
                </c:pt>
                <c:pt idx="26">
                  <c:v>49.147218139178129</c:v>
                </c:pt>
                <c:pt idx="27">
                  <c:v>49.804033672565446</c:v>
                </c:pt>
                <c:pt idx="28">
                  <c:v>50.439062459188477</c:v>
                </c:pt>
                <c:pt idx="29">
                  <c:v>51.052863142504258</c:v>
                </c:pt>
                <c:pt idx="30">
                  <c:v>51.64598522272631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B34A-A27C-442236D998B1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15.455915538138264</c:v>
                </c:pt>
                <c:pt idx="1">
                  <c:v>16.941670008722124</c:v>
                </c:pt>
                <c:pt idx="2">
                  <c:v>18.387393522263324</c:v>
                </c:pt>
                <c:pt idx="3">
                  <c:v>19.79393968501795</c:v>
                </c:pt>
                <c:pt idx="4">
                  <c:v>21.162148327544323</c:v>
                </c:pt>
                <c:pt idx="5">
                  <c:v>22.492845730498271</c:v>
                </c:pt>
                <c:pt idx="6">
                  <c:v>23.786844846205454</c:v>
                </c:pt>
                <c:pt idx="7">
                  <c:v>25.711800516070916</c:v>
                </c:pt>
                <c:pt idx="8">
                  <c:v>27.595074683884512</c:v>
                </c:pt>
                <c:pt idx="9">
                  <c:v>29.437441605079862</c:v>
                </c:pt>
                <c:pt idx="10">
                  <c:v>31.239663052002104</c:v>
                </c:pt>
                <c:pt idx="11">
                  <c:v>33.002488515238753</c:v>
                </c:pt>
                <c:pt idx="12">
                  <c:v>34.726655401066374</c:v>
                </c:pt>
                <c:pt idx="13">
                  <c:v>36.412889225063786</c:v>
                </c:pt>
                <c:pt idx="14">
                  <c:v>38.061903801941988</c:v>
                </c:pt>
                <c:pt idx="15">
                  <c:v>39.674401431638593</c:v>
                </c:pt>
                <c:pt idx="16">
                  <c:v>41.251073081723256</c:v>
                </c:pt>
                <c:pt idx="17">
                  <c:v>42.158593566159929</c:v>
                </c:pt>
                <c:pt idx="18">
                  <c:v>43.038206720469134</c:v>
                </c:pt>
                <c:pt idx="19">
                  <c:v>43.890570573333065</c:v>
                </c:pt>
                <c:pt idx="20">
                  <c:v>44.716332514684176</c:v>
                </c:pt>
                <c:pt idx="21">
                  <c:v>45.516129460316947</c:v>
                </c:pt>
                <c:pt idx="22">
                  <c:v>46.290588013061118</c:v>
                </c:pt>
                <c:pt idx="23">
                  <c:v>47.040324620552795</c:v>
                </c:pt>
                <c:pt idx="24">
                  <c:v>47.765945729639441</c:v>
                </c:pt>
                <c:pt idx="25">
                  <c:v>48.468047937452098</c:v>
                </c:pt>
                <c:pt idx="26">
                  <c:v>49.147218139178129</c:v>
                </c:pt>
                <c:pt idx="27">
                  <c:v>49.804033672565446</c:v>
                </c:pt>
                <c:pt idx="28">
                  <c:v>50.439062459188477</c:v>
                </c:pt>
                <c:pt idx="29">
                  <c:v>51.052863142504258</c:v>
                </c:pt>
                <c:pt idx="30">
                  <c:v>51.64598522272631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B34A-A27C-442236D9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678976"/>
        <c:axId val="1749666880"/>
      </c:lineChart>
      <c:catAx>
        <c:axId val="17496789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66880"/>
        <c:crosses val="autoZero"/>
        <c:auto val="1"/>
        <c:lblAlgn val="ctr"/>
        <c:lblOffset val="100"/>
        <c:noMultiLvlLbl val="0"/>
      </c:catAx>
      <c:valAx>
        <c:axId val="1749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Petejoules (PJ)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789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supply mix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General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E-5B4A-9DFF-0DB4708DD2F2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General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E-5B4A-9DFF-0DB4708DD2F2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General</c:formatCode>
                <c:ptCount val="31"/>
                <c:pt idx="0">
                  <c:v>372.65221190744933</c:v>
                </c:pt>
                <c:pt idx="1">
                  <c:v>495.97479365852973</c:v>
                </c:pt>
                <c:pt idx="2">
                  <c:v>617.21618216182821</c:v>
                </c:pt>
                <c:pt idx="3">
                  <c:v>736.41683100540558</c:v>
                </c:pt>
                <c:pt idx="4">
                  <c:v>853.61683426390164</c:v>
                </c:pt>
                <c:pt idx="5">
                  <c:v>968.85593644577477</c:v>
                </c:pt>
                <c:pt idx="6">
                  <c:v>1082.1735423845535</c:v>
                </c:pt>
                <c:pt idx="7">
                  <c:v>1248.3587270771336</c:v>
                </c:pt>
                <c:pt idx="8">
                  <c:v>1412.7002454721651</c:v>
                </c:pt>
                <c:pt idx="9">
                  <c:v>1575.2365422115965</c:v>
                </c:pt>
                <c:pt idx="10">
                  <c:v>1736.0057613283732</c:v>
                </c:pt>
                <c:pt idx="11">
                  <c:v>1895.0457559033389</c:v>
                </c:pt>
                <c:pt idx="12">
                  <c:v>2052.3940976843396</c:v>
                </c:pt>
                <c:pt idx="13">
                  <c:v>2208.0880866705497</c:v>
                </c:pt>
                <c:pt idx="14">
                  <c:v>2362.1647606650308</c:v>
                </c:pt>
                <c:pt idx="15">
                  <c:v>2514.6609047985307</c:v>
                </c:pt>
                <c:pt idx="16">
                  <c:v>2665.6130610274995</c:v>
                </c:pt>
                <c:pt idx="17">
                  <c:v>2760.3075376093716</c:v>
                </c:pt>
                <c:pt idx="18">
                  <c:v>2853.5304185580676</c:v>
                </c:pt>
                <c:pt idx="19">
                  <c:v>2945.317573082762</c:v>
                </c:pt>
                <c:pt idx="20">
                  <c:v>3035.704665012885</c:v>
                </c:pt>
                <c:pt idx="21">
                  <c:v>3124.7271622123985</c:v>
                </c:pt>
                <c:pt idx="22">
                  <c:v>3212.4203459863447</c:v>
                </c:pt>
                <c:pt idx="23">
                  <c:v>3298.8193204826798</c:v>
                </c:pt>
                <c:pt idx="24">
                  <c:v>3383.9590220924511</c:v>
                </c:pt>
                <c:pt idx="25">
                  <c:v>3467.8742288513035</c:v>
                </c:pt>
                <c:pt idx="26">
                  <c:v>3550.5995698453999</c:v>
                </c:pt>
                <c:pt idx="27">
                  <c:v>3632.1695346247834</c:v>
                </c:pt>
                <c:pt idx="28">
                  <c:v>3712.6184826272611</c:v>
                </c:pt>
                <c:pt idx="29">
                  <c:v>3791.9806526158613</c:v>
                </c:pt>
                <c:pt idx="30">
                  <c:v>3870.290172132984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E-5B4A-9DFF-0DB4708DD2F2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General</c:formatCode>
                <c:ptCount val="31"/>
                <c:pt idx="0">
                  <c:v>153.03391253625</c:v>
                </c:pt>
                <c:pt idx="1">
                  <c:v>162.00485613003602</c:v>
                </c:pt>
                <c:pt idx="2">
                  <c:v>171.13364915508436</c:v>
                </c:pt>
                <c:pt idx="3">
                  <c:v>180.41723191991747</c:v>
                </c:pt>
                <c:pt idx="4">
                  <c:v>189.85257766835471</c:v>
                </c:pt>
                <c:pt idx="5">
                  <c:v>199.4366922952284</c:v>
                </c:pt>
                <c:pt idx="6">
                  <c:v>209.16661406427696</c:v>
                </c:pt>
                <c:pt idx="7">
                  <c:v>219.03941332819855</c:v>
                </c:pt>
                <c:pt idx="8">
                  <c:v>229.05219225085082</c:v>
                </c:pt>
                <c:pt idx="9">
                  <c:v>239.20208453158125</c:v>
                </c:pt>
                <c:pt idx="10">
                  <c:v>249.48625513167292</c:v>
                </c:pt>
                <c:pt idx="11">
                  <c:v>259.90190000289016</c:v>
                </c:pt>
                <c:pt idx="12">
                  <c:v>270.44624581811058</c:v>
                </c:pt>
                <c:pt idx="13">
                  <c:v>281.11654970402697</c:v>
                </c:pt>
                <c:pt idx="14">
                  <c:v>291.91009897590521</c:v>
                </c:pt>
                <c:pt idx="15">
                  <c:v>302.82421087438354</c:v>
                </c:pt>
                <c:pt idx="16">
                  <c:v>313.85623230429911</c:v>
                </c:pt>
                <c:pt idx="17">
                  <c:v>325.00353957552534</c:v>
                </c:pt>
                <c:pt idx="18">
                  <c:v>336.26353814580915</c:v>
                </c:pt>
                <c:pt idx="19">
                  <c:v>347.63366236559034</c:v>
                </c:pt>
                <c:pt idx="20">
                  <c:v>359.11137522479123</c:v>
                </c:pt>
                <c:pt idx="21">
                  <c:v>370.6941681015615</c:v>
                </c:pt>
                <c:pt idx="22">
                  <c:v>382.37956051296561</c:v>
                </c:pt>
                <c:pt idx="23">
                  <c:v>394.16509986759644</c:v>
                </c:pt>
                <c:pt idx="24">
                  <c:v>406.04836122010363</c:v>
                </c:pt>
                <c:pt idx="25">
                  <c:v>418.02694702762233</c:v>
                </c:pt>
                <c:pt idx="26">
                  <c:v>430.09848690808849</c:v>
                </c:pt>
                <c:pt idx="27">
                  <c:v>442.26063740042702</c:v>
                </c:pt>
                <c:pt idx="28">
                  <c:v>454.51108172660088</c:v>
                </c:pt>
                <c:pt idx="29">
                  <c:v>466.84752955550425</c:v>
                </c:pt>
                <c:pt idx="30">
                  <c:v>479.26771676869225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E-5B4A-9DFF-0DB4708D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demand for water supply (GWh/yr)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General</c:formatCode>
                <c:ptCount val="31"/>
                <c:pt idx="0">
                  <c:v>1225</c:v>
                </c:pt>
                <c:pt idx="1">
                  <c:v>1224.7243749999998</c:v>
                </c:pt>
                <c:pt idx="2">
                  <c:v>1224.4488120156245</c:v>
                </c:pt>
                <c:pt idx="3">
                  <c:v>1224.173311032921</c:v>
                </c:pt>
                <c:pt idx="4">
                  <c:v>1223.8978720379382</c:v>
                </c:pt>
                <c:pt idx="5">
                  <c:v>1223.6224950167295</c:v>
                </c:pt>
                <c:pt idx="6">
                  <c:v>1223.3471799553506</c:v>
                </c:pt>
                <c:pt idx="7">
                  <c:v>1223.0719268398607</c:v>
                </c:pt>
                <c:pt idx="8">
                  <c:v>1222.7967356563215</c:v>
                </c:pt>
                <c:pt idx="9">
                  <c:v>1222.5216063907985</c:v>
                </c:pt>
                <c:pt idx="10">
                  <c:v>1222.2465390293605</c:v>
                </c:pt>
                <c:pt idx="11">
                  <c:v>1221.9715335580788</c:v>
                </c:pt>
                <c:pt idx="12">
                  <c:v>1221.6965899630281</c:v>
                </c:pt>
                <c:pt idx="13">
                  <c:v>1221.4217082302864</c:v>
                </c:pt>
                <c:pt idx="14">
                  <c:v>1221.1468883459343</c:v>
                </c:pt>
                <c:pt idx="15">
                  <c:v>1220.872130296056</c:v>
                </c:pt>
                <c:pt idx="16">
                  <c:v>1220.5974340667392</c:v>
                </c:pt>
                <c:pt idx="17">
                  <c:v>1220.3227996440742</c:v>
                </c:pt>
                <c:pt idx="18">
                  <c:v>1220.048227014154</c:v>
                </c:pt>
                <c:pt idx="19">
                  <c:v>1219.7737161630757</c:v>
                </c:pt>
                <c:pt idx="20">
                  <c:v>1219.4992670769388</c:v>
                </c:pt>
                <c:pt idx="21">
                  <c:v>1219.2248797418465</c:v>
                </c:pt>
                <c:pt idx="22">
                  <c:v>1218.9505541439041</c:v>
                </c:pt>
                <c:pt idx="23">
                  <c:v>1218.6762902692219</c:v>
                </c:pt>
                <c:pt idx="24">
                  <c:v>1218.402088103911</c:v>
                </c:pt>
                <c:pt idx="25">
                  <c:v>1218.1279476340876</c:v>
                </c:pt>
                <c:pt idx="26">
                  <c:v>1217.8538688458696</c:v>
                </c:pt>
                <c:pt idx="27">
                  <c:v>1217.5798517253793</c:v>
                </c:pt>
                <c:pt idx="28">
                  <c:v>1217.3058962587406</c:v>
                </c:pt>
                <c:pt idx="29">
                  <c:v>1217.0320024320824</c:v>
                </c:pt>
                <c:pt idx="30">
                  <c:v>1216.7581702315351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6047-B92F-E5ED6595D3CE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General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6047-B92F-E5ED6595D3CE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General</c:formatCode>
                <c:ptCount val="31"/>
                <c:pt idx="0">
                  <c:v>1304.2827416760726</c:v>
                </c:pt>
                <c:pt idx="1">
                  <c:v>1727.6455312438786</c:v>
                </c:pt>
                <c:pt idx="2">
                  <c:v>2139.6827648276712</c:v>
                </c:pt>
                <c:pt idx="3">
                  <c:v>2540.6380669686496</c:v>
                </c:pt>
                <c:pt idx="4">
                  <c:v>2930.7511309727288</c:v>
                </c:pt>
                <c:pt idx="5">
                  <c:v>3310.2577828563972</c:v>
                </c:pt>
                <c:pt idx="6">
                  <c:v>3679.3900441074816</c:v>
                </c:pt>
                <c:pt idx="7">
                  <c:v>4223.6136932776353</c:v>
                </c:pt>
                <c:pt idx="8">
                  <c:v>4756.0908264229556</c:v>
                </c:pt>
                <c:pt idx="9">
                  <c:v>5277.0424164088481</c:v>
                </c:pt>
                <c:pt idx="10">
                  <c:v>5786.6858710945771</c:v>
                </c:pt>
                <c:pt idx="11">
                  <c:v>6285.2350904127406</c:v>
                </c:pt>
                <c:pt idx="12">
                  <c:v>6772.9005223583199</c:v>
                </c:pt>
                <c:pt idx="13">
                  <c:v>7249.8892179016384</c:v>
                </c:pt>
                <c:pt idx="14">
                  <c:v>7716.4048848391003</c:v>
                </c:pt>
                <c:pt idx="15">
                  <c:v>8172.647940595225</c:v>
                </c:pt>
                <c:pt idx="16">
                  <c:v>8618.8155639889155</c:v>
                </c:pt>
                <c:pt idx="17">
                  <c:v>8878.9892459768125</c:v>
                </c:pt>
                <c:pt idx="18">
                  <c:v>9131.2973393858174</c:v>
                </c:pt>
                <c:pt idx="19">
                  <c:v>9375.9276076467922</c:v>
                </c:pt>
                <c:pt idx="20">
                  <c:v>9613.0647725408016</c:v>
                </c:pt>
                <c:pt idx="21">
                  <c:v>9842.8905609690555</c:v>
                </c:pt>
                <c:pt idx="22">
                  <c:v>10065.583750757214</c:v>
                </c:pt>
                <c:pt idx="23">
                  <c:v>10281.320215504353</c:v>
                </c:pt>
                <c:pt idx="24">
                  <c:v>10490.272968486599</c:v>
                </c:pt>
                <c:pt idx="25">
                  <c:v>10692.612205624853</c:v>
                </c:pt>
                <c:pt idx="26">
                  <c:v>10888.505347525892</c:v>
                </c:pt>
                <c:pt idx="27">
                  <c:v>11078.117080605589</c:v>
                </c:pt>
                <c:pt idx="28">
                  <c:v>11261.609397302691</c:v>
                </c:pt>
                <c:pt idx="29">
                  <c:v>11439.141635391181</c:v>
                </c:pt>
                <c:pt idx="30">
                  <c:v>11610.870516398953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6047-B92F-E5ED6595D3CE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General</c:formatCode>
                <c:ptCount val="31"/>
                <c:pt idx="0">
                  <c:v>122.42713002900001</c:v>
                </c:pt>
                <c:pt idx="1">
                  <c:v>128.79386062337863</c:v>
                </c:pt>
                <c:pt idx="2">
                  <c:v>135.19558283251664</c:v>
                </c:pt>
                <c:pt idx="3">
                  <c:v>141.62752705713521</c:v>
                </c:pt>
                <c:pt idx="4">
                  <c:v>148.08501058131668</c:v>
                </c:pt>
                <c:pt idx="5">
                  <c:v>154.56343652880201</c:v>
                </c:pt>
                <c:pt idx="6">
                  <c:v>161.05829282949327</c:v>
                </c:pt>
                <c:pt idx="7">
                  <c:v>167.56515119607189</c:v>
                </c:pt>
                <c:pt idx="8">
                  <c:v>174.07966611064663</c:v>
                </c:pt>
                <c:pt idx="9">
                  <c:v>180.59757382134384</c:v>
                </c:pt>
                <c:pt idx="10">
                  <c:v>187.11469134875469</c:v>
                </c:pt>
                <c:pt idx="11">
                  <c:v>193.62691550215317</c:v>
                </c:pt>
                <c:pt idx="12">
                  <c:v>200.13022190540184</c:v>
                </c:pt>
                <c:pt idx="13">
                  <c:v>206.62066403245984</c:v>
                </c:pt>
                <c:pt idx="14">
                  <c:v>213.09437225241081</c:v>
                </c:pt>
                <c:pt idx="15">
                  <c:v>219.54755288392809</c:v>
                </c:pt>
                <c:pt idx="16">
                  <c:v>225.97648725909536</c:v>
                </c:pt>
                <c:pt idx="17">
                  <c:v>232.37753079650065</c:v>
                </c:pt>
                <c:pt idx="18">
                  <c:v>238.74711208352451</c:v>
                </c:pt>
                <c:pt idx="19">
                  <c:v>245.08173196774121</c:v>
                </c:pt>
                <c:pt idx="20">
                  <c:v>251.37796265735389</c:v>
                </c:pt>
                <c:pt idx="21">
                  <c:v>257.63244683058525</c:v>
                </c:pt>
                <c:pt idx="22">
                  <c:v>263.84189675394629</c:v>
                </c:pt>
                <c:pt idx="23">
                  <c:v>270.00309340930357</c:v>
                </c:pt>
                <c:pt idx="24">
                  <c:v>276.11288562967047</c:v>
                </c:pt>
                <c:pt idx="25">
                  <c:v>282.16818924364509</c:v>
                </c:pt>
                <c:pt idx="26">
                  <c:v>288.16598622841929</c:v>
                </c:pt>
                <c:pt idx="27">
                  <c:v>294.10332387128398</c:v>
                </c:pt>
                <c:pt idx="28">
                  <c:v>299.97731393955661</c:v>
                </c:pt>
                <c:pt idx="29">
                  <c:v>305.78513185885532</c:v>
                </c:pt>
                <c:pt idx="30">
                  <c:v>311.52401589964995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6047-B92F-E5ED6595D3CE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General</c:formatCode>
                <c:ptCount val="31"/>
                <c:pt idx="0">
                  <c:v>4293.3098717050734</c:v>
                </c:pt>
                <c:pt idx="1">
                  <c:v>4706.0194468672571</c:v>
                </c:pt>
                <c:pt idx="2">
                  <c:v>5107.6093117398123</c:v>
                </c:pt>
                <c:pt idx="3">
                  <c:v>5498.3165791716528</c:v>
                </c:pt>
                <c:pt idx="4">
                  <c:v>5878.3745354289786</c:v>
                </c:pt>
                <c:pt idx="5">
                  <c:v>6248.0127029161868</c:v>
                </c:pt>
                <c:pt idx="6">
                  <c:v>6607.4569017237372</c:v>
                </c:pt>
                <c:pt idx="7">
                  <c:v>7142.1668100196994</c:v>
                </c:pt>
                <c:pt idx="8">
                  <c:v>7665.2985233012532</c:v>
                </c:pt>
                <c:pt idx="9">
                  <c:v>8177.0671125221843</c:v>
                </c:pt>
                <c:pt idx="10">
                  <c:v>8677.6841811116956</c:v>
                </c:pt>
                <c:pt idx="11">
                  <c:v>9167.3579208996543</c:v>
                </c:pt>
                <c:pt idx="12">
                  <c:v>9646.2931669628815</c:v>
                </c:pt>
                <c:pt idx="13">
                  <c:v>10114.691451406607</c:v>
                </c:pt>
                <c:pt idx="14">
                  <c:v>10572.751056094998</c:v>
                </c:pt>
                <c:pt idx="15">
                  <c:v>11020.667064344054</c:v>
                </c:pt>
                <c:pt idx="16">
                  <c:v>11458.631411589793</c:v>
                </c:pt>
                <c:pt idx="17">
                  <c:v>11710.720435044424</c:v>
                </c:pt>
                <c:pt idx="18">
                  <c:v>11955.057422352538</c:v>
                </c:pt>
                <c:pt idx="19">
                  <c:v>12191.825159259186</c:v>
                </c:pt>
                <c:pt idx="20">
                  <c:v>12421.20347630116</c:v>
                </c:pt>
                <c:pt idx="21">
                  <c:v>12643.369294532486</c:v>
                </c:pt>
                <c:pt idx="22">
                  <c:v>12858.496670294755</c:v>
                </c:pt>
                <c:pt idx="23">
                  <c:v>13066.756839042444</c:v>
                </c:pt>
                <c:pt idx="24">
                  <c:v>13268.318258233179</c:v>
                </c:pt>
                <c:pt idx="25">
                  <c:v>13463.346649292251</c:v>
                </c:pt>
                <c:pt idx="26">
                  <c:v>13652.005038660593</c:v>
                </c:pt>
                <c:pt idx="27">
                  <c:v>13834.453797934846</c:v>
                </c:pt>
                <c:pt idx="28">
                  <c:v>14010.85068310791</c:v>
                </c:pt>
                <c:pt idx="29">
                  <c:v>14181.35087291785</c:v>
                </c:pt>
                <c:pt idx="30">
                  <c:v>14346.107006312865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1-6047-B92F-E5ED6595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GWh/yr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demand by sector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6D4C-81B9-01249528DABB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4-6D4C-81B9-01249528DABB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4-6D4C-81B9-01249528DABB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4-6D4C-81B9-01249528D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Supply vs Demand (M m³/yr)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General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8-6B4C-82F3-5318F9B1D04B}"/>
            </c:ext>
          </c:extLst>
        </c:ser>
        <c:ser>
          <c:idx val="2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General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8-6B4C-82F3-5318F9B1D04B}"/>
            </c:ext>
          </c:extLst>
        </c:ser>
        <c:ser>
          <c:idx val="3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General</c:formatCode>
                <c:ptCount val="31"/>
                <c:pt idx="0">
                  <c:v>372.65221190744933</c:v>
                </c:pt>
                <c:pt idx="1">
                  <c:v>495.97479365852973</c:v>
                </c:pt>
                <c:pt idx="2">
                  <c:v>617.21618216182821</c:v>
                </c:pt>
                <c:pt idx="3">
                  <c:v>736.41683100540558</c:v>
                </c:pt>
                <c:pt idx="4">
                  <c:v>853.61683426390164</c:v>
                </c:pt>
                <c:pt idx="5">
                  <c:v>968.85593644577477</c:v>
                </c:pt>
                <c:pt idx="6">
                  <c:v>1082.1735423845535</c:v>
                </c:pt>
                <c:pt idx="7">
                  <c:v>1248.3587270771336</c:v>
                </c:pt>
                <c:pt idx="8">
                  <c:v>1412.7002454721651</c:v>
                </c:pt>
                <c:pt idx="9">
                  <c:v>1575.2365422115965</c:v>
                </c:pt>
                <c:pt idx="10">
                  <c:v>1736.0057613283732</c:v>
                </c:pt>
                <c:pt idx="11">
                  <c:v>1895.0457559033389</c:v>
                </c:pt>
                <c:pt idx="12">
                  <c:v>2052.3940976843396</c:v>
                </c:pt>
                <c:pt idx="13">
                  <c:v>2208.0880866705497</c:v>
                </c:pt>
                <c:pt idx="14">
                  <c:v>2362.1647606650308</c:v>
                </c:pt>
                <c:pt idx="15">
                  <c:v>2514.6609047985307</c:v>
                </c:pt>
                <c:pt idx="16">
                  <c:v>2665.6130610274995</c:v>
                </c:pt>
                <c:pt idx="17">
                  <c:v>2760.3075376093716</c:v>
                </c:pt>
                <c:pt idx="18">
                  <c:v>2853.5304185580676</c:v>
                </c:pt>
                <c:pt idx="19">
                  <c:v>2945.317573082762</c:v>
                </c:pt>
                <c:pt idx="20">
                  <c:v>3035.704665012885</c:v>
                </c:pt>
                <c:pt idx="21">
                  <c:v>3124.7271622123985</c:v>
                </c:pt>
                <c:pt idx="22">
                  <c:v>3212.4203459863447</c:v>
                </c:pt>
                <c:pt idx="23">
                  <c:v>3298.8193204826798</c:v>
                </c:pt>
                <c:pt idx="24">
                  <c:v>3383.9590220924511</c:v>
                </c:pt>
                <c:pt idx="25">
                  <c:v>3467.8742288513035</c:v>
                </c:pt>
                <c:pt idx="26">
                  <c:v>3550.5995698453999</c:v>
                </c:pt>
                <c:pt idx="27">
                  <c:v>3632.1695346247834</c:v>
                </c:pt>
                <c:pt idx="28">
                  <c:v>3712.6184826272611</c:v>
                </c:pt>
                <c:pt idx="29">
                  <c:v>3791.9806526158613</c:v>
                </c:pt>
                <c:pt idx="30">
                  <c:v>3870.290172132984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B8-6B4C-82F3-5318F9B1D04B}"/>
            </c:ext>
          </c:extLst>
        </c:ser>
        <c:ser>
          <c:idx val="4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General</c:formatCode>
                <c:ptCount val="31"/>
                <c:pt idx="0">
                  <c:v>153.03391253625</c:v>
                </c:pt>
                <c:pt idx="1">
                  <c:v>162.00485613003602</c:v>
                </c:pt>
                <c:pt idx="2">
                  <c:v>171.13364915508436</c:v>
                </c:pt>
                <c:pt idx="3">
                  <c:v>180.41723191991747</c:v>
                </c:pt>
                <c:pt idx="4">
                  <c:v>189.85257766835471</c:v>
                </c:pt>
                <c:pt idx="5">
                  <c:v>199.4366922952284</c:v>
                </c:pt>
                <c:pt idx="6">
                  <c:v>209.16661406427696</c:v>
                </c:pt>
                <c:pt idx="7">
                  <c:v>219.03941332819855</c:v>
                </c:pt>
                <c:pt idx="8">
                  <c:v>229.05219225085082</c:v>
                </c:pt>
                <c:pt idx="9">
                  <c:v>239.20208453158125</c:v>
                </c:pt>
                <c:pt idx="10">
                  <c:v>249.48625513167292</c:v>
                </c:pt>
                <c:pt idx="11">
                  <c:v>259.90190000289016</c:v>
                </c:pt>
                <c:pt idx="12">
                  <c:v>270.44624581811058</c:v>
                </c:pt>
                <c:pt idx="13">
                  <c:v>281.11654970402697</c:v>
                </c:pt>
                <c:pt idx="14">
                  <c:v>291.91009897590521</c:v>
                </c:pt>
                <c:pt idx="15">
                  <c:v>302.82421087438354</c:v>
                </c:pt>
                <c:pt idx="16">
                  <c:v>313.85623230429911</c:v>
                </c:pt>
                <c:pt idx="17">
                  <c:v>325.00353957552534</c:v>
                </c:pt>
                <c:pt idx="18">
                  <c:v>336.26353814580915</c:v>
                </c:pt>
                <c:pt idx="19">
                  <c:v>347.63366236559034</c:v>
                </c:pt>
                <c:pt idx="20">
                  <c:v>359.11137522479123</c:v>
                </c:pt>
                <c:pt idx="21">
                  <c:v>370.6941681015615</c:v>
                </c:pt>
                <c:pt idx="22">
                  <c:v>382.37956051296561</c:v>
                </c:pt>
                <c:pt idx="23">
                  <c:v>394.16509986759644</c:v>
                </c:pt>
                <c:pt idx="24">
                  <c:v>406.04836122010363</c:v>
                </c:pt>
                <c:pt idx="25">
                  <c:v>418.02694702762233</c:v>
                </c:pt>
                <c:pt idx="26">
                  <c:v>430.09848690808849</c:v>
                </c:pt>
                <c:pt idx="27">
                  <c:v>442.26063740042702</c:v>
                </c:pt>
                <c:pt idx="28">
                  <c:v>454.51108172660088</c:v>
                </c:pt>
                <c:pt idx="29">
                  <c:v>466.84752955550425</c:v>
                </c:pt>
                <c:pt idx="30">
                  <c:v>479.26771676869225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8-6B4C-82F3-5318F9B1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14975"/>
        <c:axId val="643009599"/>
      </c:barChart>
      <c:lineChart>
        <c:grouping val="standard"/>
        <c:varyColors val="0"/>
        <c:ser>
          <c:idx val="5"/>
          <c:order val="4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Summary!$G$202:$G$232</c:f>
              <c:numCache>
                <c:formatCode>General</c:formatCode>
                <c:ptCount val="31"/>
                <c:pt idx="0">
                  <c:v>4937.6861244436996</c:v>
                </c:pt>
                <c:pt idx="1">
                  <c:v>4999.2396497885657</c:v>
                </c:pt>
                <c:pt idx="2">
                  <c:v>5060.0221313169122</c:v>
                </c:pt>
                <c:pt idx="3">
                  <c:v>5120.0518544253227</c:v>
                </c:pt>
                <c:pt idx="4">
                  <c:v>5179.3471010397561</c:v>
                </c:pt>
                <c:pt idx="5">
                  <c:v>5237.9261537022903</c:v>
                </c:pt>
                <c:pt idx="6">
                  <c:v>5295.8072997022909</c:v>
                </c:pt>
                <c:pt idx="7">
                  <c:v>5407.7588352532503</c:v>
                </c:pt>
                <c:pt idx="8">
                  <c:v>5519.0490697166097</c:v>
                </c:pt>
                <c:pt idx="9">
                  <c:v>5629.6963298738956</c:v>
                </c:pt>
                <c:pt idx="10">
                  <c:v>5739.71896424849</c:v>
                </c:pt>
                <c:pt idx="11">
                  <c:v>5849.1353474784391</c:v>
                </c:pt>
                <c:pt idx="12">
                  <c:v>5957.9638847416572</c:v>
                </c:pt>
                <c:pt idx="13">
                  <c:v>6066.2230162349651</c:v>
                </c:pt>
                <c:pt idx="14">
                  <c:v>6173.9312217083925</c:v>
                </c:pt>
                <c:pt idx="15">
                  <c:v>6281.1070250562334</c:v>
                </c:pt>
                <c:pt idx="16">
                  <c:v>6387.7689989663049</c:v>
                </c:pt>
                <c:pt idx="17">
                  <c:v>6439.1857696289835</c:v>
                </c:pt>
                <c:pt idx="18">
                  <c:v>6490.1260215075181</c:v>
                </c:pt>
                <c:pt idx="19">
                  <c:v>6540.6085021712315</c:v>
                </c:pt>
                <c:pt idx="20">
                  <c:v>6590.6520271931786</c:v>
                </c:pt>
                <c:pt idx="21">
                  <c:v>6640.2754851139262</c:v>
                </c:pt>
                <c:pt idx="22">
                  <c:v>6689.497842473098</c:v>
                </c:pt>
                <c:pt idx="23">
                  <c:v>6738.3381489103613</c:v>
                </c:pt>
                <c:pt idx="24">
                  <c:v>6786.8155423376256</c:v>
                </c:pt>
                <c:pt idx="25">
                  <c:v>6834.9492541841382</c:v>
                </c:pt>
                <c:pt idx="26">
                  <c:v>6882.7586147163311</c:v>
                </c:pt>
                <c:pt idx="27">
                  <c:v>6930.263058434175</c:v>
                </c:pt>
                <c:pt idx="28">
                  <c:v>6977.4821295459442</c:v>
                </c:pt>
                <c:pt idx="29">
                  <c:v>7024.4354875232348</c:v>
                </c:pt>
                <c:pt idx="30">
                  <c:v>7071.1429127381816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B8-6B4C-82F3-5318F9B1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014975"/>
        <c:axId val="643009599"/>
      </c:lineChart>
      <c:catAx>
        <c:axId val="6430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09599"/>
        <c:crosses val="autoZero"/>
        <c:auto val="1"/>
        <c:lblAlgn val="ctr"/>
        <c:lblOffset val="100"/>
        <c:noMultiLvlLbl val="0"/>
      </c:catAx>
      <c:valAx>
        <c:axId val="6430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224115</xdr:colOff>
      <xdr:row>36</xdr:row>
      <xdr:rowOff>56027</xdr:rowOff>
    </xdr:from>
    <xdr:to>
      <xdr:col>15</xdr:col>
      <xdr:colOff>242793</xdr:colOff>
      <xdr:row>67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3C456-C820-DE4C-B40B-4E9F17B1F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1054100</xdr:colOff>
      <xdr:row>0</xdr:row>
      <xdr:rowOff>25400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88900</xdr:colOff>
      <xdr:row>15</xdr:row>
      <xdr:rowOff>63500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787400</xdr:colOff>
      <xdr:row>34</xdr:row>
      <xdr:rowOff>63500</xdr:rowOff>
    </xdr:from>
    <xdr:ext cx="54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0</xdr:col>
      <xdr:colOff>3184071</xdr:colOff>
      <xdr:row>31</xdr:row>
      <xdr:rowOff>138795</xdr:rowOff>
    </xdr:from>
    <xdr:to>
      <xdr:col>7</xdr:col>
      <xdr:colOff>235856</xdr:colOff>
      <xdr:row>43</xdr:row>
      <xdr:rowOff>63501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2A9110-088E-EA8D-7853-73B8A1E49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2" t="s">
        <v>58</v>
      </c>
    </row>
    <row r="2" spans="1:1" ht="15" customHeight="1" x14ac:dyDescent="0.2">
      <c r="A2" s="3"/>
    </row>
    <row r="3" spans="1:1" ht="15.75" customHeight="1" x14ac:dyDescent="0.2">
      <c r="A3" s="4" t="s">
        <v>59</v>
      </c>
    </row>
    <row r="4" spans="1:1" ht="34.5" customHeight="1" x14ac:dyDescent="0.2">
      <c r="A4" s="3" t="s">
        <v>60</v>
      </c>
    </row>
    <row r="5" spans="1:1" ht="15" customHeight="1" x14ac:dyDescent="0.2">
      <c r="A5" s="3"/>
    </row>
    <row r="6" spans="1:1" ht="15.75" customHeight="1" x14ac:dyDescent="0.2">
      <c r="A6" s="4" t="s">
        <v>61</v>
      </c>
    </row>
    <row r="7" spans="1:1" ht="79.5" customHeight="1" x14ac:dyDescent="0.2">
      <c r="A7" s="3" t="s">
        <v>62</v>
      </c>
    </row>
    <row r="8" spans="1:1" ht="15" customHeight="1" x14ac:dyDescent="0.2">
      <c r="A8" s="3"/>
    </row>
    <row r="9" spans="1:1" ht="15.75" customHeight="1" x14ac:dyDescent="0.2">
      <c r="A9" s="4" t="s">
        <v>63</v>
      </c>
    </row>
    <row r="10" spans="1:1" ht="15" customHeight="1" x14ac:dyDescent="0.2">
      <c r="A10" s="3" t="s">
        <v>64</v>
      </c>
    </row>
    <row r="11" spans="1:1" ht="15" customHeight="1" x14ac:dyDescent="0.2">
      <c r="A11" s="3" t="s">
        <v>65</v>
      </c>
    </row>
    <row r="12" spans="1:1" ht="15" customHeight="1" x14ac:dyDescent="0.2">
      <c r="A12" s="3" t="s">
        <v>66</v>
      </c>
    </row>
    <row r="13" spans="1:1" ht="15" customHeight="1" x14ac:dyDescent="0.2">
      <c r="A13" s="3" t="s">
        <v>67</v>
      </c>
    </row>
    <row r="14" spans="1:1" ht="15" customHeight="1" x14ac:dyDescent="0.2">
      <c r="A14" s="3" t="s">
        <v>68</v>
      </c>
    </row>
    <row r="15" spans="1:1" ht="15" customHeight="1" x14ac:dyDescent="0.2">
      <c r="A15" s="3" t="s">
        <v>69</v>
      </c>
    </row>
    <row r="16" spans="1:1" ht="15" customHeight="1" x14ac:dyDescent="0.2">
      <c r="A16" s="3" t="s">
        <v>70</v>
      </c>
    </row>
    <row r="17" spans="1:1" ht="15" customHeight="1" x14ac:dyDescent="0.2">
      <c r="A17" s="3" t="s">
        <v>71</v>
      </c>
    </row>
    <row r="18" spans="1:1" ht="15" customHeight="1" x14ac:dyDescent="0.2">
      <c r="A18" s="3" t="s">
        <v>72</v>
      </c>
    </row>
    <row r="19" spans="1:1" ht="15" customHeight="1" x14ac:dyDescent="0.2">
      <c r="A19" s="3" t="s">
        <v>73</v>
      </c>
    </row>
    <row r="20" spans="1:1" ht="15" customHeight="1" x14ac:dyDescent="0.2">
      <c r="A20" s="3" t="s">
        <v>74</v>
      </c>
    </row>
    <row r="21" spans="1:1" ht="23.25" customHeight="1" x14ac:dyDescent="0.2">
      <c r="A21" s="3" t="s">
        <v>75</v>
      </c>
    </row>
    <row r="22" spans="1:1" ht="15" customHeight="1" x14ac:dyDescent="0.2">
      <c r="A22" s="3" t="s">
        <v>76</v>
      </c>
    </row>
    <row r="23" spans="1:1" ht="15" customHeight="1" x14ac:dyDescent="0.2">
      <c r="A23" s="3"/>
    </row>
    <row r="24" spans="1:1" ht="15.75" customHeight="1" x14ac:dyDescent="0.2">
      <c r="A24" s="4" t="s">
        <v>77</v>
      </c>
    </row>
    <row r="25" spans="1:1" ht="15" customHeight="1" x14ac:dyDescent="0.2">
      <c r="A25" s="3" t="s">
        <v>78</v>
      </c>
    </row>
    <row r="26" spans="1:1" ht="15" customHeight="1" x14ac:dyDescent="0.2">
      <c r="A26" s="3" t="s">
        <v>79</v>
      </c>
    </row>
    <row r="27" spans="1:1" ht="15" customHeight="1" x14ac:dyDescent="0.2">
      <c r="A27" s="3" t="s">
        <v>80</v>
      </c>
    </row>
    <row r="28" spans="1:1" ht="15" customHeight="1" x14ac:dyDescent="0.2">
      <c r="A28" s="3" t="s">
        <v>81</v>
      </c>
    </row>
    <row r="29" spans="1:1" ht="15" customHeight="1" x14ac:dyDescent="0.2">
      <c r="A29" s="3" t="s">
        <v>82</v>
      </c>
    </row>
    <row r="30" spans="1:1" ht="15" customHeight="1" x14ac:dyDescent="0.2">
      <c r="A30" s="3"/>
    </row>
    <row r="31" spans="1:1" ht="15.75" customHeight="1" x14ac:dyDescent="0.2">
      <c r="A31" s="4" t="s">
        <v>83</v>
      </c>
    </row>
    <row r="32" spans="1:1" ht="15" customHeight="1" x14ac:dyDescent="0.2">
      <c r="A32" s="3" t="s">
        <v>84</v>
      </c>
    </row>
    <row r="33" spans="1:1" ht="39" customHeight="1" x14ac:dyDescent="0.2">
      <c r="A33" s="5" t="s">
        <v>85</v>
      </c>
    </row>
    <row r="34" spans="1:1" ht="26.25" customHeight="1" x14ac:dyDescent="0.2">
      <c r="A34" s="5" t="s">
        <v>86</v>
      </c>
    </row>
    <row r="35" spans="1:1" ht="15" customHeight="1" x14ac:dyDescent="0.2">
      <c r="A35" s="5" t="s">
        <v>87</v>
      </c>
    </row>
    <row r="36" spans="1:1" ht="15" customHeight="1" x14ac:dyDescent="0.2">
      <c r="A36" s="5" t="s">
        <v>88</v>
      </c>
    </row>
    <row r="37" spans="1:1" ht="15" customHeight="1" x14ac:dyDescent="0.2">
      <c r="A37" s="5" t="s">
        <v>89</v>
      </c>
    </row>
    <row r="38" spans="1:1" ht="26.25" customHeight="1" x14ac:dyDescent="0.2">
      <c r="A38" s="5" t="s">
        <v>90</v>
      </c>
    </row>
    <row r="39" spans="1:1" ht="26.25" customHeight="1" x14ac:dyDescent="0.2">
      <c r="A39" s="5" t="s">
        <v>91</v>
      </c>
    </row>
    <row r="40" spans="1:1" ht="15" customHeight="1" x14ac:dyDescent="0.2">
      <c r="A40" s="5" t="s">
        <v>92</v>
      </c>
    </row>
    <row r="41" spans="1:1" ht="26.25" customHeight="1" x14ac:dyDescent="0.2">
      <c r="A41" s="5" t="s">
        <v>93</v>
      </c>
    </row>
    <row r="42" spans="1:1" ht="15" customHeight="1" x14ac:dyDescent="0.2">
      <c r="A42" s="3" t="s">
        <v>94</v>
      </c>
    </row>
    <row r="43" spans="1:1" ht="26.25" customHeight="1" x14ac:dyDescent="0.2">
      <c r="A43" s="5" t="s">
        <v>95</v>
      </c>
    </row>
    <row r="44" spans="1:1" ht="26.25" customHeight="1" x14ac:dyDescent="0.2">
      <c r="A44" s="5" t="s">
        <v>96</v>
      </c>
    </row>
    <row r="45" spans="1:1" ht="15" customHeight="1" x14ac:dyDescent="0.2">
      <c r="A45" s="3"/>
    </row>
    <row r="46" spans="1:1" ht="15.75" customHeight="1" x14ac:dyDescent="0.2">
      <c r="A46" s="4" t="s">
        <v>97</v>
      </c>
    </row>
    <row r="47" spans="1:1" ht="15" customHeight="1" x14ac:dyDescent="0.2">
      <c r="A47" s="3" t="s">
        <v>98</v>
      </c>
    </row>
    <row r="48" spans="1:1" ht="34.5" customHeight="1" x14ac:dyDescent="0.2">
      <c r="A48" s="3" t="s">
        <v>99</v>
      </c>
    </row>
    <row r="49" spans="1:1" ht="23.25" customHeight="1" x14ac:dyDescent="0.2">
      <c r="A49" s="3" t="s">
        <v>100</v>
      </c>
    </row>
    <row r="50" spans="1:1" ht="15" customHeight="1" x14ac:dyDescent="0.2">
      <c r="A50" s="3"/>
    </row>
    <row r="51" spans="1:1" ht="15.75" customHeight="1" x14ac:dyDescent="0.2">
      <c r="A51" s="4" t="s">
        <v>101</v>
      </c>
    </row>
    <row r="52" spans="1:1" ht="15" customHeight="1" x14ac:dyDescent="0.2">
      <c r="A52" s="3" t="s">
        <v>102</v>
      </c>
    </row>
    <row r="53" spans="1:1" ht="15" customHeight="1" x14ac:dyDescent="0.2">
      <c r="A53" s="3" t="s">
        <v>103</v>
      </c>
    </row>
    <row r="54" spans="1:1" ht="15" customHeight="1" x14ac:dyDescent="0.2">
      <c r="A54" s="3" t="s">
        <v>104</v>
      </c>
    </row>
    <row r="55" spans="1:1" ht="15" customHeight="1" x14ac:dyDescent="0.2">
      <c r="A55" s="3" t="s">
        <v>105</v>
      </c>
    </row>
    <row r="56" spans="1:1" ht="23.25" customHeight="1" x14ac:dyDescent="0.2">
      <c r="A56" s="3" t="s">
        <v>106</v>
      </c>
    </row>
    <row r="57" spans="1:1" ht="23.25" customHeight="1" x14ac:dyDescent="0.2">
      <c r="A57" s="3" t="s">
        <v>107</v>
      </c>
    </row>
    <row r="58" spans="1:1" ht="15" customHeight="1" x14ac:dyDescent="0.2">
      <c r="A58" s="3" t="s">
        <v>108</v>
      </c>
    </row>
    <row r="59" spans="1:1" ht="15" customHeight="1" x14ac:dyDescent="0.2">
      <c r="A59" s="3"/>
    </row>
    <row r="60" spans="1:1" ht="15.75" customHeight="1" x14ac:dyDescent="0.2">
      <c r="A60" s="4" t="s">
        <v>109</v>
      </c>
    </row>
    <row r="61" spans="1:1" ht="15" customHeight="1" x14ac:dyDescent="0.2">
      <c r="A61" s="3" t="s">
        <v>110</v>
      </c>
    </row>
    <row r="62" spans="1:1" ht="15" customHeight="1" x14ac:dyDescent="0.2">
      <c r="A62" s="3" t="s">
        <v>111</v>
      </c>
    </row>
    <row r="63" spans="1:1" ht="15" customHeight="1" x14ac:dyDescent="0.2">
      <c r="A63" s="3" t="s">
        <v>112</v>
      </c>
    </row>
    <row r="65" spans="1:1" x14ac:dyDescent="0.2">
      <c r="A65" t="s">
        <v>113</v>
      </c>
    </row>
    <row r="68" spans="1:1" x14ac:dyDescent="0.2">
      <c r="A68" t="s">
        <v>114</v>
      </c>
    </row>
    <row r="70" spans="1:1" x14ac:dyDescent="0.2">
      <c r="A70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opLeftCell="A26" zoomScale="200" zoomScaleNormal="100" workbookViewId="0">
      <selection activeCell="B16" sqref="B16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</cols>
  <sheetData>
    <row r="1" spans="1:5" ht="17.25" customHeight="1" x14ac:dyDescent="0.2">
      <c r="A1" s="92" t="s">
        <v>116</v>
      </c>
      <c r="B1" s="91"/>
      <c r="C1" s="91"/>
      <c r="D1" s="91"/>
    </row>
    <row r="3" spans="1:5" ht="15" customHeight="1" x14ac:dyDescent="0.2">
      <c r="A3" s="6" t="s">
        <v>117</v>
      </c>
      <c r="B3" s="6" t="s">
        <v>118</v>
      </c>
      <c r="C3" s="6" t="s">
        <v>2</v>
      </c>
      <c r="D3" s="6" t="s">
        <v>119</v>
      </c>
    </row>
    <row r="5" spans="1:5" ht="15" customHeight="1" x14ac:dyDescent="0.2">
      <c r="A5" s="90" t="s">
        <v>120</v>
      </c>
      <c r="B5" s="91"/>
      <c r="C5" s="91"/>
      <c r="D5" s="91"/>
    </row>
    <row r="6" spans="1:5" ht="15" customHeight="1" x14ac:dyDescent="0.2">
      <c r="A6" s="7" t="s">
        <v>121</v>
      </c>
      <c r="B6" s="84">
        <v>6735277</v>
      </c>
      <c r="C6" s="9" t="s">
        <v>122</v>
      </c>
      <c r="D6" s="10" t="s">
        <v>123</v>
      </c>
      <c r="E6" t="s">
        <v>124</v>
      </c>
    </row>
    <row r="7" spans="1:5" ht="15" customHeight="1" x14ac:dyDescent="0.2">
      <c r="A7" s="7" t="s">
        <v>125</v>
      </c>
      <c r="B7" s="84">
        <v>10506952</v>
      </c>
      <c r="C7" s="9" t="s">
        <v>122</v>
      </c>
      <c r="D7" s="10" t="s">
        <v>364</v>
      </c>
      <c r="E7" t="s">
        <v>124</v>
      </c>
    </row>
    <row r="8" spans="1:5" ht="15" customHeight="1" x14ac:dyDescent="0.2">
      <c r="A8" s="7" t="s">
        <v>126</v>
      </c>
      <c r="B8" s="8">
        <v>6357</v>
      </c>
      <c r="C8" s="9" t="s">
        <v>127</v>
      </c>
      <c r="D8" s="10" t="s">
        <v>128</v>
      </c>
      <c r="E8" t="s">
        <v>124</v>
      </c>
    </row>
    <row r="9" spans="1:5" ht="15" customHeight="1" x14ac:dyDescent="0.2">
      <c r="A9" s="7" t="s">
        <v>129</v>
      </c>
      <c r="B9" s="8">
        <v>2.8000000000000001E-2</v>
      </c>
      <c r="C9" s="9" t="s">
        <v>130</v>
      </c>
      <c r="D9" s="10" t="s">
        <v>364</v>
      </c>
      <c r="E9" t="s">
        <v>124</v>
      </c>
    </row>
    <row r="11" spans="1:5" ht="15" customHeight="1" x14ac:dyDescent="0.2">
      <c r="A11" s="90" t="s">
        <v>131</v>
      </c>
      <c r="B11" s="91"/>
      <c r="C11" s="91"/>
      <c r="D11" s="91"/>
    </row>
    <row r="12" spans="1:5" ht="15" customHeight="1" x14ac:dyDescent="0.2">
      <c r="A12" s="7" t="s">
        <v>132</v>
      </c>
      <c r="B12" s="8">
        <v>415</v>
      </c>
      <c r="C12" s="9" t="s">
        <v>133</v>
      </c>
      <c r="D12" s="10" t="s">
        <v>134</v>
      </c>
    </row>
    <row r="13" spans="1:5" ht="15" customHeight="1" x14ac:dyDescent="0.2">
      <c r="A13" s="7" t="s">
        <v>135</v>
      </c>
      <c r="B13" s="8">
        <v>-5.0000000000000001E-3</v>
      </c>
      <c r="C13" s="9" t="s">
        <v>130</v>
      </c>
      <c r="D13" s="10" t="s">
        <v>136</v>
      </c>
    </row>
    <row r="14" spans="1:5" ht="15" customHeight="1" x14ac:dyDescent="0.2">
      <c r="A14" s="7" t="s">
        <v>137</v>
      </c>
      <c r="B14" s="8">
        <v>5.8</v>
      </c>
      <c r="C14" s="9" t="s">
        <v>138</v>
      </c>
      <c r="D14" s="10" t="s">
        <v>139</v>
      </c>
    </row>
    <row r="15" spans="1:5" ht="15" customHeight="1" x14ac:dyDescent="0.2">
      <c r="A15" s="7" t="s">
        <v>140</v>
      </c>
      <c r="B15" s="8">
        <v>-0.01</v>
      </c>
      <c r="C15" s="9" t="s">
        <v>130</v>
      </c>
      <c r="D15" s="10" t="s">
        <v>141</v>
      </c>
    </row>
    <row r="16" spans="1:5" ht="15" customHeight="1" x14ac:dyDescent="0.2">
      <c r="A16" s="7" t="s">
        <v>142</v>
      </c>
      <c r="B16" s="8">
        <f>1990*0.75</f>
        <v>1492.5</v>
      </c>
      <c r="C16" s="9" t="s">
        <v>133</v>
      </c>
      <c r="D16" s="10" t="s">
        <v>143</v>
      </c>
    </row>
    <row r="17" spans="1:5" ht="15" customHeight="1" x14ac:dyDescent="0.2">
      <c r="A17" s="7" t="s">
        <v>144</v>
      </c>
      <c r="B17" s="8">
        <v>-8.0000000000000002E-3</v>
      </c>
      <c r="C17" s="9" t="s">
        <v>130</v>
      </c>
      <c r="D17" s="10" t="s">
        <v>145</v>
      </c>
    </row>
    <row r="19" spans="1:5" ht="15" customHeight="1" x14ac:dyDescent="0.2">
      <c r="A19" s="90" t="s">
        <v>146</v>
      </c>
      <c r="B19" s="91"/>
      <c r="C19" s="91"/>
      <c r="D19" s="91"/>
    </row>
    <row r="20" spans="1:5" ht="15" customHeight="1" x14ac:dyDescent="0.2">
      <c r="A20" s="7" t="s">
        <v>147</v>
      </c>
      <c r="B20" s="8">
        <v>3500</v>
      </c>
      <c r="C20" s="9" t="s">
        <v>148</v>
      </c>
      <c r="D20" s="10" t="s">
        <v>149</v>
      </c>
    </row>
    <row r="21" spans="1:5" ht="15" customHeight="1" x14ac:dyDescent="0.2">
      <c r="A21" s="7" t="s">
        <v>150</v>
      </c>
      <c r="B21" s="8">
        <v>-1.4999999999999999E-2</v>
      </c>
      <c r="C21" s="9" t="s">
        <v>130</v>
      </c>
      <c r="D21" s="10" t="s">
        <v>151</v>
      </c>
    </row>
    <row r="22" spans="1:5" ht="15" customHeight="1" x14ac:dyDescent="0.2">
      <c r="A22" s="7" t="s">
        <v>152</v>
      </c>
      <c r="B22" s="8">
        <v>912</v>
      </c>
      <c r="C22" s="9" t="s">
        <v>148</v>
      </c>
      <c r="D22" s="10" t="s">
        <v>153</v>
      </c>
      <c r="E22" t="s">
        <v>154</v>
      </c>
    </row>
    <row r="23" spans="1:5" ht="15" customHeight="1" x14ac:dyDescent="0.2">
      <c r="A23" s="7" t="s">
        <v>155</v>
      </c>
      <c r="B23" s="8">
        <v>-0.02</v>
      </c>
      <c r="C23" s="9" t="s">
        <v>130</v>
      </c>
      <c r="D23" s="10" t="s">
        <v>156</v>
      </c>
    </row>
    <row r="25" spans="1:5" ht="15" customHeight="1" x14ac:dyDescent="0.2">
      <c r="A25" s="90" t="s">
        <v>157</v>
      </c>
      <c r="B25" s="91"/>
      <c r="C25" s="91"/>
      <c r="D25" s="91"/>
    </row>
    <row r="26" spans="1:5" ht="98" x14ac:dyDescent="0.2">
      <c r="A26" s="7" t="s">
        <v>158</v>
      </c>
      <c r="B26" s="8">
        <f>0.7*0.5</f>
        <v>0.35</v>
      </c>
      <c r="C26" s="9" t="s">
        <v>5</v>
      </c>
      <c r="D26" s="10" t="s">
        <v>363</v>
      </c>
    </row>
    <row r="27" spans="1:5" ht="15" customHeight="1" x14ac:dyDescent="0.2">
      <c r="A27" s="7" t="s">
        <v>159</v>
      </c>
      <c r="B27" s="8">
        <v>1.4999999999999999E-2</v>
      </c>
      <c r="C27" s="9" t="s">
        <v>130</v>
      </c>
      <c r="D27" s="10" t="s">
        <v>160</v>
      </c>
    </row>
    <row r="28" spans="1:5" ht="15" customHeight="1" x14ac:dyDescent="0.2">
      <c r="A28" s="7" t="s">
        <v>161</v>
      </c>
      <c r="B28" s="8">
        <v>1.8</v>
      </c>
      <c r="C28" s="9" t="s">
        <v>5</v>
      </c>
      <c r="D28" s="10" t="s">
        <v>162</v>
      </c>
    </row>
    <row r="29" spans="1:5" ht="15" customHeight="1" x14ac:dyDescent="0.2">
      <c r="A29" s="7" t="s">
        <v>163</v>
      </c>
      <c r="B29" s="8">
        <v>0.01</v>
      </c>
      <c r="C29" s="9" t="s">
        <v>130</v>
      </c>
      <c r="D29" s="10" t="s">
        <v>164</v>
      </c>
    </row>
    <row r="30" spans="1:5" ht="15" customHeight="1" x14ac:dyDescent="0.2">
      <c r="A30" s="7" t="s">
        <v>165</v>
      </c>
      <c r="B30" s="8">
        <v>3.5</v>
      </c>
      <c r="C30" s="9" t="s">
        <v>5</v>
      </c>
      <c r="D30" s="10" t="s">
        <v>166</v>
      </c>
    </row>
    <row r="31" spans="1:5" ht="15" customHeight="1" x14ac:dyDescent="0.2">
      <c r="A31" s="7" t="s">
        <v>167</v>
      </c>
      <c r="B31" s="8">
        <v>3</v>
      </c>
      <c r="C31" s="9" t="s">
        <v>5</v>
      </c>
      <c r="D31" s="10" t="s">
        <v>168</v>
      </c>
    </row>
    <row r="33" spans="1:4" ht="15" customHeight="1" x14ac:dyDescent="0.2">
      <c r="A33" s="90" t="s">
        <v>169</v>
      </c>
      <c r="B33" s="91"/>
      <c r="C33" s="91"/>
      <c r="D33" s="91"/>
    </row>
    <row r="34" spans="1:4" ht="15" customHeight="1" x14ac:dyDescent="0.2">
      <c r="A34" s="7" t="s">
        <v>170</v>
      </c>
      <c r="B34" s="8">
        <v>2026</v>
      </c>
      <c r="C34" s="9" t="s">
        <v>171</v>
      </c>
      <c r="D34" s="10" t="s">
        <v>172</v>
      </c>
    </row>
    <row r="35" spans="1:4" ht="15" customHeight="1" x14ac:dyDescent="0.2">
      <c r="A35" s="7" t="s">
        <v>173</v>
      </c>
      <c r="B35" s="8">
        <v>10</v>
      </c>
      <c r="C35" s="9" t="s">
        <v>174</v>
      </c>
      <c r="D35" s="10" t="s">
        <v>175</v>
      </c>
    </row>
    <row r="36" spans="1:4" ht="15" customHeight="1" x14ac:dyDescent="0.2">
      <c r="A36" s="7" t="s">
        <v>176</v>
      </c>
      <c r="B36" s="8">
        <v>100000000</v>
      </c>
      <c r="C36" s="9" t="s">
        <v>177</v>
      </c>
      <c r="D36" s="10" t="s">
        <v>178</v>
      </c>
    </row>
    <row r="37" spans="1:4" ht="23.25" customHeight="1" x14ac:dyDescent="0.2">
      <c r="A37" s="7" t="s">
        <v>179</v>
      </c>
      <c r="B37" s="8">
        <v>15</v>
      </c>
      <c r="C37" s="9" t="s">
        <v>180</v>
      </c>
      <c r="D37" s="10" t="s">
        <v>181</v>
      </c>
    </row>
    <row r="39" spans="1:4" x14ac:dyDescent="0.2">
      <c r="A39" t="s">
        <v>182</v>
      </c>
    </row>
    <row r="40" spans="1:4" x14ac:dyDescent="0.2">
      <c r="A40" t="s">
        <v>117</v>
      </c>
      <c r="B40" t="s">
        <v>118</v>
      </c>
      <c r="C40" t="s">
        <v>2</v>
      </c>
      <c r="D40" t="s">
        <v>119</v>
      </c>
    </row>
    <row r="41" spans="1:4" x14ac:dyDescent="0.2">
      <c r="A41" t="s">
        <v>183</v>
      </c>
      <c r="B41" s="55">
        <v>0.15</v>
      </c>
      <c r="C41" t="s">
        <v>184</v>
      </c>
      <c r="D41" t="s">
        <v>185</v>
      </c>
    </row>
    <row r="42" spans="1:4" x14ac:dyDescent="0.2">
      <c r="A42" t="s">
        <v>186</v>
      </c>
      <c r="B42" s="55">
        <v>0.35</v>
      </c>
      <c r="C42" t="s">
        <v>184</v>
      </c>
      <c r="D42" t="s">
        <v>187</v>
      </c>
    </row>
    <row r="43" spans="1:4" x14ac:dyDescent="0.2">
      <c r="A43" t="s">
        <v>188</v>
      </c>
      <c r="B43" s="55">
        <v>0.5</v>
      </c>
      <c r="C43" t="s">
        <v>189</v>
      </c>
      <c r="D43" t="s">
        <v>190</v>
      </c>
    </row>
    <row r="44" spans="1:4" x14ac:dyDescent="0.2">
      <c r="A44" t="s">
        <v>191</v>
      </c>
      <c r="B44" s="55">
        <v>0.3</v>
      </c>
      <c r="C44" t="s">
        <v>189</v>
      </c>
      <c r="D44" t="s">
        <v>192</v>
      </c>
    </row>
    <row r="45" spans="1:4" x14ac:dyDescent="0.2">
      <c r="A45" t="s">
        <v>193</v>
      </c>
      <c r="B45" s="55">
        <v>0.8</v>
      </c>
      <c r="C45" t="s">
        <v>5</v>
      </c>
      <c r="D45" t="s">
        <v>194</v>
      </c>
    </row>
    <row r="46" spans="1:4" x14ac:dyDescent="0.2">
      <c r="A46" t="s">
        <v>195</v>
      </c>
      <c r="B46" s="55">
        <v>0.65</v>
      </c>
      <c r="C46" t="s">
        <v>5</v>
      </c>
      <c r="D46" t="s">
        <v>196</v>
      </c>
    </row>
    <row r="48" spans="1:4" x14ac:dyDescent="0.2">
      <c r="A48" t="s">
        <v>197</v>
      </c>
    </row>
    <row r="49" spans="1:4" x14ac:dyDescent="0.2">
      <c r="A49" t="s">
        <v>117</v>
      </c>
      <c r="B49" t="s">
        <v>118</v>
      </c>
      <c r="C49" t="s">
        <v>2</v>
      </c>
      <c r="D49" t="s">
        <v>119</v>
      </c>
    </row>
    <row r="50" spans="1:4" x14ac:dyDescent="0.2">
      <c r="A50" t="s">
        <v>188</v>
      </c>
      <c r="B50" s="55">
        <v>0.5</v>
      </c>
      <c r="C50" t="s">
        <v>189</v>
      </c>
      <c r="D50" t="s">
        <v>198</v>
      </c>
    </row>
    <row r="51" spans="1:4" x14ac:dyDescent="0.2">
      <c r="A51" t="s">
        <v>191</v>
      </c>
      <c r="B51" s="55">
        <v>0.3</v>
      </c>
      <c r="C51" t="s">
        <v>189</v>
      </c>
      <c r="D51" t="s">
        <v>198</v>
      </c>
    </row>
    <row r="52" spans="1:4" x14ac:dyDescent="0.2">
      <c r="A52" t="s">
        <v>199</v>
      </c>
      <c r="B52" s="55">
        <v>1</v>
      </c>
      <c r="C52" t="s">
        <v>200</v>
      </c>
      <c r="D52" t="s">
        <v>201</v>
      </c>
    </row>
    <row r="53" spans="1:4" x14ac:dyDescent="0.2">
      <c r="A53" t="s">
        <v>202</v>
      </c>
      <c r="B53" s="55">
        <v>1</v>
      </c>
      <c r="C53" t="s">
        <v>203</v>
      </c>
      <c r="D53" t="s">
        <v>201</v>
      </c>
    </row>
    <row r="54" spans="1:4" x14ac:dyDescent="0.2">
      <c r="A54" t="s">
        <v>204</v>
      </c>
      <c r="B54" s="55">
        <v>1</v>
      </c>
      <c r="C54" t="s">
        <v>205</v>
      </c>
      <c r="D54" t="s">
        <v>201</v>
      </c>
    </row>
    <row r="55" spans="1:4" x14ac:dyDescent="0.2">
      <c r="A55" t="s">
        <v>206</v>
      </c>
      <c r="B55" s="55">
        <v>1</v>
      </c>
      <c r="C55" t="s">
        <v>207</v>
      </c>
      <c r="D55" t="s">
        <v>201</v>
      </c>
    </row>
    <row r="56" spans="1:4" x14ac:dyDescent="0.2">
      <c r="A56" t="s">
        <v>208</v>
      </c>
      <c r="B56" s="55">
        <v>1</v>
      </c>
      <c r="C56" t="s">
        <v>209</v>
      </c>
      <c r="D56" t="s">
        <v>201</v>
      </c>
    </row>
    <row r="57" spans="1:4" x14ac:dyDescent="0.2">
      <c r="A57" t="s">
        <v>210</v>
      </c>
      <c r="B57" s="55">
        <v>1</v>
      </c>
      <c r="C57" t="s">
        <v>211</v>
      </c>
      <c r="D57" t="s">
        <v>201</v>
      </c>
    </row>
    <row r="59" spans="1:4" x14ac:dyDescent="0.2">
      <c r="A59" s="68" t="s">
        <v>212</v>
      </c>
    </row>
    <row r="60" spans="1:4" x14ac:dyDescent="0.2">
      <c r="A60" s="69" t="s">
        <v>213</v>
      </c>
      <c r="B60" s="70">
        <v>0.53</v>
      </c>
      <c r="C60" s="69" t="s">
        <v>214</v>
      </c>
      <c r="D60" s="71" t="s">
        <v>215</v>
      </c>
    </row>
    <row r="61" spans="1:4" x14ac:dyDescent="0.2">
      <c r="A61" s="69" t="s">
        <v>216</v>
      </c>
      <c r="B61" s="70">
        <v>0.95</v>
      </c>
      <c r="C61" s="69" t="s">
        <v>44</v>
      </c>
      <c r="D61" s="71" t="s">
        <v>217</v>
      </c>
    </row>
    <row r="62" spans="1:4" x14ac:dyDescent="0.2">
      <c r="A62" s="69" t="s">
        <v>218</v>
      </c>
      <c r="B62" s="70">
        <v>0.1</v>
      </c>
      <c r="C62" s="69" t="s">
        <v>44</v>
      </c>
      <c r="D62" s="71" t="s">
        <v>219</v>
      </c>
    </row>
    <row r="63" spans="1:4" x14ac:dyDescent="0.2">
      <c r="A63" s="69" t="s">
        <v>220</v>
      </c>
      <c r="B63" s="70">
        <v>15</v>
      </c>
      <c r="C63" s="69" t="s">
        <v>221</v>
      </c>
      <c r="D63" s="71" t="s">
        <v>222</v>
      </c>
    </row>
    <row r="64" spans="1:4" x14ac:dyDescent="0.2">
      <c r="A64" s="69" t="s">
        <v>223</v>
      </c>
      <c r="B64" s="70">
        <v>3.5999999999999999E-3</v>
      </c>
      <c r="C64" s="69" t="s">
        <v>224</v>
      </c>
      <c r="D64" s="71" t="s">
        <v>225</v>
      </c>
    </row>
    <row r="65" spans="1:4" x14ac:dyDescent="0.2">
      <c r="A65" s="69" t="s">
        <v>226</v>
      </c>
      <c r="B65" s="70">
        <v>35000</v>
      </c>
      <c r="C65" s="69" t="s">
        <v>12</v>
      </c>
      <c r="D65" s="71" t="s">
        <v>227</v>
      </c>
    </row>
  </sheetData>
  <mergeCells count="6">
    <mergeCell ref="A33:D33"/>
    <mergeCell ref="A1:D1"/>
    <mergeCell ref="A5:D5"/>
    <mergeCell ref="A25:D25"/>
    <mergeCell ref="A19:D1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9" sqref="C9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bestFit="1" customWidth="1"/>
    <col min="4" max="16" width="10" customWidth="1"/>
    <col min="17" max="34" width="11.33203125" customWidth="1"/>
  </cols>
  <sheetData>
    <row r="1" spans="1:34" ht="17.25" customHeight="1" x14ac:dyDescent="0.2">
      <c r="A1" s="1" t="s">
        <v>228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229</v>
      </c>
      <c r="B5" s="14" t="s">
        <v>122</v>
      </c>
      <c r="C5" s="15" t="s">
        <v>230</v>
      </c>
      <c r="D5" s="16">
        <f>Inputs!$B$6+(Inputs!$B$7-Inputs!$B$6)*(D$3-2020)/30</f>
        <v>6735277</v>
      </c>
      <c r="E5" s="16">
        <f>Inputs!$B$6+(Inputs!$B$7-Inputs!$B$6)*(E$3-2020)/30</f>
        <v>6860999.5</v>
      </c>
      <c r="F5" s="16">
        <f>Inputs!$B$6+(Inputs!$B$7-Inputs!$B$6)*(F$3-2020)/30</f>
        <v>6986722</v>
      </c>
      <c r="G5" s="16">
        <f>Inputs!$B$6+(Inputs!$B$7-Inputs!$B$6)*(G$3-2020)/30</f>
        <v>7112444.5</v>
      </c>
      <c r="H5" s="16">
        <f>Inputs!$B$6+(Inputs!$B$7-Inputs!$B$6)*(H$3-2020)/30</f>
        <v>7238167</v>
      </c>
      <c r="I5" s="16">
        <f>Inputs!$B$6+(Inputs!$B$7-Inputs!$B$6)*(I$3-2020)/30</f>
        <v>7363889.5</v>
      </c>
      <c r="J5" s="16">
        <f>Inputs!$B$6+(Inputs!$B$7-Inputs!$B$6)*(J$3-2020)/30</f>
        <v>7489612</v>
      </c>
      <c r="K5" s="16">
        <f>Inputs!$B$6+(Inputs!$B$7-Inputs!$B$6)*(K$3-2020)/30</f>
        <v>7615334.5</v>
      </c>
      <c r="L5" s="16">
        <f>Inputs!$B$6+(Inputs!$B$7-Inputs!$B$6)*(L$3-2020)/30</f>
        <v>7741057</v>
      </c>
      <c r="M5" s="16">
        <f>Inputs!$B$6+(Inputs!$B$7-Inputs!$B$6)*(M$3-2020)/30</f>
        <v>7866779.5</v>
      </c>
      <c r="N5" s="16">
        <f>Inputs!$B$6+(Inputs!$B$7-Inputs!$B$6)*(N$3-2020)/30</f>
        <v>7992502</v>
      </c>
      <c r="O5" s="16">
        <f>Inputs!$B$6+(Inputs!$B$7-Inputs!$B$6)*(O$3-2020)/30</f>
        <v>8118224.5</v>
      </c>
      <c r="P5" s="16">
        <f>Inputs!$B$6+(Inputs!$B$7-Inputs!$B$6)*(P$3-2020)/30</f>
        <v>8243947</v>
      </c>
      <c r="Q5" s="16">
        <f>Inputs!$B$6+(Inputs!$B$7-Inputs!$B$6)*(Q$3-2020)/30</f>
        <v>8369669.5</v>
      </c>
      <c r="R5" s="16">
        <f>Inputs!$B$6+(Inputs!$B$7-Inputs!$B$6)*(R$3-2020)/30</f>
        <v>8495392</v>
      </c>
      <c r="S5" s="16">
        <f>Inputs!$B$6+(Inputs!$B$7-Inputs!$B$6)*(S$3-2020)/30</f>
        <v>8621114.5</v>
      </c>
      <c r="T5" s="16">
        <f>Inputs!$B$6+(Inputs!$B$7-Inputs!$B$6)*(T$3-2020)/30</f>
        <v>8746837</v>
      </c>
      <c r="U5" s="16">
        <f>Inputs!$B$6+(Inputs!$B$7-Inputs!$B$6)*(U$3-2020)/30</f>
        <v>8872559.5</v>
      </c>
      <c r="V5" s="16">
        <f>Inputs!$B$6+(Inputs!$B$7-Inputs!$B$6)*(V$3-2020)/30</f>
        <v>8998282</v>
      </c>
      <c r="W5" s="16">
        <f>Inputs!$B$6+(Inputs!$B$7-Inputs!$B$6)*(W$3-2020)/30</f>
        <v>9124004.5</v>
      </c>
      <c r="X5" s="16">
        <f>Inputs!$B$6+(Inputs!$B$7-Inputs!$B$6)*(X$3-2020)/30</f>
        <v>9249727</v>
      </c>
      <c r="Y5" s="16">
        <f>Inputs!$B$6+(Inputs!$B$7-Inputs!$B$6)*(Y$3-2020)/30</f>
        <v>9375449.5</v>
      </c>
      <c r="Z5" s="16">
        <f>Inputs!$B$6+(Inputs!$B$7-Inputs!$B$6)*(Z$3-2020)/30</f>
        <v>9501172</v>
      </c>
      <c r="AA5" s="16">
        <f>Inputs!$B$6+(Inputs!$B$7-Inputs!$B$6)*(AA$3-2020)/30</f>
        <v>9626894.5</v>
      </c>
      <c r="AB5" s="16">
        <f>Inputs!$B$6+(Inputs!$B$7-Inputs!$B$6)*(AB$3-2020)/30</f>
        <v>9752617</v>
      </c>
      <c r="AC5" s="16">
        <f>Inputs!$B$6+(Inputs!$B$7-Inputs!$B$6)*(AC$3-2020)/30</f>
        <v>9878339.5</v>
      </c>
      <c r="AD5" s="16">
        <f>Inputs!$B$6+(Inputs!$B$7-Inputs!$B$6)*(AD$3-2020)/30</f>
        <v>10004062</v>
      </c>
      <c r="AE5" s="16">
        <f>Inputs!$B$6+(Inputs!$B$7-Inputs!$B$6)*(AE$3-2020)/30</f>
        <v>10129784.5</v>
      </c>
      <c r="AF5" s="16">
        <f>Inputs!$B$6+(Inputs!$B$7-Inputs!$B$6)*(AF$3-2020)/30</f>
        <v>10255507</v>
      </c>
      <c r="AG5" s="16">
        <f>Inputs!$B$6+(Inputs!$B$7-Inputs!$B$6)*(AG$3-2020)/30</f>
        <v>10381229.5</v>
      </c>
      <c r="AH5" s="16">
        <f>Inputs!$B$6+(Inputs!$B$7-Inputs!$B$6)*(AH$3-2020)/30</f>
        <v>10506952</v>
      </c>
    </row>
    <row r="6" spans="1:34" ht="15" customHeight="1" x14ac:dyDescent="0.2">
      <c r="A6" s="13" t="s">
        <v>231</v>
      </c>
      <c r="B6" s="14" t="s">
        <v>232</v>
      </c>
      <c r="C6" s="15" t="s">
        <v>233</v>
      </c>
      <c r="D6" s="16">
        <f>Inputs!$B$8*(1+Inputs!$B$9)^(D$3-2020)</f>
        <v>6357</v>
      </c>
      <c r="E6" s="16">
        <f>Inputs!$B$8*(1+Inputs!$B$9)^(E$3-2020)</f>
        <v>6534.9960000000001</v>
      </c>
      <c r="F6" s="16">
        <f>Inputs!$B$8*(1+Inputs!$B$9)^(F$3-2020)</f>
        <v>6717.9758879999999</v>
      </c>
      <c r="G6" s="16">
        <f>Inputs!$B$8*(1+Inputs!$B$9)^(G$3-2020)</f>
        <v>6906.0792128639996</v>
      </c>
      <c r="H6" s="16">
        <f>Inputs!$B$8*(1+Inputs!$B$9)^(H$3-2020)</f>
        <v>7099.4494308241919</v>
      </c>
      <c r="I6" s="16">
        <f>Inputs!$B$8*(1+Inputs!$B$9)^(I$3-2020)</f>
        <v>7298.234014887269</v>
      </c>
      <c r="J6" s="16">
        <f>Inputs!$B$8*(1+Inputs!$B$9)^(J$3-2020)</f>
        <v>7502.5845673041131</v>
      </c>
      <c r="K6" s="16">
        <f>Inputs!$B$8*(1+Inputs!$B$9)^(K$3-2020)</f>
        <v>7712.6569351886283</v>
      </c>
      <c r="L6" s="16">
        <f>Inputs!$B$8*(1+Inputs!$B$9)^(L$3-2020)</f>
        <v>7928.6113293739099</v>
      </c>
      <c r="M6" s="16">
        <f>Inputs!$B$8*(1+Inputs!$B$9)^(M$3-2020)</f>
        <v>8150.6124465963794</v>
      </c>
      <c r="N6" s="16">
        <f>Inputs!$B$8*(1+Inputs!$B$9)^(N$3-2020)</f>
        <v>8378.8295951010768</v>
      </c>
      <c r="O6" s="16">
        <f>Inputs!$B$8*(1+Inputs!$B$9)^(O$3-2020)</f>
        <v>8613.4368237639083</v>
      </c>
      <c r="P6" s="16">
        <f>Inputs!$B$8*(1+Inputs!$B$9)^(P$3-2020)</f>
        <v>8854.6130548292986</v>
      </c>
      <c r="Q6" s="16">
        <f>Inputs!$B$8*(1+Inputs!$B$9)^(Q$3-2020)</f>
        <v>9102.5422203645176</v>
      </c>
      <c r="R6" s="16">
        <f>Inputs!$B$8*(1+Inputs!$B$9)^(R$3-2020)</f>
        <v>9357.413402534723</v>
      </c>
      <c r="S6" s="16">
        <f>Inputs!$B$8*(1+Inputs!$B$9)^(S$3-2020)</f>
        <v>9619.4209778056975</v>
      </c>
      <c r="T6" s="16">
        <f>Inputs!$B$8*(1+Inputs!$B$9)^(T$3-2020)</f>
        <v>9888.7647651842562</v>
      </c>
      <c r="U6" s="16">
        <f>Inputs!$B$8*(1+Inputs!$B$9)^(U$3-2020)</f>
        <v>10165.650178609416</v>
      </c>
      <c r="V6" s="16">
        <f>Inputs!$B$8*(1+Inputs!$B$9)^(V$3-2020)</f>
        <v>10450.288383610477</v>
      </c>
      <c r="W6" s="16">
        <f>Inputs!$B$8*(1+Inputs!$B$9)^(W$3-2020)</f>
        <v>10742.896458351572</v>
      </c>
      <c r="X6" s="16">
        <f>Inputs!$B$8*(1+Inputs!$B$9)^(X$3-2020)</f>
        <v>11043.697559185415</v>
      </c>
      <c r="Y6" s="16">
        <f>Inputs!$B$8*(1+Inputs!$B$9)^(Y$3-2020)</f>
        <v>11352.921090842607</v>
      </c>
      <c r="Z6" s="16">
        <f>Inputs!$B$8*(1+Inputs!$B$9)^(Z$3-2020)</f>
        <v>11670.802881386202</v>
      </c>
      <c r="AA6" s="16">
        <f>Inputs!$B$8*(1+Inputs!$B$9)^(AA$3-2020)</f>
        <v>11997.585362065014</v>
      </c>
      <c r="AB6" s="16">
        <f>Inputs!$B$8*(1+Inputs!$B$9)^(AB$3-2020)</f>
        <v>12333.517752202835</v>
      </c>
      <c r="AC6" s="16">
        <f>Inputs!$B$8*(1+Inputs!$B$9)^(AC$3-2020)</f>
        <v>12678.856249264514</v>
      </c>
      <c r="AD6" s="16">
        <f>Inputs!$B$8*(1+Inputs!$B$9)^(AD$3-2020)</f>
        <v>13033.86422424392</v>
      </c>
      <c r="AE6" s="16">
        <f>Inputs!$B$8*(1+Inputs!$B$9)^(AE$3-2020)</f>
        <v>13398.812422522751</v>
      </c>
      <c r="AF6" s="16">
        <f>Inputs!$B$8*(1+Inputs!$B$9)^(AF$3-2020)</f>
        <v>13773.97917035339</v>
      </c>
      <c r="AG6" s="16">
        <f>Inputs!$B$8*(1+Inputs!$B$9)^(AG$3-2020)</f>
        <v>14159.650587123282</v>
      </c>
      <c r="AH6" s="16">
        <f>Inputs!$B$8*(1+Inputs!$B$9)^(AH$3-2020)</f>
        <v>14556.120803562733</v>
      </c>
    </row>
    <row r="7" spans="1:34" ht="15" customHeight="1" x14ac:dyDescent="0.2">
      <c r="A7" s="13" t="s">
        <v>234</v>
      </c>
      <c r="B7" s="14" t="s">
        <v>235</v>
      </c>
      <c r="C7" s="15" t="s">
        <v>236</v>
      </c>
      <c r="D7" s="17">
        <f t="shared" ref="D7:AH7" si="0">D5*D6/1000000</f>
        <v>42816.155889000001</v>
      </c>
      <c r="E7" s="17">
        <f t="shared" si="0"/>
        <v>44836.604288502</v>
      </c>
      <c r="F7" s="17">
        <f t="shared" si="0"/>
        <v>46936.629932159136</v>
      </c>
      <c r="G7" s="17">
        <f t="shared" si="0"/>
        <v>49119.105114098886</v>
      </c>
      <c r="H7" s="17">
        <f t="shared" si="0"/>
        <v>51387.000588360454</v>
      </c>
      <c r="I7" s="17">
        <f t="shared" si="0"/>
        <v>53743.388830771204</v>
      </c>
      <c r="J7" s="17">
        <f t="shared" si="0"/>
        <v>56191.447406295694</v>
      </c>
      <c r="K7" s="17">
        <f t="shared" si="0"/>
        <v>58734.46244520622</v>
      </c>
      <c r="L7" s="17">
        <f t="shared" si="0"/>
        <v>61375.83223152921</v>
      </c>
      <c r="M7" s="17">
        <f t="shared" si="0"/>
        <v>64119.070907329238</v>
      </c>
      <c r="N7" s="17">
        <f t="shared" si="0"/>
        <v>66967.812296504548</v>
      </c>
      <c r="O7" s="17">
        <f t="shared" si="0"/>
        <v>69925.81385188234</v>
      </c>
      <c r="P7" s="17">
        <f t="shared" si="0"/>
        <v>72996.960729520826</v>
      </c>
      <c r="Q7" s="17">
        <f t="shared" si="0"/>
        <v>76185.269994247181</v>
      </c>
      <c r="R7" s="17">
        <f t="shared" si="0"/>
        <v>79494.894960586258</v>
      </c>
      <c r="S7" s="17">
        <f t="shared" si="0"/>
        <v>82930.129673364878</v>
      </c>
      <c r="T7" s="17">
        <f t="shared" si="0"/>
        <v>86495.413532409962</v>
      </c>
      <c r="U7" s="17">
        <f t="shared" si="0"/>
        <v>90195.336065897674</v>
      </c>
      <c r="V7" s="17">
        <f t="shared" si="0"/>
        <v>94034.641857051261</v>
      </c>
      <c r="W7" s="17">
        <f t="shared" si="0"/>
        <v>98018.235629033792</v>
      </c>
      <c r="X7" s="17">
        <f t="shared" si="0"/>
        <v>102151.18749303144</v>
      </c>
      <c r="Y7" s="17">
        <f t="shared" si="0"/>
        <v>106438.73836467977</v>
      </c>
      <c r="Z7" s="17">
        <f t="shared" si="0"/>
        <v>110886.3055541459</v>
      </c>
      <c r="AA7" s="17">
        <f t="shared" si="0"/>
        <v>115499.48853534419</v>
      </c>
      <c r="AB7" s="17">
        <f t="shared" si="0"/>
        <v>120284.07489993516</v>
      </c>
      <c r="AC7" s="17">
        <f t="shared" si="0"/>
        <v>125246.0465019315</v>
      </c>
      <c r="AD7" s="17">
        <f t="shared" si="0"/>
        <v>130391.58579891808</v>
      </c>
      <c r="AE7" s="17">
        <f t="shared" si="0"/>
        <v>135727.08239607842</v>
      </c>
      <c r="AF7" s="17">
        <f t="shared" si="0"/>
        <v>141259.13979941339</v>
      </c>
      <c r="AG7" s="17">
        <f t="shared" si="0"/>
        <v>146994.58238473654</v>
      </c>
      <c r="AH7" s="17">
        <f t="shared" si="0"/>
        <v>152940.46258923507</v>
      </c>
    </row>
    <row r="9" spans="1:34" ht="15" customHeight="1" x14ac:dyDescent="0.2">
      <c r="A9" s="13" t="s">
        <v>237</v>
      </c>
      <c r="B9" s="14" t="s">
        <v>133</v>
      </c>
      <c r="C9" s="15" t="s">
        <v>238</v>
      </c>
      <c r="D9" s="18">
        <f>Inputs!$B$12*(1+Inputs!$B$13)^(D$3-2020)</f>
        <v>415</v>
      </c>
      <c r="E9" s="18">
        <f>Inputs!$B$12*(1+Inputs!$B$13)^(E$3-2020)</f>
        <v>412.92500000000001</v>
      </c>
      <c r="F9" s="18">
        <f>Inputs!$B$12*(1+Inputs!$B$13)^(F$3-2020)</f>
        <v>410.86037500000003</v>
      </c>
      <c r="G9" s="18">
        <f>Inputs!$B$12*(1+Inputs!$B$13)^(G$3-2020)</f>
        <v>408.80607312500001</v>
      </c>
      <c r="H9" s="18">
        <f>Inputs!$B$12*(1+Inputs!$B$13)^(H$3-2020)</f>
        <v>406.76204275937505</v>
      </c>
      <c r="I9" s="18">
        <f>Inputs!$B$12*(1+Inputs!$B$13)^(I$3-2020)</f>
        <v>404.72823254557818</v>
      </c>
      <c r="J9" s="18">
        <f>Inputs!$B$12*(1+Inputs!$B$13)^(J$3-2020)</f>
        <v>402.70459138285025</v>
      </c>
      <c r="K9" s="18">
        <f>Inputs!$B$12*(1+Inputs!$B$13)^(K$3-2020)</f>
        <v>400.69106842593601</v>
      </c>
      <c r="L9" s="18">
        <f>Inputs!$B$12*(1+Inputs!$B$13)^(L$3-2020)</f>
        <v>398.68761308380635</v>
      </c>
      <c r="M9" s="18">
        <f>Inputs!$B$12*(1+Inputs!$B$13)^(M$3-2020)</f>
        <v>396.69417501838728</v>
      </c>
      <c r="N9" s="18">
        <f>Inputs!$B$12*(1+Inputs!$B$13)^(N$3-2020)</f>
        <v>394.71070414329535</v>
      </c>
      <c r="O9" s="18">
        <f>Inputs!$B$12*(1+Inputs!$B$13)^(O$3-2020)</f>
        <v>392.73715062257889</v>
      </c>
      <c r="P9" s="18">
        <f>Inputs!$B$12*(1+Inputs!$B$13)^(P$3-2020)</f>
        <v>390.77346486946601</v>
      </c>
      <c r="Q9" s="18">
        <f>Inputs!$B$12*(1+Inputs!$B$13)^(Q$3-2020)</f>
        <v>388.81959754511871</v>
      </c>
      <c r="R9" s="18">
        <f>Inputs!$B$12*(1+Inputs!$B$13)^(R$3-2020)</f>
        <v>386.87549955739314</v>
      </c>
      <c r="S9" s="18">
        <f>Inputs!$B$12*(1+Inputs!$B$13)^(S$3-2020)</f>
        <v>384.94112205960613</v>
      </c>
      <c r="T9" s="18">
        <f>Inputs!$B$12*(1+Inputs!$B$13)^(T$3-2020)</f>
        <v>383.01641644930811</v>
      </c>
      <c r="U9" s="18">
        <f>Inputs!$B$12*(1+Inputs!$B$13)^(U$3-2020)</f>
        <v>381.10133436706155</v>
      </c>
      <c r="V9" s="18">
        <f>Inputs!$B$12*(1+Inputs!$B$13)^(V$3-2020)</f>
        <v>379.19582769522623</v>
      </c>
      <c r="W9" s="18">
        <f>Inputs!$B$12*(1+Inputs!$B$13)^(W$3-2020)</f>
        <v>377.29984855675013</v>
      </c>
      <c r="X9" s="18">
        <f>Inputs!$B$12*(1+Inputs!$B$13)^(X$3-2020)</f>
        <v>375.41334931396636</v>
      </c>
      <c r="Y9" s="18">
        <f>Inputs!$B$12*(1+Inputs!$B$13)^(Y$3-2020)</f>
        <v>373.53628256739654</v>
      </c>
      <c r="Z9" s="18">
        <f>Inputs!$B$12*(1+Inputs!$B$13)^(Z$3-2020)</f>
        <v>371.66860115455955</v>
      </c>
      <c r="AA9" s="18">
        <f>Inputs!$B$12*(1+Inputs!$B$13)^(AA$3-2020)</f>
        <v>369.81025814878677</v>
      </c>
      <c r="AB9" s="18">
        <f>Inputs!$B$12*(1+Inputs!$B$13)^(AB$3-2020)</f>
        <v>367.96120685804283</v>
      </c>
      <c r="AC9" s="18">
        <f>Inputs!$B$12*(1+Inputs!$B$13)^(AC$3-2020)</f>
        <v>366.12140082375265</v>
      </c>
      <c r="AD9" s="18">
        <f>Inputs!$B$12*(1+Inputs!$B$13)^(AD$3-2020)</f>
        <v>364.2907938196339</v>
      </c>
      <c r="AE9" s="18">
        <f>Inputs!$B$12*(1+Inputs!$B$13)^(AE$3-2020)</f>
        <v>362.46933985053568</v>
      </c>
      <c r="AF9" s="18">
        <f>Inputs!$B$12*(1+Inputs!$B$13)^(AF$3-2020)</f>
        <v>360.65699315128307</v>
      </c>
      <c r="AG9" s="18">
        <f>Inputs!$B$12*(1+Inputs!$B$13)^(AG$3-2020)</f>
        <v>358.85370818552667</v>
      </c>
      <c r="AH9" s="18">
        <f>Inputs!$B$12*(1+Inputs!$B$13)^(AH$3-2020)</f>
        <v>357.05943964459902</v>
      </c>
    </row>
    <row r="10" spans="1:34" ht="15" customHeight="1" x14ac:dyDescent="0.2">
      <c r="A10" s="13" t="s">
        <v>239</v>
      </c>
      <c r="B10" s="14" t="s">
        <v>240</v>
      </c>
      <c r="C10" s="15" t="s">
        <v>238</v>
      </c>
      <c r="D10" s="19">
        <f>Inputs!$B$14*(1+Inputs!$B$15)^(D$3-2020)</f>
        <v>5.8</v>
      </c>
      <c r="E10" s="19">
        <f>Inputs!$B$14*(1+Inputs!$B$15)^(E$3-2020)</f>
        <v>5.742</v>
      </c>
      <c r="F10" s="19">
        <f>Inputs!$B$14*(1+Inputs!$B$15)^(F$3-2020)</f>
        <v>5.6845799999999995</v>
      </c>
      <c r="G10" s="19">
        <f>Inputs!$B$14*(1+Inputs!$B$15)^(G$3-2020)</f>
        <v>5.627734199999999</v>
      </c>
      <c r="H10" s="19">
        <f>Inputs!$B$14*(1+Inputs!$B$15)^(H$3-2020)</f>
        <v>5.5714568579999995</v>
      </c>
      <c r="I10" s="19">
        <f>Inputs!$B$14*(1+Inputs!$B$15)^(I$3-2020)</f>
        <v>5.5157422894199994</v>
      </c>
      <c r="J10" s="19">
        <f>Inputs!$B$14*(1+Inputs!$B$15)^(J$3-2020)</f>
        <v>5.4605848665257994</v>
      </c>
      <c r="K10" s="19">
        <f>Inputs!$B$14*(1+Inputs!$B$15)^(K$3-2020)</f>
        <v>5.4059790178605409</v>
      </c>
      <c r="L10" s="19">
        <f>Inputs!$B$14*(1+Inputs!$B$15)^(L$3-2020)</f>
        <v>5.3519192276819352</v>
      </c>
      <c r="M10" s="19">
        <f>Inputs!$B$14*(1+Inputs!$B$15)^(M$3-2020)</f>
        <v>5.2984000354051162</v>
      </c>
      <c r="N10" s="19">
        <f>Inputs!$B$14*(1+Inputs!$B$15)^(N$3-2020)</f>
        <v>5.2454160350510648</v>
      </c>
      <c r="O10" s="19">
        <f>Inputs!$B$14*(1+Inputs!$B$15)^(O$3-2020)</f>
        <v>5.1929618747005541</v>
      </c>
      <c r="P10" s="19">
        <f>Inputs!$B$14*(1+Inputs!$B$15)^(P$3-2020)</f>
        <v>5.1410322559535491</v>
      </c>
      <c r="Q10" s="19">
        <f>Inputs!$B$14*(1+Inputs!$B$15)^(Q$3-2020)</f>
        <v>5.0896219333940129</v>
      </c>
      <c r="R10" s="19">
        <f>Inputs!$B$14*(1+Inputs!$B$15)^(R$3-2020)</f>
        <v>5.0387257140600727</v>
      </c>
      <c r="S10" s="19">
        <f>Inputs!$B$14*(1+Inputs!$B$15)^(S$3-2020)</f>
        <v>4.9883384569194718</v>
      </c>
      <c r="T10" s="19">
        <f>Inputs!$B$14*(1+Inputs!$B$15)^(T$3-2020)</f>
        <v>4.9384550723502771</v>
      </c>
      <c r="U10" s="19">
        <f>Inputs!$B$14*(1+Inputs!$B$15)^(U$3-2020)</f>
        <v>4.889070521626774</v>
      </c>
      <c r="V10" s="19">
        <f>Inputs!$B$14*(1+Inputs!$B$15)^(V$3-2020)</f>
        <v>4.8401798164105063</v>
      </c>
      <c r="W10" s="19">
        <f>Inputs!$B$14*(1+Inputs!$B$15)^(W$3-2020)</f>
        <v>4.7917780182464007</v>
      </c>
      <c r="X10" s="19">
        <f>Inputs!$B$14*(1+Inputs!$B$15)^(X$3-2020)</f>
        <v>4.7438602380639381</v>
      </c>
      <c r="Y10" s="19">
        <f>Inputs!$B$14*(1+Inputs!$B$15)^(Y$3-2020)</f>
        <v>4.696421635683298</v>
      </c>
      <c r="Z10" s="19">
        <f>Inputs!$B$14*(1+Inputs!$B$15)^(Z$3-2020)</f>
        <v>4.6494574193264642</v>
      </c>
      <c r="AA10" s="19">
        <f>Inputs!$B$14*(1+Inputs!$B$15)^(AA$3-2020)</f>
        <v>4.6029628451332005</v>
      </c>
      <c r="AB10" s="19">
        <f>Inputs!$B$14*(1+Inputs!$B$15)^(AB$3-2020)</f>
        <v>4.5569332166818679</v>
      </c>
      <c r="AC10" s="19">
        <f>Inputs!$B$14*(1+Inputs!$B$15)^(AC$3-2020)</f>
        <v>4.511363884515049</v>
      </c>
      <c r="AD10" s="19">
        <f>Inputs!$B$14*(1+Inputs!$B$15)^(AD$3-2020)</f>
        <v>4.4662502456698991</v>
      </c>
      <c r="AE10" s="19">
        <f>Inputs!$B$14*(1+Inputs!$B$15)^(AE$3-2020)</f>
        <v>4.4215877432132</v>
      </c>
      <c r="AF10" s="19">
        <f>Inputs!$B$14*(1+Inputs!$B$15)^(AF$3-2020)</f>
        <v>4.3773718657810674</v>
      </c>
      <c r="AG10" s="19">
        <f>Inputs!$B$14*(1+Inputs!$B$15)^(AG$3-2020)</f>
        <v>4.3335981471232561</v>
      </c>
      <c r="AH10" s="19">
        <f>Inputs!$B$14*(1+Inputs!$B$15)^(AH$3-2020)</f>
        <v>4.2902621656520248</v>
      </c>
    </row>
    <row r="11" spans="1:34" ht="15" customHeight="1" x14ac:dyDescent="0.2">
      <c r="A11" s="13" t="s">
        <v>241</v>
      </c>
      <c r="B11" s="14" t="s">
        <v>133</v>
      </c>
      <c r="C11" s="15" t="s">
        <v>238</v>
      </c>
      <c r="D11" s="18">
        <f>Inputs!$B$16*(1+Inputs!$B$17)^(D$3-2020)</f>
        <v>1492.5</v>
      </c>
      <c r="E11" s="18">
        <f>Inputs!$B$16*(1+Inputs!$B$17)^(E$3-2020)</f>
        <v>1480.56</v>
      </c>
      <c r="F11" s="18">
        <f>Inputs!$B$16*(1+Inputs!$B$17)^(F$3-2020)</f>
        <v>1468.71552</v>
      </c>
      <c r="G11" s="18">
        <f>Inputs!$B$16*(1+Inputs!$B$17)^(G$3-2020)</f>
        <v>1456.9657958399998</v>
      </c>
      <c r="H11" s="18">
        <f>Inputs!$B$16*(1+Inputs!$B$17)^(H$3-2020)</f>
        <v>1445.3100694732798</v>
      </c>
      <c r="I11" s="18">
        <f>Inputs!$B$16*(1+Inputs!$B$17)^(I$3-2020)</f>
        <v>1433.7475889174937</v>
      </c>
      <c r="J11" s="18">
        <f>Inputs!$B$16*(1+Inputs!$B$17)^(J$3-2020)</f>
        <v>1422.2776082061534</v>
      </c>
      <c r="K11" s="18">
        <f>Inputs!$B$16*(1+Inputs!$B$17)^(K$3-2020)</f>
        <v>1410.8993873405043</v>
      </c>
      <c r="L11" s="18">
        <f>Inputs!$B$16*(1+Inputs!$B$17)^(L$3-2020)</f>
        <v>1399.6121922417801</v>
      </c>
      <c r="M11" s="18">
        <f>Inputs!$B$16*(1+Inputs!$B$17)^(M$3-2020)</f>
        <v>1388.415294703846</v>
      </c>
      <c r="N11" s="18">
        <f>Inputs!$B$16*(1+Inputs!$B$17)^(N$3-2020)</f>
        <v>1377.3079723462151</v>
      </c>
      <c r="O11" s="18">
        <f>Inputs!$B$16*(1+Inputs!$B$17)^(O$3-2020)</f>
        <v>1366.2895085674454</v>
      </c>
      <c r="P11" s="18">
        <f>Inputs!$B$16*(1+Inputs!$B$17)^(P$3-2020)</f>
        <v>1355.3591924989057</v>
      </c>
      <c r="Q11" s="18">
        <f>Inputs!$B$16*(1+Inputs!$B$17)^(Q$3-2020)</f>
        <v>1344.5163189589146</v>
      </c>
      <c r="R11" s="18">
        <f>Inputs!$B$16*(1+Inputs!$B$17)^(R$3-2020)</f>
        <v>1333.760188407243</v>
      </c>
      <c r="S11" s="18">
        <f>Inputs!$B$16*(1+Inputs!$B$17)^(S$3-2020)</f>
        <v>1323.0901068999851</v>
      </c>
      <c r="T11" s="18">
        <f>Inputs!$B$16*(1+Inputs!$B$17)^(T$3-2020)</f>
        <v>1312.5053860447852</v>
      </c>
      <c r="U11" s="18">
        <f>Inputs!$B$16*(1+Inputs!$B$17)^(U$3-2020)</f>
        <v>1302.0053429564271</v>
      </c>
      <c r="V11" s="18">
        <f>Inputs!$B$16*(1+Inputs!$B$17)^(V$3-2020)</f>
        <v>1291.5893002127755</v>
      </c>
      <c r="W11" s="18">
        <f>Inputs!$B$16*(1+Inputs!$B$17)^(W$3-2020)</f>
        <v>1281.2565858110731</v>
      </c>
      <c r="X11" s="18">
        <f>Inputs!$B$16*(1+Inputs!$B$17)^(X$3-2020)</f>
        <v>1271.0065331245846</v>
      </c>
      <c r="Y11" s="18">
        <f>Inputs!$B$16*(1+Inputs!$B$17)^(Y$3-2020)</f>
        <v>1260.8384808595879</v>
      </c>
      <c r="Z11" s="18">
        <f>Inputs!$B$16*(1+Inputs!$B$17)^(Z$3-2020)</f>
        <v>1250.7517730127111</v>
      </c>
      <c r="AA11" s="18">
        <f>Inputs!$B$16*(1+Inputs!$B$17)^(AA$3-2020)</f>
        <v>1240.7457588286093</v>
      </c>
      <c r="AB11" s="18">
        <f>Inputs!$B$16*(1+Inputs!$B$17)^(AB$3-2020)</f>
        <v>1230.8197927579804</v>
      </c>
      <c r="AC11" s="18">
        <f>Inputs!$B$16*(1+Inputs!$B$17)^(AC$3-2020)</f>
        <v>1220.9732344159165</v>
      </c>
      <c r="AD11" s="18">
        <f>Inputs!$B$16*(1+Inputs!$B$17)^(AD$3-2020)</f>
        <v>1211.2054485405893</v>
      </c>
      <c r="AE11" s="18">
        <f>Inputs!$B$16*(1+Inputs!$B$17)^(AE$3-2020)</f>
        <v>1201.5158049522645</v>
      </c>
      <c r="AF11" s="18">
        <f>Inputs!$B$16*(1+Inputs!$B$17)^(AF$3-2020)</f>
        <v>1191.9036785126464</v>
      </c>
      <c r="AG11" s="18">
        <f>Inputs!$B$16*(1+Inputs!$B$17)^(AG$3-2020)</f>
        <v>1182.3684490845451</v>
      </c>
      <c r="AH11" s="18">
        <f>Inputs!$B$16*(1+Inputs!$B$17)^(AH$3-2020)</f>
        <v>1172.9095014918687</v>
      </c>
    </row>
    <row r="13" spans="1:34" ht="15" customHeight="1" x14ac:dyDescent="0.2">
      <c r="A13" s="13" t="s">
        <v>242</v>
      </c>
      <c r="B13" s="14" t="s">
        <v>148</v>
      </c>
      <c r="C13" s="15" t="s">
        <v>243</v>
      </c>
      <c r="D13" s="20">
        <f t="shared" ref="D13:AH13" si="1">D5*D9*365/1000000000</f>
        <v>1020.226083575</v>
      </c>
      <c r="E13" s="20">
        <f t="shared" si="1"/>
        <v>1034.0735497661874</v>
      </c>
      <c r="F13" s="20">
        <f t="shared" si="1"/>
        <v>1047.7570356433737</v>
      </c>
      <c r="G13" s="20">
        <f t="shared" si="1"/>
        <v>1061.277834823044</v>
      </c>
      <c r="H13" s="20">
        <f t="shared" si="1"/>
        <v>1074.6372320850267</v>
      </c>
      <c r="I13" s="20">
        <f t="shared" si="1"/>
        <v>1087.8365034285187</v>
      </c>
      <c r="J13" s="20">
        <f t="shared" si="1"/>
        <v>1100.8769161277735</v>
      </c>
      <c r="K13" s="20">
        <f t="shared" si="1"/>
        <v>1113.7597287874503</v>
      </c>
      <c r="L13" s="20">
        <f t="shared" si="1"/>
        <v>1126.4861913976272</v>
      </c>
      <c r="M13" s="20">
        <f t="shared" si="1"/>
        <v>1139.0575453884824</v>
      </c>
      <c r="N13" s="20">
        <f t="shared" si="1"/>
        <v>1151.4750236846444</v>
      </c>
      <c r="O13" s="20">
        <f t="shared" si="1"/>
        <v>1163.7398507592097</v>
      </c>
      <c r="P13" s="20">
        <f t="shared" si="1"/>
        <v>1175.8532426874374</v>
      </c>
      <c r="Q13" s="20">
        <f t="shared" si="1"/>
        <v>1187.8164072001141</v>
      </c>
      <c r="R13" s="20">
        <f t="shared" si="1"/>
        <v>1199.6305437365968</v>
      </c>
      <c r="S13" s="20">
        <f t="shared" si="1"/>
        <v>1211.2968434975342</v>
      </c>
      <c r="T13" s="20">
        <f t="shared" si="1"/>
        <v>1222.8164894972692</v>
      </c>
      <c r="U13" s="20">
        <f t="shared" si="1"/>
        <v>1234.1906566159191</v>
      </c>
      <c r="V13" s="20">
        <f t="shared" si="1"/>
        <v>1245.4205116511453</v>
      </c>
      <c r="W13" s="20">
        <f t="shared" si="1"/>
        <v>1256.507213369604</v>
      </c>
      <c r="X13" s="20">
        <f t="shared" si="1"/>
        <v>1267.4519125580866</v>
      </c>
      <c r="Y13" s="20">
        <f t="shared" si="1"/>
        <v>1278.2557520743501</v>
      </c>
      <c r="Z13" s="20">
        <f t="shared" si="1"/>
        <v>1288.9198668976371</v>
      </c>
      <c r="AA13" s="20">
        <f t="shared" si="1"/>
        <v>1299.4453841788893</v>
      </c>
      <c r="AB13" s="20">
        <f t="shared" si="1"/>
        <v>1309.8334232906568</v>
      </c>
      <c r="AC13" s="20">
        <f t="shared" si="1"/>
        <v>1320.0850958767021</v>
      </c>
      <c r="AD13" s="20">
        <f t="shared" si="1"/>
        <v>1330.2015059013047</v>
      </c>
      <c r="AE13" s="20">
        <f t="shared" si="1"/>
        <v>1340.1837496982639</v>
      </c>
      <c r="AF13" s="20">
        <f t="shared" si="1"/>
        <v>1350.0329160196065</v>
      </c>
      <c r="AG13" s="20">
        <f t="shared" si="1"/>
        <v>1359.750086083993</v>
      </c>
      <c r="AH13" s="20">
        <f t="shared" si="1"/>
        <v>1369.3363336248351</v>
      </c>
    </row>
    <row r="14" spans="1:34" ht="15" customHeight="1" x14ac:dyDescent="0.2">
      <c r="A14" s="13" t="s">
        <v>244</v>
      </c>
      <c r="B14" s="14" t="s">
        <v>148</v>
      </c>
      <c r="C14" s="15" t="s">
        <v>245</v>
      </c>
      <c r="D14" s="20">
        <f t="shared" ref="D14:AH14" si="2">D7*D10/1000</f>
        <v>248.33370415619999</v>
      </c>
      <c r="E14" s="20">
        <f t="shared" si="2"/>
        <v>257.45178182457846</v>
      </c>
      <c r="F14" s="20">
        <f t="shared" si="2"/>
        <v>266.81502777975317</v>
      </c>
      <c r="G14" s="20">
        <f t="shared" si="2"/>
        <v>276.42926772400915</v>
      </c>
      <c r="H14" s="20">
        <f t="shared" si="2"/>
        <v>286.30045684007086</v>
      </c>
      <c r="I14" s="20">
        <f t="shared" si="2"/>
        <v>296.4346825506272</v>
      </c>
      <c r="J14" s="20">
        <f t="shared" si="2"/>
        <v>306.83816733499867</v>
      </c>
      <c r="K14" s="20">
        <f t="shared" si="2"/>
        <v>317.51727160410275</v>
      </c>
      <c r="L14" s="20">
        <f t="shared" si="2"/>
        <v>328.47849663490183</v>
      </c>
      <c r="M14" s="20">
        <f t="shared" si="2"/>
        <v>339.7284875655364</v>
      </c>
      <c r="N14" s="20">
        <f t="shared" si="2"/>
        <v>351.27403645237484</v>
      </c>
      <c r="O14" s="20">
        <f t="shared" si="2"/>
        <v>363.12208539023288</v>
      </c>
      <c r="P14" s="20">
        <f t="shared" si="2"/>
        <v>375.27972969704109</v>
      </c>
      <c r="Q14" s="20">
        <f t="shared" si="2"/>
        <v>387.75422116426523</v>
      </c>
      <c r="R14" s="20">
        <f t="shared" si="2"/>
        <v>400.5529713744105</v>
      </c>
      <c r="S14" s="20">
        <f t="shared" si="2"/>
        <v>413.68355508696465</v>
      </c>
      <c r="T14" s="20">
        <f t="shared" si="2"/>
        <v>427.15371369416476</v>
      </c>
      <c r="U14" s="20">
        <f t="shared" si="2"/>
        <v>440.97135874800051</v>
      </c>
      <c r="V14" s="20">
        <f t="shared" si="2"/>
        <v>455.14457555989009</v>
      </c>
      <c r="W14" s="20">
        <f t="shared" si="2"/>
        <v>469.6816268745003</v>
      </c>
      <c r="X14" s="20">
        <f t="shared" si="2"/>
        <v>484.59095661920605</v>
      </c>
      <c r="Y14" s="20">
        <f t="shared" si="2"/>
        <v>499.88119373071595</v>
      </c>
      <c r="Z14" s="20">
        <f t="shared" si="2"/>
        <v>515.56115606042499</v>
      </c>
      <c r="AA14" s="20">
        <f t="shared" si="2"/>
        <v>531.63985436007738</v>
      </c>
      <c r="AB14" s="20">
        <f t="shared" si="2"/>
        <v>548.12649634936429</v>
      </c>
      <c r="AC14" s="20">
        <f t="shared" si="2"/>
        <v>565.0304908671061</v>
      </c>
      <c r="AD14" s="20">
        <f t="shared" si="2"/>
        <v>582.36145210770565</v>
      </c>
      <c r="AE14" s="20">
        <f t="shared" si="2"/>
        <v>600.12920394458843</v>
      </c>
      <c r="AF14" s="20">
        <f t="shared" si="2"/>
        <v>618.34378434238681</v>
      </c>
      <c r="AG14" s="20">
        <f t="shared" si="2"/>
        <v>637.01544985965108</v>
      </c>
      <c r="AH14" s="20">
        <f t="shared" si="2"/>
        <v>656.15468024391419</v>
      </c>
    </row>
    <row r="15" spans="1:34" ht="15" customHeight="1" x14ac:dyDescent="0.2">
      <c r="A15" s="13" t="s">
        <v>246</v>
      </c>
      <c r="B15" s="14" t="s">
        <v>148</v>
      </c>
      <c r="C15" s="15" t="s">
        <v>243</v>
      </c>
      <c r="D15" s="20">
        <f>D5*D11*365/1000000000</f>
        <v>3669.1263367124998</v>
      </c>
      <c r="E15" s="20">
        <f t="shared" ref="E15:AH15" si="3">E5*E11*365/1000000000</f>
        <v>3707.7143181977999</v>
      </c>
      <c r="F15" s="20">
        <f t="shared" si="3"/>
        <v>3745.4500678937852</v>
      </c>
      <c r="G15" s="20">
        <f t="shared" si="3"/>
        <v>3782.34475187827</v>
      </c>
      <c r="H15" s="20">
        <f t="shared" si="3"/>
        <v>3818.4094121146586</v>
      </c>
      <c r="I15" s="20">
        <f t="shared" si="3"/>
        <v>3853.6549677231446</v>
      </c>
      <c r="J15" s="20">
        <f t="shared" si="3"/>
        <v>3888.0922162395186</v>
      </c>
      <c r="K15" s="20">
        <f t="shared" si="3"/>
        <v>3921.7318348616973</v>
      </c>
      <c r="L15" s="20">
        <f t="shared" si="3"/>
        <v>3954.5843816840811</v>
      </c>
      <c r="M15" s="20">
        <f t="shared" si="3"/>
        <v>3986.6602969198766</v>
      </c>
      <c r="N15" s="20">
        <f t="shared" si="3"/>
        <v>4017.9699041114704</v>
      </c>
      <c r="O15" s="20">
        <f t="shared" si="3"/>
        <v>4048.5234113289962</v>
      </c>
      <c r="P15" s="20">
        <f t="shared" si="3"/>
        <v>4078.3309123571789</v>
      </c>
      <c r="Q15" s="20">
        <f t="shared" si="3"/>
        <v>4107.4023878705857</v>
      </c>
      <c r="R15" s="20">
        <f t="shared" si="3"/>
        <v>4135.7477065973853</v>
      </c>
      <c r="S15" s="20">
        <f t="shared" si="3"/>
        <v>4163.3766264717342</v>
      </c>
      <c r="T15" s="20">
        <f t="shared" si="3"/>
        <v>4190.298795774871</v>
      </c>
      <c r="U15" s="20">
        <f t="shared" si="3"/>
        <v>4216.5237542650639</v>
      </c>
      <c r="V15" s="20">
        <f t="shared" si="3"/>
        <v>4242.0609342964826</v>
      </c>
      <c r="W15" s="20">
        <f t="shared" si="3"/>
        <v>4266.919661927127</v>
      </c>
      <c r="X15" s="20">
        <f t="shared" si="3"/>
        <v>4291.1091580158854</v>
      </c>
      <c r="Y15" s="20">
        <f t="shared" si="3"/>
        <v>4314.6385393088603</v>
      </c>
      <c r="Z15" s="20">
        <f t="shared" si="3"/>
        <v>4337.5168195150354</v>
      </c>
      <c r="AA15" s="20">
        <f t="shared" si="3"/>
        <v>4359.752910371395</v>
      </c>
      <c r="AB15" s="20">
        <f t="shared" si="3"/>
        <v>4381.3556226976043</v>
      </c>
      <c r="AC15" s="20">
        <f t="shared" si="3"/>
        <v>4402.3336674403299</v>
      </c>
      <c r="AD15" s="20">
        <f t="shared" si="3"/>
        <v>4422.6956567073203</v>
      </c>
      <c r="AE15" s="20">
        <f t="shared" si="3"/>
        <v>4442.4501047913227</v>
      </c>
      <c r="AF15" s="20">
        <f t="shared" si="3"/>
        <v>4461.6054291839509</v>
      </c>
      <c r="AG15" s="20">
        <f t="shared" si="3"/>
        <v>4480.1699515795908</v>
      </c>
      <c r="AH15" s="20">
        <f t="shared" si="3"/>
        <v>4498.1518988694324</v>
      </c>
    </row>
    <row r="16" spans="1:34" ht="15" customHeight="1" x14ac:dyDescent="0.2">
      <c r="A16" s="13" t="s">
        <v>247</v>
      </c>
      <c r="B16" s="14" t="s">
        <v>177</v>
      </c>
      <c r="C16" s="15" t="s">
        <v>248</v>
      </c>
      <c r="D16" s="21">
        <f>Inputs!$B$36*MIN(1,MAX(0,(D$3-Inputs!$B$34)/Inputs!$B$35))</f>
        <v>0</v>
      </c>
      <c r="E16" s="21">
        <f>Inputs!$B$36*MIN(1,MAX(0,(E$3-Inputs!$B$34)/Inputs!$B$35))</f>
        <v>0</v>
      </c>
      <c r="F16" s="21">
        <f>Inputs!$B$36*MIN(1,MAX(0,(F$3-Inputs!$B$34)/Inputs!$B$35))</f>
        <v>0</v>
      </c>
      <c r="G16" s="21">
        <f>Inputs!$B$36*MIN(1,MAX(0,(G$3-Inputs!$B$34)/Inputs!$B$35))</f>
        <v>0</v>
      </c>
      <c r="H16" s="21">
        <f>Inputs!$B$36*MIN(1,MAX(0,(H$3-Inputs!$B$34)/Inputs!$B$35))</f>
        <v>0</v>
      </c>
      <c r="I16" s="21">
        <f>Inputs!$B$36*MIN(1,MAX(0,(I$3-Inputs!$B$34)/Inputs!$B$35))</f>
        <v>0</v>
      </c>
      <c r="J16" s="21">
        <f>Inputs!$B$36*MIN(1,MAX(0,(J$3-Inputs!$B$34)/Inputs!$B$35))</f>
        <v>0</v>
      </c>
      <c r="K16" s="21">
        <f>Inputs!$B$36*MIN(1,MAX(0,(K$3-Inputs!$B$34)/Inputs!$B$35))</f>
        <v>10000000</v>
      </c>
      <c r="L16" s="21">
        <f>Inputs!$B$36*MIN(1,MAX(0,(L$3-Inputs!$B$34)/Inputs!$B$35))</f>
        <v>20000000</v>
      </c>
      <c r="M16" s="21">
        <f>Inputs!$B$36*MIN(1,MAX(0,(M$3-Inputs!$B$34)/Inputs!$B$35))</f>
        <v>30000000</v>
      </c>
      <c r="N16" s="21">
        <f>Inputs!$B$36*MIN(1,MAX(0,(N$3-Inputs!$B$34)/Inputs!$B$35))</f>
        <v>40000000</v>
      </c>
      <c r="O16" s="21">
        <f>Inputs!$B$36*MIN(1,MAX(0,(O$3-Inputs!$B$34)/Inputs!$B$35))</f>
        <v>50000000</v>
      </c>
      <c r="P16" s="21">
        <f>Inputs!$B$36*MIN(1,MAX(0,(P$3-Inputs!$B$34)/Inputs!$B$35))</f>
        <v>60000000</v>
      </c>
      <c r="Q16" s="21">
        <f>Inputs!$B$36*MIN(1,MAX(0,(Q$3-Inputs!$B$34)/Inputs!$B$35))</f>
        <v>70000000</v>
      </c>
      <c r="R16" s="21">
        <f>Inputs!$B$36*MIN(1,MAX(0,(R$3-Inputs!$B$34)/Inputs!$B$35))</f>
        <v>80000000</v>
      </c>
      <c r="S16" s="21">
        <f>Inputs!$B$36*MIN(1,MAX(0,(S$3-Inputs!$B$34)/Inputs!$B$35))</f>
        <v>90000000</v>
      </c>
      <c r="T16" s="21">
        <f>Inputs!$B$36*MIN(1,MAX(0,(T$3-Inputs!$B$34)/Inputs!$B$35))</f>
        <v>100000000</v>
      </c>
      <c r="U16" s="21">
        <f>Inputs!$B$36*MIN(1,MAX(0,(U$3-Inputs!$B$34)/Inputs!$B$35))</f>
        <v>100000000</v>
      </c>
      <c r="V16" s="21">
        <f>Inputs!$B$36*MIN(1,MAX(0,(V$3-Inputs!$B$34)/Inputs!$B$35))</f>
        <v>100000000</v>
      </c>
      <c r="W16" s="21">
        <f>Inputs!$B$36*MIN(1,MAX(0,(W$3-Inputs!$B$34)/Inputs!$B$35))</f>
        <v>100000000</v>
      </c>
      <c r="X16" s="21">
        <f>Inputs!$B$36*MIN(1,MAX(0,(X$3-Inputs!$B$34)/Inputs!$B$35))</f>
        <v>100000000</v>
      </c>
      <c r="Y16" s="21">
        <f>Inputs!$B$36*MIN(1,MAX(0,(Y$3-Inputs!$B$34)/Inputs!$B$35))</f>
        <v>100000000</v>
      </c>
      <c r="Z16" s="21">
        <f>Inputs!$B$36*MIN(1,MAX(0,(Z$3-Inputs!$B$34)/Inputs!$B$35))</f>
        <v>100000000</v>
      </c>
      <c r="AA16" s="21">
        <f>Inputs!$B$36*MIN(1,MAX(0,(AA$3-Inputs!$B$34)/Inputs!$B$35))</f>
        <v>100000000</v>
      </c>
      <c r="AB16" s="21">
        <f>Inputs!$B$36*MIN(1,MAX(0,(AB$3-Inputs!$B$34)/Inputs!$B$35))</f>
        <v>100000000</v>
      </c>
      <c r="AC16" s="21">
        <f>Inputs!$B$36*MIN(1,MAX(0,(AC$3-Inputs!$B$34)/Inputs!$B$35))</f>
        <v>100000000</v>
      </c>
      <c r="AD16" s="21">
        <f>Inputs!$B$36*MIN(1,MAX(0,(AD$3-Inputs!$B$34)/Inputs!$B$35))</f>
        <v>100000000</v>
      </c>
      <c r="AE16" s="21">
        <f>Inputs!$B$36*MIN(1,MAX(0,(AE$3-Inputs!$B$34)/Inputs!$B$35))</f>
        <v>100000000</v>
      </c>
      <c r="AF16" s="21">
        <f>Inputs!$B$36*MIN(1,MAX(0,(AF$3-Inputs!$B$34)/Inputs!$B$35))</f>
        <v>100000000</v>
      </c>
      <c r="AG16" s="21">
        <f>Inputs!$B$36*MIN(1,MAX(0,(AG$3-Inputs!$B$34)/Inputs!$B$35))</f>
        <v>100000000</v>
      </c>
      <c r="AH16" s="21">
        <f>Inputs!$B$36*MIN(1,MAX(0,(AH$3-Inputs!$B$34)/Inputs!$B$35))</f>
        <v>100000000</v>
      </c>
    </row>
    <row r="17" spans="1:34" ht="15" customHeight="1" x14ac:dyDescent="0.2">
      <c r="A17" s="13" t="s">
        <v>249</v>
      </c>
      <c r="B17" s="14" t="s">
        <v>148</v>
      </c>
      <c r="C17" s="15" t="s">
        <v>250</v>
      </c>
      <c r="D17" s="22">
        <f>D16*Inputs!$B$37*365/1000000000</f>
        <v>0</v>
      </c>
      <c r="E17" s="22">
        <f>E16*Inputs!$B$37*365/1000000000</f>
        <v>0</v>
      </c>
      <c r="F17" s="22">
        <f>F16*Inputs!$B$37*365/1000000000</f>
        <v>0</v>
      </c>
      <c r="G17" s="22">
        <f>G16*Inputs!$B$37*365/1000000000</f>
        <v>0</v>
      </c>
      <c r="H17" s="22">
        <f>H16*Inputs!$B$37*365/1000000000</f>
        <v>0</v>
      </c>
      <c r="I17" s="22">
        <f>I16*Inputs!$B$37*365/1000000000</f>
        <v>0</v>
      </c>
      <c r="J17" s="22">
        <f>J16*Inputs!$B$37*365/1000000000</f>
        <v>0</v>
      </c>
      <c r="K17" s="22">
        <f>K16*Inputs!$B$37*365/1000000000</f>
        <v>54.75</v>
      </c>
      <c r="L17" s="22">
        <f>L16*Inputs!$B$37*365/1000000000</f>
        <v>109.5</v>
      </c>
      <c r="M17" s="22">
        <f>M16*Inputs!$B$37*365/1000000000</f>
        <v>164.25</v>
      </c>
      <c r="N17" s="22">
        <f>N16*Inputs!$B$37*365/1000000000</f>
        <v>219</v>
      </c>
      <c r="O17" s="22">
        <f>O16*Inputs!$B$37*365/1000000000</f>
        <v>273.75</v>
      </c>
      <c r="P17" s="22">
        <f>P16*Inputs!$B$37*365/1000000000</f>
        <v>328.5</v>
      </c>
      <c r="Q17" s="22">
        <f>Q16*Inputs!$B$37*365/1000000000</f>
        <v>383.25</v>
      </c>
      <c r="R17" s="22">
        <f>R16*Inputs!$B$37*365/1000000000</f>
        <v>438</v>
      </c>
      <c r="S17" s="22">
        <f>S16*Inputs!$B$37*365/1000000000</f>
        <v>492.75</v>
      </c>
      <c r="T17" s="22">
        <f>T16*Inputs!$B$37*365/1000000000</f>
        <v>547.5</v>
      </c>
      <c r="U17" s="22">
        <f>U16*Inputs!$B$37*365/1000000000</f>
        <v>547.5</v>
      </c>
      <c r="V17" s="22">
        <f>V16*Inputs!$B$37*365/1000000000</f>
        <v>547.5</v>
      </c>
      <c r="W17" s="22">
        <f>W16*Inputs!$B$37*365/1000000000</f>
        <v>547.5</v>
      </c>
      <c r="X17" s="22">
        <f>X16*Inputs!$B$37*365/1000000000</f>
        <v>547.5</v>
      </c>
      <c r="Y17" s="22">
        <f>Y16*Inputs!$B$37*365/1000000000</f>
        <v>547.5</v>
      </c>
      <c r="Z17" s="22">
        <f>Z16*Inputs!$B$37*365/1000000000</f>
        <v>547.5</v>
      </c>
      <c r="AA17" s="22">
        <f>AA16*Inputs!$B$37*365/1000000000</f>
        <v>547.5</v>
      </c>
      <c r="AB17" s="22">
        <f>AB16*Inputs!$B$37*365/1000000000</f>
        <v>547.5</v>
      </c>
      <c r="AC17" s="22">
        <f>AC16*Inputs!$B$37*365/1000000000</f>
        <v>547.5</v>
      </c>
      <c r="AD17" s="22">
        <f>AD16*Inputs!$B$37*365/1000000000</f>
        <v>547.5</v>
      </c>
      <c r="AE17" s="22">
        <f>AE16*Inputs!$B$37*365/1000000000</f>
        <v>547.5</v>
      </c>
      <c r="AF17" s="22">
        <f>AF16*Inputs!$B$37*365/1000000000</f>
        <v>547.5</v>
      </c>
      <c r="AG17" s="22">
        <f>AG16*Inputs!$B$37*365/1000000000</f>
        <v>547.5</v>
      </c>
      <c r="AH17" s="22">
        <f>AH16*Inputs!$B$37*365/1000000000</f>
        <v>547.5</v>
      </c>
    </row>
    <row r="19" spans="1:34" ht="15" customHeight="1" x14ac:dyDescent="0.2">
      <c r="A19" s="23" t="s">
        <v>251</v>
      </c>
      <c r="B19" s="14" t="s">
        <v>148</v>
      </c>
      <c r="C19" s="15" t="s">
        <v>252</v>
      </c>
      <c r="D19" s="24">
        <f t="shared" ref="D19:AH19" si="4">D13+D14+D15+D17</f>
        <v>4937.6861244436996</v>
      </c>
      <c r="E19" s="24">
        <f t="shared" si="4"/>
        <v>4999.2396497885657</v>
      </c>
      <c r="F19" s="24">
        <f t="shared" si="4"/>
        <v>5060.0221313169122</v>
      </c>
      <c r="G19" s="24">
        <f t="shared" si="4"/>
        <v>5120.0518544253227</v>
      </c>
      <c r="H19" s="24">
        <f t="shared" si="4"/>
        <v>5179.3471010397561</v>
      </c>
      <c r="I19" s="24">
        <f t="shared" si="4"/>
        <v>5237.9261537022903</v>
      </c>
      <c r="J19" s="24">
        <f t="shared" si="4"/>
        <v>5295.8072997022909</v>
      </c>
      <c r="K19" s="24">
        <f t="shared" si="4"/>
        <v>5407.7588352532503</v>
      </c>
      <c r="L19" s="24">
        <f t="shared" si="4"/>
        <v>5519.0490697166097</v>
      </c>
      <c r="M19" s="24">
        <f t="shared" si="4"/>
        <v>5629.6963298738956</v>
      </c>
      <c r="N19" s="24">
        <f t="shared" si="4"/>
        <v>5739.71896424849</v>
      </c>
      <c r="O19" s="24">
        <f t="shared" si="4"/>
        <v>5849.1353474784391</v>
      </c>
      <c r="P19" s="24">
        <f t="shared" si="4"/>
        <v>5957.9638847416572</v>
      </c>
      <c r="Q19" s="24">
        <f t="shared" si="4"/>
        <v>6066.2230162349651</v>
      </c>
      <c r="R19" s="24">
        <f t="shared" si="4"/>
        <v>6173.9312217083925</v>
      </c>
      <c r="S19" s="24">
        <f t="shared" si="4"/>
        <v>6281.1070250562334</v>
      </c>
      <c r="T19" s="24">
        <f t="shared" si="4"/>
        <v>6387.7689989663049</v>
      </c>
      <c r="U19" s="24">
        <f t="shared" si="4"/>
        <v>6439.1857696289835</v>
      </c>
      <c r="V19" s="24">
        <f t="shared" si="4"/>
        <v>6490.1260215075181</v>
      </c>
      <c r="W19" s="24">
        <f t="shared" si="4"/>
        <v>6540.6085021712315</v>
      </c>
      <c r="X19" s="24">
        <f t="shared" si="4"/>
        <v>6590.6520271931786</v>
      </c>
      <c r="Y19" s="24">
        <f t="shared" si="4"/>
        <v>6640.2754851139262</v>
      </c>
      <c r="Z19" s="24">
        <f t="shared" si="4"/>
        <v>6689.497842473098</v>
      </c>
      <c r="AA19" s="24">
        <f t="shared" si="4"/>
        <v>6738.3381489103613</v>
      </c>
      <c r="AB19" s="24">
        <f t="shared" si="4"/>
        <v>6786.8155423376256</v>
      </c>
      <c r="AC19" s="24">
        <f t="shared" si="4"/>
        <v>6834.9492541841382</v>
      </c>
      <c r="AD19" s="24">
        <f t="shared" si="4"/>
        <v>6882.7586147163311</v>
      </c>
      <c r="AE19" s="24">
        <f t="shared" si="4"/>
        <v>6930.263058434175</v>
      </c>
      <c r="AF19" s="24">
        <f t="shared" si="4"/>
        <v>6977.4821295459442</v>
      </c>
      <c r="AG19" s="24">
        <f t="shared" si="4"/>
        <v>7024.4354875232348</v>
      </c>
      <c r="AH19" s="24">
        <f t="shared" si="4"/>
        <v>7071.1429127381816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0"/>
  <sheetViews>
    <sheetView zoomScale="15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8" sqref="D28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1" t="s">
        <v>253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254</v>
      </c>
      <c r="B5" s="14" t="s">
        <v>148</v>
      </c>
      <c r="C5" s="15" t="s">
        <v>255</v>
      </c>
      <c r="D5" s="25">
        <f>Demand!D19</f>
        <v>4937.6861244436996</v>
      </c>
      <c r="E5" s="25">
        <f>Demand!E19</f>
        <v>4999.2396497885657</v>
      </c>
      <c r="F5" s="25">
        <f>Demand!F19</f>
        <v>5060.0221313169122</v>
      </c>
      <c r="G5" s="25">
        <f>Demand!G19</f>
        <v>5120.0518544253227</v>
      </c>
      <c r="H5" s="25">
        <f>Demand!H19</f>
        <v>5179.3471010397561</v>
      </c>
      <c r="I5" s="25">
        <f>Demand!I19</f>
        <v>5237.9261537022903</v>
      </c>
      <c r="J5" s="25">
        <f>Demand!J19</f>
        <v>5295.8072997022909</v>
      </c>
      <c r="K5" s="25">
        <f>Demand!K19</f>
        <v>5407.7588352532503</v>
      </c>
      <c r="L5" s="25">
        <f>Demand!L19</f>
        <v>5519.0490697166097</v>
      </c>
      <c r="M5" s="25">
        <f>Demand!M19</f>
        <v>5629.6963298738956</v>
      </c>
      <c r="N5" s="25">
        <f>Demand!N19</f>
        <v>5739.71896424849</v>
      </c>
      <c r="O5" s="25">
        <f>Demand!O19</f>
        <v>5849.1353474784391</v>
      </c>
      <c r="P5" s="25">
        <f>Demand!P19</f>
        <v>5957.9638847416572</v>
      </c>
      <c r="Q5" s="25">
        <f>Demand!Q19</f>
        <v>6066.2230162349651</v>
      </c>
      <c r="R5" s="25">
        <f>Demand!R19</f>
        <v>6173.9312217083925</v>
      </c>
      <c r="S5" s="25">
        <f>Demand!S19</f>
        <v>6281.1070250562334</v>
      </c>
      <c r="T5" s="25">
        <f>Demand!T19</f>
        <v>6387.7689989663049</v>
      </c>
      <c r="U5" s="25">
        <f>Demand!U19</f>
        <v>6439.1857696289835</v>
      </c>
      <c r="V5" s="25">
        <f>Demand!V19</f>
        <v>6490.1260215075181</v>
      </c>
      <c r="W5" s="25">
        <f>Demand!W19</f>
        <v>6540.6085021712315</v>
      </c>
      <c r="X5" s="25">
        <f>Demand!X19</f>
        <v>6590.6520271931786</v>
      </c>
      <c r="Y5" s="25">
        <f>Demand!Y19</f>
        <v>6640.2754851139262</v>
      </c>
      <c r="Z5" s="25">
        <f>Demand!Z19</f>
        <v>6689.497842473098</v>
      </c>
      <c r="AA5" s="25">
        <f>Demand!AA19</f>
        <v>6738.3381489103613</v>
      </c>
      <c r="AB5" s="25">
        <f>Demand!AB19</f>
        <v>6786.8155423376256</v>
      </c>
      <c r="AC5" s="25">
        <f>Demand!AC19</f>
        <v>6834.9492541841382</v>
      </c>
      <c r="AD5" s="25">
        <f>Demand!AD19</f>
        <v>6882.7586147163311</v>
      </c>
      <c r="AE5" s="25">
        <f>Demand!AE19</f>
        <v>6930.263058434175</v>
      </c>
      <c r="AF5" s="25">
        <f>Demand!AF19</f>
        <v>6977.4821295459442</v>
      </c>
      <c r="AG5" s="25">
        <f>Demand!AG19</f>
        <v>7024.4354875232348</v>
      </c>
      <c r="AH5" s="25">
        <f>Demand!AH19</f>
        <v>7071.1429127381816</v>
      </c>
    </row>
    <row r="6" spans="1:34" ht="15" customHeight="1" x14ac:dyDescent="0.2">
      <c r="A6" s="13" t="s">
        <v>256</v>
      </c>
      <c r="B6" s="14" t="s">
        <v>148</v>
      </c>
      <c r="C6" s="15" t="s">
        <v>257</v>
      </c>
      <c r="D6" s="26">
        <f>Demand!D17</f>
        <v>0</v>
      </c>
      <c r="E6" s="26">
        <f>Demand!E17</f>
        <v>0</v>
      </c>
      <c r="F6" s="26">
        <f>Demand!F17</f>
        <v>0</v>
      </c>
      <c r="G6" s="26">
        <f>Demand!G17</f>
        <v>0</v>
      </c>
      <c r="H6" s="26">
        <f>Demand!H17</f>
        <v>0</v>
      </c>
      <c r="I6" s="26">
        <f>Demand!I17</f>
        <v>0</v>
      </c>
      <c r="J6" s="26">
        <f>Demand!J17</f>
        <v>0</v>
      </c>
      <c r="K6" s="26">
        <f>Demand!K17</f>
        <v>54.75</v>
      </c>
      <c r="L6" s="26">
        <f>Demand!L17</f>
        <v>109.5</v>
      </c>
      <c r="M6" s="26">
        <f>Demand!M17</f>
        <v>164.25</v>
      </c>
      <c r="N6" s="26">
        <f>Demand!N17</f>
        <v>219</v>
      </c>
      <c r="O6" s="26">
        <f>Demand!O17</f>
        <v>273.75</v>
      </c>
      <c r="P6" s="26">
        <f>Demand!P17</f>
        <v>328.5</v>
      </c>
      <c r="Q6" s="26">
        <f>Demand!Q17</f>
        <v>383.25</v>
      </c>
      <c r="R6" s="26">
        <f>Demand!R17</f>
        <v>438</v>
      </c>
      <c r="S6" s="26">
        <f>Demand!S17</f>
        <v>492.75</v>
      </c>
      <c r="T6" s="26">
        <f>Demand!T17</f>
        <v>547.5</v>
      </c>
      <c r="U6" s="26">
        <f>Demand!U17</f>
        <v>547.5</v>
      </c>
      <c r="V6" s="26">
        <f>Demand!V17</f>
        <v>547.5</v>
      </c>
      <c r="W6" s="26">
        <f>Demand!W17</f>
        <v>547.5</v>
      </c>
      <c r="X6" s="26">
        <f>Demand!X17</f>
        <v>547.5</v>
      </c>
      <c r="Y6" s="26">
        <f>Demand!Y17</f>
        <v>547.5</v>
      </c>
      <c r="Z6" s="26">
        <f>Demand!Z17</f>
        <v>547.5</v>
      </c>
      <c r="AA6" s="26">
        <f>Demand!AA17</f>
        <v>547.5</v>
      </c>
      <c r="AB6" s="26">
        <f>Demand!AB17</f>
        <v>547.5</v>
      </c>
      <c r="AC6" s="26">
        <f>Demand!AC17</f>
        <v>547.5</v>
      </c>
      <c r="AD6" s="26">
        <f>Demand!AD17</f>
        <v>547.5</v>
      </c>
      <c r="AE6" s="26">
        <f>Demand!AE17</f>
        <v>547.5</v>
      </c>
      <c r="AF6" s="26">
        <f>Demand!AF17</f>
        <v>547.5</v>
      </c>
      <c r="AG6" s="26">
        <f>Demand!AG17</f>
        <v>547.5</v>
      </c>
      <c r="AH6" s="26">
        <f>Demand!AH17</f>
        <v>547.5</v>
      </c>
    </row>
    <row r="8" spans="1:34" ht="15" customHeight="1" x14ac:dyDescent="0.2">
      <c r="A8" s="13" t="s">
        <v>258</v>
      </c>
      <c r="B8" s="14" t="s">
        <v>148</v>
      </c>
      <c r="C8" s="15" t="s">
        <v>259</v>
      </c>
      <c r="D8" s="25">
        <f>Inputs!$B$20*(1+Inputs!$B$21)^(D$3-2020)</f>
        <v>3500</v>
      </c>
      <c r="E8" s="25">
        <f>Inputs!$B$20*(1+Inputs!$B$21)^(E$3-2020)</f>
        <v>3447.5</v>
      </c>
      <c r="F8" s="25">
        <f>Inputs!$B$20*(1+Inputs!$B$21)^(F$3-2020)</f>
        <v>3395.7874999999999</v>
      </c>
      <c r="G8" s="25">
        <f>Inputs!$B$20*(1+Inputs!$B$21)^(G$3-2020)</f>
        <v>3344.8506875000003</v>
      </c>
      <c r="H8" s="25">
        <f>Inputs!$B$20*(1+Inputs!$B$21)^(H$3-2020)</f>
        <v>3294.6779271874998</v>
      </c>
      <c r="I8" s="25">
        <f>Inputs!$B$20*(1+Inputs!$B$21)^(I$3-2020)</f>
        <v>3245.2577582796876</v>
      </c>
      <c r="J8" s="25">
        <f>Inputs!$B$20*(1+Inputs!$B$21)^(J$3-2020)</f>
        <v>3196.5788919054921</v>
      </c>
      <c r="K8" s="25">
        <f>Inputs!$B$20*(1+Inputs!$B$21)^(K$3-2020)</f>
        <v>3148.6302085269099</v>
      </c>
      <c r="L8" s="25">
        <f>Inputs!$B$20*(1+Inputs!$B$21)^(L$3-2020)</f>
        <v>3101.4007553990064</v>
      </c>
      <c r="M8" s="25">
        <f>Inputs!$B$20*(1+Inputs!$B$21)^(M$3-2020)</f>
        <v>3054.879744068021</v>
      </c>
      <c r="N8" s="25">
        <f>Inputs!$B$20*(1+Inputs!$B$21)^(N$3-2020)</f>
        <v>3009.056547907001</v>
      </c>
      <c r="O8" s="25">
        <f>Inputs!$B$20*(1+Inputs!$B$21)^(O$3-2020)</f>
        <v>2963.9206996883959</v>
      </c>
      <c r="P8" s="25">
        <f>Inputs!$B$20*(1+Inputs!$B$21)^(P$3-2020)</f>
        <v>2919.46188919307</v>
      </c>
      <c r="Q8" s="25">
        <f>Inputs!$B$20*(1+Inputs!$B$21)^(Q$3-2020)</f>
        <v>2875.6699608551739</v>
      </c>
      <c r="R8" s="25">
        <f>Inputs!$B$20*(1+Inputs!$B$21)^(R$3-2020)</f>
        <v>2832.5349114423466</v>
      </c>
      <c r="S8" s="25">
        <f>Inputs!$B$20*(1+Inputs!$B$21)^(S$3-2020)</f>
        <v>2790.0468877707108</v>
      </c>
      <c r="T8" s="25">
        <f>Inputs!$B$20*(1+Inputs!$B$21)^(T$3-2020)</f>
        <v>2748.1961844541502</v>
      </c>
      <c r="U8" s="25">
        <f>Inputs!$B$20*(1+Inputs!$B$21)^(U$3-2020)</f>
        <v>2706.973241687338</v>
      </c>
      <c r="V8" s="25">
        <f>Inputs!$B$20*(1+Inputs!$B$21)^(V$3-2020)</f>
        <v>2666.3686430620278</v>
      </c>
      <c r="W8" s="25">
        <f>Inputs!$B$20*(1+Inputs!$B$21)^(W$3-2020)</f>
        <v>2626.3731134160976</v>
      </c>
      <c r="X8" s="25">
        <f>Inputs!$B$20*(1+Inputs!$B$21)^(X$3-2020)</f>
        <v>2586.9775167148564</v>
      </c>
      <c r="Y8" s="25">
        <f>Inputs!$B$20*(1+Inputs!$B$21)^(Y$3-2020)</f>
        <v>2548.1728539641335</v>
      </c>
      <c r="Z8" s="25">
        <f>Inputs!$B$20*(1+Inputs!$B$21)^(Z$3-2020)</f>
        <v>2509.9502611546714</v>
      </c>
      <c r="AA8" s="25">
        <f>Inputs!$B$20*(1+Inputs!$B$21)^(AA$3-2020)</f>
        <v>2472.3010072373513</v>
      </c>
      <c r="AB8" s="25">
        <f>Inputs!$B$20*(1+Inputs!$B$21)^(AB$3-2020)</f>
        <v>2435.2164921287908</v>
      </c>
      <c r="AC8" s="25">
        <f>Inputs!$B$20*(1+Inputs!$B$21)^(AC$3-2020)</f>
        <v>2398.6882447468593</v>
      </c>
      <c r="AD8" s="25">
        <f>Inputs!$B$20*(1+Inputs!$B$21)^(AD$3-2020)</f>
        <v>2362.707921075656</v>
      </c>
      <c r="AE8" s="25">
        <f>Inputs!$B$20*(1+Inputs!$B$21)^(AE$3-2020)</f>
        <v>2327.2673022595213</v>
      </c>
      <c r="AF8" s="25">
        <f>Inputs!$B$20*(1+Inputs!$B$21)^(AF$3-2020)</f>
        <v>2292.3582927256284</v>
      </c>
      <c r="AG8" s="25">
        <f>Inputs!$B$20*(1+Inputs!$B$21)^(AG$3-2020)</f>
        <v>2257.972918334744</v>
      </c>
      <c r="AH8" s="25">
        <f>Inputs!$B$20*(1+Inputs!$B$21)^(AH$3-2020)</f>
        <v>2224.1033245597232</v>
      </c>
    </row>
    <row r="9" spans="1:34" ht="15" customHeight="1" x14ac:dyDescent="0.2">
      <c r="A9" s="13" t="s">
        <v>260</v>
      </c>
      <c r="B9" s="14" t="s">
        <v>148</v>
      </c>
      <c r="C9" s="15" t="s">
        <v>261</v>
      </c>
      <c r="D9" s="25">
        <f>Inputs!$B$22*(1+Inputs!$B$23)^(D$3-2020)</f>
        <v>912</v>
      </c>
      <c r="E9" s="25">
        <f>Inputs!$B$22*(1+Inputs!$B$23)^(E$3-2020)</f>
        <v>893.76</v>
      </c>
      <c r="F9" s="25">
        <f>Inputs!$B$22*(1+Inputs!$B$23)^(F$3-2020)</f>
        <v>875.88479999999993</v>
      </c>
      <c r="G9" s="25">
        <f>Inputs!$B$22*(1+Inputs!$B$23)^(G$3-2020)</f>
        <v>858.36710399999993</v>
      </c>
      <c r="H9" s="25">
        <f>Inputs!$B$22*(1+Inputs!$B$23)^(H$3-2020)</f>
        <v>841.1997619199999</v>
      </c>
      <c r="I9" s="25">
        <f>Inputs!$B$22*(1+Inputs!$B$23)^(I$3-2020)</f>
        <v>824.37576668159988</v>
      </c>
      <c r="J9" s="25">
        <f>Inputs!$B$22*(1+Inputs!$B$23)^(J$3-2020)</f>
        <v>807.88825134796787</v>
      </c>
      <c r="K9" s="25">
        <f>Inputs!$B$22*(1+Inputs!$B$23)^(K$3-2020)</f>
        <v>791.73048632100847</v>
      </c>
      <c r="L9" s="25">
        <f>Inputs!$B$22*(1+Inputs!$B$23)^(L$3-2020)</f>
        <v>775.89587659458823</v>
      </c>
      <c r="M9" s="25">
        <f>Inputs!$B$22*(1+Inputs!$B$23)^(M$3-2020)</f>
        <v>760.3779590626965</v>
      </c>
      <c r="N9" s="25">
        <f>Inputs!$B$22*(1+Inputs!$B$23)^(N$3-2020)</f>
        <v>745.17039988144245</v>
      </c>
      <c r="O9" s="25">
        <f>Inputs!$B$22*(1+Inputs!$B$23)^(O$3-2020)</f>
        <v>730.2669918838136</v>
      </c>
      <c r="P9" s="25">
        <f>Inputs!$B$22*(1+Inputs!$B$23)^(P$3-2020)</f>
        <v>715.66165204613731</v>
      </c>
      <c r="Q9" s="25">
        <f>Inputs!$B$22*(1+Inputs!$B$23)^(Q$3-2020)</f>
        <v>701.34841900521451</v>
      </c>
      <c r="R9" s="25">
        <f>Inputs!$B$22*(1+Inputs!$B$23)^(R$3-2020)</f>
        <v>687.32145062511029</v>
      </c>
      <c r="S9" s="25">
        <f>Inputs!$B$22*(1+Inputs!$B$23)^(S$3-2020)</f>
        <v>673.575021612608</v>
      </c>
      <c r="T9" s="25">
        <f>Inputs!$B$22*(1+Inputs!$B$23)^(T$3-2020)</f>
        <v>660.10352118035587</v>
      </c>
      <c r="U9" s="25">
        <f>Inputs!$B$22*(1+Inputs!$B$23)^(U$3-2020)</f>
        <v>646.90145075674877</v>
      </c>
      <c r="V9" s="25">
        <f>Inputs!$B$22*(1+Inputs!$B$23)^(V$3-2020)</f>
        <v>633.96342174161373</v>
      </c>
      <c r="W9" s="25">
        <f>Inputs!$B$22*(1+Inputs!$B$23)^(W$3-2020)</f>
        <v>621.28415330678149</v>
      </c>
      <c r="X9" s="25">
        <f>Inputs!$B$22*(1+Inputs!$B$23)^(X$3-2020)</f>
        <v>608.85847024064583</v>
      </c>
      <c r="Y9" s="25">
        <f>Inputs!$B$22*(1+Inputs!$B$23)^(Y$3-2020)</f>
        <v>596.68130083583287</v>
      </c>
      <c r="Z9" s="25">
        <f>Inputs!$B$22*(1+Inputs!$B$23)^(Z$3-2020)</f>
        <v>584.74767481911624</v>
      </c>
      <c r="AA9" s="25">
        <f>Inputs!$B$22*(1+Inputs!$B$23)^(AA$3-2020)</f>
        <v>573.05272132273387</v>
      </c>
      <c r="AB9" s="25">
        <f>Inputs!$B$22*(1+Inputs!$B$23)^(AB$3-2020)</f>
        <v>561.59166689627921</v>
      </c>
      <c r="AC9" s="25">
        <f>Inputs!$B$22*(1+Inputs!$B$23)^(AC$3-2020)</f>
        <v>550.35983355835356</v>
      </c>
      <c r="AD9" s="25">
        <f>Inputs!$B$22*(1+Inputs!$B$23)^(AD$3-2020)</f>
        <v>539.35263688718646</v>
      </c>
      <c r="AE9" s="25">
        <f>Inputs!$B$22*(1+Inputs!$B$23)^(AE$3-2020)</f>
        <v>528.56558414944266</v>
      </c>
      <c r="AF9" s="25">
        <f>Inputs!$B$22*(1+Inputs!$B$23)^(AF$3-2020)</f>
        <v>517.99427246645382</v>
      </c>
      <c r="AG9" s="25">
        <f>Inputs!$B$22*(1+Inputs!$B$23)^(AG$3-2020)</f>
        <v>507.63438701712477</v>
      </c>
      <c r="AH9" s="25">
        <f>Inputs!$B$22*(1+Inputs!$B$23)^(AH$3-2020)</f>
        <v>497.48169927678225</v>
      </c>
    </row>
    <row r="10" spans="1:34" ht="15" customHeight="1" x14ac:dyDescent="0.2">
      <c r="A10" s="13" t="s">
        <v>262</v>
      </c>
      <c r="B10" s="14" t="s">
        <v>148</v>
      </c>
      <c r="C10" s="15" t="s">
        <v>263</v>
      </c>
      <c r="D10" s="20">
        <f t="shared" ref="D10:AH10" si="0">D8+D9</f>
        <v>4412</v>
      </c>
      <c r="E10" s="20">
        <f t="shared" si="0"/>
        <v>4341.26</v>
      </c>
      <c r="F10" s="20">
        <f t="shared" si="0"/>
        <v>4271.6723000000002</v>
      </c>
      <c r="G10" s="20">
        <f t="shared" si="0"/>
        <v>4203.2177915000002</v>
      </c>
      <c r="H10" s="20">
        <f t="shared" si="0"/>
        <v>4135.8776891074995</v>
      </c>
      <c r="I10" s="20">
        <f t="shared" si="0"/>
        <v>4069.6335249612875</v>
      </c>
      <c r="J10" s="20">
        <f t="shared" si="0"/>
        <v>4004.4671432534601</v>
      </c>
      <c r="K10" s="20">
        <f t="shared" si="0"/>
        <v>3940.3606948479182</v>
      </c>
      <c r="L10" s="20">
        <f t="shared" si="0"/>
        <v>3877.2966319935945</v>
      </c>
      <c r="M10" s="20">
        <f t="shared" si="0"/>
        <v>3815.2577031307173</v>
      </c>
      <c r="N10" s="20">
        <f t="shared" si="0"/>
        <v>3754.2269477884433</v>
      </c>
      <c r="O10" s="20">
        <f t="shared" si="0"/>
        <v>3694.1876915722096</v>
      </c>
      <c r="P10" s="20">
        <f t="shared" si="0"/>
        <v>3635.123541239207</v>
      </c>
      <c r="Q10" s="20">
        <f t="shared" si="0"/>
        <v>3577.0183798603884</v>
      </c>
      <c r="R10" s="20">
        <f t="shared" si="0"/>
        <v>3519.8563620674568</v>
      </c>
      <c r="S10" s="20">
        <f t="shared" si="0"/>
        <v>3463.6219093833188</v>
      </c>
      <c r="T10" s="20">
        <f t="shared" si="0"/>
        <v>3408.2997056345062</v>
      </c>
      <c r="U10" s="20">
        <f t="shared" si="0"/>
        <v>3353.8746924440866</v>
      </c>
      <c r="V10" s="20">
        <f t="shared" si="0"/>
        <v>3300.3320648036415</v>
      </c>
      <c r="W10" s="20">
        <f t="shared" si="0"/>
        <v>3247.6572667228793</v>
      </c>
      <c r="X10" s="20">
        <f t="shared" si="0"/>
        <v>3195.8359869555024</v>
      </c>
      <c r="Y10" s="20">
        <f t="shared" si="0"/>
        <v>3144.8541547999666</v>
      </c>
      <c r="Z10" s="20">
        <f t="shared" si="0"/>
        <v>3094.6979359737875</v>
      </c>
      <c r="AA10" s="20">
        <f t="shared" si="0"/>
        <v>3045.3537285600851</v>
      </c>
      <c r="AB10" s="20">
        <f t="shared" si="0"/>
        <v>2996.8081590250699</v>
      </c>
      <c r="AC10" s="20">
        <f t="shared" si="0"/>
        <v>2949.0480783052126</v>
      </c>
      <c r="AD10" s="20">
        <f t="shared" si="0"/>
        <v>2902.0605579628427</v>
      </c>
      <c r="AE10" s="20">
        <f t="shared" si="0"/>
        <v>2855.832886408964</v>
      </c>
      <c r="AF10" s="20">
        <f t="shared" si="0"/>
        <v>2810.3525651920822</v>
      </c>
      <c r="AG10" s="20">
        <f t="shared" si="0"/>
        <v>2765.6073053518689</v>
      </c>
      <c r="AH10" s="20">
        <f t="shared" si="0"/>
        <v>2721.5850238365056</v>
      </c>
    </row>
    <row r="12" spans="1:34" ht="15" customHeight="1" x14ac:dyDescent="0.2">
      <c r="A12" t="s">
        <v>242</v>
      </c>
      <c r="B12" t="s">
        <v>148</v>
      </c>
      <c r="C12" t="s">
        <v>264</v>
      </c>
      <c r="D12">
        <f>Demand!D13</f>
        <v>1020.226083575</v>
      </c>
      <c r="E12">
        <f>Demand!E13</f>
        <v>1034.0735497661874</v>
      </c>
      <c r="F12">
        <f>Demand!F13</f>
        <v>1047.7570356433737</v>
      </c>
      <c r="G12">
        <f>Demand!G13</f>
        <v>1061.277834823044</v>
      </c>
      <c r="H12">
        <f>Demand!H13</f>
        <v>1074.6372320850267</v>
      </c>
      <c r="I12">
        <f>Demand!I13</f>
        <v>1087.8365034285187</v>
      </c>
      <c r="J12">
        <f>Demand!J13</f>
        <v>1100.8769161277735</v>
      </c>
      <c r="K12">
        <f>Demand!K13</f>
        <v>1113.7597287874503</v>
      </c>
      <c r="L12">
        <f>Demand!L13</f>
        <v>1126.4861913976272</v>
      </c>
      <c r="M12">
        <f>Demand!M13</f>
        <v>1139.0575453884824</v>
      </c>
      <c r="N12">
        <f>Demand!N13</f>
        <v>1151.4750236846444</v>
      </c>
      <c r="O12">
        <f>Demand!O13</f>
        <v>1163.7398507592097</v>
      </c>
      <c r="P12">
        <f>Demand!P13</f>
        <v>1175.8532426874374</v>
      </c>
      <c r="Q12">
        <f>Demand!Q13</f>
        <v>1187.8164072001141</v>
      </c>
      <c r="R12">
        <f>Demand!R13</f>
        <v>1199.6305437365968</v>
      </c>
      <c r="S12">
        <f>Demand!S13</f>
        <v>1211.2968434975342</v>
      </c>
      <c r="T12">
        <f>Demand!T13</f>
        <v>1222.8164894972692</v>
      </c>
      <c r="U12">
        <f>Demand!U13</f>
        <v>1234.1906566159191</v>
      </c>
      <c r="V12">
        <f>Demand!V13</f>
        <v>1245.4205116511453</v>
      </c>
      <c r="W12">
        <f>Demand!W13</f>
        <v>1256.507213369604</v>
      </c>
      <c r="X12">
        <f>Demand!X13</f>
        <v>1267.4519125580866</v>
      </c>
      <c r="Y12">
        <f>Demand!Y13</f>
        <v>1278.2557520743501</v>
      </c>
      <c r="Z12">
        <f>Demand!Z13</f>
        <v>1288.9198668976371</v>
      </c>
      <c r="AA12">
        <f>Demand!AA13</f>
        <v>1299.4453841788893</v>
      </c>
      <c r="AB12">
        <f>Demand!AB13</f>
        <v>1309.8334232906568</v>
      </c>
      <c r="AC12">
        <f>Demand!AC13</f>
        <v>1320.0850958767021</v>
      </c>
      <c r="AD12">
        <f>Demand!AD13</f>
        <v>1330.2015059013047</v>
      </c>
      <c r="AE12">
        <f>Demand!AE13</f>
        <v>1340.1837496982639</v>
      </c>
      <c r="AF12">
        <f>Demand!AF13</f>
        <v>1350.0329160196065</v>
      </c>
      <c r="AG12">
        <f>Demand!AG13</f>
        <v>1359.750086083993</v>
      </c>
      <c r="AH12">
        <f>Demand!AH13</f>
        <v>1369.3363336248351</v>
      </c>
    </row>
    <row r="13" spans="1:34" ht="15" customHeight="1" x14ac:dyDescent="0.2">
      <c r="A13" t="s">
        <v>244</v>
      </c>
      <c r="B13" t="s">
        <v>148</v>
      </c>
      <c r="C13" t="s">
        <v>265</v>
      </c>
      <c r="D13">
        <f>Demand!D14</f>
        <v>248.33370415619999</v>
      </c>
      <c r="E13">
        <f>Demand!E14</f>
        <v>257.45178182457846</v>
      </c>
      <c r="F13">
        <f>Demand!F14</f>
        <v>266.81502777975317</v>
      </c>
      <c r="G13">
        <f>Demand!G14</f>
        <v>276.42926772400915</v>
      </c>
      <c r="H13">
        <f>Demand!H14</f>
        <v>286.30045684007086</v>
      </c>
      <c r="I13">
        <f>Demand!I14</f>
        <v>296.4346825506272</v>
      </c>
      <c r="J13">
        <f>Demand!J14</f>
        <v>306.83816733499867</v>
      </c>
      <c r="K13">
        <f>Demand!K14</f>
        <v>317.51727160410275</v>
      </c>
      <c r="L13">
        <f>Demand!L14</f>
        <v>328.47849663490183</v>
      </c>
      <c r="M13">
        <f>Demand!M14</f>
        <v>339.7284875655364</v>
      </c>
      <c r="N13">
        <f>Demand!N14</f>
        <v>351.27403645237484</v>
      </c>
      <c r="O13">
        <f>Demand!O14</f>
        <v>363.12208539023288</v>
      </c>
      <c r="P13">
        <f>Demand!P14</f>
        <v>375.27972969704109</v>
      </c>
      <c r="Q13">
        <f>Demand!Q14</f>
        <v>387.75422116426523</v>
      </c>
      <c r="R13">
        <f>Demand!R14</f>
        <v>400.5529713744105</v>
      </c>
      <c r="S13">
        <f>Demand!S14</f>
        <v>413.68355508696465</v>
      </c>
      <c r="T13">
        <f>Demand!T14</f>
        <v>427.15371369416476</v>
      </c>
      <c r="U13">
        <f>Demand!U14</f>
        <v>440.97135874800051</v>
      </c>
      <c r="V13">
        <f>Demand!V14</f>
        <v>455.14457555989009</v>
      </c>
      <c r="W13">
        <f>Demand!W14</f>
        <v>469.6816268745003</v>
      </c>
      <c r="X13">
        <f>Demand!X14</f>
        <v>484.59095661920605</v>
      </c>
      <c r="Y13">
        <f>Demand!Y14</f>
        <v>499.88119373071595</v>
      </c>
      <c r="Z13">
        <f>Demand!Z14</f>
        <v>515.56115606042499</v>
      </c>
      <c r="AA13">
        <f>Demand!AA14</f>
        <v>531.63985436007738</v>
      </c>
      <c r="AB13">
        <f>Demand!AB14</f>
        <v>548.12649634936429</v>
      </c>
      <c r="AC13">
        <f>Demand!AC14</f>
        <v>565.0304908671061</v>
      </c>
      <c r="AD13">
        <f>Demand!AD14</f>
        <v>582.36145210770565</v>
      </c>
      <c r="AE13">
        <f>Demand!AE14</f>
        <v>600.12920394458843</v>
      </c>
      <c r="AF13">
        <f>Demand!AF14</f>
        <v>618.34378434238681</v>
      </c>
      <c r="AG13">
        <f>Demand!AG14</f>
        <v>637.01544985965108</v>
      </c>
      <c r="AH13">
        <f>Demand!AH14</f>
        <v>656.15468024391419</v>
      </c>
    </row>
    <row r="14" spans="1:34" ht="15" customHeight="1" x14ac:dyDescent="0.2">
      <c r="A14" t="s">
        <v>246</v>
      </c>
      <c r="B14" t="s">
        <v>148</v>
      </c>
      <c r="C14" t="s">
        <v>266</v>
      </c>
      <c r="D14" s="87">
        <f>Demand!D15</f>
        <v>3669.1263367124998</v>
      </c>
      <c r="E14" s="87">
        <f>Demand!E15</f>
        <v>3707.7143181977999</v>
      </c>
      <c r="F14" s="87">
        <f>Demand!F15</f>
        <v>3745.4500678937852</v>
      </c>
      <c r="G14" s="87">
        <f>Demand!G15</f>
        <v>3782.34475187827</v>
      </c>
      <c r="H14" s="87">
        <f>Demand!H15</f>
        <v>3818.4094121146586</v>
      </c>
      <c r="I14" s="87">
        <f>Demand!I15</f>
        <v>3853.6549677231446</v>
      </c>
      <c r="J14" s="87">
        <f>Demand!J15</f>
        <v>3888.0922162395186</v>
      </c>
      <c r="K14" s="87">
        <f>Demand!K15</f>
        <v>3921.7318348616973</v>
      </c>
      <c r="L14" s="87">
        <f>Demand!L15</f>
        <v>3954.5843816840811</v>
      </c>
      <c r="M14" s="87">
        <f>Demand!M15</f>
        <v>3986.6602969198766</v>
      </c>
      <c r="N14" s="87">
        <f>Demand!N15</f>
        <v>4017.9699041114704</v>
      </c>
      <c r="O14" s="87">
        <f>Demand!O15</f>
        <v>4048.5234113289962</v>
      </c>
      <c r="P14" s="87">
        <f>Demand!P15</f>
        <v>4078.3309123571789</v>
      </c>
      <c r="Q14" s="87">
        <f>Demand!Q15</f>
        <v>4107.4023878705857</v>
      </c>
      <c r="R14" s="87">
        <f>Demand!R15</f>
        <v>4135.7477065973853</v>
      </c>
      <c r="S14" s="87">
        <f>Demand!S15</f>
        <v>4163.3766264717342</v>
      </c>
      <c r="T14" s="87">
        <f>Demand!T15</f>
        <v>4190.298795774871</v>
      </c>
      <c r="U14" s="87">
        <f>Demand!U15</f>
        <v>4216.5237542650639</v>
      </c>
      <c r="V14" s="87">
        <f>Demand!V15</f>
        <v>4242.0609342964826</v>
      </c>
      <c r="W14" s="87">
        <f>Demand!W15</f>
        <v>4266.919661927127</v>
      </c>
      <c r="X14" s="87">
        <f>Demand!X15</f>
        <v>4291.1091580158854</v>
      </c>
      <c r="Y14" s="87">
        <f>Demand!Y15</f>
        <v>4314.6385393088603</v>
      </c>
      <c r="Z14" s="87">
        <f>Demand!Z15</f>
        <v>4337.5168195150354</v>
      </c>
      <c r="AA14" s="87">
        <f>Demand!AA15</f>
        <v>4359.752910371395</v>
      </c>
      <c r="AB14" s="87">
        <f>Demand!AB15</f>
        <v>4381.3556226976043</v>
      </c>
      <c r="AC14" s="87">
        <f>Demand!AC15</f>
        <v>4402.3336674403299</v>
      </c>
      <c r="AD14" s="87">
        <f>Demand!AD15</f>
        <v>4422.6956567073203</v>
      </c>
      <c r="AE14" s="87">
        <f>Demand!AE15</f>
        <v>4442.4501047913227</v>
      </c>
      <c r="AF14" s="87">
        <f>Demand!AF15</f>
        <v>4461.6054291839509</v>
      </c>
      <c r="AG14" s="87">
        <f>Demand!AG15</f>
        <v>4480.1699515795908</v>
      </c>
      <c r="AH14" s="87">
        <f>Demand!AH15</f>
        <v>4498.1518988694324</v>
      </c>
    </row>
    <row r="15" spans="1:34" ht="15" customHeight="1" x14ac:dyDescent="0.2">
      <c r="A15" t="s">
        <v>267</v>
      </c>
      <c r="B15" t="s">
        <v>148</v>
      </c>
      <c r="C15" t="s">
        <v>268</v>
      </c>
      <c r="D15">
        <f>Demand!D13*(Inputs!B41+(Inputs!B42-Inputs!B41)*(D3-2020)/30)</f>
        <v>153.03391253625</v>
      </c>
      <c r="E15">
        <f>Demand!E13*(Inputs!B41+(Inputs!B42-Inputs!B41)*(E3-2020)/30)</f>
        <v>162.00485613003602</v>
      </c>
      <c r="F15">
        <f>Demand!F13*(Inputs!B41+(Inputs!B42-Inputs!B41)*(F3-2020)/30)</f>
        <v>171.13364915508436</v>
      </c>
      <c r="G15">
        <f>Demand!G13*(Inputs!B41+(Inputs!B42-Inputs!B41)*(G3-2020)/30)</f>
        <v>180.41723191991747</v>
      </c>
      <c r="H15">
        <f>Demand!H13*(Inputs!B41+(Inputs!B42-Inputs!B41)*(H3-2020)/30)</f>
        <v>189.85257766835471</v>
      </c>
      <c r="I15">
        <f>Demand!I13*(Inputs!B41+(Inputs!B42-Inputs!B41)*(I3-2020)/30)</f>
        <v>199.4366922952284</v>
      </c>
      <c r="J15">
        <f>Demand!J13*(Inputs!B41+(Inputs!B42-Inputs!B41)*(J3-2020)/30)</f>
        <v>209.16661406427696</v>
      </c>
      <c r="K15">
        <f>Demand!K13*(Inputs!B41+(Inputs!B42-Inputs!B41)*(K3-2020)/30)</f>
        <v>219.03941332819855</v>
      </c>
      <c r="L15">
        <f>Demand!L13*(Inputs!B41+(Inputs!B42-Inputs!B41)*(L3-2020)/30)</f>
        <v>229.05219225085082</v>
      </c>
      <c r="M15">
        <f>Demand!M13*(Inputs!B41+(Inputs!B42-Inputs!B41)*(M3-2020)/30)</f>
        <v>239.20208453158128</v>
      </c>
      <c r="N15">
        <f>Demand!N13*(Inputs!B41+(Inputs!B42-Inputs!B41)*(N3-2020)/30)</f>
        <v>249.48625513167295</v>
      </c>
      <c r="O15">
        <f>Demand!O13*(Inputs!B41+(Inputs!B42-Inputs!B41)*(O3-2020)/30)</f>
        <v>259.90190000289016</v>
      </c>
      <c r="P15">
        <f>Demand!P13*(Inputs!B41+(Inputs!B42-Inputs!B41)*(P3-2020)/30)</f>
        <v>270.44624581811058</v>
      </c>
      <c r="Q15">
        <f>Demand!Q13*(Inputs!B41+(Inputs!B42-Inputs!B41)*(Q3-2020)/30)</f>
        <v>281.11654970402697</v>
      </c>
      <c r="R15">
        <f>Demand!R13*(Inputs!B41+(Inputs!B42-Inputs!B41)*(R3-2020)/30)</f>
        <v>291.91009897590521</v>
      </c>
      <c r="S15">
        <f>Demand!S13*(Inputs!B41+(Inputs!B42-Inputs!B41)*(S3-2020)/30)</f>
        <v>302.82421087438354</v>
      </c>
      <c r="T15">
        <f>Demand!T13*(Inputs!B41+(Inputs!B42-Inputs!B41)*(T3-2020)/30)</f>
        <v>313.85623230429911</v>
      </c>
      <c r="U15">
        <f>Demand!U13*(Inputs!B41+(Inputs!B42-Inputs!B41)*(U3-2020)/30)</f>
        <v>325.00353957552534</v>
      </c>
      <c r="V15">
        <f>Demand!V13*(Inputs!B41+(Inputs!B42-Inputs!B41)*(V3-2020)/30)</f>
        <v>336.26353814580915</v>
      </c>
      <c r="W15">
        <f>Demand!W13*(Inputs!B41+(Inputs!B42-Inputs!B41)*(W3-2020)/30)</f>
        <v>347.63366236559034</v>
      </c>
      <c r="X15">
        <f>Demand!X13*(Inputs!B41+(Inputs!B42-Inputs!B41)*(X3-2020)/30)</f>
        <v>359.11137522479123</v>
      </c>
      <c r="Y15">
        <f>Demand!Y13*(Inputs!B41+(Inputs!B42-Inputs!B41)*(Y3-2020)/30)</f>
        <v>370.6941681015615</v>
      </c>
      <c r="Z15">
        <f>Demand!Z13*(Inputs!B41+(Inputs!B42-Inputs!B41)*(Z3-2020)/30)</f>
        <v>382.37956051296561</v>
      </c>
      <c r="AA15">
        <f>Demand!AA13*(Inputs!B41+(Inputs!B42-Inputs!B41)*(AA3-2020)/30)</f>
        <v>394.16509986759644</v>
      </c>
      <c r="AB15">
        <f>Demand!AB13*(Inputs!B41+(Inputs!B42-Inputs!B41)*(AB3-2020)/30)</f>
        <v>406.04836122010363</v>
      </c>
      <c r="AC15">
        <f>Demand!AC13*(Inputs!B41+(Inputs!B42-Inputs!B41)*(AC3-2020)/30)</f>
        <v>418.02694702762233</v>
      </c>
      <c r="AD15">
        <f>Demand!AD13*(Inputs!B41+(Inputs!B42-Inputs!B41)*(AD3-2020)/30)</f>
        <v>430.09848690808849</v>
      </c>
      <c r="AE15">
        <f>Demand!AE13*(Inputs!B41+(Inputs!B42-Inputs!B41)*(AE3-2020)/30)</f>
        <v>442.26063740042702</v>
      </c>
      <c r="AF15">
        <f>Demand!AF13*(Inputs!B41+(Inputs!B42-Inputs!B41)*(AF3-2020)/30)</f>
        <v>454.51108172660088</v>
      </c>
      <c r="AG15">
        <f>Demand!AG13*(Inputs!B41+(Inputs!B42-Inputs!B41)*(AG3-2020)/30)</f>
        <v>466.84752955550425</v>
      </c>
      <c r="AH15">
        <f>Demand!AH13*(Inputs!B41+(Inputs!B42-Inputs!B41)*(AH3-2020)/30)</f>
        <v>479.26771676869225</v>
      </c>
    </row>
    <row r="16" spans="1:34" x14ac:dyDescent="0.2">
      <c r="A16" t="s">
        <v>269</v>
      </c>
      <c r="B16" t="s">
        <v>148</v>
      </c>
      <c r="C16" t="s">
        <v>270</v>
      </c>
      <c r="D16">
        <f>MIN(Supply!D6,Supply!D15*(Inputs!B50+(Inputs!B51-Inputs!B50)*(D3-2020)/30))</f>
        <v>0</v>
      </c>
      <c r="E16">
        <f>MIN(Supply!E6,Supply!E15*(Inputs!B50+(Inputs!B51-Inputs!B50)*(E3-2020)/30))</f>
        <v>0</v>
      </c>
      <c r="F16">
        <f>MIN(Supply!F6,Supply!F15*(Inputs!B50+(Inputs!B51-Inputs!B50)*(F3-2020)/30))</f>
        <v>0</v>
      </c>
      <c r="G16">
        <f>MIN(Supply!G6,Supply!G15*(Inputs!B50+(Inputs!B51-Inputs!B50)*(G3-2020)/30))</f>
        <v>0</v>
      </c>
      <c r="H16">
        <f>MIN(Supply!H6,Supply!H15*(Inputs!B50+(Inputs!B51-Inputs!B50)*(H3-2020)/30))</f>
        <v>0</v>
      </c>
      <c r="I16">
        <f>MIN(Supply!I6,Supply!I15*(Inputs!B50+(Inputs!B51-Inputs!B50)*(I3-2020)/30))</f>
        <v>0</v>
      </c>
      <c r="J16">
        <f>MIN(Supply!J6,Supply!J15*(Inputs!B50+(Inputs!B51-Inputs!B50)*(J3-2020)/30))</f>
        <v>0</v>
      </c>
      <c r="K16">
        <f>MIN(Supply!K6,Supply!K15*(Inputs!B50+(Inputs!B51-Inputs!B50)*(K3-2020)/30))</f>
        <v>54.75</v>
      </c>
      <c r="L16">
        <f>MIN(Supply!L6,Supply!L15*(Inputs!B50+(Inputs!B51-Inputs!B50)*(L3-2020)/30))</f>
        <v>102.30997920538003</v>
      </c>
      <c r="M16">
        <f>MIN(Supply!M6,Supply!M15*(Inputs!B50+(Inputs!B51-Inputs!B50)*(M3-2020)/30))</f>
        <v>105.24891719389576</v>
      </c>
      <c r="N16">
        <f>MIN(Supply!N6,Supply!N15*(Inputs!B50+(Inputs!B51-Inputs!B50)*(N3-2020)/30))</f>
        <v>108.11071055705828</v>
      </c>
      <c r="O16">
        <f>MIN(Supply!O6,Supply!O15*(Inputs!B50+(Inputs!B51-Inputs!B50)*(O3-2020)/30))</f>
        <v>110.89147733456646</v>
      </c>
      <c r="P16">
        <f>MIN(Supply!P6,Supply!P15*(Inputs!B50+(Inputs!B51-Inputs!B50)*(P3-2020)/30))</f>
        <v>113.58742324360644</v>
      </c>
      <c r="Q16">
        <f>MIN(Supply!Q6,Supply!Q15*(Inputs!B50+(Inputs!B51-Inputs!B50)*(Q3-2020)/30))</f>
        <v>116.19484054433114</v>
      </c>
      <c r="R16">
        <f>MIN(Supply!R6,Supply!R15*(Inputs!B50+(Inputs!B51-Inputs!B50)*(R3-2020)/30))</f>
        <v>118.71010691686813</v>
      </c>
      <c r="S16">
        <f>MIN(Supply!S6,Supply!S15*(Inputs!B50+(Inputs!B51-Inputs!B50)*(S3-2020)/30))</f>
        <v>121.12968434975342</v>
      </c>
      <c r="T16">
        <f>MIN(Supply!T6,Supply!T15*(Inputs!B50+(Inputs!B51-Inputs!B50)*(T3-2020)/30))</f>
        <v>123.45011803969098</v>
      </c>
      <c r="U16">
        <f>MIN(Supply!U6,Supply!U15*(Inputs!B50+(Inputs!B51-Inputs!B50)*(U3-2020)/30))</f>
        <v>125.66803530253647</v>
      </c>
      <c r="V16">
        <f>MIN(Supply!V6,Supply!V15*(Inputs!B50+(Inputs!B51-Inputs!B50)*(V3-2020)/30))</f>
        <v>127.78014449540748</v>
      </c>
      <c r="W16">
        <f>MIN(Supply!W6,Supply!W15*(Inputs!B50+(Inputs!B51-Inputs!B50)*(W3-2020)/30))</f>
        <v>129.78323394982039</v>
      </c>
      <c r="X16">
        <f>MIN(Supply!X6,Supply!X15*(Inputs!B50+(Inputs!B51-Inputs!B50)*(X3-2020)/30))</f>
        <v>131.6741709157568</v>
      </c>
      <c r="Y16">
        <f>MIN(Supply!Y6,Supply!Y15*(Inputs!B50+(Inputs!B51-Inputs!B50)*(Y3-2020)/30))</f>
        <v>133.44990051656214</v>
      </c>
      <c r="Z16">
        <f>MIN(Supply!Z6,Supply!Z15*(Inputs!B50+(Inputs!B51-Inputs!B50)*(Z3-2020)/30))</f>
        <v>135.10744471458119</v>
      </c>
      <c r="AA16">
        <f>MIN(Supply!AA6,Supply!AA15*(Inputs!B50+(Inputs!B51-Inputs!B50)*(AA3-2020)/30))</f>
        <v>136.64390128743344</v>
      </c>
      <c r="AB16">
        <f>MIN(Supply!AB6,Supply!AB15*(Inputs!B50+(Inputs!B51-Inputs!B50)*(AB3-2020)/30))</f>
        <v>138.05644281483521</v>
      </c>
      <c r="AC16">
        <f>MIN(Supply!AC6,Supply!AC15*(Inputs!B50+(Inputs!B51-Inputs!B50)*(AC3-2020)/30))</f>
        <v>139.34231567587412</v>
      </c>
      <c r="AD16">
        <f>MIN(Supply!AD6,Supply!AD15*(Inputs!B50+(Inputs!B51-Inputs!B50)*(AD3-2020)/30))</f>
        <v>140.49883905664223</v>
      </c>
      <c r="AE16">
        <f>MIN(Supply!AE6,Supply!AE15*(Inputs!B50+(Inputs!B51-Inputs!B50)*(AE3-2020)/30))</f>
        <v>141.52340396813662</v>
      </c>
      <c r="AF16">
        <f>MIN(Supply!AF6,Supply!AF15*(Inputs!B50+(Inputs!B51-Inputs!B50)*(AF3-2020)/30))</f>
        <v>142.41347227433496</v>
      </c>
      <c r="AG16">
        <f>MIN(Supply!AG6,Supply!AG15*(Inputs!B50+(Inputs!B51-Inputs!B50)*(AG3-2020)/30))</f>
        <v>143.16657573035462</v>
      </c>
      <c r="AH16">
        <f>MIN(Supply!AH6,Supply!AH15*(Inputs!B50+(Inputs!B51-Inputs!B50)*(AH3-2020)/30))</f>
        <v>143.78031503060768</v>
      </c>
    </row>
    <row r="17" spans="1:34" ht="15" customHeight="1" x14ac:dyDescent="0.2">
      <c r="A17" t="s">
        <v>271</v>
      </c>
      <c r="B17" t="s">
        <v>148</v>
      </c>
      <c r="C17" t="s">
        <v>272</v>
      </c>
      <c r="D17" s="87">
        <f>MIN(Supply!D14,MAX(Supply!D15-Supply!D16,0))</f>
        <v>153.03391253625</v>
      </c>
      <c r="E17" s="86">
        <f>MIN(Supply!E14,MAX(Supply!E15-Supply!E16,0))</f>
        <v>162.00485613003602</v>
      </c>
      <c r="F17" s="86">
        <f>MIN(Supply!F14,MAX(Supply!F15-Supply!F16,0))</f>
        <v>171.13364915508436</v>
      </c>
      <c r="G17" s="86">
        <f>MIN(Supply!G14,MAX(Supply!G15-Supply!G16,0))</f>
        <v>180.41723191991747</v>
      </c>
      <c r="H17" s="86">
        <f>MIN(Supply!H14,MAX(Supply!H15-Supply!H16,0))</f>
        <v>189.85257766835471</v>
      </c>
      <c r="I17" s="86">
        <f>MIN(Supply!I14,MAX(Supply!I15-Supply!I16,0))</f>
        <v>199.4366922952284</v>
      </c>
      <c r="J17" s="86">
        <f>MIN(Supply!J14,MAX(Supply!J15-Supply!J16,0))</f>
        <v>209.16661406427696</v>
      </c>
      <c r="K17" s="86">
        <f>MIN(Supply!K14,MAX(Supply!K15-Supply!K16,0))</f>
        <v>164.28941332819855</v>
      </c>
      <c r="L17" s="86">
        <f>MIN(Supply!L14,MAX(Supply!L15-Supply!L16,0))</f>
        <v>126.74221304547079</v>
      </c>
      <c r="M17" s="86">
        <f>MIN(Supply!M14,MAX(Supply!M15-Supply!M16,0))</f>
        <v>133.9531673376855</v>
      </c>
      <c r="N17" s="86">
        <f>MIN(Supply!N14,MAX(Supply!N15-Supply!N16,0))</f>
        <v>141.37554457461465</v>
      </c>
      <c r="O17" s="86">
        <f>MIN(Supply!O14,MAX(Supply!O15-Supply!O16,0))</f>
        <v>149.01042266832371</v>
      </c>
      <c r="P17" s="86">
        <f>MIN(Supply!P14,MAX(Supply!P15-Supply!P16,0))</f>
        <v>156.85882257450413</v>
      </c>
      <c r="Q17" s="86">
        <f>MIN(Supply!Q14,MAX(Supply!Q15-Supply!Q16,0))</f>
        <v>164.92170915969581</v>
      </c>
      <c r="R17" s="86">
        <f>MIN(Supply!R14,MAX(Supply!R15-Supply!R16,0))</f>
        <v>173.19999205903707</v>
      </c>
      <c r="S17" s="86">
        <f>MIN(Supply!S14,MAX(Supply!S15-Supply!S16,0))</f>
        <v>181.69452652463013</v>
      </c>
      <c r="T17" s="86">
        <f>MIN(Supply!T14,MAX(Supply!T15-Supply!T16,0))</f>
        <v>190.40611426460814</v>
      </c>
      <c r="U17" s="86">
        <f>MIN(Supply!U14,MAX(Supply!U15-Supply!U16,0))</f>
        <v>199.33550427298889</v>
      </c>
      <c r="V17" s="86">
        <f>MIN(Supply!V14,MAX(Supply!V15-Supply!V16,0))</f>
        <v>208.48339365040167</v>
      </c>
      <c r="W17" s="86">
        <f>MIN(Supply!W14,MAX(Supply!W15-Supply!W16,0))</f>
        <v>217.85042841576995</v>
      </c>
      <c r="X17" s="86">
        <f>MIN(Supply!X14,MAX(Supply!X15-Supply!X16,0))</f>
        <v>227.43720430903443</v>
      </c>
      <c r="Y17" s="86">
        <f>MIN(Supply!Y14,MAX(Supply!Y15-Supply!Y16,0))</f>
        <v>237.24426758499936</v>
      </c>
      <c r="Z17" s="86">
        <f>MIN(Supply!Z14,MAX(Supply!Z15-Supply!Z16,0))</f>
        <v>247.27211579838442</v>
      </c>
      <c r="AA17" s="86">
        <f>MIN(Supply!AA14,MAX(Supply!AA15-Supply!AA16,0))</f>
        <v>257.521198580163</v>
      </c>
      <c r="AB17" s="86">
        <f>MIN(Supply!AB14,MAX(Supply!AB15-Supply!AB16,0))</f>
        <v>267.99191840526839</v>
      </c>
      <c r="AC17" s="86">
        <f>MIN(Supply!AC14,MAX(Supply!AC15-Supply!AC16,0))</f>
        <v>278.68463135174818</v>
      </c>
      <c r="AD17" s="86">
        <f>MIN(Supply!AD14,MAX(Supply!AD15-Supply!AD16,0))</f>
        <v>289.59964785144626</v>
      </c>
      <c r="AE17" s="86">
        <f>MIN(Supply!AE14,MAX(Supply!AE15-Supply!AE16,0))</f>
        <v>300.7372334322904</v>
      </c>
      <c r="AF17" s="86">
        <f>MIN(Supply!AF14,MAX(Supply!AF15-Supply!AF16,0))</f>
        <v>312.09760945226594</v>
      </c>
      <c r="AG17" s="86">
        <f>MIN(Supply!AG14,MAX(Supply!AG15-Supply!AG16,0))</f>
        <v>323.68095382514963</v>
      </c>
      <c r="AH17" s="86">
        <f>MIN(Supply!AH14,MAX(Supply!AH15-Supply!AH16,0))</f>
        <v>335.4874017380846</v>
      </c>
    </row>
    <row r="18" spans="1:34" ht="15" customHeight="1" x14ac:dyDescent="0.2">
      <c r="A18" t="s">
        <v>273</v>
      </c>
      <c r="B18" t="s">
        <v>148</v>
      </c>
      <c r="C18" t="s">
        <v>274</v>
      </c>
      <c r="D18">
        <f>MIN(Supply!D12*Inputs!B52,Supply!D8)</f>
        <v>1020.226083575</v>
      </c>
      <c r="E18">
        <f>MIN(Supply!E12*Inputs!B52,Supply!E8)</f>
        <v>1034.0735497661874</v>
      </c>
      <c r="F18">
        <f>MIN(Supply!F12*Inputs!B52,Supply!F8)</f>
        <v>1047.7570356433737</v>
      </c>
      <c r="G18">
        <f>MIN(Supply!G12*Inputs!B52,Supply!G8)</f>
        <v>1061.277834823044</v>
      </c>
      <c r="H18">
        <f>MIN(Supply!H12*Inputs!B52,Supply!H8)</f>
        <v>1074.6372320850267</v>
      </c>
      <c r="I18">
        <f>MIN(Supply!I12*Inputs!B52,Supply!I8)</f>
        <v>1087.8365034285187</v>
      </c>
      <c r="J18">
        <f>MIN(Supply!J12*Inputs!B52,Supply!J8)</f>
        <v>1100.8769161277735</v>
      </c>
      <c r="K18">
        <f>MIN(Supply!K12*Inputs!B52,Supply!K8)</f>
        <v>1113.7597287874503</v>
      </c>
      <c r="L18">
        <f>MIN(Supply!L12*Inputs!B52,Supply!L8)</f>
        <v>1126.4861913976272</v>
      </c>
      <c r="M18">
        <f>MIN(Supply!M12*Inputs!B52,Supply!M8)</f>
        <v>1139.0575453884824</v>
      </c>
      <c r="N18">
        <f>MIN(Supply!N12*Inputs!B52,Supply!N8)</f>
        <v>1151.4750236846444</v>
      </c>
      <c r="O18">
        <f>MIN(Supply!O12*Inputs!B52,Supply!O8)</f>
        <v>1163.7398507592097</v>
      </c>
      <c r="P18">
        <f>MIN(Supply!P12*Inputs!B52,Supply!P8)</f>
        <v>1175.8532426874374</v>
      </c>
      <c r="Q18">
        <f>MIN(Supply!Q12*Inputs!B52,Supply!Q8)</f>
        <v>1187.8164072001141</v>
      </c>
      <c r="R18">
        <f>MIN(Supply!R12*Inputs!B52,Supply!R8)</f>
        <v>1199.6305437365968</v>
      </c>
      <c r="S18">
        <f>MIN(Supply!S12*Inputs!B52,Supply!S8)</f>
        <v>1211.2968434975342</v>
      </c>
      <c r="T18">
        <f>MIN(Supply!T12*Inputs!B52,Supply!T8)</f>
        <v>1222.8164894972692</v>
      </c>
      <c r="U18">
        <f>MIN(Supply!U12*Inputs!B52,Supply!U8)</f>
        <v>1234.1906566159191</v>
      </c>
      <c r="V18">
        <f>MIN(Supply!V12*Inputs!B52,Supply!V8)</f>
        <v>1245.4205116511453</v>
      </c>
      <c r="W18">
        <f>MIN(Supply!W12*Inputs!B52,Supply!W8)</f>
        <v>1256.507213369604</v>
      </c>
      <c r="X18">
        <f>MIN(Supply!X12*Inputs!B52,Supply!X8)</f>
        <v>1267.4519125580866</v>
      </c>
      <c r="Y18">
        <f>MIN(Supply!Y12*Inputs!B52,Supply!Y8)</f>
        <v>1278.2557520743501</v>
      </c>
      <c r="Z18">
        <f>MIN(Supply!Z12*Inputs!B52,Supply!Z8)</f>
        <v>1288.9198668976371</v>
      </c>
      <c r="AA18">
        <f>MIN(Supply!AA12*Inputs!B52,Supply!AA8)</f>
        <v>1299.4453841788893</v>
      </c>
      <c r="AB18">
        <f>MIN(Supply!AB12*Inputs!B52,Supply!AB8)</f>
        <v>1309.8334232906568</v>
      </c>
      <c r="AC18">
        <f>MIN(Supply!AC12*Inputs!B52,Supply!AC8)</f>
        <v>1320.0850958767021</v>
      </c>
      <c r="AD18">
        <f>MIN(Supply!AD12*Inputs!B52,Supply!AD8)</f>
        <v>1330.2015059013047</v>
      </c>
      <c r="AE18">
        <f>MIN(Supply!AE12*Inputs!B52,Supply!AE8)</f>
        <v>1340.1837496982639</v>
      </c>
      <c r="AF18">
        <f>MIN(Supply!AF12*Inputs!B52,Supply!AF8)</f>
        <v>1350.0329160196065</v>
      </c>
      <c r="AG18">
        <f>MIN(Supply!AG12*Inputs!B52,Supply!AG8)</f>
        <v>1359.750086083993</v>
      </c>
      <c r="AH18">
        <f>MIN(Supply!AH12*Inputs!B52,Supply!AH8)</f>
        <v>1369.3363336248351</v>
      </c>
    </row>
    <row r="19" spans="1:34" ht="15" customHeight="1" x14ac:dyDescent="0.2">
      <c r="A19" t="s">
        <v>275</v>
      </c>
      <c r="B19" t="s">
        <v>148</v>
      </c>
      <c r="C19" t="s">
        <v>276</v>
      </c>
      <c r="D19">
        <f>MIN(MAX(Supply!D12-D18,0)*Inputs!B53,MAX(Supply!D9,0))</f>
        <v>0</v>
      </c>
      <c r="E19">
        <f>MIN(MAX(Supply!E12-E18,0)*Inputs!B53,MAX(Supply!E9,0))</f>
        <v>0</v>
      </c>
      <c r="F19">
        <f>MIN(MAX(Supply!F12-F18,0)*Inputs!B53,MAX(Supply!F9,0))</f>
        <v>0</v>
      </c>
      <c r="G19">
        <f>MIN(MAX(Supply!G12-G18,0)*Inputs!B53,MAX(Supply!G9,0))</f>
        <v>0</v>
      </c>
      <c r="H19">
        <f>MIN(MAX(Supply!H12-H18,0)*Inputs!B53,MAX(Supply!H9,0))</f>
        <v>0</v>
      </c>
      <c r="I19">
        <f>MIN(MAX(Supply!I12-I18,0)*Inputs!B53,MAX(Supply!I9,0))</f>
        <v>0</v>
      </c>
      <c r="J19">
        <f>MIN(MAX(Supply!J12-J18,0)*Inputs!B53,MAX(Supply!J9,0))</f>
        <v>0</v>
      </c>
      <c r="K19">
        <f>MIN(MAX(Supply!K12-K18,0)*Inputs!B53,MAX(Supply!K9,0))</f>
        <v>0</v>
      </c>
      <c r="L19">
        <f>MIN(MAX(Supply!L12-L18,0)*Inputs!B53,MAX(Supply!L9,0))</f>
        <v>0</v>
      </c>
      <c r="M19">
        <f>MIN(MAX(Supply!M12-M18,0)*Inputs!B53,MAX(Supply!M9,0))</f>
        <v>0</v>
      </c>
      <c r="N19">
        <f>MIN(MAX(Supply!N12-N18,0)*Inputs!B53,MAX(Supply!N9,0))</f>
        <v>0</v>
      </c>
      <c r="O19">
        <f>MIN(MAX(Supply!O12-O18,0)*Inputs!B53,MAX(Supply!O9,0))</f>
        <v>0</v>
      </c>
      <c r="P19">
        <f>MIN(MAX(Supply!P12-P18,0)*Inputs!B53,MAX(Supply!P9,0))</f>
        <v>0</v>
      </c>
      <c r="Q19">
        <f>MIN(MAX(Supply!Q12-Q18,0)*Inputs!B53,MAX(Supply!Q9,0))</f>
        <v>0</v>
      </c>
      <c r="R19">
        <f>MIN(MAX(Supply!R12-R18,0)*Inputs!B53,MAX(Supply!R9,0))</f>
        <v>0</v>
      </c>
      <c r="S19">
        <f>MIN(MAX(Supply!S12-S18,0)*Inputs!B53,MAX(Supply!S9,0))</f>
        <v>0</v>
      </c>
      <c r="T19">
        <f>MIN(MAX(Supply!T12-T18,0)*Inputs!B53,MAX(Supply!T9,0))</f>
        <v>0</v>
      </c>
      <c r="U19">
        <f>MIN(MAX(Supply!U12-U18,0)*Inputs!B53,MAX(Supply!U9,0))</f>
        <v>0</v>
      </c>
      <c r="V19">
        <f>MIN(MAX(Supply!V12-V18,0)*Inputs!B53,MAX(Supply!V9,0))</f>
        <v>0</v>
      </c>
      <c r="W19">
        <f>MIN(MAX(Supply!W12-W18,0)*Inputs!B53,MAX(Supply!W9,0))</f>
        <v>0</v>
      </c>
      <c r="X19">
        <f>MIN(MAX(Supply!X12-X18,0)*Inputs!B53,MAX(Supply!X9,0))</f>
        <v>0</v>
      </c>
      <c r="Y19">
        <f>MIN(MAX(Supply!Y12-Y18,0)*Inputs!B53,MAX(Supply!Y9,0))</f>
        <v>0</v>
      </c>
      <c r="Z19">
        <f>MIN(MAX(Supply!Z12-Z18,0)*Inputs!B53,MAX(Supply!Z9,0))</f>
        <v>0</v>
      </c>
      <c r="AA19">
        <f>MIN(MAX(Supply!AA12-AA18,0)*Inputs!B53,MAX(Supply!AA9,0))</f>
        <v>0</v>
      </c>
      <c r="AB19">
        <f>MIN(MAX(Supply!AB12-AB18,0)*Inputs!B53,MAX(Supply!AB9,0))</f>
        <v>0</v>
      </c>
      <c r="AC19">
        <f>MIN(MAX(Supply!AC12-AC18,0)*Inputs!B53,MAX(Supply!AC9,0))</f>
        <v>0</v>
      </c>
      <c r="AD19">
        <f>MIN(MAX(Supply!AD12-AD18,0)*Inputs!B53,MAX(Supply!AD9,0))</f>
        <v>0</v>
      </c>
      <c r="AE19">
        <f>MIN(MAX(Supply!AE12-AE18,0)*Inputs!B53,MAX(Supply!AE9,0))</f>
        <v>0</v>
      </c>
      <c r="AF19">
        <f>MIN(MAX(Supply!AF12-AF18,0)*Inputs!B53,MAX(Supply!AF9,0))</f>
        <v>0</v>
      </c>
      <c r="AG19">
        <f>MIN(MAX(Supply!AG12-AG18,0)*Inputs!B53,MAX(Supply!AG9,0))</f>
        <v>0</v>
      </c>
      <c r="AH19">
        <f>MIN(MAX(Supply!AH12-AH18,0)*Inputs!B53,MAX(Supply!AH9,0))</f>
        <v>0</v>
      </c>
    </row>
    <row r="20" spans="1:34" x14ac:dyDescent="0.2">
      <c r="A20" t="s">
        <v>277</v>
      </c>
      <c r="B20" t="s">
        <v>148</v>
      </c>
      <c r="C20" t="s">
        <v>278</v>
      </c>
      <c r="D20">
        <f>MAX(Supply!D12-D18-D19,0)</f>
        <v>0</v>
      </c>
      <c r="E20">
        <f>MAX(Supply!E12-E18-E19,0)</f>
        <v>0</v>
      </c>
      <c r="F20">
        <f>MAX(Supply!F12-F18-F19,0)</f>
        <v>0</v>
      </c>
      <c r="G20">
        <f>MAX(Supply!G12-G18-G19,0)</f>
        <v>0</v>
      </c>
      <c r="H20">
        <f>MAX(Supply!H12-H18-H19,0)</f>
        <v>0</v>
      </c>
      <c r="I20">
        <f>MAX(Supply!I12-I18-I19,0)</f>
        <v>0</v>
      </c>
      <c r="J20">
        <f>MAX(Supply!J12-J18-J19,0)</f>
        <v>0</v>
      </c>
      <c r="K20">
        <f>MAX(Supply!K12-K18-K19,0)</f>
        <v>0</v>
      </c>
      <c r="L20">
        <f>MAX(Supply!L12-L18-L19,0)</f>
        <v>0</v>
      </c>
      <c r="M20">
        <f>MAX(Supply!M12-M18-M19,0)</f>
        <v>0</v>
      </c>
      <c r="N20">
        <f>MAX(Supply!N12-N18-N19,0)</f>
        <v>0</v>
      </c>
      <c r="O20">
        <f>MAX(Supply!O12-O18-O19,0)</f>
        <v>0</v>
      </c>
      <c r="P20">
        <f>MAX(Supply!P12-P18-P19,0)</f>
        <v>0</v>
      </c>
      <c r="Q20">
        <f>MAX(Supply!Q12-Q18-Q19,0)</f>
        <v>0</v>
      </c>
      <c r="R20">
        <f>MAX(Supply!R12-R18-R19,0)</f>
        <v>0</v>
      </c>
      <c r="S20">
        <f>MAX(Supply!S12-S18-S19,0)</f>
        <v>0</v>
      </c>
      <c r="T20">
        <f>MAX(Supply!T12-T18-T19,0)</f>
        <v>0</v>
      </c>
      <c r="U20">
        <f>MAX(Supply!U12-U18-U19,0)</f>
        <v>0</v>
      </c>
      <c r="V20">
        <f>MAX(Supply!V12-V18-V19,0)</f>
        <v>0</v>
      </c>
      <c r="W20">
        <f>MAX(Supply!W12-W18-W19,0)</f>
        <v>0</v>
      </c>
      <c r="X20">
        <f>MAX(Supply!X12-X18-X19,0)</f>
        <v>0</v>
      </c>
      <c r="Y20">
        <f>MAX(Supply!Y12-Y18-Y19,0)</f>
        <v>0</v>
      </c>
      <c r="Z20">
        <f>MAX(Supply!Z12-Z18-Z19,0)</f>
        <v>0</v>
      </c>
      <c r="AA20">
        <f>MAX(Supply!AA12-AA18-AA19,0)</f>
        <v>0</v>
      </c>
      <c r="AB20">
        <f>MAX(Supply!AB12-AB18-AB19,0)</f>
        <v>0</v>
      </c>
      <c r="AC20">
        <f>MAX(Supply!AC12-AC18-AC19,0)</f>
        <v>0</v>
      </c>
      <c r="AD20">
        <f>MAX(Supply!AD12-AD18-AD19,0)</f>
        <v>0</v>
      </c>
      <c r="AE20">
        <f>MAX(Supply!AE12-AE18-AE19,0)</f>
        <v>0</v>
      </c>
      <c r="AF20">
        <f>MAX(Supply!AF12-AF18-AF19,0)</f>
        <v>0</v>
      </c>
      <c r="AG20">
        <f>MAX(Supply!AG12-AG18-AG19,0)</f>
        <v>0</v>
      </c>
      <c r="AH20">
        <f>MAX(Supply!AH12-AH18-AH19,0)</f>
        <v>0</v>
      </c>
    </row>
    <row r="21" spans="1:34" ht="15" customHeight="1" x14ac:dyDescent="0.2">
      <c r="A21" t="s">
        <v>279</v>
      </c>
      <c r="B21" t="s">
        <v>148</v>
      </c>
      <c r="C21" t="s">
        <v>280</v>
      </c>
      <c r="D21">
        <f>MIN(Supply!D13*Inputs!B54,MAX(Supply!D8-D18,0))</f>
        <v>248.33370415619999</v>
      </c>
      <c r="E21">
        <f>MIN(Supply!E13*Inputs!B54,MAX(Supply!E8-E18,0))</f>
        <v>257.45178182457846</v>
      </c>
      <c r="F21">
        <f>MIN(Supply!F13*Inputs!B54,MAX(Supply!F8-F18,0))</f>
        <v>266.81502777975317</v>
      </c>
      <c r="G21">
        <f>MIN(Supply!G13*Inputs!B54,MAX(Supply!G8-G18,0))</f>
        <v>276.42926772400915</v>
      </c>
      <c r="H21">
        <f>MIN(Supply!H13*Inputs!B54,MAX(Supply!H8-H18,0))</f>
        <v>286.30045684007086</v>
      </c>
      <c r="I21">
        <f>MIN(Supply!I13*Inputs!B54,MAX(Supply!I8-I18,0))</f>
        <v>296.4346825506272</v>
      </c>
      <c r="J21">
        <f>MIN(Supply!J13*Inputs!B54,MAX(Supply!J8-J18,0))</f>
        <v>306.83816733499867</v>
      </c>
      <c r="K21">
        <f>MIN(Supply!K13*Inputs!B54,MAX(Supply!K8-K18,0))</f>
        <v>317.51727160410275</v>
      </c>
      <c r="L21">
        <f>MIN(Supply!L13*Inputs!B54,MAX(Supply!L8-L18,0))</f>
        <v>328.47849663490183</v>
      </c>
      <c r="M21">
        <f>MIN(Supply!M13*Inputs!B54,MAX(Supply!M8-M18,0))</f>
        <v>339.7284875655364</v>
      </c>
      <c r="N21">
        <f>MIN(Supply!N13*Inputs!B54,MAX(Supply!N8-N18,0))</f>
        <v>351.27403645237484</v>
      </c>
      <c r="O21">
        <f>MIN(Supply!O13*Inputs!B54,MAX(Supply!O8-O18,0))</f>
        <v>363.12208539023288</v>
      </c>
      <c r="P21">
        <f>MIN(Supply!P13*Inputs!B54,MAX(Supply!P8-P18,0))</f>
        <v>375.27972969704109</v>
      </c>
      <c r="Q21">
        <f>MIN(Supply!Q13*Inputs!B54,MAX(Supply!Q8-Q18,0))</f>
        <v>387.75422116426523</v>
      </c>
      <c r="R21">
        <f>MIN(Supply!R13*Inputs!B54,MAX(Supply!R8-R18,0))</f>
        <v>400.5529713744105</v>
      </c>
      <c r="S21">
        <f>MIN(Supply!S13*Inputs!B54,MAX(Supply!S8-S18,0))</f>
        <v>413.68355508696465</v>
      </c>
      <c r="T21">
        <f>MIN(Supply!T13*Inputs!B54,MAX(Supply!T8-T18,0))</f>
        <v>427.15371369416476</v>
      </c>
      <c r="U21">
        <f>MIN(Supply!U13*Inputs!B54,MAX(Supply!U8-U18,0))</f>
        <v>440.97135874800051</v>
      </c>
      <c r="V21">
        <f>MIN(Supply!V13*Inputs!B54,MAX(Supply!V8-V18,0))</f>
        <v>455.14457555989009</v>
      </c>
      <c r="W21">
        <f>MIN(Supply!W13*Inputs!B54,MAX(Supply!W8-W18,0))</f>
        <v>469.6816268745003</v>
      </c>
      <c r="X21">
        <f>MIN(Supply!X13*Inputs!B54,MAX(Supply!X8-X18,0))</f>
        <v>484.59095661920605</v>
      </c>
      <c r="Y21">
        <f>MIN(Supply!Y13*Inputs!B54,MAX(Supply!Y8-Y18,0))</f>
        <v>499.88119373071595</v>
      </c>
      <c r="Z21">
        <f>MIN(Supply!Z13*Inputs!B54,MAX(Supply!Z8-Z18,0))</f>
        <v>515.56115606042499</v>
      </c>
      <c r="AA21">
        <f>MIN(Supply!AA13*Inputs!B54,MAX(Supply!AA8-AA18,0))</f>
        <v>531.63985436007738</v>
      </c>
      <c r="AB21">
        <f>MIN(Supply!AB13*Inputs!B54,MAX(Supply!AB8-AB18,0))</f>
        <v>548.12649634936429</v>
      </c>
      <c r="AC21">
        <f>MIN(Supply!AC13*Inputs!B54,MAX(Supply!AC8-AC18,0))</f>
        <v>565.0304908671061</v>
      </c>
      <c r="AD21">
        <f>MIN(Supply!AD13*Inputs!B54,MAX(Supply!AD8-AD18,0))</f>
        <v>582.36145210770565</v>
      </c>
      <c r="AE21">
        <f>MIN(Supply!AE13*Inputs!B54,MAX(Supply!AE8-AE18,0))</f>
        <v>600.12920394458843</v>
      </c>
      <c r="AF21">
        <f>MIN(Supply!AF13*Inputs!B54,MAX(Supply!AF8-AF18,0))</f>
        <v>618.34378434238681</v>
      </c>
      <c r="AG21">
        <f>MIN(Supply!AG13*Inputs!B54,MAX(Supply!AG8-AG18,0))</f>
        <v>637.01544985965108</v>
      </c>
      <c r="AH21">
        <f>MIN(Supply!AH13*Inputs!B54,MAX(Supply!AH8-AH18,0))</f>
        <v>656.15468024391419</v>
      </c>
    </row>
    <row r="22" spans="1:34" x14ac:dyDescent="0.2">
      <c r="A22" t="s">
        <v>281</v>
      </c>
      <c r="B22" t="s">
        <v>148</v>
      </c>
      <c r="C22" t="s">
        <v>282</v>
      </c>
      <c r="D22">
        <f>MIN(MAX(Supply!D13-D21,0)*Inputs!B55,MAX(Supply!D9-D19,0))</f>
        <v>0</v>
      </c>
      <c r="E22">
        <f>MIN(MAX(Supply!E13-E21,0)*Inputs!B55,MAX(Supply!E9-E19,0))</f>
        <v>0</v>
      </c>
      <c r="F22">
        <f>MIN(MAX(Supply!F13-F21,0)*Inputs!B55,MAX(Supply!F9-F19,0))</f>
        <v>0</v>
      </c>
      <c r="G22">
        <f>MIN(MAX(Supply!G13-G21,0)*Inputs!B55,MAX(Supply!G9-G19,0))</f>
        <v>0</v>
      </c>
      <c r="H22">
        <f>MIN(MAX(Supply!H13-H21,0)*Inputs!B55,MAX(Supply!H9-H19,0))</f>
        <v>0</v>
      </c>
      <c r="I22">
        <f>MIN(MAX(Supply!I13-I21,0)*Inputs!B55,MAX(Supply!I9-I19,0))</f>
        <v>0</v>
      </c>
      <c r="J22">
        <f>MIN(MAX(Supply!J13-J21,0)*Inputs!B55,MAX(Supply!J9-J19,0))</f>
        <v>0</v>
      </c>
      <c r="K22">
        <f>MIN(MAX(Supply!K13-K21,0)*Inputs!B55,MAX(Supply!K9-K19,0))</f>
        <v>0</v>
      </c>
      <c r="L22">
        <f>MIN(MAX(Supply!L13-L21,0)*Inputs!B55,MAX(Supply!L9-L19,0))</f>
        <v>0</v>
      </c>
      <c r="M22">
        <f>MIN(MAX(Supply!M13-M21,0)*Inputs!B55,MAX(Supply!M9-M19,0))</f>
        <v>0</v>
      </c>
      <c r="N22">
        <f>MIN(MAX(Supply!N13-N21,0)*Inputs!B55,MAX(Supply!N9-N19,0))</f>
        <v>0</v>
      </c>
      <c r="O22">
        <f>MIN(MAX(Supply!O13-O21,0)*Inputs!B55,MAX(Supply!O9-O19,0))</f>
        <v>0</v>
      </c>
      <c r="P22">
        <f>MIN(MAX(Supply!P13-P21,0)*Inputs!B55,MAX(Supply!P9-P19,0))</f>
        <v>0</v>
      </c>
      <c r="Q22">
        <f>MIN(MAX(Supply!Q13-Q21,0)*Inputs!B55,MAX(Supply!Q9-Q19,0))</f>
        <v>0</v>
      </c>
      <c r="R22">
        <f>MIN(MAX(Supply!R13-R21,0)*Inputs!B55,MAX(Supply!R9-R19,0))</f>
        <v>0</v>
      </c>
      <c r="S22">
        <f>MIN(MAX(Supply!S13-S21,0)*Inputs!B55,MAX(Supply!S9-S19,0))</f>
        <v>0</v>
      </c>
      <c r="T22">
        <f>MIN(MAX(Supply!T13-T21,0)*Inputs!B55,MAX(Supply!T9-T19,0))</f>
        <v>0</v>
      </c>
      <c r="U22">
        <f>MIN(MAX(Supply!U13-U21,0)*Inputs!B55,MAX(Supply!U9-U19,0))</f>
        <v>0</v>
      </c>
      <c r="V22">
        <f>MIN(MAX(Supply!V13-V21,0)*Inputs!B55,MAX(Supply!V9-V19,0))</f>
        <v>0</v>
      </c>
      <c r="W22">
        <f>MIN(MAX(Supply!W13-W21,0)*Inputs!B55,MAX(Supply!W9-W19,0))</f>
        <v>0</v>
      </c>
      <c r="X22">
        <f>MIN(MAX(Supply!X13-X21,0)*Inputs!B55,MAX(Supply!X9-X19,0))</f>
        <v>0</v>
      </c>
      <c r="Y22">
        <f>MIN(MAX(Supply!Y13-Y21,0)*Inputs!B55,MAX(Supply!Y9-Y19,0))</f>
        <v>0</v>
      </c>
      <c r="Z22">
        <f>MIN(MAX(Supply!Z13-Z21,0)*Inputs!B55,MAX(Supply!Z9-Z19,0))</f>
        <v>0</v>
      </c>
      <c r="AA22">
        <f>MIN(MAX(Supply!AA13-AA21,0)*Inputs!B55,MAX(Supply!AA9-AA19,0))</f>
        <v>0</v>
      </c>
      <c r="AB22">
        <f>MIN(MAX(Supply!AB13-AB21,0)*Inputs!B55,MAX(Supply!AB9-AB19,0))</f>
        <v>0</v>
      </c>
      <c r="AC22">
        <f>MIN(MAX(Supply!AC13-AC21,0)*Inputs!B55,MAX(Supply!AC9-AC19,0))</f>
        <v>0</v>
      </c>
      <c r="AD22">
        <f>MIN(MAX(Supply!AD13-AD21,0)*Inputs!B55,MAX(Supply!AD9-AD19,0))</f>
        <v>0</v>
      </c>
      <c r="AE22">
        <f>MIN(MAX(Supply!AE13-AE21,0)*Inputs!B55,MAX(Supply!AE9-AE19,0))</f>
        <v>0</v>
      </c>
      <c r="AF22">
        <f>MIN(MAX(Supply!AF13-AF21,0)*Inputs!B55,MAX(Supply!AF9-AF19,0))</f>
        <v>0</v>
      </c>
      <c r="AG22">
        <f>MIN(MAX(Supply!AG13-AG21,0)*Inputs!B55,MAX(Supply!AG9-AG19,0))</f>
        <v>0</v>
      </c>
      <c r="AH22">
        <f>MIN(MAX(Supply!AH13-AH21,0)*Inputs!B55,MAX(Supply!AH9-AH19,0))</f>
        <v>0</v>
      </c>
    </row>
    <row r="23" spans="1:34" x14ac:dyDescent="0.2">
      <c r="A23" t="s">
        <v>283</v>
      </c>
      <c r="B23" t="s">
        <v>148</v>
      </c>
      <c r="C23" t="s">
        <v>284</v>
      </c>
      <c r="D23">
        <f>MAX(Supply!D13-D21-D22,0)</f>
        <v>0</v>
      </c>
      <c r="E23">
        <f>MAX(Supply!E13-E21-E22,0)</f>
        <v>0</v>
      </c>
      <c r="F23">
        <f>MAX(Supply!F13-F21-F22,0)</f>
        <v>0</v>
      </c>
      <c r="G23">
        <f>MAX(Supply!G13-G21-G22,0)</f>
        <v>0</v>
      </c>
      <c r="H23">
        <f>MAX(Supply!H13-H21-H22,0)</f>
        <v>0</v>
      </c>
      <c r="I23">
        <f>MAX(Supply!I13-I21-I22,0)</f>
        <v>0</v>
      </c>
      <c r="J23">
        <f>MAX(Supply!J13-J21-J22,0)</f>
        <v>0</v>
      </c>
      <c r="K23">
        <f>MAX(Supply!K13-K21-K22,0)</f>
        <v>0</v>
      </c>
      <c r="L23">
        <f>MAX(Supply!L13-L21-L22,0)</f>
        <v>0</v>
      </c>
      <c r="M23">
        <f>MAX(Supply!M13-M21-M22,0)</f>
        <v>0</v>
      </c>
      <c r="N23">
        <f>MAX(Supply!N13-N21-N22,0)</f>
        <v>0</v>
      </c>
      <c r="O23">
        <f>MAX(Supply!O13-O21-O22,0)</f>
        <v>0</v>
      </c>
      <c r="P23">
        <f>MAX(Supply!P13-P21-P22,0)</f>
        <v>0</v>
      </c>
      <c r="Q23">
        <f>MAX(Supply!Q13-Q21-Q22,0)</f>
        <v>0</v>
      </c>
      <c r="R23">
        <f>MAX(Supply!R13-R21-R22,0)</f>
        <v>0</v>
      </c>
      <c r="S23">
        <f>MAX(Supply!S13-S21-S22,0)</f>
        <v>0</v>
      </c>
      <c r="T23">
        <f>MAX(Supply!T13-T21-T22,0)</f>
        <v>0</v>
      </c>
      <c r="U23">
        <f>MAX(Supply!U13-U21-U22,0)</f>
        <v>0</v>
      </c>
      <c r="V23">
        <f>MAX(Supply!V13-V21-V22,0)</f>
        <v>0</v>
      </c>
      <c r="W23">
        <f>MAX(Supply!W13-W21-W22,0)</f>
        <v>0</v>
      </c>
      <c r="X23">
        <f>MAX(Supply!X13-X21-X22,0)</f>
        <v>0</v>
      </c>
      <c r="Y23">
        <f>MAX(Supply!Y13-Y21-Y22,0)</f>
        <v>0</v>
      </c>
      <c r="Z23">
        <f>MAX(Supply!Z13-Z21-Z22,0)</f>
        <v>0</v>
      </c>
      <c r="AA23">
        <f>MAX(Supply!AA13-AA21-AA22,0)</f>
        <v>0</v>
      </c>
      <c r="AB23">
        <f>MAX(Supply!AB13-AB21-AB22,0)</f>
        <v>0</v>
      </c>
      <c r="AC23">
        <f>MAX(Supply!AC13-AC21-AC22,0)</f>
        <v>0</v>
      </c>
      <c r="AD23">
        <f>MAX(Supply!AD13-AD21-AD22,0)</f>
        <v>0</v>
      </c>
      <c r="AE23">
        <f>MAX(Supply!AE13-AE21-AE22,0)</f>
        <v>0</v>
      </c>
      <c r="AF23">
        <f>MAX(Supply!AF13-AF21-AF22,0)</f>
        <v>0</v>
      </c>
      <c r="AG23">
        <f>MAX(Supply!AG13-AG21-AG22,0)</f>
        <v>0</v>
      </c>
      <c r="AH23">
        <f>MAX(Supply!AH13-AH21-AH22,0)</f>
        <v>0</v>
      </c>
    </row>
    <row r="24" spans="1:34" x14ac:dyDescent="0.2">
      <c r="A24" t="s">
        <v>285</v>
      </c>
      <c r="B24" t="s">
        <v>148</v>
      </c>
      <c r="C24" t="s">
        <v>286</v>
      </c>
      <c r="D24" s="87">
        <f>MIN(MAX(Supply!D14-Supply!D17,0)*Inputs!B56,MAX(Supply!D8-D18-D21,0))</f>
        <v>2231.4402122688002</v>
      </c>
      <c r="E24" s="88">
        <f>MIN(MAX(Supply!E14-Supply!E17,0)*Inputs!B56,MAX(Supply!E8-E18-E21,0))</f>
        <v>2155.9746684092343</v>
      </c>
      <c r="F24" s="88">
        <f>MIN(MAX(Supply!F14-Supply!F17,0)*Inputs!B56,MAX(Supply!F8-F18-F21,0))</f>
        <v>2081.2154365768729</v>
      </c>
      <c r="G24" s="88">
        <f>MIN(MAX(Supply!G14-Supply!G17,0)*Inputs!B56,MAX(Supply!G8-G18-G21,0))</f>
        <v>2007.1435849529471</v>
      </c>
      <c r="H24" s="88">
        <f>MIN(MAX(Supply!H14-Supply!H17,0)*Inputs!B56,MAX(Supply!H8-H18-H21,0))</f>
        <v>1933.7402382624025</v>
      </c>
      <c r="I24" s="88">
        <f>MIN(MAX(Supply!I14-Supply!I17,0)*Inputs!B56,MAX(Supply!I8-I18-I21,0))</f>
        <v>1860.9865723005414</v>
      </c>
      <c r="J24" s="88">
        <f>MIN(MAX(Supply!J14-Supply!J17,0)*Inputs!B56,MAX(Supply!J8-J18-J21,0))</f>
        <v>1788.8638084427203</v>
      </c>
      <c r="K24" s="88">
        <f>MIN(MAX(Supply!K14-Supply!K17,0)*Inputs!B56,MAX(Supply!K8-K18-K21,0))</f>
        <v>1717.3532081353569</v>
      </c>
      <c r="L24" s="88">
        <f>MIN(MAX(Supply!L14-Supply!L17,0)*Inputs!B56,MAX(Supply!L8-L18-L21,0))</f>
        <v>1646.4360673664773</v>
      </c>
      <c r="M24" s="88">
        <f>MIN(MAX(Supply!M14-Supply!M17,0)*Inputs!B56,MAX(Supply!M8-M18-M21,0))</f>
        <v>1576.0937111140022</v>
      </c>
      <c r="N24" s="88">
        <f>MIN(MAX(Supply!N14-Supply!N17,0)*Inputs!B56,MAX(Supply!N8-N18-N21,0))</f>
        <v>1506.3074877699819</v>
      </c>
      <c r="O24" s="88">
        <f>MIN(MAX(Supply!O14-Supply!O17,0)*Inputs!B56,MAX(Supply!O8-O18-O21,0))</f>
        <v>1437.0587635389534</v>
      </c>
      <c r="P24" s="88">
        <f>MIN(MAX(Supply!P14-Supply!P17,0)*Inputs!B56,MAX(Supply!P8-P18-P21,0))</f>
        <v>1368.3289168085914</v>
      </c>
      <c r="Q24" s="88">
        <f>MIN(MAX(Supply!Q14-Supply!Q17,0)*Inputs!B56,MAX(Supply!Q8-Q18-Q21,0))</f>
        <v>1300.0993324907945</v>
      </c>
      <c r="R24" s="88">
        <f>MIN(MAX(Supply!R14-Supply!R17,0)*Inputs!B56,MAX(Supply!R8-R18-R21,0))</f>
        <v>1232.3513963313394</v>
      </c>
      <c r="S24" s="88">
        <f>MIN(MAX(Supply!S14-Supply!S17,0)*Inputs!B56,MAX(Supply!S8-S18-S21,0))</f>
        <v>1165.066489186212</v>
      </c>
      <c r="T24" s="88">
        <f>MIN(MAX(Supply!T14-Supply!T17,0)*Inputs!B56,MAX(Supply!T8-T18-T21,0))</f>
        <v>1098.2259812627162</v>
      </c>
      <c r="U24" s="88">
        <f>MIN(MAX(Supply!U14-Supply!U17,0)*Inputs!B56,MAX(Supply!U8-U18-U21,0))</f>
        <v>1031.8112263234184</v>
      </c>
      <c r="V24" s="88">
        <f>MIN(MAX(Supply!V14-Supply!V17,0)*Inputs!B56,MAX(Supply!V8-V18-V21,0))</f>
        <v>965.80355585099244</v>
      </c>
      <c r="W24" s="88">
        <f>MIN(MAX(Supply!W14-Supply!W17,0)*Inputs!B56,MAX(Supply!W8-W18-W21,0))</f>
        <v>900.18427317199325</v>
      </c>
      <c r="X24" s="88">
        <f>MIN(MAX(Supply!X14-Supply!X17,0)*Inputs!B56,MAX(Supply!X8-X18-X21,0))</f>
        <v>834.93464753756371</v>
      </c>
      <c r="Y24" s="88">
        <f>MIN(MAX(Supply!Y14-Supply!Y17,0)*Inputs!B56,MAX(Supply!Y8-Y18-Y21,0))</f>
        <v>770.0359081590675</v>
      </c>
      <c r="Z24" s="88">
        <f>MIN(MAX(Supply!Z14-Supply!Z17,0)*Inputs!B56,MAX(Supply!Z8-Z18-Z21,0))</f>
        <v>705.46923819660924</v>
      </c>
      <c r="AA24" s="88">
        <f>MIN(MAX(Supply!AA14-Supply!AA17,0)*Inputs!B56,MAX(Supply!AA8-AA18-AA21,0))</f>
        <v>641.21576869838464</v>
      </c>
      <c r="AB24" s="88">
        <f>MIN(MAX(Supply!AB14-Supply!AB17,0)*Inputs!B56,MAX(Supply!AB8-AB18-AB21,0))</f>
        <v>577.25657248876973</v>
      </c>
      <c r="AC24" s="88">
        <f>MIN(MAX(Supply!AC14-Supply!AC17,0)*Inputs!B56,MAX(Supply!AC8-AC18-AC21,0))</f>
        <v>513.57265800305106</v>
      </c>
      <c r="AD24" s="88">
        <f>MIN(MAX(Supply!AD14-Supply!AD17,0)*Inputs!B56,MAX(Supply!AD8-AD18-AD21,0))</f>
        <v>450.14496306664569</v>
      </c>
      <c r="AE24" s="88">
        <f>MIN(MAX(Supply!AE14-Supply!AE17,0)*Inputs!B56,MAX(Supply!AE8-AE18-AE21,0))</f>
        <v>386.95434861666899</v>
      </c>
      <c r="AF24" s="88">
        <f>MIN(MAX(Supply!AF14-Supply!AF17,0)*Inputs!B56,MAX(Supply!AF8-AF18-AF21,0))</f>
        <v>323.98159236363506</v>
      </c>
      <c r="AG24" s="88">
        <f>MIN(MAX(Supply!AG14-Supply!AG17,0)*Inputs!B56,MAX(Supply!AG8-AG18-AG21,0))</f>
        <v>261.20738239109994</v>
      </c>
      <c r="AH24" s="88">
        <f>MIN(MAX(Supply!AH14-Supply!AH17,0)*Inputs!B56,MAX(Supply!AH8-AH18-AH21,0))</f>
        <v>198.61231069097391</v>
      </c>
    </row>
    <row r="25" spans="1:34" x14ac:dyDescent="0.2">
      <c r="A25" t="s">
        <v>287</v>
      </c>
      <c r="B25" t="s">
        <v>148</v>
      </c>
      <c r="C25" t="s">
        <v>288</v>
      </c>
      <c r="D25" s="87">
        <f>MIN(MAX(MAX(D14-D17,0)-D24,0)*Inputs!B57,MAX(D9-D19-D22,0))</f>
        <v>912</v>
      </c>
      <c r="E25">
        <f>MIN(MAX(MAX(Supply!E14-Supply!E17,0)-E24,0)*Inputs!B57,MAX(Supply!E9-E19-E22,0))</f>
        <v>893.76</v>
      </c>
      <c r="F25">
        <f>MIN(MAX(MAX(Supply!F14-Supply!F17,0)-F24,0)*Inputs!B57,MAX(Supply!F9-F19-F22,0))</f>
        <v>875.88479999999993</v>
      </c>
      <c r="G25">
        <f>MIN(MAX(MAX(Supply!G14-Supply!G17,0)-G24,0)*Inputs!B57,MAX(Supply!G9-G19-G22,0))</f>
        <v>858.36710399999993</v>
      </c>
      <c r="H25">
        <f>MIN(MAX(MAX(Supply!H14-Supply!H17,0)-H24,0)*Inputs!B57,MAX(Supply!H9-H19-H22,0))</f>
        <v>841.1997619199999</v>
      </c>
      <c r="I25">
        <f>MIN(MAX(MAX(Supply!I14-Supply!I17,0)-I24,0)*Inputs!B57,MAX(Supply!I9-I19-I22,0))</f>
        <v>824.37576668159988</v>
      </c>
      <c r="J25">
        <f>MIN(MAX(MAX(Supply!J14-Supply!J17,0)-J24,0)*Inputs!B57,MAX(Supply!J9-J19-J22,0))</f>
        <v>807.88825134796787</v>
      </c>
      <c r="K25">
        <f>MIN(MAX(MAX(Supply!K14-Supply!K17,0)-K24,0)*Inputs!B57,MAX(Supply!K9-K19-K22,0))</f>
        <v>791.73048632100847</v>
      </c>
      <c r="L25">
        <f>MIN(MAX(MAX(Supply!L14-Supply!L17,0)-L24,0)*Inputs!B57,MAX(Supply!L9-L19-L22,0))</f>
        <v>775.89587659458823</v>
      </c>
      <c r="M25">
        <f>MIN(MAX(MAX(Supply!M14-Supply!M17,0)-M24,0)*Inputs!B57,MAX(Supply!M9-M19-M22,0))</f>
        <v>760.3779590626965</v>
      </c>
      <c r="N25">
        <f>MIN(MAX(MAX(Supply!N14-Supply!N17,0)-N24,0)*Inputs!B57,MAX(Supply!N9-N19-N22,0))</f>
        <v>745.17039988144245</v>
      </c>
      <c r="O25">
        <f>MIN(MAX(MAX(Supply!O14-Supply!O17,0)-O24,0)*Inputs!B57,MAX(Supply!O9-O19-O22,0))</f>
        <v>730.2669918838136</v>
      </c>
      <c r="P25">
        <f>MIN(MAX(MAX(Supply!P14-Supply!P17,0)-P24,0)*Inputs!B57,MAX(Supply!P9-P19-P22,0))</f>
        <v>715.66165204613731</v>
      </c>
      <c r="Q25">
        <f>MIN(MAX(MAX(Supply!Q14-Supply!Q17,0)-Q24,0)*Inputs!B57,MAX(Supply!Q9-Q19-Q22,0))</f>
        <v>701.34841900521451</v>
      </c>
      <c r="R25">
        <f>MIN(MAX(MAX(Supply!R14-Supply!R17,0)-R24,0)*Inputs!B57,MAX(Supply!R9-R19-R22,0))</f>
        <v>687.32145062511029</v>
      </c>
      <c r="S25">
        <f>MIN(MAX(MAX(Supply!S14-Supply!S17,0)-S24,0)*Inputs!B57,MAX(Supply!S9-S19-S22,0))</f>
        <v>673.575021612608</v>
      </c>
      <c r="T25">
        <f>MIN(MAX(MAX(Supply!T14-Supply!T17,0)-T24,0)*Inputs!B57,MAX(Supply!T9-T19-T22,0))</f>
        <v>660.10352118035587</v>
      </c>
      <c r="U25">
        <f>MIN(MAX(MAX(Supply!U14-Supply!U17,0)-U24,0)*Inputs!B57,MAX(Supply!U9-U19-U22,0))</f>
        <v>646.90145075674877</v>
      </c>
      <c r="V25">
        <f>MIN(MAX(MAX(Supply!V14-Supply!V17,0)-V24,0)*Inputs!B57,MAX(Supply!V9-V19-V22,0))</f>
        <v>633.96342174161373</v>
      </c>
      <c r="W25">
        <f>MIN(MAX(MAX(Supply!W14-Supply!W17,0)-W24,0)*Inputs!B57,MAX(Supply!W9-W19-W22,0))</f>
        <v>621.28415330678149</v>
      </c>
      <c r="X25">
        <f>MIN(MAX(MAX(Supply!X14-Supply!X17,0)-X24,0)*Inputs!B57,MAX(Supply!X9-X19-X22,0))</f>
        <v>608.85847024064583</v>
      </c>
      <c r="Y25">
        <f>MIN(MAX(MAX(Supply!Y14-Supply!Y17,0)-Y24,0)*Inputs!B57,MAX(Supply!Y9-Y19-Y22,0))</f>
        <v>596.68130083583287</v>
      </c>
      <c r="Z25">
        <f>MIN(MAX(MAX(Supply!Z14-Supply!Z17,0)-Z24,0)*Inputs!B57,MAX(Supply!Z9-Z19-Z22,0))</f>
        <v>584.74767481911624</v>
      </c>
      <c r="AA25">
        <f>MIN(MAX(MAX(Supply!AA14-Supply!AA17,0)-AA24,0)*Inputs!B57,MAX(Supply!AA9-AA19-AA22,0))</f>
        <v>573.05272132273387</v>
      </c>
      <c r="AB25">
        <f>MIN(MAX(MAX(Supply!AB14-Supply!AB17,0)-AB24,0)*Inputs!B57,MAX(Supply!AB9-AB19-AB22,0))</f>
        <v>561.59166689627921</v>
      </c>
      <c r="AC25">
        <f>MIN(MAX(MAX(Supply!AC14-Supply!AC17,0)-AC24,0)*Inputs!B57,MAX(Supply!AC9-AC19-AC22,0))</f>
        <v>550.35983355835356</v>
      </c>
      <c r="AD25">
        <f>MIN(MAX(MAX(Supply!AD14-Supply!AD17,0)-AD24,0)*Inputs!B57,MAX(Supply!AD9-AD19-AD22,0))</f>
        <v>539.35263688718646</v>
      </c>
      <c r="AE25">
        <f>MIN(MAX(MAX(Supply!AE14-Supply!AE17,0)-AE24,0)*Inputs!B57,MAX(Supply!AE9-AE19-AE22,0))</f>
        <v>528.56558414944266</v>
      </c>
      <c r="AF25">
        <f>MIN(MAX(MAX(Supply!AF14-Supply!AF17,0)-AF24,0)*Inputs!B57,MAX(Supply!AF9-AF19-AF22,0))</f>
        <v>517.99427246645382</v>
      </c>
      <c r="AG25">
        <f>MIN(MAX(MAX(Supply!AG14-Supply!AG17,0)-AG24,0)*Inputs!B57,MAX(Supply!AG9-AG19-AG22,0))</f>
        <v>507.63438701712477</v>
      </c>
      <c r="AH25">
        <f>MIN(MAX(MAX(Supply!AH14-Supply!AH17,0)-AH24,0)*Inputs!B57,MAX(Supply!AH9-AH19-AH22,0))</f>
        <v>497.48169927678225</v>
      </c>
    </row>
    <row r="26" spans="1:34" x14ac:dyDescent="0.2">
      <c r="A26" t="s">
        <v>289</v>
      </c>
      <c r="B26" t="s">
        <v>148</v>
      </c>
      <c r="C26" t="s">
        <v>290</v>
      </c>
      <c r="D26" s="20">
        <f>MAX(MAX(D14-D17,0)-D24-D25,0)</f>
        <v>372.65221190744933</v>
      </c>
      <c r="E26">
        <f>MAX(MAX(Supply!E14-Supply!E17,0)-E24-E25,0)</f>
        <v>495.97479365852973</v>
      </c>
      <c r="F26">
        <f>MAX(MAX(Supply!F14-Supply!F17,0)-F24-F25,0)</f>
        <v>617.21618216182821</v>
      </c>
      <c r="G26">
        <f>MAX(MAX(Supply!G14-Supply!G17,0)-G24-G25,0)</f>
        <v>736.41683100540558</v>
      </c>
      <c r="H26">
        <f>MAX(MAX(Supply!H14-Supply!H17,0)-H24-H25,0)</f>
        <v>853.61683426390164</v>
      </c>
      <c r="I26">
        <f>MAX(MAX(Supply!I14-Supply!I17,0)-I24-I25,0)</f>
        <v>968.85593644577477</v>
      </c>
      <c r="J26">
        <f>MAX(MAX(Supply!J14-Supply!J17,0)-J24-J25,0)</f>
        <v>1082.1735423845535</v>
      </c>
      <c r="K26">
        <f>MAX(MAX(Supply!K14-Supply!K17,0)-K24-K25,0)</f>
        <v>1248.3587270771336</v>
      </c>
      <c r="L26">
        <f>MAX(MAX(Supply!L14-Supply!L17,0)-L24-L25,0)</f>
        <v>1405.510224677545</v>
      </c>
      <c r="M26">
        <f>MAX(MAX(Supply!M14-Supply!M17,0)-M24-M25,0)</f>
        <v>1516.2354594054923</v>
      </c>
      <c r="N26">
        <f>MAX(MAX(Supply!N14-Supply!N17,0)-N24-N25,0)</f>
        <v>1625.1164718854316</v>
      </c>
      <c r="O26">
        <f>MAX(MAX(Supply!O14-Supply!O17,0)-O24-O25,0)</f>
        <v>1732.1872332379053</v>
      </c>
      <c r="P26">
        <f>MAX(MAX(Supply!P14-Supply!P17,0)-P24-P25,0)</f>
        <v>1837.4815209279461</v>
      </c>
      <c r="Q26">
        <f>MAX(MAX(Supply!Q14-Supply!Q17,0)-Q24-Q25,0)</f>
        <v>1941.0329272148811</v>
      </c>
      <c r="R26">
        <f>MAX(MAX(Supply!R14-Supply!R17,0)-R24-R25,0)</f>
        <v>2042.8748675818988</v>
      </c>
      <c r="S26">
        <f>MAX(MAX(Supply!S14-Supply!S17,0)-S24-S25,0)</f>
        <v>2143.0405891482842</v>
      </c>
      <c r="T26">
        <f>MAX(MAX(Supply!T14-Supply!T17,0)-T24-T25,0)</f>
        <v>2241.5631790671905</v>
      </c>
      <c r="U26">
        <f>MAX(MAX(Supply!U14-Supply!U17,0)-U24-U25,0)</f>
        <v>2338.4755729119079</v>
      </c>
      <c r="V26">
        <f>MAX(MAX(Supply!V14-Supply!V17,0)-V24-V25,0)</f>
        <v>2433.8105630534751</v>
      </c>
      <c r="W26">
        <f>MAX(MAX(Supply!W14-Supply!W17,0)-W24-W25,0)</f>
        <v>2527.6008070325825</v>
      </c>
      <c r="X26">
        <f>MAX(MAX(Supply!X14-Supply!X17,0)-X24-X25,0)</f>
        <v>2619.8788359286418</v>
      </c>
      <c r="Y26">
        <f>MAX(MAX(Supply!Y14-Supply!Y17,0)-Y24-Y25,0)</f>
        <v>2710.6770627289607</v>
      </c>
      <c r="Z26">
        <f>MAX(MAX(Supply!Z14-Supply!Z17,0)-Z24-Z25,0)</f>
        <v>2800.0277907009258</v>
      </c>
      <c r="AA26">
        <f>MAX(MAX(Supply!AA14-Supply!AA17,0)-AA24-AA25,0)</f>
        <v>2887.9632217701133</v>
      </c>
      <c r="AB26">
        <f>MAX(MAX(Supply!AB14-Supply!AB17,0)-AB24-AB25,0)</f>
        <v>2974.5154649072865</v>
      </c>
      <c r="AC26">
        <f>MAX(MAX(Supply!AC14-Supply!AC17,0)-AC24-AC25,0)</f>
        <v>3059.7165445271776</v>
      </c>
      <c r="AD26">
        <f>MAX(MAX(Supply!AD14-Supply!AD17,0)-AD24-AD25,0)</f>
        <v>3143.5984089020421</v>
      </c>
      <c r="AE26">
        <f>MAX(MAX(Supply!AE14-Supply!AE17,0)-AE24-AE25,0)</f>
        <v>3226.1929385929202</v>
      </c>
      <c r="AF26">
        <f>MAX(MAX(Supply!AF14-Supply!AF17,0)-AF24-AF25,0)</f>
        <v>3307.5319549015962</v>
      </c>
      <c r="AG26">
        <f>MAX(MAX(Supply!AG14-Supply!AG17,0)-AG24-AG25,0)</f>
        <v>3387.6472283462158</v>
      </c>
      <c r="AH26">
        <f>MAX(MAX(Supply!AH14-Supply!AH17,0)-AH24-AH25,0)</f>
        <v>3466.5704871635917</v>
      </c>
    </row>
    <row r="27" spans="1:34" x14ac:dyDescent="0.2">
      <c r="A27" t="s">
        <v>291</v>
      </c>
      <c r="B27" t="s">
        <v>148</v>
      </c>
      <c r="C27" t="s">
        <v>292</v>
      </c>
      <c r="D27" s="85">
        <f>MAX(Supply!D6-Supply!D16,0)</f>
        <v>0</v>
      </c>
      <c r="E27">
        <f>MAX(Supply!E6-Supply!E16,0)</f>
        <v>0</v>
      </c>
      <c r="F27">
        <f>MAX(Supply!F6-Supply!F16,0)</f>
        <v>0</v>
      </c>
      <c r="G27">
        <f>MAX(Supply!G6-Supply!G16,0)</f>
        <v>0</v>
      </c>
      <c r="H27">
        <f>MAX(Supply!H6-Supply!H16,0)</f>
        <v>0</v>
      </c>
      <c r="I27">
        <f>MAX(Supply!I6-Supply!I16,0)</f>
        <v>0</v>
      </c>
      <c r="J27">
        <f>MAX(Supply!J6-Supply!J16,0)</f>
        <v>0</v>
      </c>
      <c r="K27">
        <f>MAX(Supply!K6-Supply!K16,0)</f>
        <v>0</v>
      </c>
      <c r="L27">
        <f>MAX(Supply!L6-Supply!L16,0)</f>
        <v>7.1900207946199686</v>
      </c>
      <c r="M27">
        <f>MAX(Supply!M6-Supply!M16,0)</f>
        <v>59.001082806104236</v>
      </c>
      <c r="N27">
        <f>MAX(Supply!N6-Supply!N16,0)</f>
        <v>110.88928944294172</v>
      </c>
      <c r="O27">
        <f>MAX(Supply!O6-Supply!O16,0)</f>
        <v>162.85852266543355</v>
      </c>
      <c r="P27">
        <f>MAX(Supply!P6-Supply!P16,0)</f>
        <v>214.91257675639355</v>
      </c>
      <c r="Q27">
        <f>MAX(Supply!Q6-Supply!Q16,0)</f>
        <v>267.05515945566884</v>
      </c>
      <c r="R27">
        <f>MAX(Supply!R6-Supply!R16,0)</f>
        <v>319.28989308313186</v>
      </c>
      <c r="S27">
        <f>MAX(Supply!S6-Supply!S16,0)</f>
        <v>371.6203156502466</v>
      </c>
      <c r="T27">
        <f>MAX(Supply!T6-Supply!T16,0)</f>
        <v>424.04988196030899</v>
      </c>
      <c r="U27">
        <f>MAX(Supply!U6-Supply!U16,0)</f>
        <v>421.83196469746355</v>
      </c>
      <c r="V27">
        <f>MAX(Supply!V6-Supply!V16,0)</f>
        <v>419.71985550459249</v>
      </c>
      <c r="W27">
        <f>MAX(Supply!W6-Supply!W16,0)</f>
        <v>417.71676605017961</v>
      </c>
      <c r="X27">
        <f>MAX(Supply!X6-Supply!X16,0)</f>
        <v>415.8258290842432</v>
      </c>
      <c r="Y27">
        <f>MAX(Supply!Y6-Supply!Y16,0)</f>
        <v>414.05009948343786</v>
      </c>
      <c r="Z27">
        <f>MAX(Supply!Z6-Supply!Z16,0)</f>
        <v>412.39255528541878</v>
      </c>
      <c r="AA27">
        <f>MAX(Supply!AA6-Supply!AA16,0)</f>
        <v>410.85609871256656</v>
      </c>
      <c r="AB27">
        <f>MAX(Supply!AB6-Supply!AB16,0)</f>
        <v>409.44355718516476</v>
      </c>
      <c r="AC27">
        <f>MAX(Supply!AC6-Supply!AC16,0)</f>
        <v>408.15768432412585</v>
      </c>
      <c r="AD27">
        <f>MAX(Supply!AD6-Supply!AD16,0)</f>
        <v>407.00116094335777</v>
      </c>
      <c r="AE27">
        <f>MAX(Supply!AE6-Supply!AE16,0)</f>
        <v>405.97659603186338</v>
      </c>
      <c r="AF27">
        <f>MAX(Supply!AF6-Supply!AF16,0)</f>
        <v>405.08652772566506</v>
      </c>
      <c r="AG27">
        <f>MAX(Supply!AG6-Supply!AG16,0)</f>
        <v>404.33342426964538</v>
      </c>
      <c r="AH27">
        <f>MAX(Supply!AH6-Supply!AH16,0)</f>
        <v>403.71968496939235</v>
      </c>
    </row>
    <row r="28" spans="1:34" x14ac:dyDescent="0.2">
      <c r="A28" t="s">
        <v>293</v>
      </c>
      <c r="B28" t="s">
        <v>148</v>
      </c>
      <c r="C28" t="s">
        <v>294</v>
      </c>
      <c r="D28">
        <f t="shared" ref="D28" si="1">D18+D19+D20+D21+D22+D23+D17+D24+D25+D26+D16+D27</f>
        <v>4937.6861244436986</v>
      </c>
      <c r="E28">
        <f t="shared" ref="E28:AH28" si="2">E18+E19+E20+E21+E22+E23+E17+E24+E25+E26+E16+E27</f>
        <v>4999.2396497885657</v>
      </c>
      <c r="F28">
        <f t="shared" si="2"/>
        <v>5060.0221313169122</v>
      </c>
      <c r="G28">
        <f t="shared" si="2"/>
        <v>5120.0518544253237</v>
      </c>
      <c r="H28">
        <f t="shared" si="2"/>
        <v>5179.347101039757</v>
      </c>
      <c r="I28">
        <f t="shared" si="2"/>
        <v>5237.9261537022903</v>
      </c>
      <c r="J28">
        <f t="shared" si="2"/>
        <v>5295.80729970229</v>
      </c>
      <c r="K28">
        <f t="shared" si="2"/>
        <v>5407.7588352532512</v>
      </c>
      <c r="L28">
        <f t="shared" si="2"/>
        <v>5519.0490697166106</v>
      </c>
      <c r="M28">
        <f t="shared" si="2"/>
        <v>5629.6963298738956</v>
      </c>
      <c r="N28">
        <f t="shared" si="2"/>
        <v>5739.71896424849</v>
      </c>
      <c r="O28">
        <f t="shared" si="2"/>
        <v>5849.1353474784391</v>
      </c>
      <c r="P28">
        <f t="shared" si="2"/>
        <v>5957.9638847416572</v>
      </c>
      <c r="Q28">
        <f t="shared" si="2"/>
        <v>6066.2230162349661</v>
      </c>
      <c r="R28">
        <f t="shared" si="2"/>
        <v>6173.9312217083925</v>
      </c>
      <c r="S28">
        <f t="shared" si="2"/>
        <v>6281.1070250562334</v>
      </c>
      <c r="T28">
        <f t="shared" si="2"/>
        <v>6387.7689989663049</v>
      </c>
      <c r="U28">
        <f t="shared" si="2"/>
        <v>6439.1857696289835</v>
      </c>
      <c r="V28">
        <f t="shared" si="2"/>
        <v>6490.1260215075181</v>
      </c>
      <c r="W28">
        <f t="shared" si="2"/>
        <v>6540.6085021712315</v>
      </c>
      <c r="X28">
        <f t="shared" si="2"/>
        <v>6590.6520271931786</v>
      </c>
      <c r="Y28">
        <f t="shared" si="2"/>
        <v>6640.2754851139271</v>
      </c>
      <c r="Z28">
        <f t="shared" si="2"/>
        <v>6689.497842473098</v>
      </c>
      <c r="AA28">
        <f t="shared" si="2"/>
        <v>6738.3381489103613</v>
      </c>
      <c r="AB28">
        <f t="shared" si="2"/>
        <v>6786.8155423376247</v>
      </c>
      <c r="AC28">
        <f t="shared" si="2"/>
        <v>6834.9492541841382</v>
      </c>
      <c r="AD28">
        <f t="shared" si="2"/>
        <v>6882.7586147163311</v>
      </c>
      <c r="AE28">
        <f t="shared" si="2"/>
        <v>6930.263058434175</v>
      </c>
      <c r="AF28">
        <f t="shared" si="2"/>
        <v>6977.4821295459442</v>
      </c>
      <c r="AG28">
        <f t="shared" si="2"/>
        <v>7024.4354875232348</v>
      </c>
      <c r="AH28">
        <f t="shared" si="2"/>
        <v>7071.1429127381816</v>
      </c>
    </row>
    <row r="29" spans="1:34" x14ac:dyDescent="0.2">
      <c r="A29" s="81" t="s">
        <v>295</v>
      </c>
      <c r="B29" s="82" t="s">
        <v>148</v>
      </c>
      <c r="C29" s="83" t="s">
        <v>296</v>
      </c>
      <c r="D29" s="20">
        <f>D20+D23+D26+D27</f>
        <v>372.65221190744933</v>
      </c>
      <c r="E29" s="20">
        <f>Supply!E20+Supply!E23+Supply!E26+Supply!E27</f>
        <v>495.97479365852973</v>
      </c>
      <c r="F29" s="20">
        <f>Supply!F20+Supply!F23+Supply!F26+Supply!F27</f>
        <v>617.21618216182821</v>
      </c>
      <c r="G29" s="20">
        <f>Supply!G20+Supply!G23+Supply!G26+Supply!G27</f>
        <v>736.41683100540558</v>
      </c>
      <c r="H29" s="20">
        <f>Supply!H20+Supply!H23+Supply!H26+Supply!H27</f>
        <v>853.61683426390164</v>
      </c>
      <c r="I29" s="20">
        <f>Supply!I20+Supply!I23+Supply!I26+Supply!I27</f>
        <v>968.85593644577477</v>
      </c>
      <c r="J29" s="20">
        <f>Supply!J20+Supply!J23+Supply!J26+Supply!J27</f>
        <v>1082.1735423845535</v>
      </c>
      <c r="K29" s="20">
        <f>Supply!K20+Supply!K23+Supply!K26+Supply!K27</f>
        <v>1248.3587270771336</v>
      </c>
      <c r="L29" s="20">
        <f>Supply!L20+Supply!L23+Supply!L26+Supply!L27</f>
        <v>1412.7002454721651</v>
      </c>
      <c r="M29" s="20">
        <f>Supply!M20+Supply!M23+Supply!M26+Supply!M27</f>
        <v>1575.2365422115965</v>
      </c>
      <c r="N29" s="20">
        <f>Supply!N20+Supply!N23+Supply!N26+Supply!N27</f>
        <v>1736.0057613283732</v>
      </c>
      <c r="O29" s="20">
        <f>Supply!O20+Supply!O23+Supply!O26+Supply!O27</f>
        <v>1895.0457559033389</v>
      </c>
      <c r="P29" s="20">
        <f>Supply!P20+Supply!P23+Supply!P26+Supply!P27</f>
        <v>2052.3940976843396</v>
      </c>
      <c r="Q29" s="20">
        <f>Supply!Q20+Supply!Q23+Supply!Q26+Supply!Q27</f>
        <v>2208.0880866705497</v>
      </c>
      <c r="R29" s="20">
        <f>Supply!R20+Supply!R23+Supply!R26+Supply!R27</f>
        <v>2362.1647606650308</v>
      </c>
      <c r="S29" s="20">
        <f>Supply!S20+Supply!S23+Supply!S26+Supply!S27</f>
        <v>2514.6609047985307</v>
      </c>
      <c r="T29" s="20">
        <f>Supply!T20+Supply!T23+Supply!T26+Supply!T27</f>
        <v>2665.6130610274995</v>
      </c>
      <c r="U29" s="20">
        <f>Supply!U20+Supply!U23+Supply!U26+Supply!U27</f>
        <v>2760.3075376093716</v>
      </c>
      <c r="V29" s="20">
        <f>Supply!V20+Supply!V23+Supply!V26+Supply!V27</f>
        <v>2853.5304185580676</v>
      </c>
      <c r="W29" s="20">
        <f>Supply!W20+Supply!W23+Supply!W26+Supply!W27</f>
        <v>2945.317573082762</v>
      </c>
      <c r="X29" s="20">
        <f>Supply!X20+Supply!X23+Supply!X26+Supply!X27</f>
        <v>3035.704665012885</v>
      </c>
      <c r="Y29" s="20">
        <f>Supply!Y20+Supply!Y23+Supply!Y26+Supply!Y27</f>
        <v>3124.7271622123985</v>
      </c>
      <c r="Z29" s="20">
        <f>Supply!Z20+Supply!Z23+Supply!Z26+Supply!Z27</f>
        <v>3212.4203459863447</v>
      </c>
      <c r="AA29" s="20">
        <f>Supply!AA20+Supply!AA23+Supply!AA26+Supply!AA27</f>
        <v>3298.8193204826798</v>
      </c>
      <c r="AB29" s="20">
        <f>Supply!AB20+Supply!AB23+Supply!AB26+Supply!AB27</f>
        <v>3383.9590220924511</v>
      </c>
      <c r="AC29" s="20">
        <f>Supply!AC20+Supply!AC23+Supply!AC26+Supply!AC27</f>
        <v>3467.8742288513035</v>
      </c>
      <c r="AD29" s="20">
        <f>Supply!AD20+Supply!AD23+Supply!AD26+Supply!AD27</f>
        <v>3550.5995698453999</v>
      </c>
      <c r="AE29" s="20">
        <f>Supply!AE20+Supply!AE23+Supply!AE26+Supply!AE27</f>
        <v>3632.1695346247834</v>
      </c>
      <c r="AF29" s="20">
        <f>Supply!AF20+Supply!AF23+Supply!AF26+Supply!AF27</f>
        <v>3712.6184826272611</v>
      </c>
      <c r="AG29" s="20">
        <f>Supply!AG20+Supply!AG23+Supply!AG26+Supply!AG27</f>
        <v>3791.9806526158613</v>
      </c>
      <c r="AH29" s="20">
        <f>Supply!AH20+Supply!AH23+Supply!AH26+Supply!AH27</f>
        <v>3870.290172132984</v>
      </c>
    </row>
    <row r="30" spans="1:34" x14ac:dyDescent="0.2">
      <c r="A30" s="13" t="s">
        <v>297</v>
      </c>
      <c r="B30" s="14" t="s">
        <v>148</v>
      </c>
      <c r="C30" s="15" t="s">
        <v>298</v>
      </c>
      <c r="D30" s="20">
        <f>D20+D23+D26</f>
        <v>372.65221190744933</v>
      </c>
      <c r="E30" s="20">
        <f t="shared" ref="E30:L30" si="3">E20+E23+E26</f>
        <v>495.97479365852973</v>
      </c>
      <c r="F30" s="20">
        <f t="shared" si="3"/>
        <v>617.21618216182821</v>
      </c>
      <c r="G30" s="20">
        <f t="shared" si="3"/>
        <v>736.41683100540558</v>
      </c>
      <c r="H30" s="20">
        <f t="shared" si="3"/>
        <v>853.61683426390164</v>
      </c>
      <c r="I30" s="20">
        <f t="shared" si="3"/>
        <v>968.85593644577477</v>
      </c>
      <c r="J30" s="20">
        <f t="shared" si="3"/>
        <v>1082.1735423845535</v>
      </c>
      <c r="K30" s="20">
        <f t="shared" si="3"/>
        <v>1248.3587270771336</v>
      </c>
      <c r="L30" s="20">
        <f t="shared" si="3"/>
        <v>1405.510224677545</v>
      </c>
      <c r="M30" s="20">
        <f>Supply!M20+Supply!M23+Supply!M26</f>
        <v>1516.2354594054923</v>
      </c>
      <c r="N30" s="20">
        <f>Supply!N20+Supply!N23+Supply!N26</f>
        <v>1625.1164718854316</v>
      </c>
      <c r="O30" s="20">
        <f>Supply!O20+Supply!O23+Supply!O26</f>
        <v>1732.1872332379053</v>
      </c>
      <c r="P30" s="20">
        <f>Supply!P20+Supply!P23+Supply!P26</f>
        <v>1837.4815209279461</v>
      </c>
      <c r="Q30" s="20">
        <f>Supply!Q20+Supply!Q23+Supply!Q26</f>
        <v>1941.0329272148811</v>
      </c>
      <c r="R30" s="20">
        <f>Supply!R20+Supply!R23+Supply!R26</f>
        <v>2042.8748675818988</v>
      </c>
      <c r="S30" s="20">
        <f>Supply!S20+Supply!S23+Supply!S26</f>
        <v>2143.0405891482842</v>
      </c>
      <c r="T30" s="20">
        <f>Supply!T20+Supply!T23+Supply!T26</f>
        <v>2241.5631790671905</v>
      </c>
      <c r="U30" s="20">
        <f>Supply!U20+Supply!U23+Supply!U26</f>
        <v>2338.4755729119079</v>
      </c>
      <c r="V30" s="20">
        <f>Supply!V20+Supply!V23+Supply!V26</f>
        <v>2433.8105630534751</v>
      </c>
      <c r="W30" s="20">
        <f>Supply!W20+Supply!W23+Supply!W26</f>
        <v>2527.6008070325825</v>
      </c>
      <c r="X30" s="20">
        <f>Supply!X20+Supply!X23+Supply!X26</f>
        <v>2619.8788359286418</v>
      </c>
      <c r="Y30" s="20">
        <f>Supply!Y20+Supply!Y23+Supply!Y26</f>
        <v>2710.6770627289607</v>
      </c>
      <c r="Z30" s="20">
        <f>Supply!Z20+Supply!Z23+Supply!Z26</f>
        <v>2800.0277907009258</v>
      </c>
      <c r="AA30" s="20">
        <f>Supply!AA20+Supply!AA23+Supply!AA26</f>
        <v>2887.9632217701133</v>
      </c>
      <c r="AB30" s="20">
        <f>Supply!AB20+Supply!AB23+Supply!AB26</f>
        <v>2974.5154649072865</v>
      </c>
      <c r="AC30" s="20">
        <f>Supply!AC20+Supply!AC23+Supply!AC26</f>
        <v>3059.7165445271776</v>
      </c>
      <c r="AD30" s="20">
        <f>Supply!AD20+Supply!AD23+Supply!AD26</f>
        <v>3143.5984089020421</v>
      </c>
      <c r="AE30" s="20">
        <f>Supply!AE20+Supply!AE23+Supply!AE26</f>
        <v>3226.1929385929202</v>
      </c>
      <c r="AF30" s="20">
        <f>Supply!AF20+Supply!AF23+Supply!AF26</f>
        <v>3307.5319549015962</v>
      </c>
      <c r="AG30" s="20">
        <f>Supply!AG20+Supply!AG23+Supply!AG26</f>
        <v>3387.6472283462158</v>
      </c>
      <c r="AH30" s="20">
        <f>Supply!AH20+Supply!AH23+Supply!AH26</f>
        <v>3466.5704871635917</v>
      </c>
    </row>
    <row r="31" spans="1:34" x14ac:dyDescent="0.2">
      <c r="A31" s="23" t="s">
        <v>299</v>
      </c>
      <c r="B31" s="14" t="s">
        <v>148</v>
      </c>
      <c r="C31" s="15" t="s">
        <v>300</v>
      </c>
      <c r="D31" s="27">
        <f>D29-D30</f>
        <v>0</v>
      </c>
      <c r="E31" s="27">
        <f>Supply!E29-Supply!E30</f>
        <v>0</v>
      </c>
      <c r="F31" s="27">
        <f>Supply!F29-Supply!F30</f>
        <v>0</v>
      </c>
      <c r="G31" s="27">
        <f>Supply!G29-Supply!G30</f>
        <v>0</v>
      </c>
      <c r="H31" s="27">
        <f>Supply!H29-Supply!H30</f>
        <v>0</v>
      </c>
      <c r="I31" s="27">
        <f>Supply!I29-Supply!I30</f>
        <v>0</v>
      </c>
      <c r="J31" s="27">
        <f>Supply!J29-Supply!J30</f>
        <v>0</v>
      </c>
      <c r="K31" s="27">
        <f>Supply!K29-Supply!K30</f>
        <v>0</v>
      </c>
      <c r="L31" s="27">
        <f>Supply!L29-Supply!L30</f>
        <v>7.190020794620068</v>
      </c>
      <c r="M31" s="27">
        <f>Supply!M29-Supply!M30</f>
        <v>59.00108280610425</v>
      </c>
      <c r="N31" s="27">
        <f>Supply!N29-Supply!N30</f>
        <v>110.88928944294162</v>
      </c>
      <c r="O31" s="27">
        <f>Supply!O29-Supply!O30</f>
        <v>162.85852266543361</v>
      </c>
      <c r="P31" s="27">
        <f>Supply!P29-Supply!P30</f>
        <v>214.91257675639349</v>
      </c>
      <c r="Q31" s="27">
        <f>Supply!Q29-Supply!Q30</f>
        <v>267.05515945566867</v>
      </c>
      <c r="R31" s="27">
        <f>Supply!R29-Supply!R30</f>
        <v>319.28989308313203</v>
      </c>
      <c r="S31" s="27">
        <f>Supply!S29-Supply!S30</f>
        <v>371.62031565024654</v>
      </c>
      <c r="T31" s="27">
        <f>Supply!T29-Supply!T30</f>
        <v>424.04988196030899</v>
      </c>
      <c r="U31" s="27">
        <f>Supply!U29-Supply!U30</f>
        <v>421.83196469746372</v>
      </c>
      <c r="V31" s="27">
        <f>Supply!V29-Supply!V30</f>
        <v>419.71985550459249</v>
      </c>
      <c r="W31" s="27">
        <f>Supply!W29-Supply!W30</f>
        <v>417.71676605017956</v>
      </c>
      <c r="X31" s="27">
        <f>Supply!X29-Supply!X30</f>
        <v>415.8258290842432</v>
      </c>
      <c r="Y31" s="27">
        <f>Supply!Y29-Supply!Y30</f>
        <v>414.05009948343786</v>
      </c>
      <c r="Z31" s="27">
        <f>Supply!Z29-Supply!Z30</f>
        <v>412.39255528541889</v>
      </c>
      <c r="AA31" s="27">
        <f>Supply!AA29-Supply!AA30</f>
        <v>410.85609871256656</v>
      </c>
      <c r="AB31" s="27">
        <f>Supply!AB29-Supply!AB30</f>
        <v>409.44355718516454</v>
      </c>
      <c r="AC31" s="27">
        <f>Supply!AC29-Supply!AC30</f>
        <v>408.15768432412597</v>
      </c>
      <c r="AD31" s="27">
        <f>Supply!AD29-Supply!AD30</f>
        <v>407.00116094335772</v>
      </c>
      <c r="AE31" s="27">
        <f>Supply!AE29-Supply!AE30</f>
        <v>405.97659603186321</v>
      </c>
      <c r="AF31" s="27">
        <f>Supply!AF29-Supply!AF30</f>
        <v>405.08652772566484</v>
      </c>
      <c r="AG31" s="27">
        <f>Supply!AG29-Supply!AG30</f>
        <v>404.33342426964555</v>
      </c>
      <c r="AH31" s="27">
        <f>Supply!AH29-Supply!AH30</f>
        <v>403.71968496939235</v>
      </c>
    </row>
    <row r="32" spans="1:34" x14ac:dyDescent="0.2">
      <c r="A32" s="13" t="s">
        <v>301</v>
      </c>
      <c r="B32" s="14" t="s">
        <v>302</v>
      </c>
      <c r="C32" s="15" t="s">
        <v>303</v>
      </c>
      <c r="D32" s="28">
        <f>D31*1000000/365</f>
        <v>0</v>
      </c>
      <c r="E32" s="28">
        <f>Supply!E31*1000000/365</f>
        <v>0</v>
      </c>
      <c r="F32" s="28">
        <f>Supply!F31*1000000/365</f>
        <v>0</v>
      </c>
      <c r="G32" s="28">
        <f>Supply!G31*1000000/365</f>
        <v>0</v>
      </c>
      <c r="H32" s="28">
        <f>Supply!H31*1000000/365</f>
        <v>0</v>
      </c>
      <c r="I32" s="28">
        <f>Supply!I31*1000000/365</f>
        <v>0</v>
      </c>
      <c r="J32" s="28">
        <f>Supply!J31*1000000/365</f>
        <v>0</v>
      </c>
      <c r="K32" s="28">
        <f>Supply!K31*1000000/365</f>
        <v>0</v>
      </c>
      <c r="L32" s="28">
        <f>Supply!L31*1000000/365</f>
        <v>19698.687108548133</v>
      </c>
      <c r="M32" s="28">
        <f>Supply!M31*1000000/365</f>
        <v>161646.80220850479</v>
      </c>
      <c r="N32" s="28">
        <f>Supply!N31*1000000/365</f>
        <v>303806.27244641539</v>
      </c>
      <c r="O32" s="28">
        <f>Supply!O31*1000000/365</f>
        <v>446187.73332995514</v>
      </c>
      <c r="P32" s="28">
        <f>Supply!P31*1000000/365</f>
        <v>588801.58015450276</v>
      </c>
      <c r="Q32" s="28">
        <f>Supply!Q31*1000000/365</f>
        <v>731657.97111142101</v>
      </c>
      <c r="R32" s="28">
        <f>Supply!R31*1000000/365</f>
        <v>874766.83036474523</v>
      </c>
      <c r="S32" s="28">
        <f>Supply!S31*1000000/365</f>
        <v>1018137.851096566</v>
      </c>
      <c r="T32" s="28">
        <f>Supply!T31*1000000/365</f>
        <v>1161780.4985213943</v>
      </c>
      <c r="U32" s="28">
        <f>Supply!U31*1000000/365</f>
        <v>1155704.0128697637</v>
      </c>
      <c r="V32" s="28">
        <f>Supply!V31*1000000/365</f>
        <v>1149917.4123413493</v>
      </c>
      <c r="W32" s="28">
        <f>Supply!W31*1000000/365</f>
        <v>1144429.4960278892</v>
      </c>
      <c r="X32" s="28">
        <f>Supply!X31*1000000/365</f>
        <v>1139248.8468061457</v>
      </c>
      <c r="Y32" s="28">
        <f>Supply!Y31*1000000/365</f>
        <v>1134383.8342011995</v>
      </c>
      <c r="Z32" s="28">
        <f>Supply!Z31*1000000/365</f>
        <v>1129842.6172203256</v>
      </c>
      <c r="AA32" s="28">
        <f>Supply!AA31*1000000/365</f>
        <v>1125633.1471577166</v>
      </c>
      <c r="AB32" s="28">
        <f>Supply!AB31*1000000/365</f>
        <v>1121763.1703703138</v>
      </c>
      <c r="AC32" s="28">
        <f>Supply!AC31*1000000/365</f>
        <v>1118240.2310250027</v>
      </c>
      <c r="AD32" s="28">
        <f>Supply!AD31*1000000/365</f>
        <v>1115071.6738174183</v>
      </c>
      <c r="AE32" s="28">
        <f>Supply!AE31*1000000/365</f>
        <v>1112264.646662639</v>
      </c>
      <c r="AF32" s="28">
        <f>Supply!AF31*1000000/365</f>
        <v>1109826.1033579858</v>
      </c>
      <c r="AG32" s="28">
        <f>Supply!AG31*1000000/365</f>
        <v>1107762.8062182071</v>
      </c>
      <c r="AH32" s="28">
        <f>Supply!AH31*1000000/365</f>
        <v>1106081.3286832666</v>
      </c>
    </row>
    <row r="34" spans="1:34" x14ac:dyDescent="0.2">
      <c r="A34" t="s">
        <v>304</v>
      </c>
      <c r="B34" t="s">
        <v>148</v>
      </c>
      <c r="C34" t="s">
        <v>305</v>
      </c>
      <c r="D34">
        <f>Supply!D16+Supply!D17</f>
        <v>153.03391253625</v>
      </c>
      <c r="E34">
        <f>Supply!E16+Supply!E17</f>
        <v>162.00485613003602</v>
      </c>
      <c r="F34">
        <f>Supply!F16+Supply!F17</f>
        <v>171.13364915508436</v>
      </c>
      <c r="G34">
        <f>Supply!G16+Supply!G17</f>
        <v>180.41723191991747</v>
      </c>
      <c r="H34">
        <f>Supply!H16+Supply!H17</f>
        <v>189.85257766835471</v>
      </c>
      <c r="I34">
        <f>Supply!I16+Supply!I17</f>
        <v>199.4366922952284</v>
      </c>
      <c r="J34">
        <f>Supply!J16+Supply!J17</f>
        <v>209.16661406427696</v>
      </c>
      <c r="K34">
        <f>Supply!K16+Supply!K17</f>
        <v>219.03941332819855</v>
      </c>
      <c r="L34">
        <f>Supply!L16+Supply!L17</f>
        <v>229.05219225085082</v>
      </c>
      <c r="M34">
        <f>Supply!M16+Supply!M17</f>
        <v>239.20208453158125</v>
      </c>
      <c r="N34">
        <f>Supply!N16+Supply!N17</f>
        <v>249.48625513167292</v>
      </c>
      <c r="O34">
        <f>Supply!O16+Supply!O17</f>
        <v>259.90190000289016</v>
      </c>
      <c r="P34">
        <f>Supply!P16+Supply!P17</f>
        <v>270.44624581811058</v>
      </c>
      <c r="Q34">
        <f>Supply!Q16+Supply!Q17</f>
        <v>281.11654970402697</v>
      </c>
      <c r="R34">
        <f>Supply!R16+Supply!R17</f>
        <v>291.91009897590521</v>
      </c>
      <c r="S34">
        <f>Supply!S16+Supply!S17</f>
        <v>302.82421087438354</v>
      </c>
      <c r="T34">
        <f>Supply!T16+Supply!T17</f>
        <v>313.85623230429911</v>
      </c>
      <c r="U34">
        <f>Supply!U16+Supply!U17</f>
        <v>325.00353957552534</v>
      </c>
      <c r="V34">
        <f>Supply!V16+Supply!V17</f>
        <v>336.26353814580915</v>
      </c>
      <c r="W34">
        <f>Supply!W16+Supply!W17</f>
        <v>347.63366236559034</v>
      </c>
      <c r="X34">
        <f>Supply!X16+Supply!X17</f>
        <v>359.11137522479123</v>
      </c>
      <c r="Y34">
        <f>Supply!Y16+Supply!Y17</f>
        <v>370.6941681015615</v>
      </c>
      <c r="Z34">
        <f>Supply!Z16+Supply!Z17</f>
        <v>382.37956051296561</v>
      </c>
      <c r="AA34">
        <f>Supply!AA16+Supply!AA17</f>
        <v>394.16509986759644</v>
      </c>
      <c r="AB34">
        <f>Supply!AB16+Supply!AB17</f>
        <v>406.04836122010363</v>
      </c>
      <c r="AC34">
        <f>Supply!AC16+Supply!AC17</f>
        <v>418.02694702762233</v>
      </c>
      <c r="AD34">
        <f>Supply!AD16+Supply!AD17</f>
        <v>430.09848690808849</v>
      </c>
      <c r="AE34">
        <f>Supply!AE16+Supply!AE17</f>
        <v>442.26063740042702</v>
      </c>
      <c r="AF34">
        <f>Supply!AF16+Supply!AF17</f>
        <v>454.51108172660088</v>
      </c>
      <c r="AG34">
        <f>Supply!AG16+Supply!AG17</f>
        <v>466.84752955550425</v>
      </c>
      <c r="AH34">
        <f>Supply!AH16+Supply!AH17</f>
        <v>479.26771676869225</v>
      </c>
    </row>
    <row r="35" spans="1:34" x14ac:dyDescent="0.2">
      <c r="A35" t="s">
        <v>306</v>
      </c>
      <c r="B35" t="s">
        <v>148</v>
      </c>
      <c r="C35" t="s">
        <v>307</v>
      </c>
      <c r="D35">
        <f>Supply!D8+Supply!D9+Supply!D29+Supply!D34</f>
        <v>4937.6861244436986</v>
      </c>
      <c r="E35">
        <f>Supply!E8+Supply!E9+Supply!E29+Supply!E34</f>
        <v>4999.2396497885666</v>
      </c>
      <c r="F35">
        <f>Supply!F8+Supply!F9+Supply!F29+Supply!F34</f>
        <v>5060.0221313169131</v>
      </c>
      <c r="G35">
        <f>Supply!G8+Supply!G9+Supply!G29+Supply!G34</f>
        <v>5120.0518544253237</v>
      </c>
      <c r="H35">
        <f>Supply!H8+Supply!H9+Supply!H29+Supply!H34</f>
        <v>5179.3471010397552</v>
      </c>
      <c r="I35">
        <f>Supply!I8+Supply!I9+Supply!I29+Supply!I34</f>
        <v>5237.9261537022912</v>
      </c>
      <c r="J35">
        <f>Supply!J8+Supply!J9+Supply!J29+Supply!J34</f>
        <v>5295.8072997022909</v>
      </c>
      <c r="K35">
        <f>Supply!K8+Supply!K9+Supply!K29+Supply!K34</f>
        <v>5407.7588352532512</v>
      </c>
      <c r="L35">
        <f>Supply!L8+Supply!L9+Supply!L29+Supply!L34</f>
        <v>5519.0490697166097</v>
      </c>
      <c r="M35">
        <f>Supply!M8+Supply!M9+Supply!M29+Supply!M34</f>
        <v>5629.6963298738947</v>
      </c>
      <c r="N35">
        <f>Supply!N8+Supply!N9+Supply!N29+Supply!N34</f>
        <v>5739.7189642484891</v>
      </c>
      <c r="O35">
        <f>Supply!O8+Supply!O9+Supply!O29+Supply!O34</f>
        <v>5849.1353474784382</v>
      </c>
      <c r="P35">
        <f>Supply!P8+Supply!P9+Supply!P29+Supply!P34</f>
        <v>5957.9638847416572</v>
      </c>
      <c r="Q35">
        <f>Supply!Q8+Supply!Q9+Supply!Q29+Supply!Q34</f>
        <v>6066.2230162349661</v>
      </c>
      <c r="R35">
        <f>Supply!R8+Supply!R9+Supply!R29+Supply!R34</f>
        <v>6173.9312217083925</v>
      </c>
      <c r="S35">
        <f>Supply!S8+Supply!S9+Supply!S29+Supply!S34</f>
        <v>6281.1070250562334</v>
      </c>
      <c r="T35">
        <f>Supply!T8+Supply!T9+Supply!T29+Supply!T34</f>
        <v>6387.7689989663049</v>
      </c>
      <c r="U35">
        <f>Supply!U8+Supply!U9+Supply!U29+Supply!U34</f>
        <v>6439.1857696289844</v>
      </c>
      <c r="V35">
        <f>Supply!V8+Supply!V9+Supply!V29+Supply!V34</f>
        <v>6490.1260215075181</v>
      </c>
      <c r="W35">
        <f>Supply!W8+Supply!W9+Supply!W29+Supply!W34</f>
        <v>6540.6085021712324</v>
      </c>
      <c r="X35">
        <f>Supply!X8+Supply!X9+Supply!X29+Supply!X34</f>
        <v>6590.6520271931786</v>
      </c>
      <c r="Y35">
        <f>Supply!Y8+Supply!Y9+Supply!Y29+Supply!Y34</f>
        <v>6640.2754851139271</v>
      </c>
      <c r="Z35">
        <f>Supply!Z8+Supply!Z9+Supply!Z29+Supply!Z34</f>
        <v>6689.497842473098</v>
      </c>
      <c r="AA35">
        <f>Supply!AA8+Supply!AA9+Supply!AA29+Supply!AA34</f>
        <v>6738.3381489103622</v>
      </c>
      <c r="AB35">
        <f>Supply!AB8+Supply!AB9+Supply!AB29+Supply!AB34</f>
        <v>6786.8155423376238</v>
      </c>
      <c r="AC35">
        <f>Supply!AC8+Supply!AC9+Supply!AC29+Supply!AC34</f>
        <v>6834.9492541841382</v>
      </c>
      <c r="AD35">
        <f>Supply!AD8+Supply!AD9+Supply!AD29+Supply!AD34</f>
        <v>6882.7586147163311</v>
      </c>
      <c r="AE35">
        <f>Supply!AE8+Supply!AE9+Supply!AE29+Supply!AE34</f>
        <v>6930.2630584341741</v>
      </c>
      <c r="AF35">
        <f>Supply!AF8+Supply!AF9+Supply!AF29+Supply!AF34</f>
        <v>6977.4821295459442</v>
      </c>
      <c r="AG35">
        <f>Supply!AG8+Supply!AG9+Supply!AG29+Supply!AG34</f>
        <v>7024.4354875232348</v>
      </c>
      <c r="AH35">
        <f>Supply!AH8+Supply!AH9+Supply!AH29+Supply!AH34</f>
        <v>7071.1429127381816</v>
      </c>
    </row>
    <row r="36" spans="1:34" x14ac:dyDescent="0.2">
      <c r="A36" s="13" t="s">
        <v>308</v>
      </c>
      <c r="B36" s="14" t="s">
        <v>39</v>
      </c>
      <c r="C36" s="15"/>
      <c r="D36" s="29">
        <f>Supply!D8/Supply!D5</f>
        <v>0.70883403922203025</v>
      </c>
      <c r="E36" s="29">
        <f>Supply!E8/Supply!E5</f>
        <v>0.68960486824147471</v>
      </c>
      <c r="F36" s="29">
        <f>Supply!F8/Supply!F5</f>
        <v>0.671101313763665</v>
      </c>
      <c r="G36" s="29">
        <f>Supply!G8/Supply!G5</f>
        <v>0.6532845335558477</v>
      </c>
      <c r="H36" s="29">
        <f>Supply!H8/Supply!H5</f>
        <v>0.63611838768753148</v>
      </c>
      <c r="I36" s="29">
        <f>Supply!I8/Supply!I5</f>
        <v>0.61956920793659198</v>
      </c>
      <c r="J36" s="29">
        <f>Supply!J8/Supply!J5</f>
        <v>0.60360559042342632</v>
      </c>
      <c r="K36" s="29">
        <f>Supply!K8/Supply!K5</f>
        <v>0.58224308894859522</v>
      </c>
      <c r="L36" s="29">
        <f>Supply!L8/Supply!L5</f>
        <v>0.56194476914811264</v>
      </c>
      <c r="M36" s="29">
        <f>Supply!M8/Supply!M5</f>
        <v>0.54263668323588776</v>
      </c>
      <c r="N36" s="29">
        <f>Supply!N8/Supply!N5</f>
        <v>0.52425154727083079</v>
      </c>
      <c r="O36" s="29">
        <f>Supply!O8/Supply!O5</f>
        <v>0.50672800740816182</v>
      </c>
      <c r="P36" s="29">
        <f>Supply!P8/Supply!P5</f>
        <v>0.49001000101222675</v>
      </c>
      <c r="Q36" s="29">
        <f>Supply!Q8/Supply!Q5</f>
        <v>0.47404619862458902</v>
      </c>
      <c r="R36" s="29">
        <f>Supply!R8/Supply!R5</f>
        <v>0.45878951509578919</v>
      </c>
      <c r="S36" s="29">
        <f>Supply!S8/Supply!S5</f>
        <v>0.4441966800821599</v>
      </c>
      <c r="T36" s="29">
        <f>Supply!T8/Supply!T5</f>
        <v>0.43022785966412913</v>
      </c>
      <c r="U36" s="29">
        <f>Supply!U8/Supply!U5</f>
        <v>0.42039061125632193</v>
      </c>
      <c r="V36" s="29">
        <f>Supply!V8/Supply!V5</f>
        <v>0.41083464854549728</v>
      </c>
      <c r="W36" s="29">
        <f>Supply!W8/Supply!W5</f>
        <v>0.40154874161085202</v>
      </c>
      <c r="X36" s="29">
        <f>Supply!X8/Supply!X5</f>
        <v>0.39252224302556543</v>
      </c>
      <c r="Y36" s="29">
        <f>Supply!Y8/Supply!Y5</f>
        <v>0.38374505089082384</v>
      </c>
      <c r="Z36" s="29">
        <f>Supply!Z8/Supply!Z5</f>
        <v>0.37520757465806226</v>
      </c>
      <c r="AA36" s="29">
        <f>Supply!AA8/Supply!AA5</f>
        <v>0.36690070349721771</v>
      </c>
      <c r="AB36" s="29">
        <f>Supply!AB8/Supply!AB5</f>
        <v>0.35881577699252071</v>
      </c>
      <c r="AC36" s="29">
        <f>Supply!AC8/Supply!AC5</f>
        <v>0.35094455796851143</v>
      </c>
      <c r="AD36" s="29">
        <f>Supply!AD8/Supply!AD5</f>
        <v>0.3432792072678309</v>
      </c>
      <c r="AE36" s="29">
        <f>Supply!AE8/Supply!AE5</f>
        <v>0.33581226031921285</v>
      </c>
      <c r="AF36" s="29">
        <f>Supply!AF8/Supply!AF5</f>
        <v>0.32853660534918522</v>
      </c>
      <c r="AG36" s="29">
        <f>Supply!AG8/Supply!AG5</f>
        <v>0.32144546310452188</v>
      </c>
      <c r="AH36" s="29">
        <f>Supply!AH8/Supply!AH5</f>
        <v>0.31453236796461187</v>
      </c>
    </row>
    <row r="37" spans="1:34" x14ac:dyDescent="0.2">
      <c r="A37" s="13" t="s">
        <v>309</v>
      </c>
      <c r="B37" s="14" t="s">
        <v>39</v>
      </c>
      <c r="C37" s="15"/>
      <c r="D37" s="29">
        <f>Supply!D9/Supply!D5</f>
        <v>0.18470189822014046</v>
      </c>
      <c r="E37" s="29">
        <f>Supply!E9/Supply!E5</f>
        <v>0.1787791869585208</v>
      </c>
      <c r="F37" s="29">
        <f>Supply!F9/Supply!F5</f>
        <v>0.17309900574921869</v>
      </c>
      <c r="G37" s="29">
        <f>Supply!G9/Supply!G5</f>
        <v>0.16764812709037369</v>
      </c>
      <c r="H37" s="29">
        <f>Supply!H9/Supply!H5</f>
        <v>0.1624142474929183</v>
      </c>
      <c r="I37" s="29">
        <f>Supply!I9/Supply!I5</f>
        <v>0.157385908562096</v>
      </c>
      <c r="J37" s="29">
        <f>Supply!J9/Supply!J5</f>
        <v>0.15255242602830055</v>
      </c>
      <c r="K37" s="29">
        <f>Supply!K9/Supply!K5</f>
        <v>0.14640639689028051</v>
      </c>
      <c r="L37" s="29">
        <f>Supply!L9/Supply!L5</f>
        <v>0.14058506579547927</v>
      </c>
      <c r="M37" s="29">
        <f>Supply!M9/Supply!M5</f>
        <v>0.13506553719918474</v>
      </c>
      <c r="N37" s="29">
        <f>Supply!N9/Supply!N5</f>
        <v>0.12982698360720327</v>
      </c>
      <c r="O37" s="29">
        <f>Supply!O9/Supply!O5</f>
        <v>0.12485041779698798</v>
      </c>
      <c r="P37" s="29">
        <f>Supply!P9/Supply!P5</f>
        <v>0.12011849448751216</v>
      </c>
      <c r="Q37" s="29">
        <f>Supply!Q9/Supply!Q5</f>
        <v>0.11561533710979691</v>
      </c>
      <c r="R37" s="29">
        <f>Supply!R9/Supply!R5</f>
        <v>0.11132638604855094</v>
      </c>
      <c r="S37" s="29">
        <f>Supply!S9/Supply!S5</f>
        <v>0.10723826531304449</v>
      </c>
      <c r="T37" s="29">
        <f>Supply!T9/Supply!T5</f>
        <v>0.10333866507808541</v>
      </c>
      <c r="U37" s="29">
        <f>Supply!U9/Supply!U5</f>
        <v>0.10046323772920475</v>
      </c>
      <c r="V37" s="29">
        <f>Supply!V9/Supply!V5</f>
        <v>9.768121907659931E-2</v>
      </c>
      <c r="W37" s="29">
        <f>Supply!W9/Supply!W5</f>
        <v>9.4988738907173381E-2</v>
      </c>
      <c r="X37" s="29">
        <f>Supply!X9/Supply!X5</f>
        <v>9.2382129678290112E-2</v>
      </c>
      <c r="Y37" s="29">
        <f>Supply!Y9/Supply!Y5</f>
        <v>8.9857913602148648E-2</v>
      </c>
      <c r="Z37" s="29">
        <f>Supply!Z9/Supply!Z5</f>
        <v>8.7412790704023288E-2</v>
      </c>
      <c r="AA37" s="29">
        <f>Supply!AA9/Supply!AA5</f>
        <v>8.5043627769764082E-2</v>
      </c>
      <c r="AB37" s="29">
        <f>Supply!AB9/Supply!AB5</f>
        <v>8.2747448106250829E-2</v>
      </c>
      <c r="AC37" s="29">
        <f>Supply!AC9/Supply!AC5</f>
        <v>8.0521422045882904E-2</v>
      </c>
      <c r="AD37" s="29">
        <f>Supply!AD9/Supply!AD5</f>
        <v>7.8362858132780169E-2</v>
      </c>
      <c r="AE37" s="29">
        <f>Supply!AE9/Supply!AE5</f>
        <v>7.6269194934263707E-2</v>
      </c>
      <c r="AF37" s="29">
        <f>Supply!AF9/Supply!AF5</f>
        <v>7.4237993426457122E-2</v>
      </c>
      <c r="AG37" s="29">
        <f>Supply!AG9/Supply!AG5</f>
        <v>7.2266929907575106E-2</v>
      </c>
      <c r="AH37" s="29">
        <f>Supply!AH9/Supply!AH5</f>
        <v>7.0353789396704586E-2</v>
      </c>
    </row>
    <row r="38" spans="1:34" x14ac:dyDescent="0.2">
      <c r="A38" s="13" t="s">
        <v>310</v>
      </c>
      <c r="B38" s="14" t="s">
        <v>39</v>
      </c>
      <c r="C38" s="15"/>
      <c r="D38" s="29">
        <f>Supply!D29/Supply!D5</f>
        <v>7.5471020740394648E-2</v>
      </c>
      <c r="E38" s="29">
        <f>Supply!E29/Supply!E5</f>
        <v>9.9210045607536768E-2</v>
      </c>
      <c r="F38" s="29">
        <f>Supply!F29/Supply!F5</f>
        <v>0.12197894913182773</v>
      </c>
      <c r="G38" s="29">
        <f>Supply!G29/Supply!G5</f>
        <v>0.14382995562220949</v>
      </c>
      <c r="H38" s="29">
        <f>Supply!H29/Supply!H5</f>
        <v>0.16481166788233553</v>
      </c>
      <c r="I38" s="29">
        <f>Supply!I29/Supply!I5</f>
        <v>0.18496937681356285</v>
      </c>
      <c r="J38" s="29">
        <f>Supply!J29/Supply!J5</f>
        <v>0.20434533983995015</v>
      </c>
      <c r="K38" s="29">
        <f>Supply!K29/Supply!K5</f>
        <v>0.23084585779585193</v>
      </c>
      <c r="L38" s="29">
        <f>Supply!L29/Supply!L5</f>
        <v>0.25596805312417775</v>
      </c>
      <c r="M38" s="29">
        <f>Supply!M29/Supply!M5</f>
        <v>0.2798084390187493</v>
      </c>
      <c r="N38" s="29">
        <f>Supply!N29/Supply!N5</f>
        <v>0.30245483657677147</v>
      </c>
      <c r="O38" s="29">
        <f>Supply!O29/Supply!O5</f>
        <v>0.32398733202853525</v>
      </c>
      <c r="P38" s="29">
        <f>Supply!P29/Supply!P5</f>
        <v>0.34447911021087591</v>
      </c>
      <c r="Q38" s="29">
        <f>Supply!Q29/Supply!Q5</f>
        <v>0.36399718255676855</v>
      </c>
      <c r="R38" s="29">
        <f>Supply!R29/Supply!R5</f>
        <v>0.38260302485381342</v>
      </c>
      <c r="S38" s="29">
        <f>Supply!S29/Supply!S5</f>
        <v>0.40035313755476371</v>
      </c>
      <c r="T38" s="29">
        <f>Supply!T29/Supply!T5</f>
        <v>0.41729953939456171</v>
      </c>
      <c r="U38" s="29">
        <f>Supply!U29/Supply!U5</f>
        <v>0.42867338144344552</v>
      </c>
      <c r="V38" s="29">
        <f>Supply!V29/Supply!V5</f>
        <v>0.43967257478542043</v>
      </c>
      <c r="W38" s="29">
        <f>Supply!W29/Supply!W5</f>
        <v>0.45031247048421097</v>
      </c>
      <c r="X38" s="29">
        <f>Supply!X29/Supply!X5</f>
        <v>0.46060763828639401</v>
      </c>
      <c r="Y38" s="29">
        <f>Supply!Y29/Supply!Y5</f>
        <v>0.47057191666480808</v>
      </c>
      <c r="Z38" s="29">
        <f>Supply!Z29/Supply!Z5</f>
        <v>0.48021845908821126</v>
      </c>
      <c r="AA38" s="29">
        <f>Supply!AA29/Supply!AA5</f>
        <v>0.48955977684440238</v>
      </c>
      <c r="AB38" s="29">
        <f>Supply!AB29/Supply!AB5</f>
        <v>0.49860777871191309</v>
      </c>
      <c r="AC38" s="29">
        <f>Supply!AC29/Supply!AC5</f>
        <v>0.50737380774676288</v>
      </c>
      <c r="AD38" s="29">
        <f>Supply!AD29/Supply!AD5</f>
        <v>0.51586867542524384</v>
      </c>
      <c r="AE38" s="29">
        <f>Supply!AE29/Supply!AE5</f>
        <v>0.52410269336088322</v>
      </c>
      <c r="AF38" s="29">
        <f>Supply!AF29/Supply!AF5</f>
        <v>0.53208570279331657</v>
      </c>
      <c r="AG38" s="29">
        <f>Supply!AG29/Supply!AG5</f>
        <v>0.5398271020285057</v>
      </c>
      <c r="AH38" s="29">
        <f>Supply!AH29/Supply!AH5</f>
        <v>0.54733587199332656</v>
      </c>
    </row>
    <row r="40" spans="1:34" x14ac:dyDescent="0.2">
      <c r="A40" s="13" t="s">
        <v>311</v>
      </c>
      <c r="B40" s="14" t="s">
        <v>148</v>
      </c>
      <c r="C40" s="15" t="s">
        <v>312</v>
      </c>
      <c r="D40" s="30">
        <f>Supply!D35-Supply!D5</f>
        <v>0</v>
      </c>
      <c r="E40" s="30">
        <f>Supply!E35-Supply!E5</f>
        <v>0</v>
      </c>
      <c r="F40" s="30">
        <f>Supply!F35-Supply!F5</f>
        <v>0</v>
      </c>
      <c r="G40" s="30">
        <f>Supply!G35-Supply!G5</f>
        <v>0</v>
      </c>
      <c r="H40" s="30">
        <f>Supply!H35-Supply!H5</f>
        <v>0</v>
      </c>
      <c r="I40" s="30">
        <f>Supply!I35-Supply!I5</f>
        <v>0</v>
      </c>
      <c r="J40" s="30">
        <f>Supply!J35-Supply!J5</f>
        <v>0</v>
      </c>
      <c r="K40" s="30">
        <f>Supply!K35-Supply!K5</f>
        <v>0</v>
      </c>
      <c r="L40" s="30">
        <f>Supply!L35-Supply!L5</f>
        <v>0</v>
      </c>
      <c r="M40" s="30">
        <f>Supply!M35-Supply!M5</f>
        <v>0</v>
      </c>
      <c r="N40" s="30">
        <f>Supply!N35-Supply!N5</f>
        <v>0</v>
      </c>
      <c r="O40" s="30">
        <f>Supply!O35-Supply!O5</f>
        <v>0</v>
      </c>
      <c r="P40" s="30">
        <f>Supply!P35-Supply!P5</f>
        <v>0</v>
      </c>
      <c r="Q40" s="30">
        <f>Supply!Q35-Supply!Q5</f>
        <v>0</v>
      </c>
      <c r="R40" s="30">
        <f>Supply!R35-Supply!R5</f>
        <v>0</v>
      </c>
      <c r="S40" s="30">
        <f>Supply!S35-Supply!S5</f>
        <v>0</v>
      </c>
      <c r="T40" s="30">
        <f>Supply!T35-Supply!T5</f>
        <v>0</v>
      </c>
      <c r="U40" s="30">
        <f>Supply!U35-Supply!U5</f>
        <v>0</v>
      </c>
      <c r="V40" s="30">
        <f>Supply!V35-Supply!V5</f>
        <v>0</v>
      </c>
      <c r="W40" s="30">
        <f>Supply!W35-Supply!W5</f>
        <v>0</v>
      </c>
      <c r="X40" s="30">
        <f>Supply!X35-Supply!X5</f>
        <v>0</v>
      </c>
      <c r="Y40" s="30">
        <f>Supply!Y35-Supply!Y5</f>
        <v>0</v>
      </c>
      <c r="Z40" s="30">
        <f>Supply!Z35-Supply!Z5</f>
        <v>0</v>
      </c>
      <c r="AA40" s="30">
        <f>Supply!AA35-Supply!AA5</f>
        <v>0</v>
      </c>
      <c r="AB40" s="30">
        <f>Supply!AB35-Supply!AB5</f>
        <v>0</v>
      </c>
      <c r="AC40" s="30">
        <f>Supply!AC35-Supply!AC5</f>
        <v>0</v>
      </c>
      <c r="AD40" s="30">
        <f>Supply!AD35-Supply!AD5</f>
        <v>0</v>
      </c>
      <c r="AE40" s="30">
        <f>Supply!AE35-Supply!AE5</f>
        <v>0</v>
      </c>
      <c r="AF40" s="30">
        <f>Supply!AF35-Supply!AF5</f>
        <v>0</v>
      </c>
      <c r="AG40" s="30">
        <f>Supply!AG35-Supply!AG5</f>
        <v>0</v>
      </c>
      <c r="AH40" s="30">
        <f>Supply!AH35-Supply!AH5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1"/>
  <sheetViews>
    <sheetView zoomScale="136" zoomScaleNormal="10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D20" sqref="D20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4.1640625" customWidth="1"/>
    <col min="4" max="34" width="10" customWidth="1"/>
  </cols>
  <sheetData>
    <row r="1" spans="1:34" ht="17.25" customHeight="1" x14ac:dyDescent="0.2">
      <c r="A1" s="1" t="s">
        <v>0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4</v>
      </c>
      <c r="B5" s="14" t="s">
        <v>5</v>
      </c>
      <c r="C5" s="15" t="s">
        <v>6</v>
      </c>
      <c r="D5" s="31">
        <f>Inputs!$B$26*(1+Inputs!$B$27)^(D$3-2020)</f>
        <v>0.35</v>
      </c>
      <c r="E5" s="31">
        <f>Inputs!$B$26*(1+Inputs!$B$27)^(E$3-2020)</f>
        <v>0.35524999999999995</v>
      </c>
      <c r="F5" s="31">
        <f>Inputs!$B$26*(1+Inputs!$B$27)^(F$3-2020)</f>
        <v>0.36057874999999989</v>
      </c>
      <c r="G5" s="31">
        <f>Inputs!$B$26*(1+Inputs!$B$27)^(G$3-2020)</f>
        <v>0.36598743124999983</v>
      </c>
      <c r="H5" s="31">
        <f>Inputs!$B$26*(1+Inputs!$B$27)^(H$3-2020)</f>
        <v>0.37147724271874977</v>
      </c>
      <c r="I5" s="31">
        <f>Inputs!$B$26*(1+Inputs!$B$27)^(I$3-2020)</f>
        <v>0.37704940135953097</v>
      </c>
      <c r="J5" s="31">
        <f>Inputs!$B$26*(1+Inputs!$B$27)^(J$3-2020)</f>
        <v>0.38270514237992387</v>
      </c>
      <c r="K5" s="31">
        <f>Inputs!$B$26*(1+Inputs!$B$27)^(K$3-2020)</f>
        <v>0.38844571951562268</v>
      </c>
      <c r="L5" s="31">
        <f>Inputs!$B$26*(1+Inputs!$B$27)^(L$3-2020)</f>
        <v>0.394272405308357</v>
      </c>
      <c r="M5" s="31">
        <f>Inputs!$B$26*(1+Inputs!$B$27)^(M$3-2020)</f>
        <v>0.40018649138798229</v>
      </c>
      <c r="N5" s="31">
        <f>Inputs!$B$26*(1+Inputs!$B$27)^(N$3-2020)</f>
        <v>0.40618928875880195</v>
      </c>
      <c r="O5" s="31">
        <f>Inputs!$B$26*(1+Inputs!$B$27)^(O$3-2020)</f>
        <v>0.41228212809018394</v>
      </c>
      <c r="P5" s="31">
        <f>Inputs!$B$26*(1+Inputs!$B$27)^(P$3-2020)</f>
        <v>0.41846636001153664</v>
      </c>
      <c r="Q5" s="31">
        <f>Inputs!$B$26*(1+Inputs!$B$27)^(Q$3-2020)</f>
        <v>0.42474335541170966</v>
      </c>
      <c r="R5" s="31">
        <f>Inputs!$B$26*(1+Inputs!$B$27)^(R$3-2020)</f>
        <v>0.43111450574288518</v>
      </c>
      <c r="S5" s="31">
        <f>Inputs!$B$26*(1+Inputs!$B$27)^(S$3-2020)</f>
        <v>0.43758122332902838</v>
      </c>
      <c r="T5" s="31">
        <f>Inputs!$B$26*(1+Inputs!$B$27)^(T$3-2020)</f>
        <v>0.44414494167896373</v>
      </c>
      <c r="U5" s="31">
        <f>Inputs!$B$26*(1+Inputs!$B$27)^(U$3-2020)</f>
        <v>0.45080711580414817</v>
      </c>
      <c r="V5" s="31">
        <f>Inputs!$B$26*(1+Inputs!$B$27)^(V$3-2020)</f>
        <v>0.45756922254121035</v>
      </c>
      <c r="W5" s="31">
        <f>Inputs!$B$26*(1+Inputs!$B$27)^(W$3-2020)</f>
        <v>0.46443276087932844</v>
      </c>
      <c r="X5" s="31">
        <f>Inputs!$B$26*(1+Inputs!$B$27)^(X$3-2020)</f>
        <v>0.47139925229251822</v>
      </c>
      <c r="Y5" s="31">
        <f>Inputs!$B$26*(1+Inputs!$B$27)^(Y$3-2020)</f>
        <v>0.47847024107690594</v>
      </c>
      <c r="Z5" s="31">
        <f>Inputs!$B$26*(1+Inputs!$B$27)^(Z$3-2020)</f>
        <v>0.48564729469305945</v>
      </c>
      <c r="AA5" s="31">
        <f>Inputs!$B$26*(1+Inputs!$B$27)^(AA$3-2020)</f>
        <v>0.49293200411345534</v>
      </c>
      <c r="AB5" s="31">
        <f>Inputs!$B$26*(1+Inputs!$B$27)^(AB$3-2020)</f>
        <v>0.50032598417515706</v>
      </c>
      <c r="AC5" s="31">
        <f>Inputs!$B$26*(1+Inputs!$B$27)^(AC$3-2020)</f>
        <v>0.50783087393778437</v>
      </c>
      <c r="AD5" s="31">
        <f>Inputs!$B$26*(1+Inputs!$B$27)^(AD$3-2020)</f>
        <v>0.51544833704685111</v>
      </c>
      <c r="AE5" s="31">
        <f>Inputs!$B$26*(1+Inputs!$B$27)^(AE$3-2020)</f>
        <v>0.52318006210255386</v>
      </c>
      <c r="AF5" s="31">
        <f>Inputs!$B$26*(1+Inputs!$B$27)^(AF$3-2020)</f>
        <v>0.53102776303409194</v>
      </c>
      <c r="AG5" s="31">
        <f>Inputs!$B$26*(1+Inputs!$B$27)^(AG$3-2020)</f>
        <v>0.53899317947960335</v>
      </c>
      <c r="AH5" s="31">
        <f>Inputs!$B$26*(1+Inputs!$B$27)^(AH$3-2020)</f>
        <v>0.54707807717179724</v>
      </c>
    </row>
    <row r="6" spans="1:34" ht="15" customHeight="1" x14ac:dyDescent="0.2">
      <c r="A6" s="13" t="s">
        <v>7</v>
      </c>
      <c r="B6" s="14" t="s">
        <v>5</v>
      </c>
      <c r="C6" s="15" t="s">
        <v>8</v>
      </c>
      <c r="D6" s="31">
        <f>Inputs!$B$28*(1+Inputs!$B$29)^(D$3-2020)</f>
        <v>1.8</v>
      </c>
      <c r="E6" s="31">
        <f>Inputs!$B$28*(1+Inputs!$B$29)^(E$3-2020)</f>
        <v>1.8180000000000001</v>
      </c>
      <c r="F6" s="31">
        <f>Inputs!$B$28*(1+Inputs!$B$29)^(F$3-2020)</f>
        <v>1.8361800000000001</v>
      </c>
      <c r="G6" s="31">
        <f>Inputs!$B$28*(1+Inputs!$B$29)^(G$3-2020)</f>
        <v>1.8545417999999998</v>
      </c>
      <c r="H6" s="31">
        <f>Inputs!$B$28*(1+Inputs!$B$29)^(H$3-2020)</f>
        <v>1.873087218</v>
      </c>
      <c r="I6" s="31">
        <f>Inputs!$B$28*(1+Inputs!$B$29)^(I$3-2020)</f>
        <v>1.8918180901799999</v>
      </c>
      <c r="J6" s="31">
        <f>Inputs!$B$28*(1+Inputs!$B$29)^(J$3-2020)</f>
        <v>1.9107362710818003</v>
      </c>
      <c r="K6" s="31">
        <f>Inputs!$B$28*(1+Inputs!$B$29)^(K$3-2020)</f>
        <v>1.9298436337926177</v>
      </c>
      <c r="L6" s="31">
        <f>Inputs!$B$28*(1+Inputs!$B$29)^(L$3-2020)</f>
        <v>1.9491420701305444</v>
      </c>
      <c r="M6" s="31">
        <f>Inputs!$B$28*(1+Inputs!$B$29)^(M$3-2020)</f>
        <v>1.9686334908318501</v>
      </c>
      <c r="N6" s="31">
        <f>Inputs!$B$28*(1+Inputs!$B$29)^(N$3-2020)</f>
        <v>1.9883198257401686</v>
      </c>
      <c r="O6" s="31">
        <f>Inputs!$B$28*(1+Inputs!$B$29)^(O$3-2020)</f>
        <v>2.0082030239975697</v>
      </c>
      <c r="P6" s="31">
        <f>Inputs!$B$28*(1+Inputs!$B$29)^(P$3-2020)</f>
        <v>2.0282850542375455</v>
      </c>
      <c r="Q6" s="31">
        <f>Inputs!$B$28*(1+Inputs!$B$29)^(Q$3-2020)</f>
        <v>2.048567904779921</v>
      </c>
      <c r="R6" s="31">
        <f>Inputs!$B$28*(1+Inputs!$B$29)^(R$3-2020)</f>
        <v>2.0690535838277206</v>
      </c>
      <c r="S6" s="31">
        <f>Inputs!$B$28*(1+Inputs!$B$29)^(S$3-2020)</f>
        <v>2.0897441196659972</v>
      </c>
      <c r="T6" s="31">
        <f>Inputs!$B$28*(1+Inputs!$B$29)^(T$3-2020)</f>
        <v>2.1106415608626579</v>
      </c>
      <c r="U6" s="31">
        <f>Inputs!$B$28*(1+Inputs!$B$29)^(U$3-2020)</f>
        <v>2.1317479764712846</v>
      </c>
      <c r="V6" s="31">
        <f>Inputs!$B$28*(1+Inputs!$B$29)^(V$3-2020)</f>
        <v>2.1530654562359977</v>
      </c>
      <c r="W6" s="31">
        <f>Inputs!$B$28*(1+Inputs!$B$29)^(W$3-2020)</f>
        <v>2.1745961107983569</v>
      </c>
      <c r="X6" s="31">
        <f>Inputs!$B$28*(1+Inputs!$B$29)^(X$3-2020)</f>
        <v>2.1963420719063409</v>
      </c>
      <c r="Y6" s="31">
        <f>Inputs!$B$28*(1+Inputs!$B$29)^(Y$3-2020)</f>
        <v>2.218305492625404</v>
      </c>
      <c r="Z6" s="31">
        <f>Inputs!$B$28*(1+Inputs!$B$29)^(Z$3-2020)</f>
        <v>2.2404885475516587</v>
      </c>
      <c r="AA6" s="31">
        <f>Inputs!$B$28*(1+Inputs!$B$29)^(AA$3-2020)</f>
        <v>2.2628934330271746</v>
      </c>
      <c r="AB6" s="31">
        <f>Inputs!$B$28*(1+Inputs!$B$29)^(AB$3-2020)</f>
        <v>2.285522367357447</v>
      </c>
      <c r="AC6" s="31">
        <f>Inputs!$B$28*(1+Inputs!$B$29)^(AC$3-2020)</f>
        <v>2.3083775910310216</v>
      </c>
      <c r="AD6" s="31">
        <f>Inputs!$B$28*(1+Inputs!$B$29)^(AD$3-2020)</f>
        <v>2.331461366941332</v>
      </c>
      <c r="AE6" s="31">
        <f>Inputs!$B$28*(1+Inputs!$B$29)^(AE$3-2020)</f>
        <v>2.3547759806107442</v>
      </c>
      <c r="AF6" s="31">
        <f>Inputs!$B$28*(1+Inputs!$B$29)^(AF$3-2020)</f>
        <v>2.3783237404168522</v>
      </c>
      <c r="AG6" s="31">
        <f>Inputs!$B$28*(1+Inputs!$B$29)^(AG$3-2020)</f>
        <v>2.4021069778210209</v>
      </c>
      <c r="AH6" s="31">
        <f>Inputs!$B$28*(1+Inputs!$B$29)^(AH$3-2020)</f>
        <v>2.4261280475992315</v>
      </c>
    </row>
    <row r="7" spans="1:34" ht="15" customHeight="1" x14ac:dyDescent="0.2">
      <c r="A7" s="13" t="s">
        <v>9</v>
      </c>
      <c r="B7" s="14" t="s">
        <v>5</v>
      </c>
      <c r="C7" s="15" t="s">
        <v>10</v>
      </c>
      <c r="D7" s="18">
        <f>Inputs!$B$30+(Inputs!$B$31-Inputs!$B$30)*(D$3-2020)/30</f>
        <v>3.5</v>
      </c>
      <c r="E7" s="18">
        <f>Inputs!$B$30+(Inputs!$B$31-Inputs!$B$30)*(E$3-2020)/30</f>
        <v>3.4833333333333334</v>
      </c>
      <c r="F7" s="18">
        <f>Inputs!$B$30+(Inputs!$B$31-Inputs!$B$30)*(F$3-2020)/30</f>
        <v>3.4666666666666668</v>
      </c>
      <c r="G7" s="18">
        <f>Inputs!$B$30+(Inputs!$B$31-Inputs!$B$30)*(G$3-2020)/30</f>
        <v>3.45</v>
      </c>
      <c r="H7" s="18">
        <f>Inputs!$B$30+(Inputs!$B$31-Inputs!$B$30)*(H$3-2020)/30</f>
        <v>3.4333333333333331</v>
      </c>
      <c r="I7" s="18">
        <f>Inputs!$B$30+(Inputs!$B$31-Inputs!$B$30)*(I$3-2020)/30</f>
        <v>3.4166666666666665</v>
      </c>
      <c r="J7" s="18">
        <f>Inputs!$B$30+(Inputs!$B$31-Inputs!$B$30)*(J$3-2020)/30</f>
        <v>3.4</v>
      </c>
      <c r="K7" s="18">
        <f>Inputs!$B$30+(Inputs!$B$31-Inputs!$B$30)*(K$3-2020)/30</f>
        <v>3.3833333333333333</v>
      </c>
      <c r="L7" s="18">
        <f>Inputs!$B$30+(Inputs!$B$31-Inputs!$B$30)*(L$3-2020)/30</f>
        <v>3.3666666666666667</v>
      </c>
      <c r="M7" s="18">
        <f>Inputs!$B$30+(Inputs!$B$31-Inputs!$B$30)*(M$3-2020)/30</f>
        <v>3.35</v>
      </c>
      <c r="N7" s="18">
        <f>Inputs!$B$30+(Inputs!$B$31-Inputs!$B$30)*(N$3-2020)/30</f>
        <v>3.3333333333333335</v>
      </c>
      <c r="O7" s="18">
        <f>Inputs!$B$30+(Inputs!$B$31-Inputs!$B$30)*(O$3-2020)/30</f>
        <v>3.3166666666666669</v>
      </c>
      <c r="P7" s="18">
        <f>Inputs!$B$30+(Inputs!$B$31-Inputs!$B$30)*(P$3-2020)/30</f>
        <v>3.3</v>
      </c>
      <c r="Q7" s="18">
        <f>Inputs!$B$30+(Inputs!$B$31-Inputs!$B$30)*(Q$3-2020)/30</f>
        <v>3.2833333333333332</v>
      </c>
      <c r="R7" s="18">
        <f>Inputs!$B$30+(Inputs!$B$31-Inputs!$B$30)*(R$3-2020)/30</f>
        <v>3.2666666666666666</v>
      </c>
      <c r="S7" s="18">
        <f>Inputs!$B$30+(Inputs!$B$31-Inputs!$B$30)*(S$3-2020)/30</f>
        <v>3.25</v>
      </c>
      <c r="T7" s="18">
        <f>Inputs!$B$30+(Inputs!$B$31-Inputs!$B$30)*(T$3-2020)/30</f>
        <v>3.2333333333333334</v>
      </c>
      <c r="U7" s="18">
        <f>Inputs!$B$30+(Inputs!$B$31-Inputs!$B$30)*(U$3-2020)/30</f>
        <v>3.2166666666666668</v>
      </c>
      <c r="V7" s="18">
        <f>Inputs!$B$30+(Inputs!$B$31-Inputs!$B$30)*(V$3-2020)/30</f>
        <v>3.2</v>
      </c>
      <c r="W7" s="18">
        <f>Inputs!$B$30+(Inputs!$B$31-Inputs!$B$30)*(W$3-2020)/30</f>
        <v>3.1833333333333336</v>
      </c>
      <c r="X7" s="18">
        <f>Inputs!$B$30+(Inputs!$B$31-Inputs!$B$30)*(X$3-2020)/30</f>
        <v>3.1666666666666665</v>
      </c>
      <c r="Y7" s="18">
        <f>Inputs!$B$30+(Inputs!$B$31-Inputs!$B$30)*(Y$3-2020)/30</f>
        <v>3.15</v>
      </c>
      <c r="Z7" s="18">
        <f>Inputs!$B$30+(Inputs!$B$31-Inputs!$B$30)*(Z$3-2020)/30</f>
        <v>3.1333333333333333</v>
      </c>
      <c r="AA7" s="18">
        <f>Inputs!$B$30+(Inputs!$B$31-Inputs!$B$30)*(AA$3-2020)/30</f>
        <v>3.1166666666666667</v>
      </c>
      <c r="AB7" s="18">
        <f>Inputs!$B$30+(Inputs!$B$31-Inputs!$B$30)*(AB$3-2020)/30</f>
        <v>3.1</v>
      </c>
      <c r="AC7" s="18">
        <f>Inputs!$B$30+(Inputs!$B$31-Inputs!$B$30)*(AC$3-2020)/30</f>
        <v>3.0833333333333335</v>
      </c>
      <c r="AD7" s="18">
        <f>Inputs!$B$30+(Inputs!$B$31-Inputs!$B$30)*(AD$3-2020)/30</f>
        <v>3.0666666666666664</v>
      </c>
      <c r="AE7" s="18">
        <f>Inputs!$B$30+(Inputs!$B$31-Inputs!$B$30)*(AE$3-2020)/30</f>
        <v>3.05</v>
      </c>
      <c r="AF7" s="18">
        <f>Inputs!$B$30+(Inputs!$B$31-Inputs!$B$30)*(AF$3-2020)/30</f>
        <v>3.0333333333333332</v>
      </c>
      <c r="AG7" s="18">
        <f>Inputs!$B$30+(Inputs!$B$31-Inputs!$B$30)*(AG$3-2020)/30</f>
        <v>3.0166666666666666</v>
      </c>
      <c r="AH7" s="18">
        <f>Inputs!$B$30+(Inputs!$B$31-Inputs!$B$30)*(AH$3-2020)/30</f>
        <v>3</v>
      </c>
    </row>
    <row r="9" spans="1:34" ht="15" customHeight="1" x14ac:dyDescent="0.2">
      <c r="A9" s="60" t="s">
        <v>11</v>
      </c>
      <c r="B9" s="61" t="s">
        <v>12</v>
      </c>
      <c r="C9" s="62" t="s">
        <v>13</v>
      </c>
      <c r="D9" s="20">
        <f>D5*Supply!D8</f>
        <v>1225</v>
      </c>
      <c r="E9" s="20">
        <f>E5*Supply!E8</f>
        <v>1224.7243749999998</v>
      </c>
      <c r="F9" s="20">
        <f>F5*Supply!F8</f>
        <v>1224.4488120156245</v>
      </c>
      <c r="G9" s="20">
        <f>G5*Supply!G8</f>
        <v>1224.173311032921</v>
      </c>
      <c r="H9" s="20">
        <f>H5*Supply!H8</f>
        <v>1223.8978720379382</v>
      </c>
      <c r="I9" s="20">
        <f>I5*Supply!I8</f>
        <v>1223.6224950167295</v>
      </c>
      <c r="J9" s="20">
        <f>J5*Supply!J8</f>
        <v>1223.3471799553506</v>
      </c>
      <c r="K9" s="20">
        <f>K5*Supply!K8</f>
        <v>1223.0719268398607</v>
      </c>
      <c r="L9" s="20">
        <f>L5*Supply!L8</f>
        <v>1222.7967356563215</v>
      </c>
      <c r="M9" s="20">
        <f>M5*Supply!M8</f>
        <v>1222.5216063907985</v>
      </c>
      <c r="N9" s="20">
        <f>N5*Supply!N8</f>
        <v>1222.2465390293605</v>
      </c>
      <c r="O9" s="20">
        <f>O5*Supply!O8</f>
        <v>1221.9715335580788</v>
      </c>
      <c r="P9" s="20">
        <f>P5*Supply!P8</f>
        <v>1221.6965899630281</v>
      </c>
      <c r="Q9" s="20">
        <f>Q5*Supply!Q8</f>
        <v>1221.4217082302864</v>
      </c>
      <c r="R9" s="20">
        <f>R5*Supply!R8</f>
        <v>1221.1468883459343</v>
      </c>
      <c r="S9" s="20">
        <f>S5*Supply!S8</f>
        <v>1220.872130296056</v>
      </c>
      <c r="T9" s="20">
        <f>T5*Supply!T8</f>
        <v>1220.5974340667392</v>
      </c>
      <c r="U9" s="20">
        <f>U5*Supply!U8</f>
        <v>1220.3227996440742</v>
      </c>
      <c r="V9" s="20">
        <f>V5*Supply!V8</f>
        <v>1220.048227014154</v>
      </c>
      <c r="W9" s="20">
        <f>W5*Supply!W8</f>
        <v>1219.7737161630757</v>
      </c>
      <c r="X9" s="20">
        <f>X5*Supply!X8</f>
        <v>1219.4992670769388</v>
      </c>
      <c r="Y9" s="20">
        <f>Y5*Supply!Y8</f>
        <v>1219.2248797418465</v>
      </c>
      <c r="Z9" s="20">
        <f>Z5*Supply!Z8</f>
        <v>1218.9505541439041</v>
      </c>
      <c r="AA9" s="20">
        <f>AA5*Supply!AA8</f>
        <v>1218.6762902692219</v>
      </c>
      <c r="AB9" s="20">
        <f>AB5*Supply!AB8</f>
        <v>1218.402088103911</v>
      </c>
      <c r="AC9" s="20">
        <f>AC5*Supply!AC8</f>
        <v>1218.1279476340876</v>
      </c>
      <c r="AD9" s="20">
        <f>AD5*Supply!AD8</f>
        <v>1217.8538688458696</v>
      </c>
      <c r="AE9" s="20">
        <f>AE5*Supply!AE8</f>
        <v>1217.5798517253793</v>
      </c>
      <c r="AF9" s="20">
        <f>AF5*Supply!AF8</f>
        <v>1217.3058962587406</v>
      </c>
      <c r="AG9" s="20">
        <f>AG5*Supply!AG8</f>
        <v>1217.0320024320824</v>
      </c>
      <c r="AH9" s="20">
        <f>AH5*Supply!AH8</f>
        <v>1216.7581702315351</v>
      </c>
    </row>
    <row r="10" spans="1:34" ht="15" customHeight="1" x14ac:dyDescent="0.2">
      <c r="A10" s="60" t="s">
        <v>14</v>
      </c>
      <c r="B10" s="61" t="s">
        <v>12</v>
      </c>
      <c r="C10" s="62" t="s">
        <v>15</v>
      </c>
      <c r="D10" s="20">
        <f>D6*Supply!D9</f>
        <v>1641.6000000000001</v>
      </c>
      <c r="E10" s="20">
        <f>E6*Supply!E9</f>
        <v>1624.8556800000001</v>
      </c>
      <c r="F10" s="20">
        <f>F6*Supply!F9</f>
        <v>1608.282152064</v>
      </c>
      <c r="G10" s="20">
        <f>G6*Supply!G9</f>
        <v>1591.8776741129468</v>
      </c>
      <c r="H10" s="20">
        <f>H6*Supply!H9</f>
        <v>1575.640521836995</v>
      </c>
      <c r="I10" s="20">
        <f>I6*Supply!I9</f>
        <v>1559.5689885142574</v>
      </c>
      <c r="J10" s="20">
        <f>J6*Supply!J9</f>
        <v>1543.6613848314123</v>
      </c>
      <c r="K10" s="20">
        <f>K6*Supply!K9</f>
        <v>1527.9160387061313</v>
      </c>
      <c r="L10" s="20">
        <f>L6*Supply!L9</f>
        <v>1512.3312951113292</v>
      </c>
      <c r="M10" s="20">
        <f>M6*Supply!M9</f>
        <v>1496.9055159011939</v>
      </c>
      <c r="N10" s="20">
        <f>N6*Supply!N9</f>
        <v>1481.6370796390015</v>
      </c>
      <c r="O10" s="20">
        <f>O6*Supply!O9</f>
        <v>1466.5243814266832</v>
      </c>
      <c r="P10" s="20">
        <f>P6*Supply!P9</f>
        <v>1451.5658327361309</v>
      </c>
      <c r="Q10" s="20">
        <f>Q6*Supply!Q9</f>
        <v>1436.7598612422223</v>
      </c>
      <c r="R10" s="20">
        <f>R6*Supply!R9</f>
        <v>1422.1049106575522</v>
      </c>
      <c r="S10" s="20">
        <f>S6*Supply!S9</f>
        <v>1407.5994405688446</v>
      </c>
      <c r="T10" s="20">
        <f>T6*Supply!T9</f>
        <v>1393.2419262750429</v>
      </c>
      <c r="U10" s="20">
        <f>U6*Supply!U9</f>
        <v>1379.0308586270376</v>
      </c>
      <c r="V10" s="20">
        <f>V6*Supply!V9</f>
        <v>1364.9647438690417</v>
      </c>
      <c r="W10" s="20">
        <f>W6*Supply!W9</f>
        <v>1351.0421034815772</v>
      </c>
      <c r="X10" s="20">
        <f>X6*Supply!X9</f>
        <v>1337.2614740260653</v>
      </c>
      <c r="Y10" s="20">
        <f>Y6*Supply!Y9</f>
        <v>1323.621406990999</v>
      </c>
      <c r="Z10" s="20">
        <f>Z6*Supply!Z9</f>
        <v>1310.1204686396914</v>
      </c>
      <c r="AA10" s="20">
        <f>AA6*Supply!AA9</f>
        <v>1296.757239859566</v>
      </c>
      <c r="AB10" s="20">
        <f>AB6*Supply!AB9</f>
        <v>1283.5303160129988</v>
      </c>
      <c r="AC10" s="20">
        <f>AC6*Supply!AC9</f>
        <v>1270.4383067896663</v>
      </c>
      <c r="AD10" s="20">
        <f>AD6*Supply!AD9</f>
        <v>1257.4798360604116</v>
      </c>
      <c r="AE10" s="20">
        <f>AE6*Supply!AE9</f>
        <v>1244.6535417325947</v>
      </c>
      <c r="AF10" s="20">
        <f>AF6*Supply!AF9</f>
        <v>1231.9580756069226</v>
      </c>
      <c r="AG10" s="20">
        <f>AG6*Supply!AG9</f>
        <v>1219.3921032357321</v>
      </c>
      <c r="AH10" s="20">
        <f>AH6*Supply!AH9</f>
        <v>1206.9543037827277</v>
      </c>
    </row>
    <row r="11" spans="1:34" ht="15" customHeight="1" x14ac:dyDescent="0.2">
      <c r="A11" s="13" t="s">
        <v>16</v>
      </c>
      <c r="B11" s="14" t="s">
        <v>12</v>
      </c>
      <c r="C11" s="15" t="s">
        <v>15</v>
      </c>
      <c r="D11" s="20">
        <f>D7*Supply!D29</f>
        <v>1304.2827416760726</v>
      </c>
      <c r="E11" s="20">
        <f>E7*Supply!E29</f>
        <v>1727.6455312438786</v>
      </c>
      <c r="F11" s="20">
        <f>F7*Supply!F29</f>
        <v>2139.6827648276712</v>
      </c>
      <c r="G11" s="20">
        <f>G7*Supply!G29</f>
        <v>2540.6380669686496</v>
      </c>
      <c r="H11" s="20">
        <f>H7*Supply!H29</f>
        <v>2930.7511309727288</v>
      </c>
      <c r="I11" s="20">
        <f>I7*Supply!I29</f>
        <v>3310.2577828563972</v>
      </c>
      <c r="J11" s="20">
        <f>J7*Supply!J29</f>
        <v>3679.3900441074816</v>
      </c>
      <c r="K11" s="20">
        <f>K7*Supply!K29</f>
        <v>4223.6136932776353</v>
      </c>
      <c r="L11" s="20">
        <f>L7*Supply!L29</f>
        <v>4756.0908264229556</v>
      </c>
      <c r="M11" s="20">
        <f>M7*Supply!M29</f>
        <v>5277.0424164088481</v>
      </c>
      <c r="N11" s="20">
        <f>N7*Supply!N29</f>
        <v>5786.6858710945771</v>
      </c>
      <c r="O11" s="20">
        <f>O7*Supply!O29</f>
        <v>6285.2350904127406</v>
      </c>
      <c r="P11" s="20">
        <f>P7*Supply!P29</f>
        <v>6772.9005223583199</v>
      </c>
      <c r="Q11" s="20">
        <f>Q7*Supply!Q29</f>
        <v>7249.8892179016384</v>
      </c>
      <c r="R11" s="20">
        <f>R7*Supply!R29</f>
        <v>7716.4048848391003</v>
      </c>
      <c r="S11" s="20">
        <f>S7*Supply!S29</f>
        <v>8172.647940595225</v>
      </c>
      <c r="T11" s="20">
        <f>T7*Supply!T29</f>
        <v>8618.8155639889155</v>
      </c>
      <c r="U11" s="20">
        <f>U7*Supply!U29</f>
        <v>8878.9892459768125</v>
      </c>
      <c r="V11" s="20">
        <f>V7*Supply!V29</f>
        <v>9131.2973393858174</v>
      </c>
      <c r="W11" s="20">
        <f>W7*Supply!W29</f>
        <v>9375.9276076467922</v>
      </c>
      <c r="X11" s="20">
        <f>X7*Supply!X29</f>
        <v>9613.0647725408016</v>
      </c>
      <c r="Y11" s="20">
        <f>Y7*Supply!Y29</f>
        <v>9842.8905609690555</v>
      </c>
      <c r="Z11" s="20">
        <f>Z7*Supply!Z29</f>
        <v>10065.583750757214</v>
      </c>
      <c r="AA11" s="20">
        <f>AA7*Supply!AA29</f>
        <v>10281.320215504353</v>
      </c>
      <c r="AB11" s="20">
        <f>AB7*Supply!AB29</f>
        <v>10490.272968486599</v>
      </c>
      <c r="AC11" s="20">
        <f>AC7*Supply!AC29</f>
        <v>10692.612205624853</v>
      </c>
      <c r="AD11" s="20">
        <f>AD7*Supply!AD29</f>
        <v>10888.505347525892</v>
      </c>
      <c r="AE11" s="20">
        <f>AE7*Supply!AE29</f>
        <v>11078.117080605589</v>
      </c>
      <c r="AF11" s="20">
        <f>AF7*Supply!AF29</f>
        <v>11261.609397302691</v>
      </c>
      <c r="AG11" s="20">
        <f>AG7*Supply!AG29</f>
        <v>11439.141635391181</v>
      </c>
      <c r="AH11" s="20">
        <f>AH7*Supply!AH29</f>
        <v>11610.870516398953</v>
      </c>
    </row>
    <row r="12" spans="1:34" ht="15" customHeight="1" x14ac:dyDescent="0.2">
      <c r="A12" s="13" t="s">
        <v>17</v>
      </c>
      <c r="B12" s="14" t="s">
        <v>12</v>
      </c>
      <c r="C12" s="15" t="s">
        <v>18</v>
      </c>
      <c r="D12" s="80">
        <f>D7*Supply!D31</f>
        <v>0</v>
      </c>
      <c r="E12" s="80">
        <f>E7*Supply!E31</f>
        <v>0</v>
      </c>
      <c r="F12" s="80">
        <f>F7*Supply!F31</f>
        <v>0</v>
      </c>
      <c r="G12" s="80">
        <f>G7*Supply!G31</f>
        <v>0</v>
      </c>
      <c r="H12" s="80">
        <f>H7*Supply!H31</f>
        <v>0</v>
      </c>
      <c r="I12" s="80">
        <f>I7*Supply!I31</f>
        <v>0</v>
      </c>
      <c r="J12" s="80">
        <f>J7*Supply!J31</f>
        <v>0</v>
      </c>
      <c r="K12" s="80">
        <f>K7*Supply!K31</f>
        <v>0</v>
      </c>
      <c r="L12" s="22">
        <f>L7*Supply!L31</f>
        <v>24.206403341887562</v>
      </c>
      <c r="M12" s="22">
        <f>M7*Supply!M31</f>
        <v>197.65362740044924</v>
      </c>
      <c r="N12" s="22">
        <f>N7*Supply!N31</f>
        <v>369.63096480980539</v>
      </c>
      <c r="O12" s="22">
        <f>O7*Supply!O31</f>
        <v>540.14743350702156</v>
      </c>
      <c r="P12" s="22">
        <f>P7*Supply!P31</f>
        <v>709.2115032960985</v>
      </c>
      <c r="Q12" s="22">
        <f>Q7*Supply!Q31</f>
        <v>876.83110687944543</v>
      </c>
      <c r="R12" s="22">
        <f>R7*Supply!R31</f>
        <v>1043.0136507382313</v>
      </c>
      <c r="S12" s="22">
        <f>S7*Supply!S31</f>
        <v>1207.7660258633014</v>
      </c>
      <c r="T12" s="22">
        <f>T7*Supply!T31</f>
        <v>1371.0946183383323</v>
      </c>
      <c r="U12" s="22">
        <f>U7*Supply!U31</f>
        <v>1356.8928197768416</v>
      </c>
      <c r="V12" s="22">
        <f>V7*Supply!V31</f>
        <v>1343.1035376146961</v>
      </c>
      <c r="W12" s="22">
        <f>W7*Supply!W31</f>
        <v>1329.7317052597384</v>
      </c>
      <c r="X12" s="22">
        <f>X7*Supply!X31</f>
        <v>1316.7817921001033</v>
      </c>
      <c r="Y12" s="22">
        <f>Y7*Supply!Y31</f>
        <v>1304.2578133728293</v>
      </c>
      <c r="Z12" s="22">
        <f>Z7*Supply!Z31</f>
        <v>1292.1633398943125</v>
      </c>
      <c r="AA12" s="22">
        <f>AA7*Supply!AA31</f>
        <v>1280.5015076541658</v>
      </c>
      <c r="AB12" s="22">
        <f>AB7*Supply!AB31</f>
        <v>1269.2750272740102</v>
      </c>
      <c r="AC12" s="22">
        <f>AC7*Supply!AC31</f>
        <v>1258.4861933327218</v>
      </c>
      <c r="AD12" s="22">
        <f>AD7*Supply!AD31</f>
        <v>1248.1368935596302</v>
      </c>
      <c r="AE12" s="22">
        <f>AE7*Supply!AE31</f>
        <v>1238.2286178971826</v>
      </c>
      <c r="AF12" s="22">
        <f>AF7*Supply!AF31</f>
        <v>1228.7624674345166</v>
      </c>
      <c r="AG12" s="22">
        <f>AG7*Supply!AG31</f>
        <v>1219.7391632134306</v>
      </c>
      <c r="AH12" s="22">
        <f>AH7*Supply!AH31</f>
        <v>1211.159054908177</v>
      </c>
    </row>
    <row r="13" spans="1:34" ht="15" customHeight="1" x14ac:dyDescent="0.2">
      <c r="A13" t="s">
        <v>19</v>
      </c>
      <c r="B13" t="s">
        <v>5</v>
      </c>
      <c r="C13" t="s">
        <v>10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6" t="s">
        <v>20</v>
      </c>
      <c r="B14" s="66" t="s">
        <v>12</v>
      </c>
      <c r="C14" s="66" t="s">
        <v>21</v>
      </c>
      <c r="D14" s="20">
        <f>D13*(Supply!D16+Supply!D17)</f>
        <v>122.42713002900001</v>
      </c>
      <c r="E14" s="20">
        <f>E13*(Supply!E16+Supply!E17)</f>
        <v>128.79386062337863</v>
      </c>
      <c r="F14" s="20">
        <f>F13*(Supply!F16+Supply!F17)</f>
        <v>135.19558283251664</v>
      </c>
      <c r="G14" s="20">
        <f>G13*(Supply!G16+Supply!G17)</f>
        <v>141.62752705713521</v>
      </c>
      <c r="H14" s="20">
        <f>H13*(Supply!H16+Supply!H17)</f>
        <v>148.08501058131668</v>
      </c>
      <c r="I14" s="20">
        <f>I13*(Supply!I16+Supply!I17)</f>
        <v>154.56343652880201</v>
      </c>
      <c r="J14" s="20">
        <f>J13*(Supply!J16+Supply!J17)</f>
        <v>161.05829282949327</v>
      </c>
      <c r="K14" s="20">
        <f>K13*(Supply!K16+Supply!K17)</f>
        <v>167.56515119607189</v>
      </c>
      <c r="L14" s="20">
        <f>L13*(Supply!L16+Supply!L17)</f>
        <v>174.07966611064663</v>
      </c>
      <c r="M14" s="20">
        <f>M13*(Supply!M16+Supply!M17)</f>
        <v>180.59757382134384</v>
      </c>
      <c r="N14" s="20">
        <f>N13*(Supply!N16+Supply!N17)</f>
        <v>187.11469134875469</v>
      </c>
      <c r="O14" s="20">
        <f>O13*(Supply!O16+Supply!O17)</f>
        <v>193.62691550215317</v>
      </c>
      <c r="P14" s="20">
        <f>P13*(Supply!P16+Supply!P17)</f>
        <v>200.13022190540184</v>
      </c>
      <c r="Q14" s="20">
        <f>Q13*(Supply!Q16+Supply!Q17)</f>
        <v>206.62066403245984</v>
      </c>
      <c r="R14" s="20">
        <f>R13*(Supply!R16+Supply!R17)</f>
        <v>213.09437225241081</v>
      </c>
      <c r="S14" s="20">
        <f>S13*(Supply!S16+Supply!S17)</f>
        <v>219.54755288392809</v>
      </c>
      <c r="T14" s="20">
        <f>T13*(Supply!T16+Supply!T17)</f>
        <v>225.97648725909536</v>
      </c>
      <c r="U14" s="20">
        <f>U13*(Supply!U16+Supply!U17)</f>
        <v>232.37753079650065</v>
      </c>
      <c r="V14" s="20">
        <f>V13*(Supply!V16+Supply!V17)</f>
        <v>238.74711208352451</v>
      </c>
      <c r="W14" s="20">
        <f>W13*(Supply!W16+Supply!W17)</f>
        <v>245.08173196774121</v>
      </c>
      <c r="X14" s="20">
        <f>X13*(Supply!X16+Supply!X17)</f>
        <v>251.37796265735389</v>
      </c>
      <c r="Y14" s="20">
        <f>Y13*(Supply!Y16+Supply!Y17)</f>
        <v>257.63244683058525</v>
      </c>
      <c r="Z14" s="20">
        <f>Z13*(Supply!Z16+Supply!Z17)</f>
        <v>263.84189675394629</v>
      </c>
      <c r="AA14" s="20">
        <f>AA13*(Supply!AA16+Supply!AA17)</f>
        <v>270.00309340930357</v>
      </c>
      <c r="AB14" s="20">
        <f>AB13*(Supply!AB16+Supply!AB17)</f>
        <v>276.11288562967047</v>
      </c>
      <c r="AC14" s="20">
        <f>AC13*(Supply!AC16+Supply!AC17)</f>
        <v>282.16818924364509</v>
      </c>
      <c r="AD14" s="20">
        <f>AD13*(Supply!AD16+Supply!AD17)</f>
        <v>288.16598622841929</v>
      </c>
      <c r="AE14" s="20">
        <f>AE13*(Supply!AE16+Supply!AE17)</f>
        <v>294.10332387128398</v>
      </c>
      <c r="AF14" s="20">
        <f>AF13*(Supply!AF16+Supply!AF17)</f>
        <v>299.97731393955661</v>
      </c>
      <c r="AG14" s="20">
        <f>AG13*(Supply!AG16+Supply!AG17)</f>
        <v>305.78513185885532</v>
      </c>
      <c r="AH14" s="20">
        <f>AH13*(Supply!AH16+Supply!AH17)</f>
        <v>311.52401589964995</v>
      </c>
    </row>
    <row r="15" spans="1:34" x14ac:dyDescent="0.2">
      <c r="A15" s="23" t="s">
        <v>22</v>
      </c>
      <c r="B15" s="14" t="s">
        <v>12</v>
      </c>
      <c r="C15" s="15" t="s">
        <v>23</v>
      </c>
      <c r="D15" s="24">
        <f>D9+D10+D11+D14</f>
        <v>4293.3098717050734</v>
      </c>
      <c r="E15" s="24">
        <f t="shared" ref="E15:AH15" si="0">E9+E10+E11+E14</f>
        <v>4706.0194468672571</v>
      </c>
      <c r="F15" s="24">
        <f t="shared" si="0"/>
        <v>5107.6093117398123</v>
      </c>
      <c r="G15" s="24">
        <f t="shared" si="0"/>
        <v>5498.3165791716528</v>
      </c>
      <c r="H15" s="24">
        <f t="shared" si="0"/>
        <v>5878.3745354289786</v>
      </c>
      <c r="I15" s="24">
        <f t="shared" si="0"/>
        <v>6248.0127029161868</v>
      </c>
      <c r="J15" s="24">
        <f t="shared" si="0"/>
        <v>6607.4569017237372</v>
      </c>
      <c r="K15" s="24">
        <f t="shared" si="0"/>
        <v>7142.1668100196994</v>
      </c>
      <c r="L15" s="24">
        <f t="shared" si="0"/>
        <v>7665.2985233012532</v>
      </c>
      <c r="M15" s="24">
        <f t="shared" si="0"/>
        <v>8177.0671125221843</v>
      </c>
      <c r="N15" s="24">
        <f t="shared" si="0"/>
        <v>8677.6841811116956</v>
      </c>
      <c r="O15" s="24">
        <f t="shared" si="0"/>
        <v>9167.3579208996543</v>
      </c>
      <c r="P15" s="24">
        <f t="shared" si="0"/>
        <v>9646.2931669628815</v>
      </c>
      <c r="Q15" s="24">
        <f t="shared" si="0"/>
        <v>10114.691451406607</v>
      </c>
      <c r="R15" s="24">
        <f t="shared" si="0"/>
        <v>10572.751056094998</v>
      </c>
      <c r="S15" s="24">
        <f t="shared" si="0"/>
        <v>11020.667064344054</v>
      </c>
      <c r="T15" s="24">
        <f t="shared" si="0"/>
        <v>11458.631411589793</v>
      </c>
      <c r="U15" s="24">
        <f t="shared" si="0"/>
        <v>11710.720435044424</v>
      </c>
      <c r="V15" s="24">
        <f t="shared" si="0"/>
        <v>11955.057422352538</v>
      </c>
      <c r="W15" s="24">
        <f t="shared" si="0"/>
        <v>12191.825159259186</v>
      </c>
      <c r="X15" s="24">
        <f t="shared" si="0"/>
        <v>12421.20347630116</v>
      </c>
      <c r="Y15" s="24">
        <f t="shared" si="0"/>
        <v>12643.369294532486</v>
      </c>
      <c r="Z15" s="24">
        <f t="shared" si="0"/>
        <v>12858.496670294755</v>
      </c>
      <c r="AA15" s="24">
        <f t="shared" si="0"/>
        <v>13066.756839042444</v>
      </c>
      <c r="AB15" s="24">
        <f t="shared" si="0"/>
        <v>13268.318258233179</v>
      </c>
      <c r="AC15" s="24">
        <f t="shared" si="0"/>
        <v>13463.346649292251</v>
      </c>
      <c r="AD15" s="24">
        <f t="shared" si="0"/>
        <v>13652.005038660593</v>
      </c>
      <c r="AE15" s="24">
        <f t="shared" si="0"/>
        <v>13834.453797934846</v>
      </c>
      <c r="AF15" s="24">
        <f t="shared" si="0"/>
        <v>14010.85068310791</v>
      </c>
      <c r="AG15" s="24">
        <f t="shared" si="0"/>
        <v>14181.35087291785</v>
      </c>
      <c r="AH15" s="24">
        <f t="shared" si="0"/>
        <v>14346.107006312865</v>
      </c>
    </row>
    <row r="16" spans="1:34" ht="15" customHeight="1" x14ac:dyDescent="0.2">
      <c r="A16" s="23" t="s">
        <v>22</v>
      </c>
      <c r="B16" s="14" t="s">
        <v>24</v>
      </c>
      <c r="C16" s="15" t="s">
        <v>25</v>
      </c>
      <c r="D16" s="32">
        <f t="shared" ref="D16:AH16" si="1">D15/1000</f>
        <v>4.2933098717050733</v>
      </c>
      <c r="E16" s="32">
        <f t="shared" si="1"/>
        <v>4.7060194468672574</v>
      </c>
      <c r="F16" s="32">
        <f t="shared" si="1"/>
        <v>5.1076093117398127</v>
      </c>
      <c r="G16" s="32">
        <f t="shared" si="1"/>
        <v>5.4983165791716528</v>
      </c>
      <c r="H16" s="32">
        <f t="shared" si="1"/>
        <v>5.8783745354289785</v>
      </c>
      <c r="I16" s="32">
        <f t="shared" si="1"/>
        <v>6.2480127029161867</v>
      </c>
      <c r="J16" s="32">
        <f t="shared" si="1"/>
        <v>6.6074569017237375</v>
      </c>
      <c r="K16" s="32">
        <f t="shared" si="1"/>
        <v>7.1421668100196998</v>
      </c>
      <c r="L16" s="32">
        <f t="shared" si="1"/>
        <v>7.6652985233012529</v>
      </c>
      <c r="M16" s="32">
        <f t="shared" si="1"/>
        <v>8.1770671125221845</v>
      </c>
      <c r="N16" s="32">
        <f t="shared" si="1"/>
        <v>8.6776841811116956</v>
      </c>
      <c r="O16" s="32">
        <f t="shared" si="1"/>
        <v>9.1673579208996543</v>
      </c>
      <c r="P16" s="32">
        <f t="shared" si="1"/>
        <v>9.6462931669628809</v>
      </c>
      <c r="Q16" s="32">
        <f t="shared" si="1"/>
        <v>10.114691451406607</v>
      </c>
      <c r="R16" s="32">
        <f t="shared" si="1"/>
        <v>10.572751056094997</v>
      </c>
      <c r="S16" s="32">
        <f t="shared" si="1"/>
        <v>11.020667064344053</v>
      </c>
      <c r="T16" s="32">
        <f t="shared" si="1"/>
        <v>11.458631411589794</v>
      </c>
      <c r="U16" s="32">
        <f t="shared" si="1"/>
        <v>11.710720435044424</v>
      </c>
      <c r="V16" s="32">
        <f t="shared" si="1"/>
        <v>11.955057422352539</v>
      </c>
      <c r="W16" s="32">
        <f t="shared" si="1"/>
        <v>12.191825159259185</v>
      </c>
      <c r="X16" s="32">
        <f t="shared" si="1"/>
        <v>12.421203476301161</v>
      </c>
      <c r="Y16" s="32">
        <f t="shared" si="1"/>
        <v>12.643369294532485</v>
      </c>
      <c r="Z16" s="32">
        <f t="shared" si="1"/>
        <v>12.858496670294755</v>
      </c>
      <c r="AA16" s="32">
        <f t="shared" si="1"/>
        <v>13.066756839042444</v>
      </c>
      <c r="AB16" s="32">
        <f t="shared" si="1"/>
        <v>13.26831825823318</v>
      </c>
      <c r="AC16" s="32">
        <f t="shared" si="1"/>
        <v>13.463346649292252</v>
      </c>
      <c r="AD16" s="32">
        <f t="shared" si="1"/>
        <v>13.652005038660592</v>
      </c>
      <c r="AE16" s="32">
        <f t="shared" si="1"/>
        <v>13.834453797934845</v>
      </c>
      <c r="AF16" s="32">
        <f t="shared" si="1"/>
        <v>14.010850683107911</v>
      </c>
      <c r="AG16" s="32">
        <f t="shared" si="1"/>
        <v>14.18135087291785</v>
      </c>
      <c r="AH16" s="32">
        <f t="shared" si="1"/>
        <v>14.346107006312865</v>
      </c>
    </row>
    <row r="17" spans="1:35" ht="15" customHeight="1" x14ac:dyDescent="0.2">
      <c r="A17" s="23"/>
      <c r="B17" s="58" t="s">
        <v>26</v>
      </c>
      <c r="C17" s="59" t="s">
        <v>27</v>
      </c>
      <c r="D17" s="32">
        <f>+D15*Inputs!$B$64</f>
        <v>15.455915538138264</v>
      </c>
      <c r="E17" s="32">
        <f>+E15*Inputs!$B$64</f>
        <v>16.941670008722124</v>
      </c>
      <c r="F17" s="32">
        <f>+F15*Inputs!$B$64</f>
        <v>18.387393522263324</v>
      </c>
      <c r="G17" s="32">
        <f>+G15*Inputs!$B$64</f>
        <v>19.79393968501795</v>
      </c>
      <c r="H17" s="32">
        <f>+H15*Inputs!$B$64</f>
        <v>21.162148327544323</v>
      </c>
      <c r="I17" s="32">
        <f>+I15*Inputs!$B$64</f>
        <v>22.492845730498271</v>
      </c>
      <c r="J17" s="32">
        <f>+J15*Inputs!$B$64</f>
        <v>23.786844846205454</v>
      </c>
      <c r="K17" s="32">
        <f>+K15*Inputs!$B$64</f>
        <v>25.711800516070916</v>
      </c>
      <c r="L17" s="32">
        <f>+L15*Inputs!$B$64</f>
        <v>27.595074683884512</v>
      </c>
      <c r="M17" s="32">
        <f>+M15*Inputs!$B$64</f>
        <v>29.437441605079862</v>
      </c>
      <c r="N17" s="32">
        <f>+N15*Inputs!$B$64</f>
        <v>31.239663052002104</v>
      </c>
      <c r="O17" s="32">
        <f>+O15*Inputs!$B$64</f>
        <v>33.002488515238753</v>
      </c>
      <c r="P17" s="32">
        <f>+P15*Inputs!$B$64</f>
        <v>34.726655401066374</v>
      </c>
      <c r="Q17" s="32">
        <f>+Q15*Inputs!$B$64</f>
        <v>36.412889225063786</v>
      </c>
      <c r="R17" s="32">
        <f>+R15*Inputs!$B$64</f>
        <v>38.061903801941988</v>
      </c>
      <c r="S17" s="32">
        <f>+S15*Inputs!$B$64</f>
        <v>39.674401431638593</v>
      </c>
      <c r="T17" s="32">
        <f>+T15*Inputs!$B$64</f>
        <v>41.251073081723256</v>
      </c>
      <c r="U17" s="32">
        <f>+U15*Inputs!$B$64</f>
        <v>42.158593566159929</v>
      </c>
      <c r="V17" s="32">
        <f>+V15*Inputs!$B$64</f>
        <v>43.038206720469134</v>
      </c>
      <c r="W17" s="32">
        <f>+W15*Inputs!$B$64</f>
        <v>43.890570573333065</v>
      </c>
      <c r="X17" s="32">
        <f>+X15*Inputs!$B$64</f>
        <v>44.716332514684176</v>
      </c>
      <c r="Y17" s="32">
        <f>+Y15*Inputs!$B$64</f>
        <v>45.516129460316947</v>
      </c>
      <c r="Z17" s="32">
        <f>+Z15*Inputs!$B$64</f>
        <v>46.290588013061118</v>
      </c>
      <c r="AA17" s="32">
        <f>+AA15*Inputs!$B$64</f>
        <v>47.040324620552795</v>
      </c>
      <c r="AB17" s="32">
        <f>+AB15*Inputs!$B$64</f>
        <v>47.765945729639441</v>
      </c>
      <c r="AC17" s="32">
        <f>+AC15*Inputs!$B$64</f>
        <v>48.468047937452098</v>
      </c>
      <c r="AD17" s="32">
        <f>+AD15*Inputs!$B$64</f>
        <v>49.147218139178129</v>
      </c>
      <c r="AE17" s="32">
        <f>+AE15*Inputs!$B$64</f>
        <v>49.804033672565446</v>
      </c>
      <c r="AF17" s="32">
        <f>+AF15*Inputs!$B$64</f>
        <v>50.439062459188477</v>
      </c>
      <c r="AG17" s="32">
        <f>+AG15*Inputs!$B$64</f>
        <v>51.052863142504258</v>
      </c>
      <c r="AH17" s="32">
        <f>+AH15*Inputs!$B$64</f>
        <v>51.64598522272631</v>
      </c>
    </row>
    <row r="18" spans="1:35" ht="15" customHeight="1" x14ac:dyDescent="0.2">
      <c r="A18" s="23"/>
      <c r="B18" s="14"/>
      <c r="C18" s="1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 spans="1:35" ht="15" customHeight="1" x14ac:dyDescent="0.2">
      <c r="A19" s="63" t="s">
        <v>28</v>
      </c>
      <c r="B19" s="58" t="s">
        <v>26</v>
      </c>
      <c r="C19" s="62" t="s">
        <v>29</v>
      </c>
      <c r="D19" s="64">
        <f>+(D9+D10+(D11-D12)+D14)*Inputs!$B$64</f>
        <v>15.455915538138264</v>
      </c>
      <c r="E19" s="64">
        <f>+(E9+E10+(E11-E12)+E14)*Inputs!$B$64</f>
        <v>16.941670008722124</v>
      </c>
      <c r="F19" s="64">
        <f>+(F9+F10+(F11-F12)+F14)*Inputs!$B$64</f>
        <v>18.387393522263324</v>
      </c>
      <c r="G19" s="64">
        <f>+(G9+G10+(G11-G12)+G14)*Inputs!$B$64</f>
        <v>19.79393968501795</v>
      </c>
      <c r="H19" s="64">
        <f>+(H9+H10+(H11-H12)+H14)*Inputs!$B$64</f>
        <v>21.162148327544323</v>
      </c>
      <c r="I19" s="64">
        <f>+(I9+I10+(I11-I12)+I14)*Inputs!$B$64</f>
        <v>22.492845730498271</v>
      </c>
      <c r="J19" s="64">
        <f>+(J9+J10+(J11-J12)+J14)*Inputs!$B$64</f>
        <v>23.786844846205454</v>
      </c>
      <c r="K19" s="64">
        <f>+(K9+K10+(K11-K12)+K14)*Inputs!$B$64</f>
        <v>25.711800516070916</v>
      </c>
      <c r="L19" s="64">
        <f>+(L9+L10+(L11-L12)+L14)*Inputs!$B$64</f>
        <v>27.507931631853715</v>
      </c>
      <c r="M19" s="64">
        <f>+(M9+M10+(M11-M12)+M14)*Inputs!$B$64</f>
        <v>28.725888546438245</v>
      </c>
      <c r="N19" s="64">
        <f>+(N9+N10+(N11-N12)+N14)*Inputs!$B$64</f>
        <v>29.908991578686798</v>
      </c>
      <c r="O19" s="64">
        <f>+(O9+O10+(O11-O12)+O14)*Inputs!$B$64</f>
        <v>31.057957754613483</v>
      </c>
      <c r="P19" s="64">
        <f>+(P9+P10+(P11-P12)+P14)*Inputs!$B$64</f>
        <v>32.173493989200416</v>
      </c>
      <c r="Q19" s="64">
        <f>+(Q9+Q10+(Q11-Q12)+Q14)*Inputs!$B$64</f>
        <v>33.256297240297783</v>
      </c>
      <c r="R19" s="64">
        <f>+(R9+R10+(R11-R12)+R14)*Inputs!$B$64</f>
        <v>34.307054659284361</v>
      </c>
      <c r="S19" s="64">
        <f>+(S9+S10+(S11-S12)+S14)*Inputs!$B$64</f>
        <v>35.326443738530713</v>
      </c>
      <c r="T19" s="64">
        <f>+(T9+T10+(T11-T12)+T14)*Inputs!$B$64</f>
        <v>36.315132455705253</v>
      </c>
      <c r="U19" s="64">
        <f>+(U9+U10+(U11-U12)+U14)*Inputs!$B$64</f>
        <v>37.273779414963293</v>
      </c>
      <c r="V19" s="64">
        <f>+(V9+V10+(V11-V12)+V14)*Inputs!$B$64</f>
        <v>38.20303398505623</v>
      </c>
      <c r="W19" s="64">
        <f>+(W9+W10+(W11-W12)+W14)*Inputs!$B$64</f>
        <v>39.103536434398016</v>
      </c>
      <c r="X19" s="64">
        <f>+(X9+X10+(X11-X12)+X14)*Inputs!$B$64</f>
        <v>39.9759180631238</v>
      </c>
      <c r="Y19" s="64">
        <f>+(Y9+Y10+(Y11-Y12)+Y14)*Inputs!$B$64</f>
        <v>40.82080133217476</v>
      </c>
      <c r="Z19" s="64">
        <f>+(Z9+Z10+(Z11-Z12)+Z14)*Inputs!$B$64</f>
        <v>41.638799989441594</v>
      </c>
      <c r="AA19" s="64">
        <f>+(AA9+AA10+(AA11-AA12)+AA14)*Inputs!$B$64</f>
        <v>42.430519192997799</v>
      </c>
      <c r="AB19" s="64">
        <f>+(AB9+AB10+(AB11-AB12)+AB14)*Inputs!$B$64</f>
        <v>43.196555631453009</v>
      </c>
      <c r="AC19" s="64">
        <f>+(AC9+AC10+(AC11-AC12)+AC14)*Inputs!$B$64</f>
        <v>43.937497641454314</v>
      </c>
      <c r="AD19" s="64">
        <f>+(AD9+AD10+(AD11-AD12)+AD14)*Inputs!$B$64</f>
        <v>44.653925322363463</v>
      </c>
      <c r="AE19" s="64">
        <f>+(AE9+AE10+(AE11-AE12)+AE14)*Inputs!$B$64</f>
        <v>45.346410648135596</v>
      </c>
      <c r="AF19" s="64">
        <f>+(AF9+AF10+(AF11-AF12)+AF14)*Inputs!$B$64</f>
        <v>46.015517576424216</v>
      </c>
      <c r="AG19" s="64">
        <f>+(AG9+AG10+(AG11-AG12)+AG14)*Inputs!$B$64</f>
        <v>46.661802154935906</v>
      </c>
      <c r="AH19" s="64">
        <f>+(AH9+AH10+(AH11-AH12)+AH14)*Inputs!$B$64</f>
        <v>47.28581262505687</v>
      </c>
    </row>
    <row r="20" spans="1:35" ht="15" customHeight="1" x14ac:dyDescent="0.2">
      <c r="A20" s="63" t="s">
        <v>30</v>
      </c>
      <c r="B20" s="58" t="s">
        <v>26</v>
      </c>
      <c r="C20" s="62" t="s">
        <v>31</v>
      </c>
      <c r="D20" s="64">
        <f>+(D9+D10+D11+D14)*Inputs!$B$64</f>
        <v>15.455915538138264</v>
      </c>
      <c r="E20" s="64">
        <f>+(E9+E10+E11+E14)*Inputs!$B$64</f>
        <v>16.941670008722124</v>
      </c>
      <c r="F20" s="64">
        <f>+(F9+F10+F11+F14)*Inputs!$B$64</f>
        <v>18.387393522263324</v>
      </c>
      <c r="G20" s="64">
        <f>+(G9+G10+G11+G14)*Inputs!$B$64</f>
        <v>19.79393968501795</v>
      </c>
      <c r="H20" s="64">
        <f>+(H9+H10+H11+H14)*Inputs!$B$64</f>
        <v>21.162148327544323</v>
      </c>
      <c r="I20" s="64">
        <f>+(I9+I10+I11+I14)*Inputs!$B$64</f>
        <v>22.492845730498271</v>
      </c>
      <c r="J20" s="64">
        <f>+(J9+J10+J11+J14)*Inputs!$B$64</f>
        <v>23.786844846205454</v>
      </c>
      <c r="K20" s="64">
        <f>+(K9+K10+K11+K14)*Inputs!$B$64</f>
        <v>25.711800516070916</v>
      </c>
      <c r="L20" s="64">
        <f>+(L9+L10+L11+L14)*Inputs!$B$64</f>
        <v>27.595074683884512</v>
      </c>
      <c r="M20" s="64">
        <f>+(M9+M10+M11+M14)*Inputs!$B$64</f>
        <v>29.437441605079862</v>
      </c>
      <c r="N20" s="64">
        <f>+(N9+N10+N11+N14)*Inputs!$B$64</f>
        <v>31.239663052002104</v>
      </c>
      <c r="O20" s="64">
        <f>+(O9+O10+O11+O14)*Inputs!$B$64</f>
        <v>33.002488515238753</v>
      </c>
      <c r="P20" s="64">
        <f>+(P9+P10+P11+P14)*Inputs!$B$64</f>
        <v>34.726655401066374</v>
      </c>
      <c r="Q20" s="64">
        <f>+(Q9+Q10+Q11+Q14)*Inputs!$B$64</f>
        <v>36.412889225063786</v>
      </c>
      <c r="R20" s="64">
        <f>+(R9+R10+R11+R14)*Inputs!$B$64</f>
        <v>38.061903801941988</v>
      </c>
      <c r="S20" s="64">
        <f>+(S9+S10+S11+S14)*Inputs!$B$64</f>
        <v>39.674401431638593</v>
      </c>
      <c r="T20" s="64">
        <f>+(T9+T10+T11+T14)*Inputs!$B$64</f>
        <v>41.251073081723256</v>
      </c>
      <c r="U20" s="64">
        <f>+(U9+U10+U11+U14)*Inputs!$B$64</f>
        <v>42.158593566159929</v>
      </c>
      <c r="V20" s="64">
        <f>+(V9+V10+V11+V14)*Inputs!$B$64</f>
        <v>43.038206720469134</v>
      </c>
      <c r="W20" s="64">
        <f>+(W9+W10+W11+W14)*Inputs!$B$64</f>
        <v>43.890570573333065</v>
      </c>
      <c r="X20" s="64">
        <f>+(X9+X10+X11+X14)*Inputs!$B$64</f>
        <v>44.716332514684176</v>
      </c>
      <c r="Y20" s="64">
        <f>+(Y9+Y10+Y11+Y14)*Inputs!$B$64</f>
        <v>45.516129460316947</v>
      </c>
      <c r="Z20" s="64">
        <f>+(Z9+Z10+Z11+Z14)*Inputs!$B$64</f>
        <v>46.290588013061118</v>
      </c>
      <c r="AA20" s="64">
        <f>+(AA9+AA10+AA11+AA14)*Inputs!$B$64</f>
        <v>47.040324620552795</v>
      </c>
      <c r="AB20" s="64">
        <f>+(AB9+AB10+AB11+AB14)*Inputs!$B$64</f>
        <v>47.765945729639441</v>
      </c>
      <c r="AC20" s="64">
        <f>+(AC9+AC10+AC11+AC14)*Inputs!$B$64</f>
        <v>48.468047937452098</v>
      </c>
      <c r="AD20" s="64">
        <f>+(AD9+AD10+AD11+AD14)*Inputs!$B$64</f>
        <v>49.147218139178129</v>
      </c>
      <c r="AE20" s="64">
        <f>+(AE9+AE10+AE11+AE14)*Inputs!$B$64</f>
        <v>49.804033672565446</v>
      </c>
      <c r="AF20" s="64">
        <f>+(AF9+AF10+AF11+AF14)*Inputs!$B$64</f>
        <v>50.439062459188477</v>
      </c>
      <c r="AG20" s="64">
        <f>+(AG9+AG10+AG11+AG14)*Inputs!$B$64</f>
        <v>51.052863142504258</v>
      </c>
      <c r="AH20" s="64">
        <f>+(AH9+AH10+AH11+AH14)*Inputs!$B$64</f>
        <v>51.64598522272631</v>
      </c>
      <c r="AI20" s="67"/>
    </row>
    <row r="21" spans="1:35" ht="15" customHeight="1" x14ac:dyDescent="0.2">
      <c r="A21" s="63" t="s">
        <v>32</v>
      </c>
      <c r="B21" s="58" t="s">
        <v>26</v>
      </c>
      <c r="C21" s="62" t="s">
        <v>31</v>
      </c>
      <c r="D21" s="64">
        <f>+(D9+D10+D11+D14)*Inputs!$B$64</f>
        <v>15.455915538138264</v>
      </c>
      <c r="E21" s="64">
        <f>+(E9+E10+E11+E14)*Inputs!$B$64</f>
        <v>16.941670008722124</v>
      </c>
      <c r="F21" s="64">
        <f>+(F9+F10+F11+F14)*Inputs!$B$64</f>
        <v>18.387393522263324</v>
      </c>
      <c r="G21" s="64">
        <f>+(G9+G10+G11+G14)*Inputs!$B$64</f>
        <v>19.79393968501795</v>
      </c>
      <c r="H21" s="64">
        <f>+(H9+H10+H11+H14)*Inputs!$B$64</f>
        <v>21.162148327544323</v>
      </c>
      <c r="I21" s="64">
        <f>+(I9+I10+I11+I14)*Inputs!$B$64</f>
        <v>22.492845730498271</v>
      </c>
      <c r="J21" s="64">
        <f>+(J9+J10+J11+J14)*Inputs!$B$64</f>
        <v>23.786844846205454</v>
      </c>
      <c r="K21" s="64">
        <f>+(K9+K10+K11+K14)*Inputs!$B$64</f>
        <v>25.711800516070916</v>
      </c>
      <c r="L21" s="64">
        <f>+(L9+L10+L11+L14)*Inputs!$B$64</f>
        <v>27.595074683884512</v>
      </c>
      <c r="M21" s="64">
        <f>+(M9+M10+M11+M14)*Inputs!$B$64</f>
        <v>29.437441605079862</v>
      </c>
      <c r="N21" s="64">
        <f>+(N9+N10+N11+N14)*Inputs!$B$64</f>
        <v>31.239663052002104</v>
      </c>
      <c r="O21" s="64">
        <f>+(O9+O10+O11+O14)*Inputs!$B$64</f>
        <v>33.002488515238753</v>
      </c>
      <c r="P21" s="64">
        <f>+(P9+P10+P11+P14)*Inputs!$B$64</f>
        <v>34.726655401066374</v>
      </c>
      <c r="Q21" s="64">
        <f>+(Q9+Q10+Q11+Q14)*Inputs!$B$64</f>
        <v>36.412889225063786</v>
      </c>
      <c r="R21" s="64">
        <f>+(R9+R10+R11+R14)*Inputs!$B$64</f>
        <v>38.061903801941988</v>
      </c>
      <c r="S21" s="64">
        <f>+(S9+S10+S11+S14)*Inputs!$B$64</f>
        <v>39.674401431638593</v>
      </c>
      <c r="T21" s="64">
        <f>+(T9+T10+T11+T14)*Inputs!$B$64</f>
        <v>41.251073081723256</v>
      </c>
      <c r="U21" s="64">
        <f>+(U9+U10+U11+U14)*Inputs!$B$64</f>
        <v>42.158593566159929</v>
      </c>
      <c r="V21" s="64">
        <f>+(V9+V10+V11+V14)*Inputs!$B$64</f>
        <v>43.038206720469134</v>
      </c>
      <c r="W21" s="64">
        <f>+(W9+W10+W11+W14)*Inputs!$B$64</f>
        <v>43.890570573333065</v>
      </c>
      <c r="X21" s="64">
        <f>+(X9+X10+X11+X14)*Inputs!$B$64</f>
        <v>44.716332514684176</v>
      </c>
      <c r="Y21" s="64">
        <f>+(Y9+Y10+Y11+Y14)*Inputs!$B$64</f>
        <v>45.516129460316947</v>
      </c>
      <c r="Z21" s="64">
        <f>+(Z9+Z10+Z11+Z14)*Inputs!$B$64</f>
        <v>46.290588013061118</v>
      </c>
      <c r="AA21" s="64">
        <f>+(AA9+AA10+AA11+AA14)*Inputs!$B$64</f>
        <v>47.040324620552795</v>
      </c>
      <c r="AB21" s="64">
        <f>+(AB9+AB10+AB11+AB14)*Inputs!$B$64</f>
        <v>47.765945729639441</v>
      </c>
      <c r="AC21" s="64">
        <f>+(AC9+AC10+AC11+AC14)*Inputs!$B$64</f>
        <v>48.468047937452098</v>
      </c>
      <c r="AD21" s="64">
        <f>+(AD9+AD10+AD11+AD14)*Inputs!$B$64</f>
        <v>49.147218139178129</v>
      </c>
      <c r="AE21" s="64">
        <f>+(AE9+AE10+AE11+AE14)*Inputs!$B$64</f>
        <v>49.804033672565446</v>
      </c>
      <c r="AF21" s="64">
        <f>+(AF9+AF10+AF11+AF14)*Inputs!$B$64</f>
        <v>50.439062459188477</v>
      </c>
      <c r="AG21" s="64">
        <f>+(AG9+AG10+AG11+AG14)*Inputs!$B$64</f>
        <v>51.052863142504258</v>
      </c>
      <c r="AH21" s="64">
        <f>+(AH9+AH10+AH11+AH14)*Inputs!$B$64</f>
        <v>51.64598522272631</v>
      </c>
    </row>
    <row r="22" spans="1:35" ht="15" customHeight="1" x14ac:dyDescent="0.2"/>
    <row r="23" spans="1:35" ht="15" customHeight="1" x14ac:dyDescent="0.2">
      <c r="A23" s="13" t="s">
        <v>33</v>
      </c>
      <c r="B23" s="14" t="s">
        <v>5</v>
      </c>
      <c r="C23" s="15" t="s">
        <v>34</v>
      </c>
      <c r="D23" s="33">
        <f>D15/Supply!D5</f>
        <v>0.86949833656929254</v>
      </c>
      <c r="E23" s="33">
        <f>E15/Supply!E5</f>
        <v>0.94134704005763958</v>
      </c>
      <c r="F23" s="33">
        <f>F15/Supply!F5</f>
        <v>1.0094045399778746</v>
      </c>
      <c r="G23" s="33">
        <f>G15/Supply!G5</f>
        <v>1.073879080818174</v>
      </c>
      <c r="H23" s="33">
        <f>H15/Supply!H5</f>
        <v>1.1349643923746475</v>
      </c>
      <c r="I23" s="33">
        <f>I15/Supply!I5</f>
        <v>1.1928409297064915</v>
      </c>
      <c r="J23" s="33">
        <f>J15/Supply!J5</f>
        <v>1.2476769881893517</v>
      </c>
      <c r="K23" s="33">
        <f>K15/Supply!K5</f>
        <v>1.3207258362669247</v>
      </c>
      <c r="L23" s="33">
        <f>L15/Supply!L5</f>
        <v>1.388880299209742</v>
      </c>
      <c r="M23" s="33">
        <f>M15/Supply!M5</f>
        <v>1.4524881331752666</v>
      </c>
      <c r="N23" s="33">
        <f>N15/Supply!N5</f>
        <v>1.5118656915370208</v>
      </c>
      <c r="O23" s="33">
        <f>O15/Supply!O5</f>
        <v>1.5673013832466196</v>
      </c>
      <c r="P23" s="33">
        <f>P15/Supply!P5</f>
        <v>1.6190586840694072</v>
      </c>
      <c r="Q23" s="33">
        <f>Q15/Supply!Q5</f>
        <v>1.6673787667114728</v>
      </c>
      <c r="R23" s="33">
        <f>R15/Supply!R5</f>
        <v>1.7124828049460203</v>
      </c>
      <c r="S23" s="33">
        <f>S15/Supply!S5</f>
        <v>1.7545739979244166</v>
      </c>
      <c r="T23" s="33">
        <f>T15/Supply!T5</f>
        <v>1.7938393535276675</v>
      </c>
      <c r="U23" s="33">
        <f>U15/Supply!U5</f>
        <v>1.8186647899302926</v>
      </c>
      <c r="V23" s="33">
        <f>V15/Supply!V5</f>
        <v>1.84203779444881</v>
      </c>
      <c r="W23" s="33">
        <f>W15/Supply!W5</f>
        <v>1.8640200151426227</v>
      </c>
      <c r="X23" s="33">
        <f>X15/Supply!X5</f>
        <v>1.884669896855576</v>
      </c>
      <c r="Y23" s="33">
        <f>Y15/Supply!Y5</f>
        <v>1.9040428854007954</v>
      </c>
      <c r="Z23" s="33">
        <f>Z15/Supply!Z5</f>
        <v>1.9221916163352835</v>
      </c>
      <c r="AA23" s="33">
        <f>AA15/Supply!AA5</f>
        <v>1.9391660896619494</v>
      </c>
      <c r="AB23" s="33">
        <f>AB15/Supply!AB5</f>
        <v>1.9550138316656074</v>
      </c>
      <c r="AC23" s="33">
        <f>AC15/Supply!AC5</f>
        <v>1.9697800449725971</v>
      </c>
      <c r="AD23" s="33">
        <f>AD15/Supply!AD5</f>
        <v>1.9835077478194043</v>
      </c>
      <c r="AE23" s="33">
        <f>AE15/Supply!AE5</f>
        <v>1.996237903422472</v>
      </c>
      <c r="AF23" s="33">
        <f>AF15/Supply!AF5</f>
        <v>2.0080095402579925</v>
      </c>
      <c r="AG23" s="33">
        <f>AG15/Supply!AG5</f>
        <v>2.0188598639857522</v>
      </c>
      <c r="AH23" s="33">
        <f>AH15/Supply!AH5</f>
        <v>2.0288243616840682</v>
      </c>
    </row>
    <row r="24" spans="1:35" x14ac:dyDescent="0.2">
      <c r="A24" s="13" t="s">
        <v>35</v>
      </c>
      <c r="B24" s="14" t="s">
        <v>36</v>
      </c>
      <c r="C24" s="15" t="s">
        <v>37</v>
      </c>
      <c r="D24" s="17">
        <f>D15*1000000/Demand!D5</f>
        <v>637.43627347547454</v>
      </c>
      <c r="E24" s="17">
        <f>E15*1000000/Demand!E5</f>
        <v>685.90872902224476</v>
      </c>
      <c r="F24" s="17">
        <f>F15*1000000/Demand!F5</f>
        <v>731.04516134172968</v>
      </c>
      <c r="G24" s="17">
        <f>G15*1000000/Demand!G5</f>
        <v>773.05581494121361</v>
      </c>
      <c r="H24" s="17">
        <f>H15*1000000/Demand!H5</f>
        <v>812.13579839052886</v>
      </c>
      <c r="I24" s="17">
        <f>I15*1000000/Demand!I5</f>
        <v>848.46638490653424</v>
      </c>
      <c r="J24" s="17">
        <f>J15*1000000/Demand!J5</f>
        <v>882.21618178935546</v>
      </c>
      <c r="K24" s="17">
        <f>K15*1000000/Demand!K5</f>
        <v>937.86646010358425</v>
      </c>
      <c r="L24" s="17">
        <f>L15*1000000/Demand!L5</f>
        <v>990.21341960164523</v>
      </c>
      <c r="M24" s="17">
        <f>M15*1000000/Demand!M5</f>
        <v>1039.4427748384437</v>
      </c>
      <c r="N24" s="17">
        <f>N15*1000000/Demand!N5</f>
        <v>1085.7281213206697</v>
      </c>
      <c r="O24" s="17">
        <f>O15*1000000/Demand!O5</f>
        <v>1129.2318808009873</v>
      </c>
      <c r="P24" s="17">
        <f>P15*1000000/Demand!P5</f>
        <v>1170.1061599453369</v>
      </c>
      <c r="Q24" s="17">
        <f>Q15*1000000/Demand!Q5</f>
        <v>1208.493531483723</v>
      </c>
      <c r="R24" s="17">
        <f>R15*1000000/Demand!R5</f>
        <v>1244.5277458762348</v>
      </c>
      <c r="S24" s="17">
        <f>S15*1000000/Demand!S5</f>
        <v>1278.334380588966</v>
      </c>
      <c r="T24" s="17">
        <f>T15*1000000/Demand!T5</f>
        <v>1310.0314332586502</v>
      </c>
      <c r="U24" s="17">
        <f>U15*1000000/Demand!U5</f>
        <v>1319.8807441127246</v>
      </c>
      <c r="V24" s="17">
        <f>V15*1000000/Demand!V5</f>
        <v>1328.5933272987597</v>
      </c>
      <c r="W24" s="17">
        <f>W15*1000000/Demand!W5</f>
        <v>1336.2362062906902</v>
      </c>
      <c r="X24" s="17">
        <f>X15*1000000/Demand!X5</f>
        <v>1342.8724411327123</v>
      </c>
      <c r="Y24" s="17">
        <f>Y15*1000000/Demand!Y5</f>
        <v>1348.561399059585</v>
      </c>
      <c r="Z24" s="17">
        <f>Z15*1000000/Demand!Z5</f>
        <v>1353.3590035308016</v>
      </c>
      <c r="AA24" s="17">
        <f>AA15*1000000/Demand!AA5</f>
        <v>1357.3179636530185</v>
      </c>
      <c r="AB24" s="17">
        <f>AB15*1000000/Demand!AB5</f>
        <v>1360.4879857614812</v>
      </c>
      <c r="AC24" s="17">
        <f>AC15*1000000/Demand!AC5</f>
        <v>1362.9159687508463</v>
      </c>
      <c r="AD24" s="17">
        <f>AD15*1000000/Demand!AD5</f>
        <v>1364.6461845858805</v>
      </c>
      <c r="AE24" s="17">
        <f>AE15*1000000/Demand!AE5</f>
        <v>1365.7204452804349</v>
      </c>
      <c r="AF24" s="17">
        <f>AF15*1000000/Demand!AF5</f>
        <v>1366.1782575067143</v>
      </c>
      <c r="AG24" s="17">
        <f>AG15*1000000/Demand!AG5</f>
        <v>1366.0569658842289</v>
      </c>
      <c r="AH24" s="17">
        <f>AH15*1000000/Demand!AH5</f>
        <v>1365.3918858973434</v>
      </c>
    </row>
    <row r="25" spans="1:35" x14ac:dyDescent="0.2">
      <c r="A25" s="13" t="s">
        <v>38</v>
      </c>
      <c r="B25" s="14" t="s">
        <v>39</v>
      </c>
      <c r="C25" s="15"/>
      <c r="D25" s="29">
        <f t="shared" ref="D25:AH25" si="2">D11/D15</f>
        <v>0.30379422418864011</v>
      </c>
      <c r="E25" s="29">
        <f t="shared" si="2"/>
        <v>0.367113980456233</v>
      </c>
      <c r="F25" s="29">
        <f t="shared" si="2"/>
        <v>0.41892060144647753</v>
      </c>
      <c r="G25" s="29">
        <f t="shared" si="2"/>
        <v>0.46207562449076162</v>
      </c>
      <c r="H25" s="29">
        <f t="shared" si="2"/>
        <v>0.49856488614481503</v>
      </c>
      <c r="I25" s="29">
        <f t="shared" si="2"/>
        <v>0.52980970754290768</v>
      </c>
      <c r="J25" s="29">
        <f t="shared" si="2"/>
        <v>0.55685418744806514</v>
      </c>
      <c r="K25" s="29">
        <f t="shared" si="2"/>
        <v>0.5913630702873468</v>
      </c>
      <c r="L25" s="29">
        <f t="shared" si="2"/>
        <v>0.62047039811498761</v>
      </c>
      <c r="M25" s="29">
        <f t="shared" si="2"/>
        <v>0.64534659478674194</v>
      </c>
      <c r="N25" s="29">
        <f t="shared" si="2"/>
        <v>0.66684679349015519</v>
      </c>
      <c r="O25" s="29">
        <f t="shared" si="2"/>
        <v>0.68561030829654013</v>
      </c>
      <c r="P25" s="29">
        <f t="shared" si="2"/>
        <v>0.70212468200266775</v>
      </c>
      <c r="Q25" s="29">
        <f t="shared" si="2"/>
        <v>0.71676820323505053</v>
      </c>
      <c r="R25" s="29">
        <f t="shared" si="2"/>
        <v>0.72983888903642857</v>
      </c>
      <c r="S25" s="29">
        <f t="shared" si="2"/>
        <v>0.74157470622053112</v>
      </c>
      <c r="T25" s="29">
        <f t="shared" si="2"/>
        <v>0.75216797315527961</v>
      </c>
      <c r="U25" s="29">
        <f t="shared" si="2"/>
        <v>0.758193255079881</v>
      </c>
      <c r="V25" s="29">
        <f t="shared" si="2"/>
        <v>0.76380204768509963</v>
      </c>
      <c r="W25" s="29">
        <f t="shared" si="2"/>
        <v>0.76903396211568564</v>
      </c>
      <c r="X25" s="29">
        <f t="shared" si="2"/>
        <v>0.77392378209421475</v>
      </c>
      <c r="Y25" s="29">
        <f t="shared" si="2"/>
        <v>0.77850218020805007</v>
      </c>
      <c r="Z25" s="29">
        <f t="shared" si="2"/>
        <v>0.78279631039687325</v>
      </c>
      <c r="AA25" s="29">
        <f t="shared" si="2"/>
        <v>0.78683030090409078</v>
      </c>
      <c r="AB25" s="29">
        <f t="shared" si="2"/>
        <v>0.79062566666858747</v>
      </c>
      <c r="AC25" s="29">
        <f t="shared" si="2"/>
        <v>0.79420165610806348</v>
      </c>
      <c r="AD25" s="29">
        <f t="shared" si="2"/>
        <v>0.79757554415568621</v>
      </c>
      <c r="AE25" s="29">
        <f t="shared" si="2"/>
        <v>0.8007628810223999</v>
      </c>
      <c r="AF25" s="29">
        <f t="shared" si="2"/>
        <v>0.80377770429601225</v>
      </c>
      <c r="AG25" s="29">
        <f t="shared" si="2"/>
        <v>0.80663272052851676</v>
      </c>
      <c r="AH25" s="29">
        <f t="shared" si="2"/>
        <v>0.80933946131098156</v>
      </c>
    </row>
    <row r="27" spans="1:35" x14ac:dyDescent="0.2">
      <c r="A27" s="68" t="s">
        <v>40</v>
      </c>
    </row>
    <row r="28" spans="1:35" x14ac:dyDescent="0.2">
      <c r="A28" s="69" t="s">
        <v>41</v>
      </c>
      <c r="B28" s="72" t="s">
        <v>12</v>
      </c>
      <c r="C28" s="71" t="s">
        <v>42</v>
      </c>
      <c r="D28" s="73">
        <f>D9*Inputs!$B$60</f>
        <v>649.25</v>
      </c>
      <c r="E28" s="73">
        <f>E9*Inputs!$B$60</f>
        <v>649.10391874999993</v>
      </c>
      <c r="F28" s="73">
        <f>F9*Inputs!$B$60</f>
        <v>648.95787036828108</v>
      </c>
      <c r="G28" s="73">
        <f>G9*Inputs!$B$60</f>
        <v>648.8118548474481</v>
      </c>
      <c r="H28" s="73">
        <f>H9*Inputs!$B$60</f>
        <v>648.66587218010727</v>
      </c>
      <c r="I28" s="73">
        <f>I9*Inputs!$B$60</f>
        <v>648.51992235886667</v>
      </c>
      <c r="J28" s="73">
        <f>J9*Inputs!$B$60</f>
        <v>648.37400537633584</v>
      </c>
      <c r="K28" s="73">
        <f>K9*Inputs!$B$60</f>
        <v>648.22812122512619</v>
      </c>
      <c r="L28" s="73">
        <f>L9*Inputs!$B$60</f>
        <v>648.08226989785044</v>
      </c>
      <c r="M28" s="73">
        <f>M9*Inputs!$B$60</f>
        <v>647.93645138712327</v>
      </c>
      <c r="N28" s="73">
        <f>N9*Inputs!$B$60</f>
        <v>647.79066568556107</v>
      </c>
      <c r="O28" s="73">
        <f>O9*Inputs!$B$60</f>
        <v>647.6449127857818</v>
      </c>
      <c r="P28" s="73">
        <f>P9*Inputs!$B$60</f>
        <v>647.49919268040492</v>
      </c>
      <c r="Q28" s="73">
        <f>Q9*Inputs!$B$60</f>
        <v>647.35350536205181</v>
      </c>
      <c r="R28" s="73">
        <f>R9*Inputs!$B$60</f>
        <v>647.20785082334521</v>
      </c>
      <c r="S28" s="73">
        <f>S9*Inputs!$B$60</f>
        <v>647.0622290569097</v>
      </c>
      <c r="T28" s="73">
        <f>T9*Inputs!$B$60</f>
        <v>646.91664005537177</v>
      </c>
      <c r="U28" s="73">
        <f>U9*Inputs!$B$60</f>
        <v>646.77108381135929</v>
      </c>
      <c r="V28" s="73">
        <f>V9*Inputs!$B$60</f>
        <v>646.62556031750171</v>
      </c>
      <c r="W28" s="73">
        <f>W9*Inputs!$B$60</f>
        <v>646.48006956643019</v>
      </c>
      <c r="X28" s="73">
        <f>X9*Inputs!$B$60</f>
        <v>646.33461155077759</v>
      </c>
      <c r="Y28" s="73">
        <f>Y9*Inputs!$B$60</f>
        <v>646.18918626317873</v>
      </c>
      <c r="Z28" s="73">
        <f>Z9*Inputs!$B$60</f>
        <v>646.04379369626918</v>
      </c>
      <c r="AA28" s="73">
        <f>AA9*Inputs!$B$60</f>
        <v>645.89843384268761</v>
      </c>
      <c r="AB28" s="73">
        <f>AB9*Inputs!$B$60</f>
        <v>645.7531066950728</v>
      </c>
      <c r="AC28" s="73">
        <f>AC9*Inputs!$B$60</f>
        <v>645.60781224606649</v>
      </c>
      <c r="AD28" s="73">
        <f>AD9*Inputs!$B$60</f>
        <v>645.46255048831085</v>
      </c>
      <c r="AE28" s="73">
        <f>AE9*Inputs!$B$60</f>
        <v>645.31732141445104</v>
      </c>
      <c r="AF28" s="73">
        <f>AF9*Inputs!$B$60</f>
        <v>645.17212501713254</v>
      </c>
      <c r="AG28" s="73">
        <f>AG9*Inputs!$B$60</f>
        <v>645.02696128900368</v>
      </c>
      <c r="AH28" s="73">
        <f>AH9*Inputs!$B$60</f>
        <v>644.88183022271369</v>
      </c>
    </row>
    <row r="29" spans="1:35" x14ac:dyDescent="0.2">
      <c r="A29" s="69" t="s">
        <v>43</v>
      </c>
      <c r="B29" s="72" t="s">
        <v>44</v>
      </c>
      <c r="C29" s="71" t="s">
        <v>45</v>
      </c>
      <c r="D29" s="74">
        <f>Inputs!$B$61+(Inputs!$B$62-Inputs!$B$61)*(D$3-2020)/30</f>
        <v>0.95</v>
      </c>
      <c r="E29" s="75">
        <f>Inputs!$B$61+(Inputs!$B$62-Inputs!$B$61)*(E$3-2020)/30</f>
        <v>0.92166666666666663</v>
      </c>
      <c r="F29" s="75">
        <f>Inputs!$B$61+(Inputs!$B$62-Inputs!$B$61)*(F$3-2020)/30</f>
        <v>0.89333333333333331</v>
      </c>
      <c r="G29" s="75">
        <f>Inputs!$B$61+(Inputs!$B$62-Inputs!$B$61)*(G$3-2020)/30</f>
        <v>0.86499999999999999</v>
      </c>
      <c r="H29" s="75">
        <f>Inputs!$B$61+(Inputs!$B$62-Inputs!$B$61)*(H$3-2020)/30</f>
        <v>0.83666666666666667</v>
      </c>
      <c r="I29" s="75">
        <f>Inputs!$B$61+(Inputs!$B$62-Inputs!$B$61)*(I$3-2020)/30</f>
        <v>0.80833333333333335</v>
      </c>
      <c r="J29" s="75">
        <f>Inputs!$B$61+(Inputs!$B$62-Inputs!$B$61)*(J$3-2020)/30</f>
        <v>0.78</v>
      </c>
      <c r="K29" s="75">
        <f>Inputs!$B$61+(Inputs!$B$62-Inputs!$B$61)*(K$3-2020)/30</f>
        <v>0.75166666666666659</v>
      </c>
      <c r="L29" s="75">
        <f>Inputs!$B$61+(Inputs!$B$62-Inputs!$B$61)*(L$3-2020)/30</f>
        <v>0.72333333333333327</v>
      </c>
      <c r="M29" s="75">
        <f>Inputs!$B$61+(Inputs!$B$62-Inputs!$B$61)*(M$3-2020)/30</f>
        <v>0.69499999999999995</v>
      </c>
      <c r="N29" s="75">
        <f>Inputs!$B$61+(Inputs!$B$62-Inputs!$B$61)*(N$3-2020)/30</f>
        <v>0.66666666666666663</v>
      </c>
      <c r="O29" s="75">
        <f>Inputs!$B$61+(Inputs!$B$62-Inputs!$B$61)*(O$3-2020)/30</f>
        <v>0.63833333333333331</v>
      </c>
      <c r="P29" s="75">
        <f>Inputs!$B$61+(Inputs!$B$62-Inputs!$B$61)*(P$3-2020)/30</f>
        <v>0.61</v>
      </c>
      <c r="Q29" s="75">
        <f>Inputs!$B$61+(Inputs!$B$62-Inputs!$B$61)*(Q$3-2020)/30</f>
        <v>0.58166666666666667</v>
      </c>
      <c r="R29" s="75">
        <f>Inputs!$B$61+(Inputs!$B$62-Inputs!$B$61)*(R$3-2020)/30</f>
        <v>0.55333333333333323</v>
      </c>
      <c r="S29" s="75">
        <f>Inputs!$B$61+(Inputs!$B$62-Inputs!$B$61)*(S$3-2020)/30</f>
        <v>0.52499999999999991</v>
      </c>
      <c r="T29" s="75">
        <f>Inputs!$B$61+(Inputs!$B$62-Inputs!$B$61)*(T$3-2020)/30</f>
        <v>0.49666666666666665</v>
      </c>
      <c r="U29" s="75">
        <f>Inputs!$B$61+(Inputs!$B$62-Inputs!$B$61)*(U$3-2020)/30</f>
        <v>0.46833333333333332</v>
      </c>
      <c r="V29" s="75">
        <f>Inputs!$B$61+(Inputs!$B$62-Inputs!$B$61)*(V$3-2020)/30</f>
        <v>0.43999999999999995</v>
      </c>
      <c r="W29" s="75">
        <f>Inputs!$B$61+(Inputs!$B$62-Inputs!$B$61)*(W$3-2020)/30</f>
        <v>0.41166666666666663</v>
      </c>
      <c r="X29" s="75">
        <f>Inputs!$B$61+(Inputs!$B$62-Inputs!$B$61)*(X$3-2020)/30</f>
        <v>0.3833333333333333</v>
      </c>
      <c r="Y29" s="75">
        <f>Inputs!$B$61+(Inputs!$B$62-Inputs!$B$61)*(Y$3-2020)/30</f>
        <v>0.35499999999999998</v>
      </c>
      <c r="Z29" s="75">
        <f>Inputs!$B$61+(Inputs!$B$62-Inputs!$B$61)*(Z$3-2020)/30</f>
        <v>0.32666666666666666</v>
      </c>
      <c r="AA29" s="75">
        <f>Inputs!$B$61+(Inputs!$B$62-Inputs!$B$61)*(AA$3-2020)/30</f>
        <v>0.29833333333333323</v>
      </c>
      <c r="AB29" s="75">
        <f>Inputs!$B$61+(Inputs!$B$62-Inputs!$B$61)*(AB$3-2020)/30</f>
        <v>0.27</v>
      </c>
      <c r="AC29" s="75">
        <f>Inputs!$B$61+(Inputs!$B$62-Inputs!$B$61)*(AC$3-2020)/30</f>
        <v>0.24166666666666659</v>
      </c>
      <c r="AD29" s="75">
        <f>Inputs!$B$61+(Inputs!$B$62-Inputs!$B$61)*(AD$3-2020)/30</f>
        <v>0.21333333333333337</v>
      </c>
      <c r="AE29" s="75">
        <f>Inputs!$B$61+(Inputs!$B$62-Inputs!$B$61)*(AE$3-2020)/30</f>
        <v>0.18499999999999994</v>
      </c>
      <c r="AF29" s="75">
        <f>Inputs!$B$61+(Inputs!$B$62-Inputs!$B$61)*(AF$3-2020)/30</f>
        <v>0.15666666666666662</v>
      </c>
      <c r="AG29" s="75">
        <f>Inputs!$B$61+(Inputs!$B$62-Inputs!$B$61)*(AG$3-2020)/30</f>
        <v>0.1283333333333333</v>
      </c>
      <c r="AH29" s="75">
        <f>Inputs!$B$61+(Inputs!$B$62-Inputs!$B$61)*(AH$3-2020)/30</f>
        <v>9.9999999999999978E-2</v>
      </c>
    </row>
    <row r="30" spans="1:35" x14ac:dyDescent="0.2">
      <c r="A30" s="69" t="s">
        <v>46</v>
      </c>
      <c r="B30" s="72" t="s">
        <v>5</v>
      </c>
      <c r="C30" s="71" t="s">
        <v>47</v>
      </c>
      <c r="D30" s="76">
        <f>(1-D29)*D7+D29*Inputs!$B$63</f>
        <v>14.425000000000001</v>
      </c>
      <c r="E30" s="76">
        <f>(1-E29)*E7+E29*Inputs!$B$63</f>
        <v>14.097861111111111</v>
      </c>
      <c r="F30" s="76">
        <f>(1-F29)*F7+F29*Inputs!$B$63</f>
        <v>13.769777777777778</v>
      </c>
      <c r="G30" s="76">
        <f>(1-G29)*G7+G29*Inputs!$B$63</f>
        <v>13.44075</v>
      </c>
      <c r="H30" s="76">
        <f>(1-H29)*H7+H29*Inputs!$B$63</f>
        <v>13.110777777777779</v>
      </c>
      <c r="I30" s="76">
        <f>(1-I29)*I7+I29*Inputs!$B$63</f>
        <v>12.779861111111112</v>
      </c>
      <c r="J30" s="76">
        <f>(1-J29)*J7+J29*Inputs!$B$63</f>
        <v>12.448</v>
      </c>
      <c r="K30" s="76">
        <f>(1-K29)*K7+K29*Inputs!$B$63</f>
        <v>12.115194444444443</v>
      </c>
      <c r="L30" s="76">
        <f>(1-L29)*L7+L29*Inputs!$B$63</f>
        <v>11.781444444444444</v>
      </c>
      <c r="M30" s="76">
        <f>(1-M29)*M7+M29*Inputs!$B$63</f>
        <v>11.44675</v>
      </c>
      <c r="N30" s="76">
        <f>(1-N29)*N7+N29*Inputs!$B$63</f>
        <v>11.111111111111111</v>
      </c>
      <c r="O30" s="76">
        <f>(1-O29)*O7+O29*Inputs!$B$63</f>
        <v>10.774527777777777</v>
      </c>
      <c r="P30" s="76">
        <f>(1-P29)*P7+P29*Inputs!$B$63</f>
        <v>10.437000000000001</v>
      </c>
      <c r="Q30" s="76">
        <f>(1-Q29)*Q7+Q29*Inputs!$B$63</f>
        <v>10.098527777777777</v>
      </c>
      <c r="R30" s="76">
        <f>(1-R29)*R7+R29*Inputs!$B$63</f>
        <v>9.7591111111111104</v>
      </c>
      <c r="S30" s="76">
        <f>(1-S29)*S7+S29*Inputs!$B$63</f>
        <v>9.4187499999999993</v>
      </c>
      <c r="T30" s="76">
        <f>(1-T29)*T7+T29*Inputs!$B$63</f>
        <v>9.0774444444444438</v>
      </c>
      <c r="U30" s="76">
        <f>(1-U29)*U7+U29*Inputs!$B$63</f>
        <v>8.7351944444444438</v>
      </c>
      <c r="V30" s="76">
        <f>(1-V29)*V7+V29*Inputs!$B$63</f>
        <v>8.3919999999999995</v>
      </c>
      <c r="W30" s="76">
        <f>(1-W29)*W7+W29*Inputs!$B$63</f>
        <v>8.0478611111111107</v>
      </c>
      <c r="X30" s="76">
        <f>(1-X29)*X7+X29*Inputs!$B$63</f>
        <v>7.7027777777777775</v>
      </c>
      <c r="Y30" s="76">
        <f>(1-Y29)*Y7+Y29*Inputs!$B$63</f>
        <v>7.3567499999999999</v>
      </c>
      <c r="Z30" s="76">
        <f>(1-Z29)*Z7+Z29*Inputs!$B$63</f>
        <v>7.0097777777777779</v>
      </c>
      <c r="AA30" s="76">
        <f>(1-AA29)*AA7+AA29*Inputs!$B$63</f>
        <v>6.6618611111111097</v>
      </c>
      <c r="AB30" s="76">
        <f>(1-AB29)*AB7+AB29*Inputs!$B$63</f>
        <v>6.3130000000000006</v>
      </c>
      <c r="AC30" s="76">
        <f>(1-AC29)*AC7+AC29*Inputs!$B$63</f>
        <v>5.9631944444444436</v>
      </c>
      <c r="AD30" s="76">
        <f>(1-AD29)*AD7+AD29*Inputs!$B$63</f>
        <v>5.6124444444444448</v>
      </c>
      <c r="AE30" s="76">
        <f>(1-AE29)*AE7+AE29*Inputs!$B$63</f>
        <v>5.2607499999999989</v>
      </c>
      <c r="AF30" s="76">
        <f>(1-AF29)*AF7+AF29*Inputs!$B$63</f>
        <v>4.9081111111111104</v>
      </c>
      <c r="AG30" s="76">
        <f>(1-AG29)*AG7+AG29*Inputs!$B$63</f>
        <v>4.5545277777777766</v>
      </c>
      <c r="AH30" s="76">
        <f>(1-AH29)*AH7+AH29*Inputs!$B$63</f>
        <v>4.1999999999999993</v>
      </c>
    </row>
    <row r="31" spans="1:35" x14ac:dyDescent="0.2">
      <c r="A31" s="69" t="s">
        <v>48</v>
      </c>
      <c r="B31" s="72" t="s">
        <v>12</v>
      </c>
      <c r="C31" s="71" t="s">
        <v>49</v>
      </c>
      <c r="D31" s="73">
        <f>D30*Supply!D29</f>
        <v>5375.5081567649568</v>
      </c>
      <c r="E31" s="73">
        <f>E30*Supply!E29</f>
        <v>6992.1837556099445</v>
      </c>
      <c r="F31" s="73">
        <f>F30*Supply!F29</f>
        <v>8498.9296692167827</v>
      </c>
      <c r="G31" s="73">
        <f>G30*Supply!G29</f>
        <v>9897.9945213359042</v>
      </c>
      <c r="H31" s="73">
        <f>H30*Supply!H29</f>
        <v>11191.580621404179</v>
      </c>
      <c r="I31" s="73">
        <f>I30*Supply!I29</f>
        <v>12381.844304452496</v>
      </c>
      <c r="J31" s="73">
        <f>J30*Supply!J29</f>
        <v>13470.896255602922</v>
      </c>
      <c r="K31" s="73">
        <f>K30*Supply!K29</f>
        <v>15124.108714958626</v>
      </c>
      <c r="L31" s="73">
        <f>L30*Supply!L29</f>
        <v>16643.649458683343</v>
      </c>
      <c r="M31" s="73">
        <f>M30*Supply!M29</f>
        <v>18031.338889560593</v>
      </c>
      <c r="N31" s="73">
        <f>N30*Supply!N29</f>
        <v>19288.952903648591</v>
      </c>
      <c r="O31" s="73">
        <f>O30*Supply!O29</f>
        <v>20418.223137140409</v>
      </c>
      <c r="P31" s="73">
        <f>P30*Supply!P29</f>
        <v>21420.837197531455</v>
      </c>
      <c r="Q31" s="73">
        <f>Q30*Supply!Q29</f>
        <v>22298.438879022731</v>
      </c>
      <c r="R31" s="73">
        <f>R30*Supply!R29</f>
        <v>23052.628362081217</v>
      </c>
      <c r="S31" s="73">
        <f>S30*Supply!S29</f>
        <v>23684.962397071158</v>
      </c>
      <c r="T31" s="73">
        <f>T30*Supply!T29</f>
        <v>24196.954471862624</v>
      </c>
      <c r="U31" s="73">
        <f>U30*Supply!U29</f>
        <v>24111.823067483507</v>
      </c>
      <c r="V31" s="73">
        <f>V30*Supply!V29</f>
        <v>23946.827272539304</v>
      </c>
      <c r="W31" s="73">
        <f>W30*Supply!W29</f>
        <v>23703.506756284918</v>
      </c>
      <c r="X31" s="73">
        <f>X30*Supply!X29</f>
        <v>23383.358433557583</v>
      </c>
      <c r="Y31" s="73">
        <f>Y30*Supply!Y29</f>
        <v>22987.836550606062</v>
      </c>
      <c r="Z31" s="73">
        <f>Z30*Supply!Z29</f>
        <v>22518.352754176281</v>
      </c>
      <c r="AA31" s="73">
        <f>AA30*Supply!AA29</f>
        <v>21976.276143705541</v>
      </c>
      <c r="AB31" s="73">
        <f>AB30*Supply!AB29</f>
        <v>21362.933306469644</v>
      </c>
      <c r="AC31" s="73">
        <f>AC30*Supply!AC29</f>
        <v>20679.608335518151</v>
      </c>
      <c r="AD31" s="73">
        <f>AD30*Supply!AD29</f>
        <v>19927.542830225651</v>
      </c>
      <c r="AE31" s="73">
        <f>AE30*Supply!AE29</f>
        <v>19107.935879277324</v>
      </c>
      <c r="AF31" s="73">
        <f>AF30*Supply!AF29</f>
        <v>18221.944025899331</v>
      </c>
      <c r="AG31" s="73">
        <f>AG30*Supply!AG29</f>
        <v>17270.681215134842</v>
      </c>
      <c r="AH31" s="73">
        <f>AH30*Supply!AH29</f>
        <v>16255.218722958531</v>
      </c>
    </row>
    <row r="32" spans="1:35" x14ac:dyDescent="0.2">
      <c r="A32" s="69" t="s">
        <v>50</v>
      </c>
      <c r="B32" s="72" t="s">
        <v>26</v>
      </c>
      <c r="C32" s="71" t="s">
        <v>51</v>
      </c>
      <c r="D32" s="77">
        <f>(D28+D10+D31+D14)*Inputs!$B$64</f>
        <v>28.039627032458245</v>
      </c>
      <c r="E32" s="77">
        <f>(E28+E10+E31+E14)*Inputs!$B$64</f>
        <v>33.821773973939962</v>
      </c>
      <c r="F32" s="77">
        <f>(F28+F10+F31+F14)*Inputs!$B$64</f>
        <v>39.208914988133692</v>
      </c>
      <c r="G32" s="77">
        <f>(G28+G10+G31+G14)*Inputs!$B$64</f>
        <v>44.209121678472357</v>
      </c>
      <c r="H32" s="77">
        <f>(H28+H10+H31+H14)*Inputs!$B$64</f>
        <v>48.830299293609357</v>
      </c>
      <c r="I32" s="77">
        <f>(I28+I10+I31+I14)*Inputs!$B$64</f>
        <v>53.08018794667592</v>
      </c>
      <c r="J32" s="77">
        <f>(J28+J10+J31+J14)*Inputs!$B$64</f>
        <v>56.966363779104583</v>
      </c>
      <c r="K32" s="77">
        <f>(K28+K10+K31+K14)*Inputs!$B$64</f>
        <v>62.884144893909436</v>
      </c>
      <c r="L32" s="77">
        <f>(L28+L10+L31+L14)*Inputs!$B$64</f>
        <v>68.321313683291407</v>
      </c>
      <c r="M32" s="77">
        <f>(M28+M10+M31+M14)*Inputs!$B$64</f>
        <v>73.284402350412918</v>
      </c>
      <c r="N32" s="77">
        <f>(N28+N10+N31+N14)*Inputs!$B$64</f>
        <v>77.779783225158866</v>
      </c>
      <c r="O32" s="77">
        <f>(O28+O10+O31+O14)*Inputs!$B$64</f>
        <v>81.813669648678101</v>
      </c>
      <c r="P32" s="77">
        <f>(P28+P10+P31+P14)*Inputs!$B$64</f>
        <v>85.392116801472199</v>
      </c>
      <c r="Q32" s="77">
        <f>(Q28+Q10+Q31+Q14)*Inputs!$B$64</f>
        <v>88.521022474774071</v>
      </c>
      <c r="R32" s="77">
        <f>(R28+R10+R31+R14)*Inputs!$B$64</f>
        <v>91.206127784932292</v>
      </c>
      <c r="S32" s="77">
        <f>(S28+S10+S31+S14)*Inputs!$B$64</f>
        <v>93.453017830491021</v>
      </c>
      <c r="T32" s="77">
        <f>(T28+T10+T31+T14)*Inputs!$B$64</f>
        <v>95.267122291627686</v>
      </c>
      <c r="U32" s="77">
        <f>(U28+U10+U31+U14)*Inputs!$B$64</f>
        <v>94.932009146586253</v>
      </c>
      <c r="V32" s="77">
        <f>(V28+V10+V31+V14)*Inputs!$B$64</f>
        <v>94.30979287971374</v>
      </c>
      <c r="W32" s="77">
        <f>(W28+W10+W31+W14)*Inputs!$B$64</f>
        <v>93.405998380682405</v>
      </c>
      <c r="X32" s="77">
        <f>(X28+X10+X31+X14)*Inputs!$B$64</f>
        <v>92.225996934450393</v>
      </c>
      <c r="Y32" s="77">
        <f>(Y28+Y10+Y31+Y14)*Inputs!$B$64</f>
        <v>90.775006526486962</v>
      </c>
      <c r="Z32" s="77">
        <f>(Z28+Z10+Z31+Z14)*Inputs!$B$64</f>
        <v>89.058092087758283</v>
      </c>
      <c r="AA32" s="77">
        <f>(AA28+AA10+AA31+AA14)*Inputs!$B$64</f>
        <v>87.080165678941555</v>
      </c>
      <c r="AB32" s="77">
        <f>(AB28+AB10+AB31+AB14)*Inputs!$B$64</f>
        <v>84.845986613306593</v>
      </c>
      <c r="AC32" s="77">
        <f>(AC28+AC10+AC31+AC14)*Inputs!$B$64</f>
        <v>82.360161517671116</v>
      </c>
      <c r="AD32" s="77">
        <f>(AD28+AD10+AD31+AD14)*Inputs!$B$64</f>
        <v>79.627144330810054</v>
      </c>
      <c r="AE32" s="77">
        <f>(AE28+AE10+AE31+AE14)*Inputs!$B$64</f>
        <v>76.651236238664353</v>
      </c>
      <c r="AF32" s="77">
        <f>(AF28+AF10+AF31+AF14)*Inputs!$B$64</f>
        <v>73.436585545666603</v>
      </c>
      <c r="AG32" s="77">
        <f>(AG28+AG10+AG31+AG14)*Inputs!$B$64</f>
        <v>69.987187481466364</v>
      </c>
      <c r="AH32" s="77">
        <f>(AH28+AH10+AH31+AH14)*Inputs!$B$64</f>
        <v>66.306883942309042</v>
      </c>
    </row>
    <row r="33" spans="1:34" x14ac:dyDescent="0.2">
      <c r="A33" s="69" t="s">
        <v>52</v>
      </c>
      <c r="B33" s="72" t="s">
        <v>39</v>
      </c>
      <c r="C33" s="71" t="s">
        <v>53</v>
      </c>
      <c r="D33" s="75">
        <f>D15/Inputs!$B$65</f>
        <v>0.12266599633443066</v>
      </c>
      <c r="E33" s="75">
        <f>E15/Inputs!$B$65</f>
        <v>0.13445769848192163</v>
      </c>
      <c r="F33" s="75">
        <f>F15/Inputs!$B$65</f>
        <v>0.1459316946211375</v>
      </c>
      <c r="G33" s="75">
        <f>G15/Inputs!$B$65</f>
        <v>0.15709475940490436</v>
      </c>
      <c r="H33" s="75">
        <f>H15/Inputs!$B$65</f>
        <v>0.16795355815511367</v>
      </c>
      <c r="I33" s="75">
        <f>I15/Inputs!$B$65</f>
        <v>0.1785146486547482</v>
      </c>
      <c r="J33" s="75">
        <f>J15/Inputs!$B$65</f>
        <v>0.18878448290639249</v>
      </c>
      <c r="K33" s="75">
        <f>K15/Inputs!$B$65</f>
        <v>0.2040619088577057</v>
      </c>
      <c r="L33" s="75">
        <f>L15/Inputs!$B$65</f>
        <v>0.21900852923717867</v>
      </c>
      <c r="M33" s="75">
        <f>M15/Inputs!$B$65</f>
        <v>0.23363048892920527</v>
      </c>
      <c r="N33" s="75">
        <f>N15/Inputs!$B$65</f>
        <v>0.24793383374604844</v>
      </c>
      <c r="O33" s="75">
        <f>O15/Inputs!$B$65</f>
        <v>0.26192451202570444</v>
      </c>
      <c r="P33" s="75">
        <f>P15/Inputs!$B$65</f>
        <v>0.27560837619893946</v>
      </c>
      <c r="Q33" s="75">
        <f>Q15/Inputs!$B$65</f>
        <v>0.28899118432590304</v>
      </c>
      <c r="R33" s="75">
        <f>R15/Inputs!$B$65</f>
        <v>0.30207860160271421</v>
      </c>
      <c r="S33" s="75">
        <f>S15/Inputs!$B$65</f>
        <v>0.31487620183840154</v>
      </c>
      <c r="T33" s="75">
        <f>T15/Inputs!$B$65</f>
        <v>0.32738946890256554</v>
      </c>
      <c r="U33" s="75">
        <f>U15/Inputs!$B$65</f>
        <v>0.33459201242984071</v>
      </c>
      <c r="V33" s="75">
        <f>V15/Inputs!$B$65</f>
        <v>0.34157306921007252</v>
      </c>
      <c r="W33" s="75">
        <f>W15/Inputs!$B$65</f>
        <v>0.34833786169311959</v>
      </c>
      <c r="X33" s="75">
        <f>X15/Inputs!$B$65</f>
        <v>0.35489152789431883</v>
      </c>
      <c r="Y33" s="75">
        <f>Y15/Inputs!$B$65</f>
        <v>0.36123912270092817</v>
      </c>
      <c r="Z33" s="75">
        <f>Z15/Inputs!$B$65</f>
        <v>0.36738561915127871</v>
      </c>
      <c r="AA33" s="75">
        <f>AA15/Inputs!$B$65</f>
        <v>0.37333590968692698</v>
      </c>
      <c r="AB33" s="75">
        <f>AB15/Inputs!$B$65</f>
        <v>0.37909480737809081</v>
      </c>
      <c r="AC33" s="75">
        <f>AC15/Inputs!$B$65</f>
        <v>0.38466704712263572</v>
      </c>
      <c r="AD33" s="75">
        <f>AD15/Inputs!$B$65</f>
        <v>0.39005728681887408</v>
      </c>
      <c r="AE33" s="75">
        <f>AE15/Inputs!$B$65</f>
        <v>0.39527010851242417</v>
      </c>
      <c r="AF33" s="75">
        <f>AF15/Inputs!$B$65</f>
        <v>0.40031001951736889</v>
      </c>
      <c r="AG33" s="75">
        <f>AG15/Inputs!$B$65</f>
        <v>0.40518145351193857</v>
      </c>
      <c r="AH33" s="75">
        <f>AH15/Inputs!$B$65</f>
        <v>0.409888771608939</v>
      </c>
    </row>
    <row r="34" spans="1:34" x14ac:dyDescent="0.2">
      <c r="A34" s="78" t="s">
        <v>54</v>
      </c>
      <c r="B34" s="72" t="s">
        <v>26</v>
      </c>
      <c r="C34" s="71" t="s">
        <v>55</v>
      </c>
      <c r="D34" s="79">
        <f>D20-(D19+D12*Inputs!$B$64)</f>
        <v>0</v>
      </c>
      <c r="E34" s="79">
        <f>E20-(E19+E12*Inputs!$B$64)</f>
        <v>0</v>
      </c>
      <c r="F34" s="79">
        <f>F20-(F19+F12*Inputs!$B$64)</f>
        <v>0</v>
      </c>
      <c r="G34" s="79">
        <f>G20-(G19+G12*Inputs!$B$64)</f>
        <v>0</v>
      </c>
      <c r="H34" s="79">
        <f>H20-(H19+H12*Inputs!$B$64)</f>
        <v>0</v>
      </c>
      <c r="I34" s="79">
        <f>I20-(I19+I12*Inputs!$B$64)</f>
        <v>0</v>
      </c>
      <c r="J34" s="79">
        <f>J20-(J19+J12*Inputs!$B$64)</f>
        <v>0</v>
      </c>
      <c r="K34" s="79">
        <f>K20-(K19+K12*Inputs!$B$64)</f>
        <v>0</v>
      </c>
      <c r="L34" s="79">
        <f>L20-(L19+L12*Inputs!$B$64)</f>
        <v>0</v>
      </c>
      <c r="M34" s="79">
        <f>M20-(M19+M12*Inputs!$B$64)</f>
        <v>0</v>
      </c>
      <c r="N34" s="79">
        <f>N20-(N19+N12*Inputs!$B$64)</f>
        <v>0</v>
      </c>
      <c r="O34" s="79">
        <f>O20-(O19+O12*Inputs!$B$64)</f>
        <v>0</v>
      </c>
      <c r="P34" s="79">
        <f>P20-(P19+P12*Inputs!$B$64)</f>
        <v>0</v>
      </c>
      <c r="Q34" s="79">
        <f>Q20-(Q19+Q12*Inputs!$B$64)</f>
        <v>0</v>
      </c>
      <c r="R34" s="79">
        <f>R20-(R19+R12*Inputs!$B$64)</f>
        <v>0</v>
      </c>
      <c r="S34" s="79">
        <f>S20-(S19+S12*Inputs!$B$64)</f>
        <v>0</v>
      </c>
      <c r="T34" s="79">
        <f>T20-(T19+T12*Inputs!$B$64)</f>
        <v>0</v>
      </c>
      <c r="U34" s="79">
        <f>U20-(U19+U12*Inputs!$B$64)</f>
        <v>0</v>
      </c>
      <c r="V34" s="79">
        <f>V20-(V19+V12*Inputs!$B$64)</f>
        <v>0</v>
      </c>
      <c r="W34" s="79">
        <f>W20-(W19+W12*Inputs!$B$64)</f>
        <v>0</v>
      </c>
      <c r="X34" s="79">
        <f>X20-(X19+X12*Inputs!$B$64)</f>
        <v>0</v>
      </c>
      <c r="Y34" s="79">
        <f>Y20-(Y19+Y12*Inputs!$B$64)</f>
        <v>0</v>
      </c>
      <c r="Z34" s="79">
        <f>Z20-(Z19+Z12*Inputs!$B$64)</f>
        <v>0</v>
      </c>
      <c r="AA34" s="79">
        <f>AA20-(AA19+AA12*Inputs!$B$64)</f>
        <v>0</v>
      </c>
      <c r="AB34" s="79">
        <f>AB20-(AB19+AB12*Inputs!$B$64)</f>
        <v>0</v>
      </c>
      <c r="AC34" s="79">
        <f>AC20-(AC19+AC12*Inputs!$B$64)</f>
        <v>0</v>
      </c>
      <c r="AD34" s="79">
        <f>AD20-(AD19+AD12*Inputs!$B$64)</f>
        <v>0</v>
      </c>
      <c r="AE34" s="79">
        <f>AE20-(AE19+AE12*Inputs!$B$64)</f>
        <v>0</v>
      </c>
      <c r="AF34" s="79">
        <f>AF20-(AF19+AF12*Inputs!$B$64)</f>
        <v>0</v>
      </c>
      <c r="AG34" s="79">
        <f>AG20-(AG19+AG12*Inputs!$B$64)</f>
        <v>0</v>
      </c>
      <c r="AH34" s="79">
        <f>AH20-(AH19+AH12*Inputs!$B$64)</f>
        <v>0</v>
      </c>
    </row>
    <row r="35" spans="1:34" x14ac:dyDescent="0.2">
      <c r="A35" s="78" t="s">
        <v>56</v>
      </c>
      <c r="B35" s="72" t="s">
        <v>12</v>
      </c>
      <c r="C35" s="71" t="s">
        <v>57</v>
      </c>
      <c r="D35" s="73">
        <f t="shared" ref="D35:AH35" si="3">D11-D12</f>
        <v>1304.2827416760726</v>
      </c>
      <c r="E35" s="73">
        <f t="shared" si="3"/>
        <v>1727.6455312438786</v>
      </c>
      <c r="F35" s="73">
        <f t="shared" si="3"/>
        <v>2139.6827648276712</v>
      </c>
      <c r="G35" s="73">
        <f t="shared" si="3"/>
        <v>2540.6380669686496</v>
      </c>
      <c r="H35" s="73">
        <f t="shared" si="3"/>
        <v>2930.7511309727288</v>
      </c>
      <c r="I35" s="73">
        <f t="shared" si="3"/>
        <v>3310.2577828563972</v>
      </c>
      <c r="J35" s="73">
        <f t="shared" si="3"/>
        <v>3679.3900441074816</v>
      </c>
      <c r="K35" s="73">
        <f t="shared" si="3"/>
        <v>4223.6136932776353</v>
      </c>
      <c r="L35" s="73">
        <f t="shared" si="3"/>
        <v>4731.8844230810682</v>
      </c>
      <c r="M35" s="73">
        <f t="shared" si="3"/>
        <v>5079.3887890083988</v>
      </c>
      <c r="N35" s="73">
        <f t="shared" si="3"/>
        <v>5417.0549062847713</v>
      </c>
      <c r="O35" s="73">
        <f t="shared" si="3"/>
        <v>5745.0876569057191</v>
      </c>
      <c r="P35" s="73">
        <f t="shared" si="3"/>
        <v>6063.6890190622216</v>
      </c>
      <c r="Q35" s="73">
        <f t="shared" si="3"/>
        <v>6373.0581110221929</v>
      </c>
      <c r="R35" s="73">
        <f t="shared" si="3"/>
        <v>6673.391234100869</v>
      </c>
      <c r="S35" s="73">
        <f t="shared" si="3"/>
        <v>6964.8819147319236</v>
      </c>
      <c r="T35" s="73">
        <f t="shared" si="3"/>
        <v>7247.7209456505834</v>
      </c>
      <c r="U35" s="73">
        <f t="shared" si="3"/>
        <v>7522.0964261999707</v>
      </c>
      <c r="V35" s="73">
        <f t="shared" si="3"/>
        <v>7788.1938017711218</v>
      </c>
      <c r="W35" s="73">
        <f t="shared" si="3"/>
        <v>8046.195902387054</v>
      </c>
      <c r="X35" s="73">
        <f t="shared" si="3"/>
        <v>8296.2829804406974</v>
      </c>
      <c r="Y35" s="73">
        <f t="shared" si="3"/>
        <v>8538.6327475962262</v>
      </c>
      <c r="Z35" s="73">
        <f t="shared" si="3"/>
        <v>8773.4204108629019</v>
      </c>
      <c r="AA35" s="73">
        <f t="shared" si="3"/>
        <v>9000.8187078501869</v>
      </c>
      <c r="AB35" s="73">
        <f t="shared" si="3"/>
        <v>9220.9979412125886</v>
      </c>
      <c r="AC35" s="73">
        <f t="shared" si="3"/>
        <v>9434.1260122921321</v>
      </c>
      <c r="AD35" s="73">
        <f t="shared" si="3"/>
        <v>9640.3684539662609</v>
      </c>
      <c r="AE35" s="73">
        <f t="shared" si="3"/>
        <v>9839.8884627084062</v>
      </c>
      <c r="AF35" s="73">
        <f t="shared" si="3"/>
        <v>10032.846929868174</v>
      </c>
      <c r="AG35" s="73">
        <f t="shared" si="3"/>
        <v>10219.40247217775</v>
      </c>
      <c r="AH35" s="73">
        <f t="shared" si="3"/>
        <v>10399.711461490775</v>
      </c>
    </row>
    <row r="39" spans="1:34" x14ac:dyDescent="0.2">
      <c r="D39" s="89">
        <f>+D19/D40</f>
        <v>0.12722425981464688</v>
      </c>
    </row>
    <row r="40" spans="1:34" x14ac:dyDescent="0.2">
      <c r="D40" s="67">
        <f>33746*Inputs!$B$64</f>
        <v>121.48559999999999</v>
      </c>
      <c r="E40" s="67"/>
    </row>
    <row r="41" spans="1:34" x14ac:dyDescent="0.2">
      <c r="E41" s="67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2"/>
  <sheetViews>
    <sheetView showGridLines="0" tabSelected="1" zoomScale="140" zoomScaleNormal="100" workbookViewId="0">
      <selection activeCell="I33" sqref="I33"/>
    </sheetView>
  </sheetViews>
  <sheetFormatPr baseColWidth="10" defaultColWidth="8.6640625" defaultRowHeight="15" x14ac:dyDescent="0.2"/>
  <cols>
    <col min="1" max="1" width="42" customWidth="1"/>
    <col min="2" max="15" width="14" customWidth="1"/>
  </cols>
  <sheetData>
    <row r="1" spans="1:5" ht="17.25" customHeight="1" x14ac:dyDescent="0.2">
      <c r="A1" s="92" t="s">
        <v>313</v>
      </c>
      <c r="B1" s="91"/>
      <c r="C1" s="91"/>
      <c r="D1" s="91"/>
      <c r="E1" s="91"/>
    </row>
    <row r="3" spans="1:5" ht="15" customHeight="1" x14ac:dyDescent="0.2">
      <c r="A3" s="6" t="s">
        <v>1</v>
      </c>
      <c r="B3" s="6" t="s">
        <v>314</v>
      </c>
      <c r="C3" s="6" t="s">
        <v>315</v>
      </c>
      <c r="D3" s="6" t="s">
        <v>316</v>
      </c>
      <c r="E3" s="6" t="s">
        <v>3</v>
      </c>
    </row>
    <row r="4" spans="1:5" ht="15" customHeight="1" x14ac:dyDescent="0.2">
      <c r="A4" s="34" t="s">
        <v>229</v>
      </c>
      <c r="B4" s="35">
        <f>Demand!D5</f>
        <v>6735277</v>
      </c>
      <c r="C4" s="35">
        <f>Demand!AH5</f>
        <v>10506952</v>
      </c>
      <c r="D4" s="36">
        <f t="shared" ref="D4:D25" si="0">IFERROR((C4/B4)^(1/30)-1,"")</f>
        <v>1.4933006156565121E-2</v>
      </c>
      <c r="E4" s="37"/>
    </row>
    <row r="5" spans="1:5" ht="15" customHeight="1" x14ac:dyDescent="0.2">
      <c r="A5" s="34" t="s">
        <v>317</v>
      </c>
      <c r="B5" s="35">
        <f>Demand!D6</f>
        <v>6357</v>
      </c>
      <c r="C5" s="35">
        <f>Demand!AH6</f>
        <v>14556.120803562733</v>
      </c>
      <c r="D5" s="36">
        <f t="shared" si="0"/>
        <v>2.8000000000000025E-2</v>
      </c>
      <c r="E5" s="37"/>
    </row>
    <row r="6" spans="1:5" ht="15" customHeight="1" x14ac:dyDescent="0.2">
      <c r="A6" s="34" t="s">
        <v>318</v>
      </c>
      <c r="B6" s="35">
        <f>Demand!D7</f>
        <v>42816.155889000001</v>
      </c>
      <c r="C6" s="35">
        <f>Demand!AH7</f>
        <v>152940.46258923507</v>
      </c>
      <c r="D6" s="36">
        <f t="shared" si="0"/>
        <v>4.3351130328949106E-2</v>
      </c>
      <c r="E6" s="37"/>
    </row>
    <row r="7" spans="1:5" ht="15" customHeight="1" x14ac:dyDescent="0.2">
      <c r="A7" s="38" t="s">
        <v>319</v>
      </c>
      <c r="B7" s="39">
        <f>Demand!D19</f>
        <v>4937.6861244436996</v>
      </c>
      <c r="C7" s="39">
        <f>Demand!AH19</f>
        <v>7071.1429127381816</v>
      </c>
      <c r="D7" s="40">
        <f t="shared" si="0"/>
        <v>1.2042780571666523E-2</v>
      </c>
      <c r="E7" s="41"/>
    </row>
    <row r="8" spans="1:5" ht="15" customHeight="1" x14ac:dyDescent="0.2">
      <c r="A8" s="34" t="s">
        <v>320</v>
      </c>
      <c r="B8" s="42">
        <f>Demand!D13</f>
        <v>1020.226083575</v>
      </c>
      <c r="C8" s="42">
        <f>Demand!AH13</f>
        <v>1369.3363336248351</v>
      </c>
      <c r="D8" s="36">
        <f t="shared" si="0"/>
        <v>9.8583411257824327E-3</v>
      </c>
      <c r="E8" s="37"/>
    </row>
    <row r="9" spans="1:5" ht="15" customHeight="1" x14ac:dyDescent="0.2">
      <c r="A9" s="34" t="s">
        <v>321</v>
      </c>
      <c r="B9" s="42">
        <f>Demand!D14</f>
        <v>248.33370415619999</v>
      </c>
      <c r="C9" s="42">
        <f>Demand!AH14</f>
        <v>656.15468024391419</v>
      </c>
      <c r="D9" s="36">
        <f t="shared" si="0"/>
        <v>3.2917619025659484E-2</v>
      </c>
      <c r="E9" s="37"/>
    </row>
    <row r="10" spans="1:5" ht="15" customHeight="1" x14ac:dyDescent="0.2">
      <c r="A10" s="34" t="s">
        <v>322</v>
      </c>
      <c r="B10" s="42">
        <f>Demand!D15</f>
        <v>3669.1263367124998</v>
      </c>
      <c r="C10" s="42">
        <f>Demand!AH15</f>
        <v>4498.1518988694324</v>
      </c>
      <c r="D10" s="36">
        <f t="shared" si="0"/>
        <v>6.8135421073125535E-3</v>
      </c>
      <c r="E10" s="37"/>
    </row>
    <row r="11" spans="1:5" ht="15" customHeight="1" x14ac:dyDescent="0.2">
      <c r="A11" s="43" t="s">
        <v>323</v>
      </c>
      <c r="B11" s="44">
        <f>Demand!D17</f>
        <v>0</v>
      </c>
      <c r="C11" s="44">
        <f>Demand!AH17</f>
        <v>547.5</v>
      </c>
      <c r="D11" s="45" t="str">
        <f t="shared" si="0"/>
        <v/>
      </c>
      <c r="E11" s="46" t="s">
        <v>324</v>
      </c>
    </row>
    <row r="12" spans="1:5" ht="15" customHeight="1" x14ac:dyDescent="0.2">
      <c r="A12" s="34" t="s">
        <v>325</v>
      </c>
      <c r="B12" s="42">
        <f>Supply!D8</f>
        <v>3500</v>
      </c>
      <c r="C12" s="42">
        <f>Supply!AH8</f>
        <v>2224.1033245597232</v>
      </c>
      <c r="D12" s="36">
        <f t="shared" si="0"/>
        <v>-1.5000000000000013E-2</v>
      </c>
      <c r="E12" s="37"/>
    </row>
    <row r="13" spans="1:5" ht="15" customHeight="1" x14ac:dyDescent="0.2">
      <c r="A13" s="34" t="s">
        <v>326</v>
      </c>
      <c r="B13" s="42">
        <f>Supply!D9</f>
        <v>912</v>
      </c>
      <c r="C13" s="42">
        <f>Supply!AH9</f>
        <v>497.48169927678225</v>
      </c>
      <c r="D13" s="36">
        <f t="shared" si="0"/>
        <v>-2.0000000000000018E-2</v>
      </c>
      <c r="E13" s="37" t="s">
        <v>327</v>
      </c>
    </row>
    <row r="14" spans="1:5" ht="15" customHeight="1" x14ac:dyDescent="0.2">
      <c r="A14" s="47" t="s">
        <v>328</v>
      </c>
      <c r="B14" s="48">
        <f>Supply!D29</f>
        <v>372.65221190744933</v>
      </c>
      <c r="C14" s="48">
        <f>Supply!AH29</f>
        <v>3870.290172132984</v>
      </c>
      <c r="D14" s="49">
        <f t="shared" si="0"/>
        <v>8.113848592310946E-2</v>
      </c>
      <c r="E14" s="37" t="s">
        <v>329</v>
      </c>
    </row>
    <row r="15" spans="1:5" ht="15" customHeight="1" x14ac:dyDescent="0.2">
      <c r="A15" s="43" t="s">
        <v>330</v>
      </c>
      <c r="B15" s="44">
        <f>Supply!D31</f>
        <v>0</v>
      </c>
      <c r="C15" s="44">
        <f>Supply!AH31</f>
        <v>403.71968496939235</v>
      </c>
      <c r="D15" s="45" t="str">
        <f t="shared" si="0"/>
        <v/>
      </c>
      <c r="E15" s="46"/>
    </row>
    <row r="16" spans="1:5" ht="15" customHeight="1" x14ac:dyDescent="0.2">
      <c r="A16" s="43" t="s">
        <v>331</v>
      </c>
      <c r="B16" s="50">
        <f>Supply!D32</f>
        <v>0</v>
      </c>
      <c r="C16" s="50">
        <f>Supply!AH32</f>
        <v>1106081.3286832666</v>
      </c>
      <c r="D16" s="45" t="str">
        <f t="shared" si="0"/>
        <v/>
      </c>
      <c r="E16" s="46" t="s">
        <v>332</v>
      </c>
    </row>
    <row r="17" spans="1:5" ht="15" customHeight="1" x14ac:dyDescent="0.2">
      <c r="A17" s="34" t="s">
        <v>333</v>
      </c>
      <c r="B17" s="35">
        <f>Energy!D9</f>
        <v>1225</v>
      </c>
      <c r="C17" s="35">
        <f>Energy!AH9</f>
        <v>1216.7581702315351</v>
      </c>
      <c r="D17" s="36">
        <f t="shared" si="0"/>
        <v>-2.2500000000014175E-4</v>
      </c>
      <c r="E17" s="37"/>
    </row>
    <row r="18" spans="1:5" ht="15" customHeight="1" x14ac:dyDescent="0.2">
      <c r="A18" s="34" t="s">
        <v>334</v>
      </c>
      <c r="B18" s="35">
        <f>Energy!D10</f>
        <v>1641.6000000000001</v>
      </c>
      <c r="C18" s="35">
        <f>Energy!AH10</f>
        <v>1206.9543037827277</v>
      </c>
      <c r="D18" s="36">
        <f t="shared" si="0"/>
        <v>-1.0199999999999987E-2</v>
      </c>
      <c r="E18" s="37"/>
    </row>
    <row r="19" spans="1:5" ht="15" customHeight="1" x14ac:dyDescent="0.2">
      <c r="A19" s="34" t="s">
        <v>335</v>
      </c>
      <c r="B19" s="35">
        <f>Energy!D11</f>
        <v>1304.2827416760726</v>
      </c>
      <c r="C19" s="35">
        <f>Energy!AH11</f>
        <v>11610.870516398953</v>
      </c>
      <c r="D19" s="36">
        <f t="shared" si="0"/>
        <v>7.5597459577828818E-2</v>
      </c>
      <c r="E19" s="37"/>
    </row>
    <row r="20" spans="1:5" ht="15" customHeight="1" x14ac:dyDescent="0.2">
      <c r="A20" s="43" t="s">
        <v>336</v>
      </c>
      <c r="B20" s="50">
        <f>Energy!D12</f>
        <v>0</v>
      </c>
      <c r="C20" s="50">
        <f>Energy!AH12</f>
        <v>1211.159054908177</v>
      </c>
      <c r="D20" s="45" t="str">
        <f t="shared" si="0"/>
        <v/>
      </c>
      <c r="E20" s="46"/>
    </row>
    <row r="21" spans="1:5" ht="15" customHeight="1" x14ac:dyDescent="0.2">
      <c r="A21" s="38" t="s">
        <v>337</v>
      </c>
      <c r="B21" s="51">
        <f>Energy!D15</f>
        <v>4293.3098717050734</v>
      </c>
      <c r="C21" s="51">
        <f>Energy!AH15</f>
        <v>14346.107006312865</v>
      </c>
      <c r="D21" s="40">
        <f t="shared" si="0"/>
        <v>4.1033554064147992E-2</v>
      </c>
      <c r="E21" s="41"/>
    </row>
    <row r="22" spans="1:5" ht="15" customHeight="1" x14ac:dyDescent="0.2">
      <c r="A22" s="38" t="s">
        <v>338</v>
      </c>
      <c r="B22" s="52">
        <f>Energy!D16</f>
        <v>4.2933098717050733</v>
      </c>
      <c r="C22" s="52">
        <f>Energy!AH16</f>
        <v>14.346107006312865</v>
      </c>
      <c r="D22" s="40">
        <f t="shared" si="0"/>
        <v>4.1033554064147992E-2</v>
      </c>
      <c r="E22" s="41"/>
    </row>
    <row r="23" spans="1:5" ht="15" customHeight="1" x14ac:dyDescent="0.2">
      <c r="A23" s="34" t="s">
        <v>33</v>
      </c>
      <c r="B23" s="53">
        <f>Energy!D23</f>
        <v>0.86949833656929254</v>
      </c>
      <c r="C23" s="53">
        <f>Energy!AH23</f>
        <v>2.0288243616840682</v>
      </c>
      <c r="D23" s="36">
        <f t="shared" si="0"/>
        <v>2.8645798427716196E-2</v>
      </c>
      <c r="E23" s="37"/>
    </row>
    <row r="24" spans="1:5" ht="15" customHeight="1" x14ac:dyDescent="0.2">
      <c r="A24" s="34" t="s">
        <v>339</v>
      </c>
      <c r="B24" s="35">
        <f>Energy!D24</f>
        <v>637.43627347547454</v>
      </c>
      <c r="C24" s="35">
        <f>Energy!AH24</f>
        <v>1365.3918858973434</v>
      </c>
      <c r="D24" s="36">
        <f t="shared" si="0"/>
        <v>2.571652291260329E-2</v>
      </c>
      <c r="E24" s="37"/>
    </row>
    <row r="25" spans="1:5" ht="15" customHeight="1" x14ac:dyDescent="0.2">
      <c r="A25" s="34" t="s">
        <v>340</v>
      </c>
      <c r="B25" s="54">
        <f>Energy!D25</f>
        <v>0.30379422418864011</v>
      </c>
      <c r="C25" s="54">
        <f>Energy!AH25</f>
        <v>0.80933946131098156</v>
      </c>
      <c r="D25" s="36">
        <f t="shared" si="0"/>
        <v>3.3201528787179857E-2</v>
      </c>
      <c r="E25" s="37"/>
    </row>
    <row r="27" spans="1:5" x14ac:dyDescent="0.2">
      <c r="A27" t="s">
        <v>341</v>
      </c>
      <c r="B27">
        <f>Supply!D15</f>
        <v>153.03391253625</v>
      </c>
      <c r="C27">
        <f>Supply!AH15</f>
        <v>479.26771676869225</v>
      </c>
    </row>
    <row r="28" spans="1:5" x14ac:dyDescent="0.2">
      <c r="A28" t="s">
        <v>342</v>
      </c>
      <c r="B28">
        <f>Supply!D16</f>
        <v>0</v>
      </c>
      <c r="C28">
        <f>Supply!AH16</f>
        <v>143.78031503060768</v>
      </c>
    </row>
    <row r="29" spans="1:5" x14ac:dyDescent="0.2">
      <c r="A29" t="s">
        <v>343</v>
      </c>
      <c r="B29">
        <f>Supply!D17</f>
        <v>153.03391253625</v>
      </c>
      <c r="C29">
        <f>Supply!AH17</f>
        <v>335.4874017380846</v>
      </c>
    </row>
    <row r="30" spans="1:5" x14ac:dyDescent="0.2">
      <c r="A30" t="s">
        <v>344</v>
      </c>
      <c r="B30">
        <f>Energy!D14</f>
        <v>122.42713002900001</v>
      </c>
      <c r="C30">
        <f>Energy!AH14</f>
        <v>311.52401589964995</v>
      </c>
    </row>
    <row r="32" spans="1:5" x14ac:dyDescent="0.2">
      <c r="B32" t="s">
        <v>345</v>
      </c>
    </row>
    <row r="33" spans="2:6" x14ac:dyDescent="0.2">
      <c r="B33" t="s">
        <v>346</v>
      </c>
    </row>
    <row r="34" spans="2:6" x14ac:dyDescent="0.2">
      <c r="B34" t="s">
        <v>347</v>
      </c>
      <c r="C34" t="s">
        <v>348</v>
      </c>
      <c r="D34" t="s">
        <v>349</v>
      </c>
      <c r="E34" t="s">
        <v>350</v>
      </c>
      <c r="F34" t="s">
        <v>351</v>
      </c>
    </row>
    <row r="35" spans="2:6" x14ac:dyDescent="0.2">
      <c r="B35">
        <v>2020</v>
      </c>
      <c r="C35">
        <f>Demand!D13</f>
        <v>1020.226083575</v>
      </c>
      <c r="D35">
        <f>Demand!D14</f>
        <v>248.33370415619999</v>
      </c>
      <c r="E35">
        <f>Demand!D15</f>
        <v>3669.1263367124998</v>
      </c>
      <c r="F35">
        <f>Demand!D17</f>
        <v>0</v>
      </c>
    </row>
    <row r="36" spans="2:6" x14ac:dyDescent="0.2">
      <c r="B36">
        <v>2030</v>
      </c>
      <c r="C36">
        <f>Demand!N13</f>
        <v>1151.4750236846444</v>
      </c>
      <c r="D36">
        <f>Demand!N14</f>
        <v>351.27403645237484</v>
      </c>
      <c r="E36">
        <f>Demand!N15</f>
        <v>4017.9699041114704</v>
      </c>
      <c r="F36">
        <f>Demand!N17</f>
        <v>219</v>
      </c>
    </row>
    <row r="37" spans="2:6" x14ac:dyDescent="0.2">
      <c r="B37">
        <v>2040</v>
      </c>
      <c r="C37">
        <f>Demand!X13</f>
        <v>1267.4519125580866</v>
      </c>
      <c r="D37">
        <f>Demand!X14</f>
        <v>484.59095661920605</v>
      </c>
      <c r="E37">
        <f>Demand!X15</f>
        <v>4291.1091580158854</v>
      </c>
      <c r="F37">
        <f>Demand!X17</f>
        <v>547.5</v>
      </c>
    </row>
    <row r="38" spans="2:6" ht="17" customHeight="1" x14ac:dyDescent="0.2">
      <c r="B38" s="56" t="s">
        <v>352</v>
      </c>
      <c r="C38">
        <f>Demand!AH13</f>
        <v>1369.3363336248351</v>
      </c>
      <c r="D38">
        <f>Demand!AH14</f>
        <v>656.15468024391419</v>
      </c>
      <c r="E38">
        <f>Demand!AH15</f>
        <v>4498.1518988694324</v>
      </c>
      <c r="F38">
        <f>Demand!AH17</f>
        <v>547.5</v>
      </c>
    </row>
    <row r="39" spans="2:6" ht="208" customHeight="1" x14ac:dyDescent="0.2">
      <c r="B39" s="57" t="s">
        <v>353</v>
      </c>
    </row>
    <row r="59" spans="2:6" x14ac:dyDescent="0.2">
      <c r="B59" t="s">
        <v>354</v>
      </c>
    </row>
    <row r="60" spans="2:6" x14ac:dyDescent="0.2">
      <c r="B60" t="s">
        <v>347</v>
      </c>
      <c r="C60" t="s">
        <v>348</v>
      </c>
      <c r="D60" t="s">
        <v>349</v>
      </c>
      <c r="E60" t="s">
        <v>350</v>
      </c>
      <c r="F60" t="s">
        <v>351</v>
      </c>
    </row>
    <row r="61" spans="2:6" x14ac:dyDescent="0.2">
      <c r="B61">
        <v>2020</v>
      </c>
      <c r="C61">
        <f>Demand!D13</f>
        <v>1020.226083575</v>
      </c>
      <c r="D61">
        <f>Demand!D14</f>
        <v>248.33370415619999</v>
      </c>
      <c r="E61">
        <f>Demand!D15</f>
        <v>3669.1263367124998</v>
      </c>
      <c r="F61">
        <f>Demand!D17</f>
        <v>0</v>
      </c>
    </row>
    <row r="62" spans="2:6" x14ac:dyDescent="0.2">
      <c r="B62">
        <v>2021</v>
      </c>
      <c r="C62">
        <f>Demand!E13</f>
        <v>1034.0735497661874</v>
      </c>
      <c r="D62">
        <f>Demand!E14</f>
        <v>257.45178182457846</v>
      </c>
      <c r="E62">
        <f>Demand!E15</f>
        <v>3707.7143181977999</v>
      </c>
      <c r="F62">
        <f>Demand!E17</f>
        <v>0</v>
      </c>
    </row>
    <row r="63" spans="2:6" x14ac:dyDescent="0.2">
      <c r="B63">
        <v>2022</v>
      </c>
      <c r="C63">
        <f>Demand!F13</f>
        <v>1047.7570356433737</v>
      </c>
      <c r="D63">
        <f>Demand!F14</f>
        <v>266.81502777975317</v>
      </c>
      <c r="E63">
        <f>Demand!F15</f>
        <v>3745.4500678937852</v>
      </c>
      <c r="F63">
        <f>Demand!F17</f>
        <v>0</v>
      </c>
    </row>
    <row r="64" spans="2:6" x14ac:dyDescent="0.2">
      <c r="B64">
        <v>2023</v>
      </c>
      <c r="C64">
        <f>Demand!G13</f>
        <v>1061.277834823044</v>
      </c>
      <c r="D64">
        <f>Demand!G14</f>
        <v>276.42926772400915</v>
      </c>
      <c r="E64">
        <f>Demand!G15</f>
        <v>3782.34475187827</v>
      </c>
      <c r="F64">
        <f>Demand!G17</f>
        <v>0</v>
      </c>
    </row>
    <row r="65" spans="2:6" x14ac:dyDescent="0.2">
      <c r="B65">
        <v>2024</v>
      </c>
      <c r="C65">
        <f>Demand!H13</f>
        <v>1074.6372320850267</v>
      </c>
      <c r="D65">
        <f>Demand!H14</f>
        <v>286.30045684007086</v>
      </c>
      <c r="E65">
        <f>Demand!H15</f>
        <v>3818.4094121146586</v>
      </c>
      <c r="F65">
        <f>Demand!H17</f>
        <v>0</v>
      </c>
    </row>
    <row r="66" spans="2:6" x14ac:dyDescent="0.2">
      <c r="B66">
        <v>2025</v>
      </c>
      <c r="C66">
        <f>Demand!I13</f>
        <v>1087.8365034285187</v>
      </c>
      <c r="D66">
        <f>Demand!I14</f>
        <v>296.4346825506272</v>
      </c>
      <c r="E66">
        <f>Demand!I15</f>
        <v>3853.6549677231446</v>
      </c>
      <c r="F66">
        <f>Demand!I17</f>
        <v>0</v>
      </c>
    </row>
    <row r="67" spans="2:6" x14ac:dyDescent="0.2">
      <c r="B67">
        <v>2026</v>
      </c>
      <c r="C67">
        <f>Demand!J13</f>
        <v>1100.8769161277735</v>
      </c>
      <c r="D67">
        <f>Demand!J14</f>
        <v>306.83816733499867</v>
      </c>
      <c r="E67">
        <f>Demand!J15</f>
        <v>3888.0922162395186</v>
      </c>
      <c r="F67">
        <f>Demand!J17</f>
        <v>0</v>
      </c>
    </row>
    <row r="68" spans="2:6" x14ac:dyDescent="0.2">
      <c r="B68">
        <v>2027</v>
      </c>
      <c r="C68">
        <f>Demand!K13</f>
        <v>1113.7597287874503</v>
      </c>
      <c r="D68">
        <f>Demand!K14</f>
        <v>317.51727160410275</v>
      </c>
      <c r="E68">
        <f>Demand!K15</f>
        <v>3921.7318348616973</v>
      </c>
      <c r="F68">
        <f>Demand!K17</f>
        <v>54.75</v>
      </c>
    </row>
    <row r="69" spans="2:6" x14ac:dyDescent="0.2">
      <c r="B69">
        <v>2028</v>
      </c>
      <c r="C69">
        <f>Demand!L13</f>
        <v>1126.4861913976272</v>
      </c>
      <c r="D69">
        <f>Demand!L14</f>
        <v>328.47849663490183</v>
      </c>
      <c r="E69">
        <f>Demand!L15</f>
        <v>3954.5843816840811</v>
      </c>
      <c r="F69">
        <f>Demand!L17</f>
        <v>109.5</v>
      </c>
    </row>
    <row r="70" spans="2:6" x14ac:dyDescent="0.2">
      <c r="B70">
        <v>2029</v>
      </c>
      <c r="C70">
        <f>Demand!M13</f>
        <v>1139.0575453884824</v>
      </c>
      <c r="D70">
        <f>Demand!M14</f>
        <v>339.7284875655364</v>
      </c>
      <c r="E70">
        <f>Demand!M15</f>
        <v>3986.6602969198766</v>
      </c>
      <c r="F70">
        <f>Demand!M17</f>
        <v>164.25</v>
      </c>
    </row>
    <row r="71" spans="2:6" x14ac:dyDescent="0.2">
      <c r="B71">
        <v>2030</v>
      </c>
      <c r="C71">
        <f>Demand!N13</f>
        <v>1151.4750236846444</v>
      </c>
      <c r="D71">
        <f>Demand!N14</f>
        <v>351.27403645237484</v>
      </c>
      <c r="E71">
        <f>Demand!N15</f>
        <v>4017.9699041114704</v>
      </c>
      <c r="F71">
        <f>Demand!N17</f>
        <v>219</v>
      </c>
    </row>
    <row r="72" spans="2:6" x14ac:dyDescent="0.2">
      <c r="B72">
        <v>2031</v>
      </c>
      <c r="C72">
        <f>Demand!O13</f>
        <v>1163.7398507592097</v>
      </c>
      <c r="D72">
        <f>Demand!O14</f>
        <v>363.12208539023288</v>
      </c>
      <c r="E72">
        <f>Demand!O15</f>
        <v>4048.5234113289962</v>
      </c>
      <c r="F72">
        <f>Demand!O17</f>
        <v>273.75</v>
      </c>
    </row>
    <row r="73" spans="2:6" x14ac:dyDescent="0.2">
      <c r="B73">
        <v>2032</v>
      </c>
      <c r="C73">
        <f>Demand!P13</f>
        <v>1175.8532426874374</v>
      </c>
      <c r="D73">
        <f>Demand!P14</f>
        <v>375.27972969704109</v>
      </c>
      <c r="E73">
        <f>Demand!P15</f>
        <v>4078.3309123571789</v>
      </c>
      <c r="F73">
        <f>Demand!P17</f>
        <v>328.5</v>
      </c>
    </row>
    <row r="74" spans="2:6" x14ac:dyDescent="0.2">
      <c r="B74">
        <v>2033</v>
      </c>
      <c r="C74">
        <f>Demand!Q13</f>
        <v>1187.8164072001141</v>
      </c>
      <c r="D74">
        <f>Demand!Q14</f>
        <v>387.75422116426523</v>
      </c>
      <c r="E74">
        <f>Demand!Q15</f>
        <v>4107.4023878705857</v>
      </c>
      <c r="F74">
        <f>Demand!Q17</f>
        <v>383.25</v>
      </c>
    </row>
    <row r="75" spans="2:6" x14ac:dyDescent="0.2">
      <c r="B75">
        <v>2034</v>
      </c>
      <c r="C75">
        <f>Demand!R13</f>
        <v>1199.6305437365968</v>
      </c>
      <c r="D75">
        <f>Demand!R14</f>
        <v>400.5529713744105</v>
      </c>
      <c r="E75">
        <f>Demand!R15</f>
        <v>4135.7477065973853</v>
      </c>
      <c r="F75">
        <f>Demand!R17</f>
        <v>438</v>
      </c>
    </row>
    <row r="76" spans="2:6" x14ac:dyDescent="0.2">
      <c r="B76">
        <v>2035</v>
      </c>
      <c r="C76">
        <f>Demand!S13</f>
        <v>1211.2968434975342</v>
      </c>
      <c r="D76">
        <f>Demand!S14</f>
        <v>413.68355508696465</v>
      </c>
      <c r="E76">
        <f>Demand!S15</f>
        <v>4163.3766264717342</v>
      </c>
      <c r="F76">
        <f>Demand!S17</f>
        <v>492.75</v>
      </c>
    </row>
    <row r="77" spans="2:6" x14ac:dyDescent="0.2">
      <c r="B77">
        <v>2036</v>
      </c>
      <c r="C77">
        <f>Demand!T13</f>
        <v>1222.8164894972692</v>
      </c>
      <c r="D77">
        <f>Demand!T14</f>
        <v>427.15371369416476</v>
      </c>
      <c r="E77">
        <f>Demand!T15</f>
        <v>4190.298795774871</v>
      </c>
      <c r="F77">
        <f>Demand!T17</f>
        <v>547.5</v>
      </c>
    </row>
    <row r="78" spans="2:6" x14ac:dyDescent="0.2">
      <c r="B78">
        <v>2037</v>
      </c>
      <c r="C78">
        <f>Demand!U13</f>
        <v>1234.1906566159191</v>
      </c>
      <c r="D78">
        <f>Demand!U14</f>
        <v>440.97135874800051</v>
      </c>
      <c r="E78">
        <f>Demand!U15</f>
        <v>4216.5237542650639</v>
      </c>
      <c r="F78">
        <f>Demand!U17</f>
        <v>547.5</v>
      </c>
    </row>
    <row r="79" spans="2:6" x14ac:dyDescent="0.2">
      <c r="B79">
        <v>2038</v>
      </c>
      <c r="C79">
        <f>Demand!V13</f>
        <v>1245.4205116511453</v>
      </c>
      <c r="D79">
        <f>Demand!V14</f>
        <v>455.14457555989009</v>
      </c>
      <c r="E79">
        <f>Demand!V15</f>
        <v>4242.0609342964826</v>
      </c>
      <c r="F79">
        <f>Demand!V17</f>
        <v>547.5</v>
      </c>
    </row>
    <row r="80" spans="2:6" x14ac:dyDescent="0.2">
      <c r="B80">
        <v>2039</v>
      </c>
      <c r="C80">
        <f>Demand!W13</f>
        <v>1256.507213369604</v>
      </c>
      <c r="D80">
        <f>Demand!W14</f>
        <v>469.6816268745003</v>
      </c>
      <c r="E80">
        <f>Demand!W15</f>
        <v>4266.919661927127</v>
      </c>
      <c r="F80">
        <f>Demand!W17</f>
        <v>547.5</v>
      </c>
    </row>
    <row r="81" spans="2:6" x14ac:dyDescent="0.2">
      <c r="B81">
        <v>2040</v>
      </c>
      <c r="C81">
        <f>Demand!X13</f>
        <v>1267.4519125580866</v>
      </c>
      <c r="D81">
        <f>Demand!X14</f>
        <v>484.59095661920605</v>
      </c>
      <c r="E81">
        <f>Demand!X15</f>
        <v>4291.1091580158854</v>
      </c>
      <c r="F81">
        <f>Demand!X17</f>
        <v>547.5</v>
      </c>
    </row>
    <row r="82" spans="2:6" x14ac:dyDescent="0.2">
      <c r="B82">
        <v>2041</v>
      </c>
      <c r="C82">
        <f>Demand!Y13</f>
        <v>1278.2557520743501</v>
      </c>
      <c r="D82">
        <f>Demand!Y14</f>
        <v>499.88119373071595</v>
      </c>
      <c r="E82">
        <f>Demand!Y15</f>
        <v>4314.6385393088603</v>
      </c>
      <c r="F82">
        <f>Demand!Y17</f>
        <v>547.5</v>
      </c>
    </row>
    <row r="83" spans="2:6" x14ac:dyDescent="0.2">
      <c r="B83">
        <v>2042</v>
      </c>
      <c r="C83">
        <f>Demand!Z13</f>
        <v>1288.9198668976371</v>
      </c>
      <c r="D83">
        <f>Demand!Z14</f>
        <v>515.56115606042499</v>
      </c>
      <c r="E83">
        <f>Demand!Z15</f>
        <v>4337.5168195150354</v>
      </c>
      <c r="F83">
        <f>Demand!Z17</f>
        <v>547.5</v>
      </c>
    </row>
    <row r="84" spans="2:6" x14ac:dyDescent="0.2">
      <c r="B84">
        <v>2043</v>
      </c>
      <c r="C84">
        <f>Demand!AA13</f>
        <v>1299.4453841788893</v>
      </c>
      <c r="D84">
        <f>Demand!AA14</f>
        <v>531.63985436007738</v>
      </c>
      <c r="E84">
        <f>Demand!AA15</f>
        <v>4359.752910371395</v>
      </c>
      <c r="F84">
        <f>Demand!AA17</f>
        <v>547.5</v>
      </c>
    </row>
    <row r="85" spans="2:6" x14ac:dyDescent="0.2">
      <c r="B85">
        <v>2044</v>
      </c>
      <c r="C85">
        <f>Demand!AB13</f>
        <v>1309.8334232906568</v>
      </c>
      <c r="D85">
        <f>Demand!AB14</f>
        <v>548.12649634936429</v>
      </c>
      <c r="E85">
        <f>Demand!AB15</f>
        <v>4381.3556226976043</v>
      </c>
      <c r="F85">
        <f>Demand!AB17</f>
        <v>547.5</v>
      </c>
    </row>
    <row r="86" spans="2:6" x14ac:dyDescent="0.2">
      <c r="B86">
        <v>2045</v>
      </c>
      <c r="C86">
        <f>Demand!AC13</f>
        <v>1320.0850958767021</v>
      </c>
      <c r="D86">
        <f>Demand!AC14</f>
        <v>565.0304908671061</v>
      </c>
      <c r="E86">
        <f>Demand!AC15</f>
        <v>4402.3336674403299</v>
      </c>
      <c r="F86">
        <f>Demand!AC17</f>
        <v>547.5</v>
      </c>
    </row>
    <row r="87" spans="2:6" x14ac:dyDescent="0.2">
      <c r="B87">
        <v>2046</v>
      </c>
      <c r="C87">
        <f>Demand!AD13</f>
        <v>1330.2015059013047</v>
      </c>
      <c r="D87">
        <f>Demand!AD14</f>
        <v>582.36145210770565</v>
      </c>
      <c r="E87">
        <f>Demand!AD15</f>
        <v>4422.6956567073203</v>
      </c>
      <c r="F87">
        <f>Demand!AD17</f>
        <v>547.5</v>
      </c>
    </row>
    <row r="88" spans="2:6" x14ac:dyDescent="0.2">
      <c r="B88">
        <v>2047</v>
      </c>
      <c r="C88">
        <f>Demand!AE13</f>
        <v>1340.1837496982639</v>
      </c>
      <c r="D88">
        <f>Demand!AE14</f>
        <v>600.12920394458843</v>
      </c>
      <c r="E88">
        <f>Demand!AE15</f>
        <v>4442.4501047913227</v>
      </c>
      <c r="F88">
        <f>Demand!AE17</f>
        <v>547.5</v>
      </c>
    </row>
    <row r="89" spans="2:6" x14ac:dyDescent="0.2">
      <c r="B89">
        <v>2048</v>
      </c>
      <c r="C89">
        <f>Demand!AF13</f>
        <v>1350.0329160196065</v>
      </c>
      <c r="D89">
        <f>Demand!AF14</f>
        <v>618.34378434238681</v>
      </c>
      <c r="E89">
        <f>Demand!AF15</f>
        <v>4461.6054291839509</v>
      </c>
      <c r="F89">
        <f>Demand!AF17</f>
        <v>547.5</v>
      </c>
    </row>
    <row r="90" spans="2:6" x14ac:dyDescent="0.2">
      <c r="B90">
        <v>2049</v>
      </c>
      <c r="C90">
        <f>Demand!AG13</f>
        <v>1359.750086083993</v>
      </c>
      <c r="D90">
        <f>Demand!AG14</f>
        <v>637.01544985965108</v>
      </c>
      <c r="E90">
        <f>Demand!AG15</f>
        <v>4480.1699515795908</v>
      </c>
      <c r="F90">
        <f>Demand!AG17</f>
        <v>547.5</v>
      </c>
    </row>
    <row r="91" spans="2:6" x14ac:dyDescent="0.2">
      <c r="B91">
        <v>2050</v>
      </c>
      <c r="C91">
        <f>Demand!AH13</f>
        <v>1369.3363336248351</v>
      </c>
      <c r="D91">
        <f>Demand!AH14</f>
        <v>656.15468024391419</v>
      </c>
      <c r="E91">
        <f>Demand!AH15</f>
        <v>4498.1518988694324</v>
      </c>
      <c r="F91">
        <f>Demand!AH17</f>
        <v>547.5</v>
      </c>
    </row>
    <row r="120" spans="2:15" x14ac:dyDescent="0.2">
      <c r="B120" t="s">
        <v>355</v>
      </c>
      <c r="J120" t="s">
        <v>356</v>
      </c>
    </row>
    <row r="121" spans="2:15" x14ac:dyDescent="0.2">
      <c r="B121" t="s">
        <v>347</v>
      </c>
      <c r="C121" t="s">
        <v>357</v>
      </c>
      <c r="D121" t="s">
        <v>358</v>
      </c>
      <c r="E121" t="s">
        <v>359</v>
      </c>
      <c r="F121" t="s">
        <v>360</v>
      </c>
      <c r="J121" t="s">
        <v>347</v>
      </c>
      <c r="K121" t="s">
        <v>357</v>
      </c>
      <c r="L121" t="s">
        <v>358</v>
      </c>
      <c r="M121" t="s">
        <v>359</v>
      </c>
      <c r="N121" t="s">
        <v>360</v>
      </c>
      <c r="O121" t="s">
        <v>361</v>
      </c>
    </row>
    <row r="122" spans="2:15" x14ac:dyDescent="0.2">
      <c r="B122">
        <v>2020</v>
      </c>
      <c r="C122">
        <f>Supply!D8</f>
        <v>3500</v>
      </c>
      <c r="D122">
        <f>Supply!D9</f>
        <v>912</v>
      </c>
      <c r="E122">
        <f>Supply!D29</f>
        <v>372.65221190744933</v>
      </c>
      <c r="F122">
        <f>Supply!D34</f>
        <v>153.03391253625</v>
      </c>
      <c r="J122">
        <v>2020</v>
      </c>
      <c r="K122">
        <f>Energy!D9</f>
        <v>1225</v>
      </c>
      <c r="L122">
        <f>Energy!D10</f>
        <v>1641.6000000000001</v>
      </c>
      <c r="M122">
        <f>Energy!D11</f>
        <v>1304.2827416760726</v>
      </c>
      <c r="N122">
        <f>Energy!D14</f>
        <v>122.42713002900001</v>
      </c>
      <c r="O122">
        <f>Energy!D15</f>
        <v>4293.3098717050734</v>
      </c>
    </row>
    <row r="123" spans="2:15" x14ac:dyDescent="0.2">
      <c r="B123">
        <v>2021</v>
      </c>
      <c r="C123">
        <f>Supply!E8</f>
        <v>3447.5</v>
      </c>
      <c r="D123">
        <f>Supply!E9</f>
        <v>893.76</v>
      </c>
      <c r="E123">
        <f>Supply!E29</f>
        <v>495.97479365852973</v>
      </c>
      <c r="F123">
        <f>Supply!E34</f>
        <v>162.00485613003602</v>
      </c>
      <c r="J123">
        <v>2021</v>
      </c>
      <c r="K123">
        <f>Energy!E9</f>
        <v>1224.7243749999998</v>
      </c>
      <c r="L123">
        <f>Energy!E10</f>
        <v>1624.8556800000001</v>
      </c>
      <c r="M123">
        <f>Energy!E11</f>
        <v>1727.6455312438786</v>
      </c>
      <c r="N123">
        <f>Energy!E14</f>
        <v>128.79386062337863</v>
      </c>
      <c r="O123">
        <f>Energy!E15</f>
        <v>4706.0194468672571</v>
      </c>
    </row>
    <row r="124" spans="2:15" x14ac:dyDescent="0.2">
      <c r="B124">
        <v>2022</v>
      </c>
      <c r="C124">
        <f>Supply!F8</f>
        <v>3395.7874999999999</v>
      </c>
      <c r="D124">
        <f>Supply!F9</f>
        <v>875.88479999999993</v>
      </c>
      <c r="E124">
        <f>Supply!F29</f>
        <v>617.21618216182821</v>
      </c>
      <c r="F124">
        <f>Supply!F34</f>
        <v>171.13364915508436</v>
      </c>
      <c r="J124">
        <v>2022</v>
      </c>
      <c r="K124">
        <f>Energy!F9</f>
        <v>1224.4488120156245</v>
      </c>
      <c r="L124">
        <f>Energy!F10</f>
        <v>1608.282152064</v>
      </c>
      <c r="M124">
        <f>Energy!F11</f>
        <v>2139.6827648276712</v>
      </c>
      <c r="N124">
        <f>Energy!F14</f>
        <v>135.19558283251664</v>
      </c>
      <c r="O124">
        <f>Energy!F15</f>
        <v>5107.6093117398123</v>
      </c>
    </row>
    <row r="125" spans="2:15" x14ac:dyDescent="0.2">
      <c r="B125">
        <v>2023</v>
      </c>
      <c r="C125">
        <f>Supply!G8</f>
        <v>3344.8506875000003</v>
      </c>
      <c r="D125">
        <f>Supply!G9</f>
        <v>858.36710399999993</v>
      </c>
      <c r="E125">
        <f>Supply!G29</f>
        <v>736.41683100540558</v>
      </c>
      <c r="F125">
        <f>Supply!G34</f>
        <v>180.41723191991747</v>
      </c>
      <c r="J125">
        <v>2023</v>
      </c>
      <c r="K125">
        <f>Energy!G9</f>
        <v>1224.173311032921</v>
      </c>
      <c r="L125">
        <f>Energy!G10</f>
        <v>1591.8776741129468</v>
      </c>
      <c r="M125">
        <f>Energy!G11</f>
        <v>2540.6380669686496</v>
      </c>
      <c r="N125">
        <f>Energy!G14</f>
        <v>141.62752705713521</v>
      </c>
      <c r="O125">
        <f>Energy!G15</f>
        <v>5498.3165791716528</v>
      </c>
    </row>
    <row r="126" spans="2:15" x14ac:dyDescent="0.2">
      <c r="B126">
        <v>2024</v>
      </c>
      <c r="C126">
        <f>Supply!H8</f>
        <v>3294.6779271874998</v>
      </c>
      <c r="D126">
        <f>Supply!H9</f>
        <v>841.1997619199999</v>
      </c>
      <c r="E126">
        <f>Supply!H29</f>
        <v>853.61683426390164</v>
      </c>
      <c r="F126">
        <f>Supply!H34</f>
        <v>189.85257766835471</v>
      </c>
      <c r="J126">
        <v>2024</v>
      </c>
      <c r="K126">
        <f>Energy!H9</f>
        <v>1223.8978720379382</v>
      </c>
      <c r="L126">
        <f>Energy!H10</f>
        <v>1575.640521836995</v>
      </c>
      <c r="M126">
        <f>Energy!H11</f>
        <v>2930.7511309727288</v>
      </c>
      <c r="N126">
        <f>Energy!H14</f>
        <v>148.08501058131668</v>
      </c>
      <c r="O126">
        <f>Energy!H15</f>
        <v>5878.3745354289786</v>
      </c>
    </row>
    <row r="127" spans="2:15" x14ac:dyDescent="0.2">
      <c r="B127">
        <v>2025</v>
      </c>
      <c r="C127">
        <f>Supply!I8</f>
        <v>3245.2577582796876</v>
      </c>
      <c r="D127">
        <f>Supply!I9</f>
        <v>824.37576668159988</v>
      </c>
      <c r="E127">
        <f>Supply!I29</f>
        <v>968.85593644577477</v>
      </c>
      <c r="F127">
        <f>Supply!I34</f>
        <v>199.4366922952284</v>
      </c>
      <c r="J127">
        <v>2025</v>
      </c>
      <c r="K127">
        <f>Energy!I9</f>
        <v>1223.6224950167295</v>
      </c>
      <c r="L127">
        <f>Energy!I10</f>
        <v>1559.5689885142574</v>
      </c>
      <c r="M127">
        <f>Energy!I11</f>
        <v>3310.2577828563972</v>
      </c>
      <c r="N127">
        <f>Energy!I14</f>
        <v>154.56343652880201</v>
      </c>
      <c r="O127">
        <f>Energy!I15</f>
        <v>6248.0127029161868</v>
      </c>
    </row>
    <row r="128" spans="2:15" x14ac:dyDescent="0.2">
      <c r="B128">
        <v>2026</v>
      </c>
      <c r="C128">
        <f>Supply!J8</f>
        <v>3196.5788919054921</v>
      </c>
      <c r="D128">
        <f>Supply!J9</f>
        <v>807.88825134796787</v>
      </c>
      <c r="E128">
        <f>Supply!J29</f>
        <v>1082.1735423845535</v>
      </c>
      <c r="F128">
        <f>Supply!J34</f>
        <v>209.16661406427696</v>
      </c>
      <c r="J128">
        <v>2026</v>
      </c>
      <c r="K128">
        <f>Energy!J9</f>
        <v>1223.3471799553506</v>
      </c>
      <c r="L128">
        <f>Energy!J10</f>
        <v>1543.6613848314123</v>
      </c>
      <c r="M128">
        <f>Energy!J11</f>
        <v>3679.3900441074816</v>
      </c>
      <c r="N128">
        <f>Energy!J14</f>
        <v>161.05829282949327</v>
      </c>
      <c r="O128">
        <f>Energy!J15</f>
        <v>6607.4569017237372</v>
      </c>
    </row>
    <row r="129" spans="2:15" x14ac:dyDescent="0.2">
      <c r="B129">
        <v>2027</v>
      </c>
      <c r="C129">
        <f>Supply!K8</f>
        <v>3148.6302085269099</v>
      </c>
      <c r="D129">
        <f>Supply!K9</f>
        <v>791.73048632100847</v>
      </c>
      <c r="E129">
        <f>Supply!K29</f>
        <v>1248.3587270771336</v>
      </c>
      <c r="F129">
        <f>Supply!K34</f>
        <v>219.03941332819855</v>
      </c>
      <c r="J129">
        <v>2027</v>
      </c>
      <c r="K129">
        <f>Energy!K9</f>
        <v>1223.0719268398607</v>
      </c>
      <c r="L129">
        <f>Energy!K10</f>
        <v>1527.9160387061313</v>
      </c>
      <c r="M129">
        <f>Energy!K11</f>
        <v>4223.6136932776353</v>
      </c>
      <c r="N129">
        <f>Energy!K14</f>
        <v>167.56515119607189</v>
      </c>
      <c r="O129">
        <f>Energy!K15</f>
        <v>7142.1668100196994</v>
      </c>
    </row>
    <row r="130" spans="2:15" x14ac:dyDescent="0.2">
      <c r="B130">
        <v>2028</v>
      </c>
      <c r="C130">
        <f>Supply!L8</f>
        <v>3101.4007553990064</v>
      </c>
      <c r="D130">
        <f>Supply!L9</f>
        <v>775.89587659458823</v>
      </c>
      <c r="E130">
        <f>Supply!L29</f>
        <v>1412.7002454721651</v>
      </c>
      <c r="F130">
        <f>Supply!L34</f>
        <v>229.05219225085082</v>
      </c>
      <c r="J130">
        <v>2028</v>
      </c>
      <c r="K130">
        <f>Energy!L9</f>
        <v>1222.7967356563215</v>
      </c>
      <c r="L130">
        <f>Energy!L10</f>
        <v>1512.3312951113292</v>
      </c>
      <c r="M130">
        <f>Energy!L11</f>
        <v>4756.0908264229556</v>
      </c>
      <c r="N130">
        <f>Energy!L14</f>
        <v>174.07966611064663</v>
      </c>
      <c r="O130">
        <f>Energy!L15</f>
        <v>7665.2985233012532</v>
      </c>
    </row>
    <row r="131" spans="2:15" x14ac:dyDescent="0.2">
      <c r="B131">
        <v>2029</v>
      </c>
      <c r="C131">
        <f>Supply!M8</f>
        <v>3054.879744068021</v>
      </c>
      <c r="D131">
        <f>Supply!M9</f>
        <v>760.3779590626965</v>
      </c>
      <c r="E131">
        <f>Supply!M29</f>
        <v>1575.2365422115965</v>
      </c>
      <c r="F131">
        <f>Supply!M34</f>
        <v>239.20208453158125</v>
      </c>
      <c r="J131">
        <v>2029</v>
      </c>
      <c r="K131">
        <f>Energy!M9</f>
        <v>1222.5216063907985</v>
      </c>
      <c r="L131">
        <f>Energy!M10</f>
        <v>1496.9055159011939</v>
      </c>
      <c r="M131">
        <f>Energy!M11</f>
        <v>5277.0424164088481</v>
      </c>
      <c r="N131">
        <f>Energy!M14</f>
        <v>180.59757382134384</v>
      </c>
      <c r="O131">
        <f>Energy!M15</f>
        <v>8177.0671125221843</v>
      </c>
    </row>
    <row r="132" spans="2:15" x14ac:dyDescent="0.2">
      <c r="B132">
        <v>2030</v>
      </c>
      <c r="C132">
        <f>Supply!N8</f>
        <v>3009.056547907001</v>
      </c>
      <c r="D132">
        <f>Supply!N9</f>
        <v>745.17039988144245</v>
      </c>
      <c r="E132">
        <f>Supply!N29</f>
        <v>1736.0057613283732</v>
      </c>
      <c r="F132">
        <f>Supply!N34</f>
        <v>249.48625513167292</v>
      </c>
      <c r="J132">
        <v>2030</v>
      </c>
      <c r="K132">
        <f>Energy!N9</f>
        <v>1222.2465390293605</v>
      </c>
      <c r="L132">
        <f>Energy!N10</f>
        <v>1481.6370796390015</v>
      </c>
      <c r="M132">
        <f>Energy!N11</f>
        <v>5786.6858710945771</v>
      </c>
      <c r="N132">
        <f>Energy!N14</f>
        <v>187.11469134875469</v>
      </c>
      <c r="O132">
        <f>Energy!N15</f>
        <v>8677.6841811116956</v>
      </c>
    </row>
    <row r="133" spans="2:15" x14ac:dyDescent="0.2">
      <c r="B133">
        <v>2031</v>
      </c>
      <c r="C133">
        <f>Supply!O8</f>
        <v>2963.9206996883959</v>
      </c>
      <c r="D133">
        <f>Supply!O9</f>
        <v>730.2669918838136</v>
      </c>
      <c r="E133">
        <f>Supply!O29</f>
        <v>1895.0457559033389</v>
      </c>
      <c r="F133">
        <f>Supply!O34</f>
        <v>259.90190000289016</v>
      </c>
      <c r="J133">
        <v>2031</v>
      </c>
      <c r="K133">
        <f>Energy!O9</f>
        <v>1221.9715335580788</v>
      </c>
      <c r="L133">
        <f>Energy!O10</f>
        <v>1466.5243814266832</v>
      </c>
      <c r="M133">
        <f>Energy!O11</f>
        <v>6285.2350904127406</v>
      </c>
      <c r="N133">
        <f>Energy!O14</f>
        <v>193.62691550215317</v>
      </c>
      <c r="O133">
        <f>Energy!O15</f>
        <v>9167.3579208996543</v>
      </c>
    </row>
    <row r="134" spans="2:15" x14ac:dyDescent="0.2">
      <c r="B134">
        <v>2032</v>
      </c>
      <c r="C134">
        <f>Supply!P8</f>
        <v>2919.46188919307</v>
      </c>
      <c r="D134">
        <f>Supply!P9</f>
        <v>715.66165204613731</v>
      </c>
      <c r="E134">
        <f>Supply!P29</f>
        <v>2052.3940976843396</v>
      </c>
      <c r="F134">
        <f>Supply!P34</f>
        <v>270.44624581811058</v>
      </c>
      <c r="J134">
        <v>2032</v>
      </c>
      <c r="K134">
        <f>Energy!P9</f>
        <v>1221.6965899630281</v>
      </c>
      <c r="L134">
        <f>Energy!P10</f>
        <v>1451.5658327361309</v>
      </c>
      <c r="M134">
        <f>Energy!P11</f>
        <v>6772.9005223583199</v>
      </c>
      <c r="N134">
        <f>Energy!P14</f>
        <v>200.13022190540184</v>
      </c>
      <c r="O134">
        <f>Energy!P15</f>
        <v>9646.2931669628815</v>
      </c>
    </row>
    <row r="135" spans="2:15" x14ac:dyDescent="0.2">
      <c r="B135">
        <v>2033</v>
      </c>
      <c r="C135">
        <f>Supply!Q8</f>
        <v>2875.6699608551739</v>
      </c>
      <c r="D135">
        <f>Supply!Q9</f>
        <v>701.34841900521451</v>
      </c>
      <c r="E135">
        <f>Supply!Q29</f>
        <v>2208.0880866705497</v>
      </c>
      <c r="F135">
        <f>Supply!Q34</f>
        <v>281.11654970402697</v>
      </c>
      <c r="J135">
        <v>2033</v>
      </c>
      <c r="K135">
        <f>Energy!Q9</f>
        <v>1221.4217082302864</v>
      </c>
      <c r="L135">
        <f>Energy!Q10</f>
        <v>1436.7598612422223</v>
      </c>
      <c r="M135">
        <f>Energy!Q11</f>
        <v>7249.8892179016384</v>
      </c>
      <c r="N135">
        <f>Energy!Q14</f>
        <v>206.62066403245984</v>
      </c>
      <c r="O135">
        <f>Energy!Q15</f>
        <v>10114.691451406607</v>
      </c>
    </row>
    <row r="136" spans="2:15" x14ac:dyDescent="0.2">
      <c r="B136">
        <v>2034</v>
      </c>
      <c r="C136">
        <f>Supply!R8</f>
        <v>2832.5349114423466</v>
      </c>
      <c r="D136">
        <f>Supply!R9</f>
        <v>687.32145062511029</v>
      </c>
      <c r="E136">
        <f>Supply!R29</f>
        <v>2362.1647606650308</v>
      </c>
      <c r="F136">
        <f>Supply!R34</f>
        <v>291.91009897590521</v>
      </c>
      <c r="J136">
        <v>2034</v>
      </c>
      <c r="K136">
        <f>Energy!R9</f>
        <v>1221.1468883459343</v>
      </c>
      <c r="L136">
        <f>Energy!R10</f>
        <v>1422.1049106575522</v>
      </c>
      <c r="M136">
        <f>Energy!R11</f>
        <v>7716.4048848391003</v>
      </c>
      <c r="N136">
        <f>Energy!R14</f>
        <v>213.09437225241081</v>
      </c>
      <c r="O136">
        <f>Energy!R15</f>
        <v>10572.751056094998</v>
      </c>
    </row>
    <row r="137" spans="2:15" x14ac:dyDescent="0.2">
      <c r="B137">
        <v>2035</v>
      </c>
      <c r="C137">
        <f>Supply!S8</f>
        <v>2790.0468877707108</v>
      </c>
      <c r="D137">
        <f>Supply!S9</f>
        <v>673.575021612608</v>
      </c>
      <c r="E137">
        <f>Supply!S29</f>
        <v>2514.6609047985307</v>
      </c>
      <c r="F137">
        <f>Supply!S34</f>
        <v>302.82421087438354</v>
      </c>
      <c r="J137">
        <v>2035</v>
      </c>
      <c r="K137">
        <f>Energy!S9</f>
        <v>1220.872130296056</v>
      </c>
      <c r="L137">
        <f>Energy!S10</f>
        <v>1407.5994405688446</v>
      </c>
      <c r="M137">
        <f>Energy!S11</f>
        <v>8172.647940595225</v>
      </c>
      <c r="N137">
        <f>Energy!S14</f>
        <v>219.54755288392809</v>
      </c>
      <c r="O137">
        <f>Energy!S15</f>
        <v>11020.667064344054</v>
      </c>
    </row>
    <row r="138" spans="2:15" x14ac:dyDescent="0.2">
      <c r="B138">
        <v>2036</v>
      </c>
      <c r="C138">
        <f>Supply!T8</f>
        <v>2748.1961844541502</v>
      </c>
      <c r="D138">
        <f>Supply!T9</f>
        <v>660.10352118035587</v>
      </c>
      <c r="E138">
        <f>Supply!T29</f>
        <v>2665.6130610274995</v>
      </c>
      <c r="F138">
        <f>Supply!T34</f>
        <v>313.85623230429911</v>
      </c>
      <c r="J138">
        <v>2036</v>
      </c>
      <c r="K138">
        <f>Energy!T9</f>
        <v>1220.5974340667392</v>
      </c>
      <c r="L138">
        <f>Energy!T10</f>
        <v>1393.2419262750429</v>
      </c>
      <c r="M138">
        <f>Energy!T11</f>
        <v>8618.8155639889155</v>
      </c>
      <c r="N138">
        <f>Energy!T14</f>
        <v>225.97648725909536</v>
      </c>
      <c r="O138">
        <f>Energy!T15</f>
        <v>11458.631411589793</v>
      </c>
    </row>
    <row r="139" spans="2:15" x14ac:dyDescent="0.2">
      <c r="B139">
        <v>2037</v>
      </c>
      <c r="C139">
        <f>Supply!U8</f>
        <v>2706.973241687338</v>
      </c>
      <c r="D139">
        <f>Supply!U9</f>
        <v>646.90145075674877</v>
      </c>
      <c r="E139">
        <f>Supply!U29</f>
        <v>2760.3075376093716</v>
      </c>
      <c r="F139">
        <f>Supply!U34</f>
        <v>325.00353957552534</v>
      </c>
      <c r="J139">
        <v>2037</v>
      </c>
      <c r="K139">
        <f>Energy!U9</f>
        <v>1220.3227996440742</v>
      </c>
      <c r="L139">
        <f>Energy!U10</f>
        <v>1379.0308586270376</v>
      </c>
      <c r="M139">
        <f>Energy!U11</f>
        <v>8878.9892459768125</v>
      </c>
      <c r="N139">
        <f>Energy!U14</f>
        <v>232.37753079650065</v>
      </c>
      <c r="O139">
        <f>Energy!U15</f>
        <v>11710.720435044424</v>
      </c>
    </row>
    <row r="140" spans="2:15" x14ac:dyDescent="0.2">
      <c r="B140">
        <v>2038</v>
      </c>
      <c r="C140">
        <f>Supply!V8</f>
        <v>2666.3686430620278</v>
      </c>
      <c r="D140">
        <f>Supply!V9</f>
        <v>633.96342174161373</v>
      </c>
      <c r="E140">
        <f>Supply!V29</f>
        <v>2853.5304185580676</v>
      </c>
      <c r="F140">
        <f>Supply!V34</f>
        <v>336.26353814580915</v>
      </c>
      <c r="J140">
        <v>2038</v>
      </c>
      <c r="K140">
        <f>Energy!V9</f>
        <v>1220.048227014154</v>
      </c>
      <c r="L140">
        <f>Energy!V10</f>
        <v>1364.9647438690417</v>
      </c>
      <c r="M140">
        <f>Energy!V11</f>
        <v>9131.2973393858174</v>
      </c>
      <c r="N140">
        <f>Energy!V14</f>
        <v>238.74711208352451</v>
      </c>
      <c r="O140">
        <f>Energy!V15</f>
        <v>11955.057422352538</v>
      </c>
    </row>
    <row r="141" spans="2:15" x14ac:dyDescent="0.2">
      <c r="B141">
        <v>2039</v>
      </c>
      <c r="C141">
        <f>Supply!W8</f>
        <v>2626.3731134160976</v>
      </c>
      <c r="D141">
        <f>Supply!W9</f>
        <v>621.28415330678149</v>
      </c>
      <c r="E141">
        <f>Supply!W29</f>
        <v>2945.317573082762</v>
      </c>
      <c r="F141">
        <f>Supply!W34</f>
        <v>347.63366236559034</v>
      </c>
      <c r="J141">
        <v>2039</v>
      </c>
      <c r="K141">
        <f>Energy!W9</f>
        <v>1219.7737161630757</v>
      </c>
      <c r="L141">
        <f>Energy!W10</f>
        <v>1351.0421034815772</v>
      </c>
      <c r="M141">
        <f>Energy!W11</f>
        <v>9375.9276076467922</v>
      </c>
      <c r="N141">
        <f>Energy!W14</f>
        <v>245.08173196774121</v>
      </c>
      <c r="O141">
        <f>Energy!W15</f>
        <v>12191.825159259186</v>
      </c>
    </row>
    <row r="142" spans="2:15" x14ac:dyDescent="0.2">
      <c r="B142">
        <v>2040</v>
      </c>
      <c r="C142">
        <f>Supply!X8</f>
        <v>2586.9775167148564</v>
      </c>
      <c r="D142">
        <f>Supply!X9</f>
        <v>608.85847024064583</v>
      </c>
      <c r="E142">
        <f>Supply!X29</f>
        <v>3035.704665012885</v>
      </c>
      <c r="F142">
        <f>Supply!X34</f>
        <v>359.11137522479123</v>
      </c>
      <c r="J142">
        <v>2040</v>
      </c>
      <c r="K142">
        <f>Energy!X9</f>
        <v>1219.4992670769388</v>
      </c>
      <c r="L142">
        <f>Energy!X10</f>
        <v>1337.2614740260653</v>
      </c>
      <c r="M142">
        <f>Energy!X11</f>
        <v>9613.0647725408016</v>
      </c>
      <c r="N142">
        <f>Energy!X14</f>
        <v>251.37796265735389</v>
      </c>
      <c r="O142">
        <f>Energy!X15</f>
        <v>12421.20347630116</v>
      </c>
    </row>
    <row r="143" spans="2:15" x14ac:dyDescent="0.2">
      <c r="B143">
        <v>2041</v>
      </c>
      <c r="C143">
        <f>Supply!Y8</f>
        <v>2548.1728539641335</v>
      </c>
      <c r="D143">
        <f>Supply!Y9</f>
        <v>596.68130083583287</v>
      </c>
      <c r="E143">
        <f>Supply!Y29</f>
        <v>3124.7271622123985</v>
      </c>
      <c r="F143">
        <f>Supply!Y34</f>
        <v>370.6941681015615</v>
      </c>
      <c r="J143">
        <v>2041</v>
      </c>
      <c r="K143">
        <f>Energy!Y9</f>
        <v>1219.2248797418465</v>
      </c>
      <c r="L143">
        <f>Energy!Y10</f>
        <v>1323.621406990999</v>
      </c>
      <c r="M143">
        <f>Energy!Y11</f>
        <v>9842.8905609690555</v>
      </c>
      <c r="N143">
        <f>Energy!Y14</f>
        <v>257.63244683058525</v>
      </c>
      <c r="O143">
        <f>Energy!Y15</f>
        <v>12643.369294532486</v>
      </c>
    </row>
    <row r="144" spans="2:15" x14ac:dyDescent="0.2">
      <c r="B144">
        <v>2042</v>
      </c>
      <c r="C144">
        <f>Supply!Z8</f>
        <v>2509.9502611546714</v>
      </c>
      <c r="D144">
        <f>Supply!Z9</f>
        <v>584.74767481911624</v>
      </c>
      <c r="E144">
        <f>Supply!Z29</f>
        <v>3212.4203459863447</v>
      </c>
      <c r="F144">
        <f>Supply!Z34</f>
        <v>382.37956051296561</v>
      </c>
      <c r="J144">
        <v>2042</v>
      </c>
      <c r="K144">
        <f>Energy!Z9</f>
        <v>1218.9505541439041</v>
      </c>
      <c r="L144">
        <f>Energy!Z10</f>
        <v>1310.1204686396914</v>
      </c>
      <c r="M144">
        <f>Energy!Z11</f>
        <v>10065.583750757214</v>
      </c>
      <c r="N144">
        <f>Energy!Z14</f>
        <v>263.84189675394629</v>
      </c>
      <c r="O144">
        <f>Energy!Z15</f>
        <v>12858.496670294755</v>
      </c>
    </row>
    <row r="145" spans="2:15" x14ac:dyDescent="0.2">
      <c r="B145">
        <v>2043</v>
      </c>
      <c r="C145">
        <f>Supply!AA8</f>
        <v>2472.3010072373513</v>
      </c>
      <c r="D145">
        <f>Supply!AA9</f>
        <v>573.05272132273387</v>
      </c>
      <c r="E145">
        <f>Supply!AA29</f>
        <v>3298.8193204826798</v>
      </c>
      <c r="F145">
        <f>Supply!AA34</f>
        <v>394.16509986759644</v>
      </c>
      <c r="J145">
        <v>2043</v>
      </c>
      <c r="K145">
        <f>Energy!AA9</f>
        <v>1218.6762902692219</v>
      </c>
      <c r="L145">
        <f>Energy!AA10</f>
        <v>1296.757239859566</v>
      </c>
      <c r="M145">
        <f>Energy!AA11</f>
        <v>10281.320215504353</v>
      </c>
      <c r="N145">
        <f>Energy!AA14</f>
        <v>270.00309340930357</v>
      </c>
      <c r="O145">
        <f>Energy!AA15</f>
        <v>13066.756839042444</v>
      </c>
    </row>
    <row r="146" spans="2:15" x14ac:dyDescent="0.2">
      <c r="B146">
        <v>2044</v>
      </c>
      <c r="C146">
        <f>Supply!AB8</f>
        <v>2435.2164921287908</v>
      </c>
      <c r="D146">
        <f>Supply!AB9</f>
        <v>561.59166689627921</v>
      </c>
      <c r="E146">
        <f>Supply!AB29</f>
        <v>3383.9590220924511</v>
      </c>
      <c r="F146">
        <f>Supply!AB34</f>
        <v>406.04836122010363</v>
      </c>
      <c r="J146">
        <v>2044</v>
      </c>
      <c r="K146">
        <f>Energy!AB9</f>
        <v>1218.402088103911</v>
      </c>
      <c r="L146">
        <f>Energy!AB10</f>
        <v>1283.5303160129988</v>
      </c>
      <c r="M146">
        <f>Energy!AB11</f>
        <v>10490.272968486599</v>
      </c>
      <c r="N146">
        <f>Energy!AB14</f>
        <v>276.11288562967047</v>
      </c>
      <c r="O146">
        <f>Energy!AB15</f>
        <v>13268.318258233179</v>
      </c>
    </row>
    <row r="147" spans="2:15" x14ac:dyDescent="0.2">
      <c r="B147">
        <v>2045</v>
      </c>
      <c r="C147">
        <f>Supply!AC8</f>
        <v>2398.6882447468593</v>
      </c>
      <c r="D147">
        <f>Supply!AC9</f>
        <v>550.35983355835356</v>
      </c>
      <c r="E147">
        <f>Supply!AC29</f>
        <v>3467.8742288513035</v>
      </c>
      <c r="F147">
        <f>Supply!AC34</f>
        <v>418.02694702762233</v>
      </c>
      <c r="J147">
        <v>2045</v>
      </c>
      <c r="K147">
        <f>Energy!AC9</f>
        <v>1218.1279476340876</v>
      </c>
      <c r="L147">
        <f>Energy!AC10</f>
        <v>1270.4383067896663</v>
      </c>
      <c r="M147">
        <f>Energy!AC11</f>
        <v>10692.612205624853</v>
      </c>
      <c r="N147">
        <f>Energy!AC14</f>
        <v>282.16818924364509</v>
      </c>
      <c r="O147">
        <f>Energy!AC15</f>
        <v>13463.346649292251</v>
      </c>
    </row>
    <row r="148" spans="2:15" x14ac:dyDescent="0.2">
      <c r="B148">
        <v>2046</v>
      </c>
      <c r="C148">
        <f>Supply!AD8</f>
        <v>2362.707921075656</v>
      </c>
      <c r="D148">
        <f>Supply!AD9</f>
        <v>539.35263688718646</v>
      </c>
      <c r="E148">
        <f>Supply!AD29</f>
        <v>3550.5995698453999</v>
      </c>
      <c r="F148">
        <f>Supply!AD34</f>
        <v>430.09848690808849</v>
      </c>
      <c r="J148">
        <v>2046</v>
      </c>
      <c r="K148">
        <f>Energy!AD9</f>
        <v>1217.8538688458696</v>
      </c>
      <c r="L148">
        <f>Energy!AD10</f>
        <v>1257.4798360604116</v>
      </c>
      <c r="M148">
        <f>Energy!AD11</f>
        <v>10888.505347525892</v>
      </c>
      <c r="N148">
        <f>Energy!AD14</f>
        <v>288.16598622841929</v>
      </c>
      <c r="O148">
        <f>Energy!AD15</f>
        <v>13652.005038660593</v>
      </c>
    </row>
    <row r="149" spans="2:15" x14ac:dyDescent="0.2">
      <c r="B149">
        <v>2047</v>
      </c>
      <c r="C149">
        <f>Supply!AE8</f>
        <v>2327.2673022595213</v>
      </c>
      <c r="D149">
        <f>Supply!AE9</f>
        <v>528.56558414944266</v>
      </c>
      <c r="E149">
        <f>Supply!AE29</f>
        <v>3632.1695346247834</v>
      </c>
      <c r="F149">
        <f>Supply!AE34</f>
        <v>442.26063740042702</v>
      </c>
      <c r="J149">
        <v>2047</v>
      </c>
      <c r="K149">
        <f>Energy!AE9</f>
        <v>1217.5798517253793</v>
      </c>
      <c r="L149">
        <f>Energy!AE10</f>
        <v>1244.6535417325947</v>
      </c>
      <c r="M149">
        <f>Energy!AE11</f>
        <v>11078.117080605589</v>
      </c>
      <c r="N149">
        <f>Energy!AE14</f>
        <v>294.10332387128398</v>
      </c>
      <c r="O149">
        <f>Energy!AE15</f>
        <v>13834.453797934846</v>
      </c>
    </row>
    <row r="150" spans="2:15" x14ac:dyDescent="0.2">
      <c r="B150">
        <v>2048</v>
      </c>
      <c r="C150">
        <f>Supply!AF8</f>
        <v>2292.3582927256284</v>
      </c>
      <c r="D150">
        <f>Supply!AF9</f>
        <v>517.99427246645382</v>
      </c>
      <c r="E150">
        <f>Supply!AF29</f>
        <v>3712.6184826272611</v>
      </c>
      <c r="F150">
        <f>Supply!AF34</f>
        <v>454.51108172660088</v>
      </c>
      <c r="J150">
        <v>2048</v>
      </c>
      <c r="K150">
        <f>Energy!AF9</f>
        <v>1217.3058962587406</v>
      </c>
      <c r="L150">
        <f>Energy!AF10</f>
        <v>1231.9580756069226</v>
      </c>
      <c r="M150">
        <f>Energy!AF11</f>
        <v>11261.609397302691</v>
      </c>
      <c r="N150">
        <f>Energy!AF14</f>
        <v>299.97731393955661</v>
      </c>
      <c r="O150">
        <f>Energy!AF15</f>
        <v>14010.85068310791</v>
      </c>
    </row>
    <row r="151" spans="2:15" x14ac:dyDescent="0.2">
      <c r="B151">
        <v>2049</v>
      </c>
      <c r="C151">
        <f>Supply!AG8</f>
        <v>2257.972918334744</v>
      </c>
      <c r="D151">
        <f>Supply!AG9</f>
        <v>507.63438701712477</v>
      </c>
      <c r="E151">
        <f>Supply!AG29</f>
        <v>3791.9806526158613</v>
      </c>
      <c r="F151">
        <f>Supply!AG34</f>
        <v>466.84752955550425</v>
      </c>
      <c r="J151">
        <v>2049</v>
      </c>
      <c r="K151">
        <f>Energy!AG9</f>
        <v>1217.0320024320824</v>
      </c>
      <c r="L151">
        <f>Energy!AG10</f>
        <v>1219.3921032357321</v>
      </c>
      <c r="M151">
        <f>Energy!AG11</f>
        <v>11439.141635391181</v>
      </c>
      <c r="N151">
        <f>Energy!AG14</f>
        <v>305.78513185885532</v>
      </c>
      <c r="O151">
        <f>Energy!AG15</f>
        <v>14181.35087291785</v>
      </c>
    </row>
    <row r="152" spans="2:15" x14ac:dyDescent="0.2">
      <c r="B152">
        <v>2050</v>
      </c>
      <c r="C152">
        <f>Supply!AH8</f>
        <v>2224.1033245597232</v>
      </c>
      <c r="D152">
        <f>Supply!AH9</f>
        <v>497.48169927678225</v>
      </c>
      <c r="E152">
        <f>Supply!AH29</f>
        <v>3870.290172132984</v>
      </c>
      <c r="F152">
        <f>Supply!AH34</f>
        <v>479.26771676869225</v>
      </c>
      <c r="J152">
        <v>2050</v>
      </c>
      <c r="K152">
        <f>Energy!AH9</f>
        <v>1216.7581702315351</v>
      </c>
      <c r="L152">
        <f>Energy!AH10</f>
        <v>1206.9543037827277</v>
      </c>
      <c r="M152">
        <f>Energy!AH11</f>
        <v>11610.870516398953</v>
      </c>
      <c r="N152">
        <f>Energy!AH14</f>
        <v>311.52401589964995</v>
      </c>
      <c r="O152">
        <f>Energy!AH15</f>
        <v>14346.107006312865</v>
      </c>
    </row>
    <row r="200" spans="2:8" x14ac:dyDescent="0.2">
      <c r="B200" t="s">
        <v>362</v>
      </c>
    </row>
    <row r="201" spans="2:8" x14ac:dyDescent="0.2">
      <c r="B201" t="s">
        <v>347</v>
      </c>
      <c r="C201" t="s">
        <v>348</v>
      </c>
      <c r="D201" t="s">
        <v>349</v>
      </c>
      <c r="E201" t="s">
        <v>350</v>
      </c>
      <c r="F201" t="s">
        <v>351</v>
      </c>
      <c r="G201" t="s">
        <v>365</v>
      </c>
    </row>
    <row r="202" spans="2:8" x14ac:dyDescent="0.2">
      <c r="B202">
        <v>2020</v>
      </c>
      <c r="C202">
        <f>Demand!D13</f>
        <v>1020.226083575</v>
      </c>
      <c r="D202">
        <f>Demand!D14</f>
        <v>248.33370415619999</v>
      </c>
      <c r="E202">
        <f>Demand!D15</f>
        <v>3669.1263367124998</v>
      </c>
      <c r="F202">
        <f>Demand!D17</f>
        <v>0</v>
      </c>
      <c r="G202">
        <f>+SUM(C202:F202)</f>
        <v>4937.6861244436996</v>
      </c>
      <c r="H202">
        <f>+G202-SUM(C122:F122)</f>
        <v>0</v>
      </c>
    </row>
    <row r="203" spans="2:8" x14ac:dyDescent="0.2">
      <c r="B203">
        <v>2021</v>
      </c>
      <c r="C203">
        <f>Demand!E13</f>
        <v>1034.0735497661874</v>
      </c>
      <c r="D203">
        <f>Demand!E14</f>
        <v>257.45178182457846</v>
      </c>
      <c r="E203">
        <f>Demand!E15</f>
        <v>3707.7143181977999</v>
      </c>
      <c r="F203">
        <f>Demand!E17</f>
        <v>0</v>
      </c>
      <c r="G203">
        <f t="shared" ref="G203:G232" si="1">+SUM(C203:F203)</f>
        <v>4999.2396497885657</v>
      </c>
      <c r="H203">
        <f t="shared" ref="H203:H232" si="2">+G203-SUM(C123:F123)</f>
        <v>0</v>
      </c>
    </row>
    <row r="204" spans="2:8" x14ac:dyDescent="0.2">
      <c r="B204">
        <v>2022</v>
      </c>
      <c r="C204">
        <f>Demand!F13</f>
        <v>1047.7570356433737</v>
      </c>
      <c r="D204">
        <f>Demand!F14</f>
        <v>266.81502777975317</v>
      </c>
      <c r="E204">
        <f>Demand!F15</f>
        <v>3745.4500678937852</v>
      </c>
      <c r="F204">
        <f>Demand!F17</f>
        <v>0</v>
      </c>
      <c r="G204">
        <f t="shared" si="1"/>
        <v>5060.0221313169122</v>
      </c>
      <c r="H204">
        <f t="shared" si="2"/>
        <v>0</v>
      </c>
    </row>
    <row r="205" spans="2:8" x14ac:dyDescent="0.2">
      <c r="B205">
        <v>2023</v>
      </c>
      <c r="C205">
        <f>Demand!G13</f>
        <v>1061.277834823044</v>
      </c>
      <c r="D205">
        <f>Demand!G14</f>
        <v>276.42926772400915</v>
      </c>
      <c r="E205">
        <f>Demand!G15</f>
        <v>3782.34475187827</v>
      </c>
      <c r="F205">
        <f>Demand!G17</f>
        <v>0</v>
      </c>
      <c r="G205">
        <f t="shared" si="1"/>
        <v>5120.0518544253227</v>
      </c>
      <c r="H205">
        <f t="shared" si="2"/>
        <v>0</v>
      </c>
    </row>
    <row r="206" spans="2:8" x14ac:dyDescent="0.2">
      <c r="B206">
        <v>2024</v>
      </c>
      <c r="C206">
        <f>Demand!H13</f>
        <v>1074.6372320850267</v>
      </c>
      <c r="D206">
        <f>Demand!H14</f>
        <v>286.30045684007086</v>
      </c>
      <c r="E206">
        <f>Demand!H15</f>
        <v>3818.4094121146586</v>
      </c>
      <c r="F206">
        <f>Demand!H17</f>
        <v>0</v>
      </c>
      <c r="G206">
        <f t="shared" si="1"/>
        <v>5179.3471010397561</v>
      </c>
      <c r="H206">
        <f t="shared" si="2"/>
        <v>0</v>
      </c>
    </row>
    <row r="207" spans="2:8" x14ac:dyDescent="0.2">
      <c r="B207">
        <v>2025</v>
      </c>
      <c r="C207">
        <f>Demand!I13</f>
        <v>1087.8365034285187</v>
      </c>
      <c r="D207">
        <f>Demand!I14</f>
        <v>296.4346825506272</v>
      </c>
      <c r="E207">
        <f>Demand!I15</f>
        <v>3853.6549677231446</v>
      </c>
      <c r="F207">
        <f>Demand!I17</f>
        <v>0</v>
      </c>
      <c r="G207">
        <f t="shared" si="1"/>
        <v>5237.9261537022903</v>
      </c>
      <c r="H207">
        <f t="shared" si="2"/>
        <v>0</v>
      </c>
    </row>
    <row r="208" spans="2:8" x14ac:dyDescent="0.2">
      <c r="B208">
        <v>2026</v>
      </c>
      <c r="C208">
        <f>Demand!J13</f>
        <v>1100.8769161277735</v>
      </c>
      <c r="D208">
        <f>Demand!J14</f>
        <v>306.83816733499867</v>
      </c>
      <c r="E208">
        <f>Demand!J15</f>
        <v>3888.0922162395186</v>
      </c>
      <c r="F208">
        <f>Demand!J17</f>
        <v>0</v>
      </c>
      <c r="G208">
        <f t="shared" si="1"/>
        <v>5295.8072997022909</v>
      </c>
      <c r="H208">
        <f t="shared" si="2"/>
        <v>0</v>
      </c>
    </row>
    <row r="209" spans="2:8" x14ac:dyDescent="0.2">
      <c r="B209">
        <v>2027</v>
      </c>
      <c r="C209">
        <f>Demand!K13</f>
        <v>1113.7597287874503</v>
      </c>
      <c r="D209">
        <f>Demand!K14</f>
        <v>317.51727160410275</v>
      </c>
      <c r="E209">
        <f>Demand!K15</f>
        <v>3921.7318348616973</v>
      </c>
      <c r="F209">
        <f>Demand!K17</f>
        <v>54.75</v>
      </c>
      <c r="G209">
        <f t="shared" si="1"/>
        <v>5407.7588352532503</v>
      </c>
      <c r="H209">
        <f t="shared" si="2"/>
        <v>0</v>
      </c>
    </row>
    <row r="210" spans="2:8" x14ac:dyDescent="0.2">
      <c r="B210">
        <v>2028</v>
      </c>
      <c r="C210">
        <f>Demand!L13</f>
        <v>1126.4861913976272</v>
      </c>
      <c r="D210">
        <f>Demand!L14</f>
        <v>328.47849663490183</v>
      </c>
      <c r="E210">
        <f>Demand!L15</f>
        <v>3954.5843816840811</v>
      </c>
      <c r="F210">
        <f>Demand!L17</f>
        <v>109.5</v>
      </c>
      <c r="G210">
        <f t="shared" si="1"/>
        <v>5519.0490697166097</v>
      </c>
      <c r="H210">
        <f t="shared" si="2"/>
        <v>0</v>
      </c>
    </row>
    <row r="211" spans="2:8" x14ac:dyDescent="0.2">
      <c r="B211">
        <v>2029</v>
      </c>
      <c r="C211">
        <f>Demand!M13</f>
        <v>1139.0575453884824</v>
      </c>
      <c r="D211">
        <f>Demand!M14</f>
        <v>339.7284875655364</v>
      </c>
      <c r="E211">
        <f>Demand!M15</f>
        <v>3986.6602969198766</v>
      </c>
      <c r="F211">
        <f>Demand!M17</f>
        <v>164.25</v>
      </c>
      <c r="G211">
        <f t="shared" si="1"/>
        <v>5629.6963298738956</v>
      </c>
      <c r="H211">
        <f t="shared" si="2"/>
        <v>0</v>
      </c>
    </row>
    <row r="212" spans="2:8" x14ac:dyDescent="0.2">
      <c r="B212">
        <v>2030</v>
      </c>
      <c r="C212">
        <f>Demand!N13</f>
        <v>1151.4750236846444</v>
      </c>
      <c r="D212">
        <f>Demand!N14</f>
        <v>351.27403645237484</v>
      </c>
      <c r="E212">
        <f>Demand!N15</f>
        <v>4017.9699041114704</v>
      </c>
      <c r="F212">
        <f>Demand!N17</f>
        <v>219</v>
      </c>
      <c r="G212">
        <f t="shared" si="1"/>
        <v>5739.71896424849</v>
      </c>
      <c r="H212">
        <f t="shared" si="2"/>
        <v>0</v>
      </c>
    </row>
    <row r="213" spans="2:8" x14ac:dyDescent="0.2">
      <c r="B213">
        <v>2031</v>
      </c>
      <c r="C213">
        <f>Demand!O13</f>
        <v>1163.7398507592097</v>
      </c>
      <c r="D213">
        <f>Demand!O14</f>
        <v>363.12208539023288</v>
      </c>
      <c r="E213">
        <f>Demand!O15</f>
        <v>4048.5234113289962</v>
      </c>
      <c r="F213">
        <f>Demand!O17</f>
        <v>273.75</v>
      </c>
      <c r="G213">
        <f t="shared" si="1"/>
        <v>5849.1353474784391</v>
      </c>
      <c r="H213">
        <f t="shared" si="2"/>
        <v>0</v>
      </c>
    </row>
    <row r="214" spans="2:8" x14ac:dyDescent="0.2">
      <c r="B214">
        <v>2032</v>
      </c>
      <c r="C214">
        <f>Demand!P13</f>
        <v>1175.8532426874374</v>
      </c>
      <c r="D214">
        <f>Demand!P14</f>
        <v>375.27972969704109</v>
      </c>
      <c r="E214">
        <f>Demand!P15</f>
        <v>4078.3309123571789</v>
      </c>
      <c r="F214">
        <f>Demand!P17</f>
        <v>328.5</v>
      </c>
      <c r="G214">
        <f t="shared" si="1"/>
        <v>5957.9638847416572</v>
      </c>
      <c r="H214">
        <f t="shared" si="2"/>
        <v>0</v>
      </c>
    </row>
    <row r="215" spans="2:8" x14ac:dyDescent="0.2">
      <c r="B215">
        <v>2033</v>
      </c>
      <c r="C215">
        <f>Demand!Q13</f>
        <v>1187.8164072001141</v>
      </c>
      <c r="D215">
        <f>Demand!Q14</f>
        <v>387.75422116426523</v>
      </c>
      <c r="E215">
        <f>Demand!Q15</f>
        <v>4107.4023878705857</v>
      </c>
      <c r="F215">
        <f>Demand!Q17</f>
        <v>383.25</v>
      </c>
      <c r="G215">
        <f t="shared" si="1"/>
        <v>6066.2230162349651</v>
      </c>
      <c r="H215">
        <f t="shared" si="2"/>
        <v>0</v>
      </c>
    </row>
    <row r="216" spans="2:8" x14ac:dyDescent="0.2">
      <c r="B216">
        <v>2034</v>
      </c>
      <c r="C216">
        <f>Demand!R13</f>
        <v>1199.6305437365968</v>
      </c>
      <c r="D216">
        <f>Demand!R14</f>
        <v>400.5529713744105</v>
      </c>
      <c r="E216">
        <f>Demand!R15</f>
        <v>4135.7477065973853</v>
      </c>
      <c r="F216">
        <f>Demand!R17</f>
        <v>438</v>
      </c>
      <c r="G216">
        <f t="shared" si="1"/>
        <v>6173.9312217083925</v>
      </c>
      <c r="H216">
        <f t="shared" si="2"/>
        <v>0</v>
      </c>
    </row>
    <row r="217" spans="2:8" x14ac:dyDescent="0.2">
      <c r="B217">
        <v>2035</v>
      </c>
      <c r="C217">
        <f>Demand!S13</f>
        <v>1211.2968434975342</v>
      </c>
      <c r="D217">
        <f>Demand!S14</f>
        <v>413.68355508696465</v>
      </c>
      <c r="E217">
        <f>Demand!S15</f>
        <v>4163.3766264717342</v>
      </c>
      <c r="F217">
        <f>Demand!S17</f>
        <v>492.75</v>
      </c>
      <c r="G217">
        <f t="shared" si="1"/>
        <v>6281.1070250562334</v>
      </c>
      <c r="H217">
        <f t="shared" si="2"/>
        <v>0</v>
      </c>
    </row>
    <row r="218" spans="2:8" x14ac:dyDescent="0.2">
      <c r="B218">
        <v>2036</v>
      </c>
      <c r="C218">
        <f>Demand!T13</f>
        <v>1222.8164894972692</v>
      </c>
      <c r="D218">
        <f>Demand!T14</f>
        <v>427.15371369416476</v>
      </c>
      <c r="E218">
        <f>Demand!T15</f>
        <v>4190.298795774871</v>
      </c>
      <c r="F218">
        <f>Demand!T17</f>
        <v>547.5</v>
      </c>
      <c r="G218">
        <f t="shared" si="1"/>
        <v>6387.7689989663049</v>
      </c>
      <c r="H218">
        <f t="shared" si="2"/>
        <v>0</v>
      </c>
    </row>
    <row r="219" spans="2:8" x14ac:dyDescent="0.2">
      <c r="B219">
        <v>2037</v>
      </c>
      <c r="C219">
        <f>Demand!U13</f>
        <v>1234.1906566159191</v>
      </c>
      <c r="D219">
        <f>Demand!U14</f>
        <v>440.97135874800051</v>
      </c>
      <c r="E219">
        <f>Demand!U15</f>
        <v>4216.5237542650639</v>
      </c>
      <c r="F219">
        <f>Demand!U17</f>
        <v>547.5</v>
      </c>
      <c r="G219">
        <f t="shared" si="1"/>
        <v>6439.1857696289835</v>
      </c>
      <c r="H219">
        <f t="shared" si="2"/>
        <v>0</v>
      </c>
    </row>
    <row r="220" spans="2:8" x14ac:dyDescent="0.2">
      <c r="B220">
        <v>2038</v>
      </c>
      <c r="C220">
        <f>Demand!V13</f>
        <v>1245.4205116511453</v>
      </c>
      <c r="D220">
        <f>Demand!V14</f>
        <v>455.14457555989009</v>
      </c>
      <c r="E220">
        <f>Demand!V15</f>
        <v>4242.0609342964826</v>
      </c>
      <c r="F220">
        <f>Demand!V17</f>
        <v>547.5</v>
      </c>
      <c r="G220">
        <f t="shared" si="1"/>
        <v>6490.1260215075181</v>
      </c>
      <c r="H220">
        <f t="shared" si="2"/>
        <v>0</v>
      </c>
    </row>
    <row r="221" spans="2:8" x14ac:dyDescent="0.2">
      <c r="B221">
        <v>2039</v>
      </c>
      <c r="C221">
        <f>Demand!W13</f>
        <v>1256.507213369604</v>
      </c>
      <c r="D221">
        <f>Demand!W14</f>
        <v>469.6816268745003</v>
      </c>
      <c r="E221">
        <f>Demand!W15</f>
        <v>4266.919661927127</v>
      </c>
      <c r="F221">
        <f>Demand!W17</f>
        <v>547.5</v>
      </c>
      <c r="G221">
        <f t="shared" si="1"/>
        <v>6540.6085021712315</v>
      </c>
      <c r="H221">
        <f t="shared" si="2"/>
        <v>0</v>
      </c>
    </row>
    <row r="222" spans="2:8" x14ac:dyDescent="0.2">
      <c r="B222">
        <v>2040</v>
      </c>
      <c r="C222">
        <f>Demand!X13</f>
        <v>1267.4519125580866</v>
      </c>
      <c r="D222">
        <f>Demand!X14</f>
        <v>484.59095661920605</v>
      </c>
      <c r="E222">
        <f>Demand!X15</f>
        <v>4291.1091580158854</v>
      </c>
      <c r="F222">
        <f>Demand!X17</f>
        <v>547.5</v>
      </c>
      <c r="G222">
        <f t="shared" si="1"/>
        <v>6590.6520271931786</v>
      </c>
      <c r="H222">
        <f t="shared" si="2"/>
        <v>0</v>
      </c>
    </row>
    <row r="223" spans="2:8" x14ac:dyDescent="0.2">
      <c r="B223">
        <v>2041</v>
      </c>
      <c r="C223">
        <f>Demand!Y13</f>
        <v>1278.2557520743501</v>
      </c>
      <c r="D223">
        <f>Demand!Y14</f>
        <v>499.88119373071595</v>
      </c>
      <c r="E223">
        <f>Demand!Y15</f>
        <v>4314.6385393088603</v>
      </c>
      <c r="F223">
        <f>Demand!Y17</f>
        <v>547.5</v>
      </c>
      <c r="G223">
        <f t="shared" si="1"/>
        <v>6640.2754851139262</v>
      </c>
      <c r="H223">
        <f t="shared" si="2"/>
        <v>0</v>
      </c>
    </row>
    <row r="224" spans="2:8" x14ac:dyDescent="0.2">
      <c r="B224">
        <v>2042</v>
      </c>
      <c r="C224">
        <f>Demand!Z13</f>
        <v>1288.9198668976371</v>
      </c>
      <c r="D224">
        <f>Demand!Z14</f>
        <v>515.56115606042499</v>
      </c>
      <c r="E224">
        <f>Demand!Z15</f>
        <v>4337.5168195150354</v>
      </c>
      <c r="F224">
        <f>Demand!Z17</f>
        <v>547.5</v>
      </c>
      <c r="G224">
        <f t="shared" si="1"/>
        <v>6689.497842473098</v>
      </c>
      <c r="H224">
        <f t="shared" si="2"/>
        <v>0</v>
      </c>
    </row>
    <row r="225" spans="2:8" x14ac:dyDescent="0.2">
      <c r="B225">
        <v>2043</v>
      </c>
      <c r="C225">
        <f>Demand!AA13</f>
        <v>1299.4453841788893</v>
      </c>
      <c r="D225">
        <f>Demand!AA14</f>
        <v>531.63985436007738</v>
      </c>
      <c r="E225">
        <f>Demand!AA15</f>
        <v>4359.752910371395</v>
      </c>
      <c r="F225">
        <f>Demand!AA17</f>
        <v>547.5</v>
      </c>
      <c r="G225">
        <f t="shared" si="1"/>
        <v>6738.3381489103613</v>
      </c>
      <c r="H225">
        <f t="shared" si="2"/>
        <v>0</v>
      </c>
    </row>
    <row r="226" spans="2:8" x14ac:dyDescent="0.2">
      <c r="B226">
        <v>2044</v>
      </c>
      <c r="C226">
        <f>Demand!AB13</f>
        <v>1309.8334232906568</v>
      </c>
      <c r="D226">
        <f>Demand!AB14</f>
        <v>548.12649634936429</v>
      </c>
      <c r="E226">
        <f>Demand!AB15</f>
        <v>4381.3556226976043</v>
      </c>
      <c r="F226">
        <f>Demand!AB17</f>
        <v>547.5</v>
      </c>
      <c r="G226">
        <f t="shared" si="1"/>
        <v>6786.8155423376256</v>
      </c>
      <c r="H226">
        <f t="shared" si="2"/>
        <v>0</v>
      </c>
    </row>
    <row r="227" spans="2:8" x14ac:dyDescent="0.2">
      <c r="B227">
        <v>2045</v>
      </c>
      <c r="C227">
        <f>Demand!AC13</f>
        <v>1320.0850958767021</v>
      </c>
      <c r="D227">
        <f>Demand!AC14</f>
        <v>565.0304908671061</v>
      </c>
      <c r="E227">
        <f>Demand!AC15</f>
        <v>4402.3336674403299</v>
      </c>
      <c r="F227">
        <f>Demand!AC17</f>
        <v>547.5</v>
      </c>
      <c r="G227">
        <f t="shared" si="1"/>
        <v>6834.9492541841382</v>
      </c>
      <c r="H227">
        <f t="shared" si="2"/>
        <v>0</v>
      </c>
    </row>
    <row r="228" spans="2:8" x14ac:dyDescent="0.2">
      <c r="B228">
        <v>2046</v>
      </c>
      <c r="C228">
        <f>Demand!AD13</f>
        <v>1330.2015059013047</v>
      </c>
      <c r="D228">
        <f>Demand!AD14</f>
        <v>582.36145210770565</v>
      </c>
      <c r="E228">
        <f>Demand!AD15</f>
        <v>4422.6956567073203</v>
      </c>
      <c r="F228">
        <f>Demand!AD17</f>
        <v>547.5</v>
      </c>
      <c r="G228">
        <f t="shared" si="1"/>
        <v>6882.7586147163311</v>
      </c>
      <c r="H228">
        <f t="shared" si="2"/>
        <v>0</v>
      </c>
    </row>
    <row r="229" spans="2:8" x14ac:dyDescent="0.2">
      <c r="B229">
        <v>2047</v>
      </c>
      <c r="C229">
        <f>Demand!AE13</f>
        <v>1340.1837496982639</v>
      </c>
      <c r="D229">
        <f>Demand!AE14</f>
        <v>600.12920394458843</v>
      </c>
      <c r="E229">
        <f>Demand!AE15</f>
        <v>4442.4501047913227</v>
      </c>
      <c r="F229">
        <f>Demand!AE17</f>
        <v>547.5</v>
      </c>
      <c r="G229">
        <f t="shared" si="1"/>
        <v>6930.263058434175</v>
      </c>
      <c r="H229">
        <f t="shared" si="2"/>
        <v>0</v>
      </c>
    </row>
    <row r="230" spans="2:8" x14ac:dyDescent="0.2">
      <c r="B230">
        <v>2048</v>
      </c>
      <c r="C230">
        <f>Demand!AF13</f>
        <v>1350.0329160196065</v>
      </c>
      <c r="D230">
        <f>Demand!AF14</f>
        <v>618.34378434238681</v>
      </c>
      <c r="E230">
        <f>Demand!AF15</f>
        <v>4461.6054291839509</v>
      </c>
      <c r="F230">
        <f>Demand!AF17</f>
        <v>547.5</v>
      </c>
      <c r="G230">
        <f t="shared" si="1"/>
        <v>6977.4821295459442</v>
      </c>
      <c r="H230">
        <f t="shared" si="2"/>
        <v>0</v>
      </c>
    </row>
    <row r="231" spans="2:8" x14ac:dyDescent="0.2">
      <c r="B231">
        <v>2049</v>
      </c>
      <c r="C231">
        <f>Demand!AG13</f>
        <v>1359.750086083993</v>
      </c>
      <c r="D231">
        <f>Demand!AG14</f>
        <v>637.01544985965108</v>
      </c>
      <c r="E231">
        <f>Demand!AG15</f>
        <v>4480.1699515795908</v>
      </c>
      <c r="F231">
        <f>Demand!AG17</f>
        <v>547.5</v>
      </c>
      <c r="G231">
        <f t="shared" si="1"/>
        <v>7024.4354875232348</v>
      </c>
      <c r="H231">
        <f t="shared" si="2"/>
        <v>0</v>
      </c>
    </row>
    <row r="232" spans="2:8" x14ac:dyDescent="0.2">
      <c r="B232">
        <v>2050</v>
      </c>
      <c r="C232">
        <f>Demand!AH13</f>
        <v>1369.3363336248351</v>
      </c>
      <c r="D232">
        <f>Demand!AH14</f>
        <v>656.15468024391419</v>
      </c>
      <c r="E232">
        <f>Demand!AH15</f>
        <v>4498.1518988694324</v>
      </c>
      <c r="F232">
        <f>Demand!AH17</f>
        <v>547.5</v>
      </c>
      <c r="G232">
        <f t="shared" si="1"/>
        <v>7071.1429127381816</v>
      </c>
      <c r="H232">
        <f t="shared" si="2"/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cp:revision>2</cp:revision>
  <dcterms:created xsi:type="dcterms:W3CDTF">2026-04-20T15:57:50Z</dcterms:created>
  <dcterms:modified xsi:type="dcterms:W3CDTF">2026-04-22T21:58:36Z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2026-04-20T16:10:11Z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4d6f16af-bfdc-4f2f-a097-e0e701932e36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50, 0, 1, 1</vt:lpwstr>
  </property>
</Properties>
</file>