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libya/ssp_modeling/tableau/data/"/>
    </mc:Choice>
  </mc:AlternateContent>
  <xr:revisionPtr revIDLastSave="0" documentId="13_ncr:1_{46F8A124-F17D-B943-BE78-389778374660}" xr6:coauthVersionLast="47" xr6:coauthVersionMax="47" xr10:uidLastSave="{00000000-0000-0000-0000-000000000000}"/>
  <bookViews>
    <workbookView xWindow="-51200" yWindow="600" windowWidth="25600" windowHeight="28200" xr2:uid="{023BFEE8-2E9B-BC48-8927-6C5415905B12}"/>
  </bookViews>
  <sheets>
    <sheet name="Supply" sheetId="1" r:id="rId1"/>
    <sheet name="Demand" sheetId="2" r:id="rId2"/>
  </sheets>
  <externalReferences>
    <externalReference r:id="rId3"/>
    <externalReference r:id="rId4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G14" i="1" s="1"/>
  <c r="C14" i="1"/>
  <c r="D14" i="1"/>
  <c r="E14" i="1"/>
  <c r="F14" i="1"/>
  <c r="B15" i="1"/>
  <c r="G15" i="1" s="1"/>
  <c r="C15" i="1"/>
  <c r="D15" i="1"/>
  <c r="E15" i="1"/>
  <c r="F15" i="1"/>
  <c r="B16" i="1"/>
  <c r="G16" i="1" s="1"/>
  <c r="C16" i="1"/>
  <c r="D16" i="1"/>
  <c r="E16" i="1"/>
  <c r="F16" i="1"/>
  <c r="B17" i="1"/>
  <c r="G17" i="1" s="1"/>
  <c r="C17" i="1"/>
  <c r="D17" i="1"/>
  <c r="E17" i="1"/>
  <c r="F17" i="1"/>
  <c r="B18" i="1"/>
  <c r="G18" i="1" s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C2" i="1"/>
  <c r="D2" i="1"/>
  <c r="E2" i="1"/>
  <c r="F2" i="1"/>
  <c r="B2" i="1"/>
  <c r="G3" i="1"/>
  <c r="G4" i="1"/>
  <c r="G5" i="1"/>
  <c r="G6" i="1"/>
  <c r="G7" i="1"/>
  <c r="G8" i="1"/>
  <c r="G9" i="1"/>
  <c r="G10" i="1"/>
  <c r="G11" i="1"/>
  <c r="G12" i="1"/>
  <c r="G13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2" i="1"/>
  <c r="B3" i="2"/>
  <c r="C3" i="2"/>
  <c r="D3" i="2"/>
  <c r="E3" i="2"/>
  <c r="F3" i="2"/>
  <c r="B4" i="2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B14" i="2"/>
  <c r="C14" i="2"/>
  <c r="D14" i="2"/>
  <c r="E14" i="2"/>
  <c r="F14" i="2"/>
  <c r="B15" i="2"/>
  <c r="C15" i="2"/>
  <c r="D15" i="2"/>
  <c r="E15" i="2"/>
  <c r="F15" i="2"/>
  <c r="B16" i="2"/>
  <c r="C16" i="2"/>
  <c r="D16" i="2"/>
  <c r="E16" i="2"/>
  <c r="F16" i="2"/>
  <c r="B17" i="2"/>
  <c r="C17" i="2"/>
  <c r="D17" i="2"/>
  <c r="E17" i="2"/>
  <c r="F17" i="2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B21" i="2"/>
  <c r="C21" i="2"/>
  <c r="D21" i="2"/>
  <c r="E21" i="2"/>
  <c r="F21" i="2"/>
  <c r="B22" i="2"/>
  <c r="C22" i="2"/>
  <c r="D22" i="2"/>
  <c r="E22" i="2"/>
  <c r="F22" i="2"/>
  <c r="B23" i="2"/>
  <c r="C23" i="2"/>
  <c r="D23" i="2"/>
  <c r="E23" i="2"/>
  <c r="F23" i="2"/>
  <c r="B24" i="2"/>
  <c r="C24" i="2"/>
  <c r="D24" i="2"/>
  <c r="E24" i="2"/>
  <c r="F24" i="2"/>
  <c r="B25" i="2"/>
  <c r="C25" i="2"/>
  <c r="D25" i="2"/>
  <c r="E25" i="2"/>
  <c r="F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B29" i="2"/>
  <c r="C29" i="2"/>
  <c r="D29" i="2"/>
  <c r="E29" i="2"/>
  <c r="F29" i="2"/>
  <c r="B30" i="2"/>
  <c r="C30" i="2"/>
  <c r="D30" i="2"/>
  <c r="E30" i="2"/>
  <c r="F30" i="2"/>
  <c r="B31" i="2"/>
  <c r="C31" i="2"/>
  <c r="D31" i="2"/>
  <c r="E31" i="2"/>
  <c r="F31" i="2"/>
  <c r="B32" i="2"/>
  <c r="C32" i="2"/>
  <c r="D32" i="2"/>
  <c r="E32" i="2"/>
  <c r="F32" i="2"/>
  <c r="B33" i="2"/>
  <c r="C33" i="2"/>
  <c r="D33" i="2"/>
  <c r="E33" i="2"/>
  <c r="F33" i="2"/>
  <c r="B34" i="2"/>
  <c r="C34" i="2"/>
  <c r="D34" i="2"/>
  <c r="E34" i="2"/>
  <c r="F34" i="2"/>
  <c r="B35" i="2"/>
  <c r="C35" i="2"/>
  <c r="D35" i="2"/>
  <c r="E35" i="2"/>
  <c r="F35" i="2"/>
  <c r="B36" i="2"/>
  <c r="C36" i="2"/>
  <c r="D36" i="2"/>
  <c r="E36" i="2"/>
  <c r="F36" i="2"/>
  <c r="B37" i="2"/>
  <c r="C37" i="2"/>
  <c r="D37" i="2"/>
  <c r="E37" i="2"/>
  <c r="F37" i="2"/>
  <c r="B38" i="2"/>
  <c r="C38" i="2"/>
  <c r="D38" i="2"/>
  <c r="E38" i="2"/>
  <c r="F38" i="2"/>
  <c r="B39" i="2"/>
  <c r="C39" i="2"/>
  <c r="D39" i="2"/>
  <c r="E39" i="2"/>
  <c r="F39" i="2"/>
  <c r="B40" i="2"/>
  <c r="C40" i="2"/>
  <c r="D40" i="2"/>
  <c r="E40" i="2"/>
  <c r="F40" i="2"/>
  <c r="B41" i="2"/>
  <c r="C41" i="2"/>
  <c r="D41" i="2"/>
  <c r="E41" i="2"/>
  <c r="F41" i="2"/>
  <c r="B42" i="2"/>
  <c r="C42" i="2"/>
  <c r="D42" i="2"/>
  <c r="E42" i="2"/>
  <c r="F42" i="2"/>
  <c r="B43" i="2"/>
  <c r="C43" i="2"/>
  <c r="D43" i="2"/>
  <c r="E43" i="2"/>
  <c r="F43" i="2"/>
  <c r="B44" i="2"/>
  <c r="C44" i="2"/>
  <c r="D44" i="2"/>
  <c r="E44" i="2"/>
  <c r="F44" i="2"/>
  <c r="B45" i="2"/>
  <c r="C45" i="2"/>
  <c r="D45" i="2"/>
  <c r="E45" i="2"/>
  <c r="F45" i="2"/>
  <c r="B46" i="2"/>
  <c r="C46" i="2"/>
  <c r="D46" i="2"/>
  <c r="E46" i="2"/>
  <c r="F46" i="2"/>
  <c r="B47" i="2"/>
  <c r="C47" i="2"/>
  <c r="D47" i="2"/>
  <c r="E47" i="2"/>
  <c r="F47" i="2"/>
  <c r="B48" i="2"/>
  <c r="C48" i="2"/>
  <c r="D48" i="2"/>
  <c r="E48" i="2"/>
  <c r="F48" i="2"/>
  <c r="B49" i="2"/>
  <c r="C49" i="2"/>
  <c r="D49" i="2"/>
  <c r="E49" i="2"/>
  <c r="F49" i="2"/>
  <c r="B50" i="2"/>
  <c r="C50" i="2"/>
  <c r="D50" i="2"/>
  <c r="E50" i="2"/>
  <c r="F50" i="2"/>
  <c r="B51" i="2"/>
  <c r="C51" i="2"/>
  <c r="D51" i="2"/>
  <c r="E51" i="2"/>
  <c r="F51" i="2"/>
  <c r="B52" i="2"/>
  <c r="C52" i="2"/>
  <c r="D52" i="2"/>
  <c r="E52" i="2"/>
  <c r="F52" i="2"/>
  <c r="B53" i="2"/>
  <c r="C53" i="2"/>
  <c r="D53" i="2"/>
  <c r="E53" i="2"/>
  <c r="F53" i="2"/>
  <c r="B54" i="2"/>
  <c r="C54" i="2"/>
  <c r="D54" i="2"/>
  <c r="E54" i="2"/>
  <c r="F54" i="2"/>
  <c r="B55" i="2"/>
  <c r="C55" i="2"/>
  <c r="D55" i="2"/>
  <c r="E55" i="2"/>
  <c r="F55" i="2"/>
  <c r="B56" i="2"/>
  <c r="C56" i="2"/>
  <c r="D56" i="2"/>
  <c r="E56" i="2"/>
  <c r="F56" i="2"/>
  <c r="B57" i="2"/>
  <c r="C57" i="2"/>
  <c r="D57" i="2"/>
  <c r="E57" i="2"/>
  <c r="F57" i="2"/>
  <c r="B58" i="2"/>
  <c r="C58" i="2"/>
  <c r="D58" i="2"/>
  <c r="E58" i="2"/>
  <c r="F58" i="2"/>
  <c r="B59" i="2"/>
  <c r="C59" i="2"/>
  <c r="D59" i="2"/>
  <c r="E59" i="2"/>
  <c r="F59" i="2"/>
  <c r="B60" i="2"/>
  <c r="C60" i="2"/>
  <c r="D60" i="2"/>
  <c r="E60" i="2"/>
  <c r="F60" i="2"/>
  <c r="B61" i="2"/>
  <c r="C61" i="2"/>
  <c r="D61" i="2"/>
  <c r="E61" i="2"/>
  <c r="F61" i="2"/>
  <c r="B62" i="2"/>
  <c r="C62" i="2"/>
  <c r="D62" i="2"/>
  <c r="E62" i="2"/>
  <c r="F62" i="2"/>
  <c r="B63" i="2"/>
  <c r="C63" i="2"/>
  <c r="D63" i="2"/>
  <c r="E63" i="2"/>
  <c r="F63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<sst xmlns="http://schemas.openxmlformats.org/spreadsheetml/2006/main" count="202" uniqueCount="16">
  <si>
    <t>Year</t>
  </si>
  <si>
    <t>Groundwater</t>
  </si>
  <si>
    <t>GMMR</t>
  </si>
  <si>
    <t>Desalination</t>
  </si>
  <si>
    <t>Treated wastewater</t>
  </si>
  <si>
    <t>Scenario</t>
  </si>
  <si>
    <t>Conditional</t>
  </si>
  <si>
    <t>BAU</t>
  </si>
  <si>
    <t>Type</t>
  </si>
  <si>
    <t>supply</t>
  </si>
  <si>
    <t>Domestic</t>
  </si>
  <si>
    <t>Industrial</t>
  </si>
  <si>
    <t>Agriculture</t>
  </si>
  <si>
    <t>Trees</t>
  </si>
  <si>
    <t>Total demand</t>
  </si>
  <si>
    <t>Surface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</si>
</sst>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nput_data/reference/Libya_Water_Energy_Model_2026_04_30.xlsx" TargetMode="External"/><Relationship Id="rId2" Type="http://schemas.openxmlformats.org/officeDocument/2006/relationships/externalLinkPath" Target="/Users/fabianfuentes/git/ssp_libya/ssp_modeling/input_data/reference/Libya_Water_Energy_Model_2026_04_30.xlsx" TargetMode="External"/><Relationship Id="rId1" Type="http://schemas.openxmlformats.org/officeDocument/2006/relationships/externalLinkPath" Target="/Users/fabianfuentes/git/ssp_libya/ssp_modeling/input_data/reference/Libya_Water_Energy_Model_2026_04_3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nput_data/reference/Libya_Water_Energy_Model_2026_05_06.xlsx" TargetMode="External"/><Relationship Id="rId2" Type="http://schemas.openxmlformats.org/officeDocument/2006/relationships/externalLinkPath" Target="/Users/fabianfuentes/git/ssp_libya/ssp_modeling/input_data/reference/Libya_Water_Energy_Model_2026_05_06.xlsx" TargetMode="External"/><Relationship Id="rId1" Type="http://schemas.openxmlformats.org/officeDocument/2006/relationships/externalLinkPath" Target="/Users/fabianfuentes/git/ssp_libya/ssp_modeling/input_data/reference/Libya_Water_Energy_Model_2026_05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Inputs"/>
      <sheetName val="Demand"/>
      <sheetName val="Supply"/>
      <sheetName val="Energy"/>
      <sheetName val="Summary"/>
    </sheetNames>
    <sheetDataSet>
      <sheetData sheetId="0"/>
      <sheetData sheetId="1"/>
      <sheetData sheetId="2"/>
      <sheetData sheetId="3"/>
      <sheetData sheetId="4"/>
      <sheetData sheetId="5">
        <row r="122">
          <cell r="C122">
            <v>6039.6921628399505</v>
          </cell>
        </row>
        <row r="202">
          <cell r="C202">
            <v>784.22197749500003</v>
          </cell>
          <cell r="D202">
            <v>389.62701858989999</v>
          </cell>
          <cell r="E202">
            <v>5865.68538653</v>
          </cell>
          <cell r="F202">
            <v>0</v>
          </cell>
          <cell r="G202">
            <v>7039.5343826149001</v>
          </cell>
        </row>
        <row r="203">
          <cell r="C203">
            <v>794.86617439858742</v>
          </cell>
          <cell r="D203">
            <v>403.93296803511453</v>
          </cell>
          <cell r="E203">
            <v>5927.3744477185592</v>
          </cell>
          <cell r="F203">
            <v>0</v>
          </cell>
          <cell r="G203">
            <v>7126.1735901522607</v>
          </cell>
        </row>
        <row r="204">
          <cell r="C204">
            <v>805.38432378370169</v>
          </cell>
          <cell r="D204">
            <v>418.62357806823337</v>
          </cell>
          <cell r="E204">
            <v>5987.7010800633643</v>
          </cell>
          <cell r="F204">
            <v>0</v>
          </cell>
          <cell r="G204">
            <v>7211.7089819152989</v>
          </cell>
        </row>
        <row r="205">
          <cell r="C205">
            <v>815.77742002060484</v>
          </cell>
          <cell r="D205">
            <v>433.70798901525569</v>
          </cell>
          <cell r="E205">
            <v>6046.6831343259983</v>
          </cell>
          <cell r="F205">
            <v>0</v>
          </cell>
          <cell r="G205">
            <v>7296.1685433618586</v>
          </cell>
        </row>
        <row r="206">
          <cell r="C206">
            <v>826.0464506870444</v>
          </cell>
          <cell r="D206">
            <v>449.19554435252496</v>
          </cell>
          <cell r="E206">
            <v>6104.3382628513064</v>
          </cell>
          <cell r="F206">
            <v>0</v>
          </cell>
          <cell r="G206">
            <v>7379.5802578908751</v>
          </cell>
        </row>
        <row r="207">
          <cell r="C207">
            <v>836.19239661131905</v>
          </cell>
          <cell r="D207">
            <v>465.09579503632892</v>
          </cell>
          <cell r="E207">
            <v>6160.6839215996133</v>
          </cell>
          <cell r="F207">
            <v>0</v>
          </cell>
          <cell r="G207">
            <v>7461.9721132472614</v>
          </cell>
        </row>
        <row r="208">
          <cell r="C208">
            <v>846.21623191508377</v>
          </cell>
          <cell r="D208">
            <v>481.41850392215304</v>
          </cell>
          <cell r="E208">
            <v>6215.737372159123</v>
          </cell>
          <cell r="F208">
            <v>0</v>
          </cell>
          <cell r="G208">
            <v>7543.3721079963598</v>
          </cell>
        </row>
        <row r="209">
          <cell r="C209">
            <v>856.11892405589538</v>
          </cell>
          <cell r="D209">
            <v>498.17365027540257</v>
          </cell>
          <cell r="E209">
            <v>6269.5156837386994</v>
          </cell>
          <cell r="F209">
            <v>54.75</v>
          </cell>
          <cell r="G209">
            <v>7678.5582580699975</v>
          </cell>
        </row>
        <row r="210">
          <cell r="C210">
            <v>865.90143386950137</v>
          </cell>
          <cell r="D210">
            <v>515.37143437544944</v>
          </cell>
          <cell r="E210">
            <v>6322.035735141184</v>
          </cell>
          <cell r="F210">
            <v>109.5</v>
          </cell>
          <cell r="G210">
            <v>7812.8086033861346</v>
          </cell>
        </row>
        <row r="211">
          <cell r="C211">
            <v>875.56471561186947</v>
          </cell>
          <cell r="D211">
            <v>533.02228221489327</v>
          </cell>
          <cell r="E211">
            <v>6373.3142167174701</v>
          </cell>
          <cell r="F211">
            <v>164.25</v>
          </cell>
          <cell r="G211">
            <v>7946.151214544233</v>
          </cell>
        </row>
        <row r="212">
          <cell r="C212">
            <v>885.10971700096752</v>
          </cell>
          <cell r="D212">
            <v>551.13685029596729</v>
          </cell>
          <cell r="E212">
            <v>6423.3676323014861</v>
          </cell>
          <cell r="F212">
            <v>219</v>
          </cell>
          <cell r="G212">
            <v>8078.6141995984208</v>
          </cell>
        </row>
        <row r="213">
          <cell r="C213">
            <v>894.53737925828398</v>
          </cell>
          <cell r="D213">
            <v>569.72603052605507</v>
          </cell>
          <cell r="E213">
            <v>6472.2123011262884</v>
          </cell>
          <cell r="F213">
            <v>273.75</v>
          </cell>
          <cell r="G213">
            <v>8210.2257109106285</v>
          </cell>
        </row>
        <row r="214">
          <cell r="C214">
            <v>903.84863715010238</v>
          </cell>
          <cell r="D214">
            <v>588.80095521432304</v>
          </cell>
          <cell r="E214">
            <v>6519.8643597214268</v>
          </cell>
          <cell r="F214">
            <v>328.5</v>
          </cell>
          <cell r="G214">
            <v>8341.013952085852</v>
          </cell>
        </row>
        <row r="215">
          <cell r="C215">
            <v>913.04441902852136</v>
          </cell>
          <cell r="D215">
            <v>608.3730021715196</v>
          </cell>
          <cell r="E215">
            <v>6566.3397637917687</v>
          </cell>
          <cell r="F215">
            <v>383.25</v>
          </cell>
          <cell r="G215">
            <v>8471.0071849918095</v>
          </cell>
        </row>
        <row r="216">
          <cell r="C216">
            <v>922.12564687222732</v>
          </cell>
          <cell r="D216">
            <v>628.45379991502341</v>
          </cell>
          <cell r="E216">
            <v>6611.654290077965</v>
          </cell>
          <cell r="F216">
            <v>438</v>
          </cell>
          <cell r="G216">
            <v>8600.2337368652152</v>
          </cell>
        </row>
        <row r="217">
          <cell r="C217">
            <v>931.09323632702035</v>
          </cell>
          <cell r="D217">
            <v>649.05523298127218</v>
          </cell>
          <cell r="E217">
            <v>6655.8235381986988</v>
          </cell>
          <cell r="F217">
            <v>492.75</v>
          </cell>
          <cell r="G217">
            <v>8728.7220075069908</v>
          </cell>
        </row>
        <row r="218">
          <cell r="C218">
            <v>939.9480967460936</v>
          </cell>
          <cell r="D218">
            <v>670.18944734774129</v>
          </cell>
          <cell r="E218">
            <v>6698.8629324749354</v>
          </cell>
          <cell r="F218">
            <v>547.5</v>
          </cell>
          <cell r="G218">
            <v>8856.50047656877</v>
          </cell>
        </row>
        <row r="219">
          <cell r="C219">
            <v>948.69113123006798</v>
          </cell>
          <cell r="D219">
            <v>691.86885596669049</v>
          </cell>
          <cell r="E219">
            <v>6740.7877237363109</v>
          </cell>
          <cell r="F219">
            <v>547.5</v>
          </cell>
          <cell r="G219">
            <v>8928.8477109330688</v>
          </cell>
        </row>
        <row r="220">
          <cell r="C220">
            <v>957.32323666678394</v>
          </cell>
          <cell r="D220">
            <v>714.10614441293103</v>
          </cell>
          <cell r="E220">
            <v>6781.6129911098215</v>
          </cell>
          <cell r="F220">
            <v>547.5</v>
          </cell>
          <cell r="G220">
            <v>9000.5423721895368</v>
          </cell>
        </row>
        <row r="221">
          <cell r="C221">
            <v>965.84530377085218</v>
          </cell>
          <cell r="D221">
            <v>736.91427664792297</v>
          </cell>
          <cell r="E221">
            <v>6821.353643791037</v>
          </cell>
          <cell r="F221">
            <v>547.5</v>
          </cell>
          <cell r="G221">
            <v>9071.613224209812</v>
          </cell>
        </row>
        <row r="222">
          <cell r="C222">
            <v>974.25821712296306</v>
          </cell>
          <cell r="D222">
            <v>760.30650090254744</v>
          </cell>
          <cell r="E222">
            <v>6860.0244227979247</v>
          </cell>
          <cell r="F222">
            <v>547.5</v>
          </cell>
          <cell r="G222">
            <v>9142.0891408234347</v>
          </cell>
        </row>
        <row r="223">
          <cell r="C223">
            <v>982.56285520895824</v>
          </cell>
          <cell r="D223">
            <v>784.29635568095091</v>
          </cell>
          <cell r="E223">
            <v>6897.6399027074976</v>
          </cell>
          <cell r="F223">
            <v>547.5</v>
          </cell>
          <cell r="G223">
            <v>9211.9991135974069</v>
          </cell>
        </row>
        <row r="224">
          <cell r="C224">
            <v>990.76009045866579</v>
          </cell>
          <cell r="D224">
            <v>808.89767588790824</v>
          </cell>
          <cell r="E224">
            <v>6934.2144933754589</v>
          </cell>
          <cell r="F224">
            <v>547.5</v>
          </cell>
          <cell r="G224">
            <v>9281.372259722033</v>
          </cell>
        </row>
        <row r="225">
          <cell r="C225">
            <v>998.8507892844957</v>
          </cell>
          <cell r="D225">
            <v>834.12459908219046</v>
          </cell>
          <cell r="E225">
            <v>6969.7624416389599</v>
          </cell>
          <cell r="F225">
            <v>547.5</v>
          </cell>
          <cell r="G225">
            <v>9350.2378300056462</v>
          </cell>
        </row>
        <row r="226">
          <cell r="C226">
            <v>1006.8358121198061</v>
          </cell>
          <cell r="D226">
            <v>859.99157185848537</v>
          </cell>
          <cell r="E226">
            <v>7004.2978330026699</v>
          </cell>
          <cell r="F226">
            <v>547.5</v>
          </cell>
          <cell r="G226">
            <v>9418.6252169809613</v>
          </cell>
        </row>
        <row r="227">
          <cell r="C227">
            <v>1014.7160134570314</v>
          </cell>
          <cell r="D227">
            <v>886.51335636045974</v>
          </cell>
          <cell r="E227">
            <v>7037.8345933082928</v>
          </cell>
          <cell r="F227">
            <v>547.5</v>
          </cell>
          <cell r="G227">
            <v>9486.5639631257836</v>
          </cell>
        </row>
        <row r="228">
          <cell r="C228">
            <v>1022.4922418855811</v>
          </cell>
          <cell r="D228">
            <v>913.7050369276069</v>
          </cell>
          <cell r="E228">
            <v>7070.3864903877156</v>
          </cell>
          <cell r="F228">
            <v>547.5</v>
          </cell>
          <cell r="G228">
            <v>9554.0837692009045</v>
          </cell>
        </row>
        <row r="229">
          <cell r="C229">
            <v>1030.1653401295089</v>
          </cell>
          <cell r="D229">
            <v>941.58202687857829</v>
          </cell>
          <cell r="E229">
            <v>7101.9671356998942</v>
          </cell>
          <cell r="F229">
            <v>547.5</v>
          </cell>
          <cell r="G229">
            <v>9621.2145027079823</v>
          </cell>
        </row>
        <row r="230">
          <cell r="C230">
            <v>1037.7361450849505</v>
          </cell>
          <cell r="D230">
            <v>970.16007543374485</v>
          </cell>
          <cell r="E230">
            <v>7132.5899859516949</v>
          </cell>
          <cell r="F230">
            <v>547.5</v>
          </cell>
          <cell r="G230">
            <v>9687.9862064703902</v>
          </cell>
        </row>
        <row r="231">
          <cell r="C231">
            <v>1045.2054878573344</v>
          </cell>
          <cell r="D231">
            <v>999.45527477979738</v>
          </cell>
          <cell r="E231">
            <v>7162.268344702783</v>
          </cell>
          <cell r="F231">
            <v>547.5</v>
          </cell>
          <cell r="G231">
            <v>9754.4291073399145</v>
          </cell>
        </row>
        <row r="232">
          <cell r="C232">
            <v>1052.5741937983671</v>
          </cell>
          <cell r="D232">
            <v>1029.4840672792445</v>
          </cell>
          <cell r="E232">
            <v>7191.0153639547507</v>
          </cell>
          <cell r="F232">
            <v>547.5</v>
          </cell>
          <cell r="G232">
            <v>9820.5736250323625</v>
          </cell>
        </row>
        <row r="233">
          <cell r="C233">
            <v>784.22197749500003</v>
          </cell>
          <cell r="D233">
            <v>389.62701858989999</v>
          </cell>
          <cell r="E233">
            <v>5865.68538653</v>
          </cell>
          <cell r="F233">
            <v>0</v>
          </cell>
          <cell r="G233">
            <v>7039.5343826149001</v>
          </cell>
        </row>
        <row r="234">
          <cell r="C234">
            <v>794.86617439858742</v>
          </cell>
          <cell r="D234">
            <v>403.93296803511453</v>
          </cell>
          <cell r="E234">
            <v>5927.3744477185592</v>
          </cell>
          <cell r="F234">
            <v>0</v>
          </cell>
          <cell r="G234">
            <v>7126.1735901522607</v>
          </cell>
        </row>
        <row r="235">
          <cell r="C235">
            <v>805.38432378370169</v>
          </cell>
          <cell r="D235">
            <v>418.62357806823337</v>
          </cell>
          <cell r="E235">
            <v>5987.7010800633643</v>
          </cell>
          <cell r="F235">
            <v>0</v>
          </cell>
          <cell r="G235">
            <v>7211.7089819152989</v>
          </cell>
        </row>
        <row r="236">
          <cell r="C236">
            <v>815.77742002060484</v>
          </cell>
          <cell r="D236">
            <v>433.70798901525569</v>
          </cell>
          <cell r="E236">
            <v>6046.6831343259983</v>
          </cell>
          <cell r="F236">
            <v>0</v>
          </cell>
          <cell r="G236">
            <v>7296.1685433618586</v>
          </cell>
        </row>
        <row r="237">
          <cell r="C237">
            <v>826.0464506870444</v>
          </cell>
          <cell r="D237">
            <v>449.19554435252496</v>
          </cell>
          <cell r="E237">
            <v>6104.3382628513064</v>
          </cell>
          <cell r="F237">
            <v>0</v>
          </cell>
          <cell r="G237">
            <v>7379.5802578908751</v>
          </cell>
        </row>
        <row r="238">
          <cell r="C238">
            <v>836.19239661131905</v>
          </cell>
          <cell r="D238">
            <v>465.09579503632892</v>
          </cell>
          <cell r="E238">
            <v>6160.6839215996133</v>
          </cell>
          <cell r="F238">
            <v>0</v>
          </cell>
          <cell r="G238">
            <v>7461.9721132472614</v>
          </cell>
        </row>
        <row r="239">
          <cell r="C239">
            <v>846.21623191508377</v>
          </cell>
          <cell r="D239">
            <v>481.41850392215304</v>
          </cell>
          <cell r="E239">
            <v>6215.737372159123</v>
          </cell>
          <cell r="F239">
            <v>0</v>
          </cell>
          <cell r="G239">
            <v>7543.3721079963598</v>
          </cell>
        </row>
        <row r="240">
          <cell r="C240">
            <v>856.11892405589538</v>
          </cell>
          <cell r="D240">
            <v>498.17365027540257</v>
          </cell>
          <cell r="E240">
            <v>6269.5156837386994</v>
          </cell>
          <cell r="F240">
            <v>0</v>
          </cell>
          <cell r="G240">
            <v>7623.8082580699975</v>
          </cell>
        </row>
        <row r="241">
          <cell r="C241">
            <v>865.90143386950137</v>
          </cell>
          <cell r="D241">
            <v>515.37143437544944</v>
          </cell>
          <cell r="E241">
            <v>6322.035735141184</v>
          </cell>
          <cell r="F241">
            <v>0</v>
          </cell>
          <cell r="G241">
            <v>7703.3086033861346</v>
          </cell>
        </row>
        <row r="242">
          <cell r="C242">
            <v>875.56471561186947</v>
          </cell>
          <cell r="D242">
            <v>533.02228221489327</v>
          </cell>
          <cell r="E242">
            <v>6373.3142167174701</v>
          </cell>
          <cell r="F242">
            <v>0</v>
          </cell>
          <cell r="G242">
            <v>7781.901214544233</v>
          </cell>
        </row>
        <row r="243">
          <cell r="C243">
            <v>885.10971700096752</v>
          </cell>
          <cell r="D243">
            <v>551.13685029596729</v>
          </cell>
          <cell r="E243">
            <v>6423.3676323014861</v>
          </cell>
          <cell r="F243">
            <v>0</v>
          </cell>
          <cell r="G243">
            <v>7859.6141995984208</v>
          </cell>
        </row>
        <row r="244">
          <cell r="C244">
            <v>894.53737925828398</v>
          </cell>
          <cell r="D244">
            <v>569.72603052605507</v>
          </cell>
          <cell r="E244">
            <v>6472.2123011262884</v>
          </cell>
          <cell r="F244">
            <v>0</v>
          </cell>
          <cell r="G244">
            <v>7936.4757109106276</v>
          </cell>
        </row>
        <row r="245">
          <cell r="C245">
            <v>903.84863715010238</v>
          </cell>
          <cell r="D245">
            <v>588.80095521432304</v>
          </cell>
          <cell r="E245">
            <v>6519.8643597214268</v>
          </cell>
          <cell r="F245">
            <v>0</v>
          </cell>
          <cell r="G245">
            <v>8012.513952085852</v>
          </cell>
        </row>
        <row r="246">
          <cell r="C246">
            <v>913.04441902852136</v>
          </cell>
          <cell r="D246">
            <v>608.3730021715196</v>
          </cell>
          <cell r="E246">
            <v>6566.3397637917687</v>
          </cell>
          <cell r="F246">
            <v>0</v>
          </cell>
          <cell r="G246">
            <v>8087.7571849918095</v>
          </cell>
        </row>
        <row r="247">
          <cell r="C247">
            <v>922.12564687222732</v>
          </cell>
          <cell r="D247">
            <v>628.45379991502341</v>
          </cell>
          <cell r="E247">
            <v>6611.654290077965</v>
          </cell>
          <cell r="F247">
            <v>0</v>
          </cell>
          <cell r="G247">
            <v>8162.2337368652152</v>
          </cell>
        </row>
        <row r="248">
          <cell r="C248">
            <v>931.09323632702035</v>
          </cell>
          <cell r="D248">
            <v>649.05523298127218</v>
          </cell>
          <cell r="E248">
            <v>6655.8235381986988</v>
          </cell>
          <cell r="F248">
            <v>0</v>
          </cell>
          <cell r="G248">
            <v>8235.9720075069908</v>
          </cell>
        </row>
        <row r="249">
          <cell r="C249">
            <v>939.9480967460936</v>
          </cell>
          <cell r="D249">
            <v>670.18944734774129</v>
          </cell>
          <cell r="E249">
            <v>6698.8629324749354</v>
          </cell>
          <cell r="F249">
            <v>0</v>
          </cell>
          <cell r="G249">
            <v>8309.00047656877</v>
          </cell>
        </row>
        <row r="250">
          <cell r="C250">
            <v>948.69113123006798</v>
          </cell>
          <cell r="D250">
            <v>691.86885596669049</v>
          </cell>
          <cell r="E250">
            <v>6740.7877237363109</v>
          </cell>
          <cell r="F250">
            <v>0</v>
          </cell>
          <cell r="G250">
            <v>8381.3477109330688</v>
          </cell>
        </row>
        <row r="251">
          <cell r="C251">
            <v>957.32323666678394</v>
          </cell>
          <cell r="D251">
            <v>714.10614441293103</v>
          </cell>
          <cell r="E251">
            <v>6781.6129911098215</v>
          </cell>
          <cell r="F251">
            <v>0</v>
          </cell>
          <cell r="G251">
            <v>8453.0423721895368</v>
          </cell>
        </row>
        <row r="252">
          <cell r="C252">
            <v>965.84530377085218</v>
          </cell>
          <cell r="D252">
            <v>736.91427664792297</v>
          </cell>
          <cell r="E252">
            <v>6821.353643791037</v>
          </cell>
          <cell r="F252">
            <v>0</v>
          </cell>
          <cell r="G252">
            <v>8524.113224209812</v>
          </cell>
        </row>
        <row r="253">
          <cell r="C253">
            <v>974.25821712296306</v>
          </cell>
          <cell r="D253">
            <v>760.30650090254744</v>
          </cell>
          <cell r="E253">
            <v>6860.0244227979247</v>
          </cell>
          <cell r="F253">
            <v>0</v>
          </cell>
          <cell r="G253">
            <v>8594.5891408234347</v>
          </cell>
        </row>
        <row r="254">
          <cell r="C254">
            <v>982.56285520895824</v>
          </cell>
          <cell r="D254">
            <v>784.29635568095091</v>
          </cell>
          <cell r="E254">
            <v>6897.6399027074976</v>
          </cell>
          <cell r="F254">
            <v>0</v>
          </cell>
          <cell r="G254">
            <v>8664.4991135974069</v>
          </cell>
        </row>
        <row r="255">
          <cell r="C255">
            <v>990.76009045866579</v>
          </cell>
          <cell r="D255">
            <v>808.89767588790824</v>
          </cell>
          <cell r="E255">
            <v>6934.2144933754589</v>
          </cell>
          <cell r="F255">
            <v>0</v>
          </cell>
          <cell r="G255">
            <v>8733.872259722033</v>
          </cell>
        </row>
        <row r="256">
          <cell r="C256">
            <v>998.8507892844957</v>
          </cell>
          <cell r="D256">
            <v>834.12459908219046</v>
          </cell>
          <cell r="E256">
            <v>6969.7624416389599</v>
          </cell>
          <cell r="F256">
            <v>0</v>
          </cell>
          <cell r="G256">
            <v>8802.7378300056462</v>
          </cell>
        </row>
        <row r="257">
          <cell r="C257">
            <v>1006.8358121198061</v>
          </cell>
          <cell r="D257">
            <v>859.99157185848537</v>
          </cell>
          <cell r="E257">
            <v>7004.2978330026699</v>
          </cell>
          <cell r="F257">
            <v>0</v>
          </cell>
          <cell r="G257">
            <v>8871.1252169809613</v>
          </cell>
        </row>
        <row r="258">
          <cell r="C258">
            <v>1014.7160134570314</v>
          </cell>
          <cell r="D258">
            <v>886.51335636045974</v>
          </cell>
          <cell r="E258">
            <v>7037.8345933082928</v>
          </cell>
          <cell r="F258">
            <v>0</v>
          </cell>
          <cell r="G258">
            <v>8939.0639631257836</v>
          </cell>
        </row>
        <row r="259">
          <cell r="C259">
            <v>1022.4922418855811</v>
          </cell>
          <cell r="D259">
            <v>913.7050369276069</v>
          </cell>
          <cell r="E259">
            <v>7070.3864903877156</v>
          </cell>
          <cell r="F259">
            <v>0</v>
          </cell>
          <cell r="G259">
            <v>9006.5837692009045</v>
          </cell>
        </row>
        <row r="260">
          <cell r="C260">
            <v>1030.1653401295089</v>
          </cell>
          <cell r="D260">
            <v>941.58202687857829</v>
          </cell>
          <cell r="E260">
            <v>7101.9671356998942</v>
          </cell>
          <cell r="F260">
            <v>0</v>
          </cell>
          <cell r="G260">
            <v>9073.7145027079823</v>
          </cell>
        </row>
        <row r="261">
          <cell r="C261">
            <v>1037.7361450849505</v>
          </cell>
          <cell r="D261">
            <v>970.16007543374485</v>
          </cell>
          <cell r="E261">
            <v>7132.5899859516949</v>
          </cell>
          <cell r="F261">
            <v>0</v>
          </cell>
          <cell r="G261">
            <v>9140.4862064703902</v>
          </cell>
        </row>
        <row r="262">
          <cell r="C262">
            <v>1045.2054878573344</v>
          </cell>
          <cell r="D262">
            <v>999.45527477979738</v>
          </cell>
          <cell r="E262">
            <v>7162.268344702783</v>
          </cell>
          <cell r="F262">
            <v>0</v>
          </cell>
          <cell r="G262">
            <v>9206.9291073399145</v>
          </cell>
        </row>
        <row r="263">
          <cell r="C263">
            <v>1052.5741937983671</v>
          </cell>
          <cell r="D263">
            <v>1029.4840672792445</v>
          </cell>
          <cell r="E263">
            <v>7191.0153639547507</v>
          </cell>
          <cell r="F263">
            <v>0</v>
          </cell>
          <cell r="G263">
            <v>9273.0736250323625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Inputs"/>
      <sheetName val="Demand"/>
      <sheetName val="Supply"/>
      <sheetName val="Energy"/>
      <sheetName val="Investment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122">
          <cell r="C122">
            <v>6059.6921628399505</v>
          </cell>
          <cell r="D122">
            <v>912</v>
          </cell>
          <cell r="E122">
            <v>0</v>
          </cell>
          <cell r="F122">
            <v>7.8422197749500002</v>
          </cell>
          <cell r="G122">
            <v>60</v>
          </cell>
        </row>
        <row r="123">
          <cell r="C123">
            <v>6156.0564450984248</v>
          </cell>
          <cell r="D123">
            <v>893.76</v>
          </cell>
          <cell r="E123">
            <v>0</v>
          </cell>
          <cell r="F123">
            <v>16.95714505383653</v>
          </cell>
          <cell r="G123">
            <v>59.4</v>
          </cell>
        </row>
        <row r="124">
          <cell r="C124">
            <v>6250.7089606716991</v>
          </cell>
          <cell r="D124">
            <v>875.88479999999993</v>
          </cell>
          <cell r="E124">
            <v>0</v>
          </cell>
          <cell r="F124">
            <v>26.30922124360092</v>
          </cell>
          <cell r="G124">
            <v>58.805999999999997</v>
          </cell>
        </row>
        <row r="125">
          <cell r="C125">
            <v>6343.689292880953</v>
          </cell>
          <cell r="D125">
            <v>858.36710399999993</v>
          </cell>
          <cell r="E125">
            <v>0</v>
          </cell>
          <cell r="F125">
            <v>35.894206480906618</v>
          </cell>
          <cell r="G125">
            <v>58.217939999999992</v>
          </cell>
        </row>
        <row r="126">
          <cell r="C126">
            <v>6435.0368317661923</v>
          </cell>
          <cell r="D126">
            <v>841.1997619199999</v>
          </cell>
          <cell r="E126">
            <v>0</v>
          </cell>
          <cell r="F126">
            <v>45.707903604683125</v>
          </cell>
          <cell r="G126">
            <v>57.635760599999998</v>
          </cell>
        </row>
        <row r="127">
          <cell r="C127">
            <v>6524.7907837975736</v>
          </cell>
          <cell r="D127">
            <v>824.37576668159988</v>
          </cell>
          <cell r="E127">
            <v>0</v>
          </cell>
          <cell r="F127">
            <v>55.746159774087921</v>
          </cell>
          <cell r="G127">
            <v>57.059402993999996</v>
          </cell>
        </row>
        <row r="128">
          <cell r="C128">
            <v>6612.9901815949561</v>
          </cell>
          <cell r="D128">
            <v>807.88825134796787</v>
          </cell>
          <cell r="E128">
            <v>0</v>
          </cell>
          <cell r="F128">
            <v>66.004866089376534</v>
          </cell>
          <cell r="G128">
            <v>56.488808964059992</v>
          </cell>
        </row>
        <row r="129">
          <cell r="C129">
            <v>6739.6984046017715</v>
          </cell>
          <cell r="D129">
            <v>791.73048632100847</v>
          </cell>
          <cell r="E129">
            <v>14.725489057137942</v>
          </cell>
          <cell r="F129">
            <v>76.479957215659979</v>
          </cell>
          <cell r="G129">
            <v>55.923920874419395</v>
          </cell>
        </row>
        <row r="130">
          <cell r="C130">
            <v>6830.7888039146947</v>
          </cell>
          <cell r="D130">
            <v>775.89587659458823</v>
          </cell>
          <cell r="E130">
            <v>63.591830201647646</v>
          </cell>
          <cell r="F130">
            <v>87.1674110095298</v>
          </cell>
          <cell r="G130">
            <v>55.364681665675199</v>
          </cell>
        </row>
        <row r="131">
          <cell r="C131">
            <v>6920.6224940027096</v>
          </cell>
          <cell r="D131">
            <v>760.3779590626965</v>
          </cell>
          <cell r="E131">
            <v>112.27647848127944</v>
          </cell>
          <cell r="F131">
            <v>98.063248148529368</v>
          </cell>
          <cell r="G131">
            <v>54.811034849018441</v>
          </cell>
        </row>
        <row r="132">
          <cell r="C132">
            <v>7009.2378937268386</v>
          </cell>
          <cell r="D132">
            <v>745.17039988144245</v>
          </cell>
          <cell r="E132">
            <v>160.77944972615859</v>
          </cell>
          <cell r="F132">
            <v>109.16353176345264</v>
          </cell>
          <cell r="G132">
            <v>54.262924500528257</v>
          </cell>
        </row>
        <row r="133">
          <cell r="C133">
            <v>7096.6732670272604</v>
          </cell>
          <cell r="D133">
            <v>730.2669918838136</v>
          </cell>
          <cell r="E133">
            <v>209.10078967058243</v>
          </cell>
          <cell r="F133">
            <v>120.4643670734489</v>
          </cell>
          <cell r="G133">
            <v>53.720295255522977</v>
          </cell>
        </row>
        <row r="134">
          <cell r="C134">
            <v>7182.9667332657464</v>
          </cell>
          <cell r="D134">
            <v>715.66165204613731</v>
          </cell>
          <cell r="E134">
            <v>257.24057344708592</v>
          </cell>
          <cell r="F134">
            <v>131.96190102391498</v>
          </cell>
          <cell r="G134">
            <v>53.183092302967751</v>
          </cell>
        </row>
        <row r="135">
          <cell r="C135">
            <v>7268.1562775932571</v>
          </cell>
          <cell r="D135">
            <v>701.34841900521451</v>
          </cell>
          <cell r="E135">
            <v>305.19890508624633</v>
          </cell>
          <cell r="F135">
            <v>143.65232192715405</v>
          </cell>
          <cell r="G135">
            <v>52.651261379938063</v>
          </cell>
        </row>
        <row r="136">
          <cell r="C136">
            <v>7352.2797613460125</v>
          </cell>
          <cell r="D136">
            <v>687.32145062511029</v>
          </cell>
          <cell r="E136">
            <v>352.97591702217233</v>
          </cell>
          <cell r="F136">
            <v>155.53185910578233</v>
          </cell>
          <cell r="G136">
            <v>52.124748766138687</v>
          </cell>
        </row>
        <row r="137">
          <cell r="C137">
            <v>7435.3749324734181</v>
          </cell>
          <cell r="D137">
            <v>673.575021612608</v>
          </cell>
          <cell r="E137">
            <v>400.571769603625</v>
          </cell>
          <cell r="F137">
            <v>167.59678253886366</v>
          </cell>
          <cell r="G137">
            <v>51.603501278477296</v>
          </cell>
        </row>
        <row r="138">
          <cell r="C138">
            <v>7517.4794360012529</v>
          </cell>
          <cell r="D138">
            <v>660.10352118035587</v>
          </cell>
          <cell r="E138">
            <v>447.98665061071688</v>
          </cell>
          <cell r="F138">
            <v>179.84340251075258</v>
          </cell>
          <cell r="G138">
            <v>51.087466265692527</v>
          </cell>
        </row>
        <row r="139">
          <cell r="C139">
            <v>7598.6308245335194</v>
          </cell>
          <cell r="D139">
            <v>646.90145075674877</v>
          </cell>
          <cell r="E139">
            <v>440.47077477713759</v>
          </cell>
          <cell r="F139">
            <v>192.26806926262711</v>
          </cell>
          <cell r="G139">
            <v>50.576591603035595</v>
          </cell>
        </row>
        <row r="140">
          <cell r="C140">
            <v>7678.866568796373</v>
          </cell>
          <cell r="D140">
            <v>633.96342174161373</v>
          </cell>
          <cell r="E140">
            <v>432.77438331785265</v>
          </cell>
          <cell r="F140">
            <v>204.86717264669176</v>
          </cell>
          <cell r="G140">
            <v>50.07082568700524</v>
          </cell>
        </row>
        <row r="141">
          <cell r="C141">
            <v>7758.2240682276388</v>
          </cell>
          <cell r="D141">
            <v>621.28415330678149</v>
          </cell>
          <cell r="E141">
            <v>424.89774346222532</v>
          </cell>
          <cell r="F141">
            <v>217.63714178303201</v>
          </cell>
          <cell r="G141">
            <v>49.570117430135184</v>
          </cell>
        </row>
        <row r="142">
          <cell r="C142">
            <v>7836.7406616153439</v>
          </cell>
          <cell r="D142">
            <v>608.85847024064583</v>
          </cell>
          <cell r="E142">
            <v>416.84114799250932</v>
          </cell>
          <cell r="F142">
            <v>230.57444471910122</v>
          </cell>
          <cell r="G142">
            <v>49.074416255833839</v>
          </cell>
        </row>
        <row r="143">
          <cell r="C143">
            <v>7914.4536377888144</v>
          </cell>
          <cell r="D143">
            <v>596.68130083583287</v>
          </cell>
          <cell r="E143">
            <v>408.60491478766164</v>
          </cell>
          <cell r="F143">
            <v>243.67558809182165</v>
          </cell>
          <cell r="G143">
            <v>48.583672093275496</v>
          </cell>
        </row>
        <row r="144">
          <cell r="C144">
            <v>7991.4002463658671</v>
          </cell>
          <cell r="D144">
            <v>584.74767481911624</v>
          </cell>
          <cell r="E144">
            <v>400.18938637242582</v>
          </cell>
          <cell r="F144">
            <v>256.93711679228062</v>
          </cell>
          <cell r="G144">
            <v>48.097835372342736</v>
          </cell>
        </row>
        <row r="145">
          <cell r="C145">
            <v>8067.6177085596555</v>
          </cell>
          <cell r="D145">
            <v>573.05272132273387</v>
          </cell>
          <cell r="E145">
            <v>391.59492947163466</v>
          </cell>
          <cell r="F145">
            <v>270.35561363300349</v>
          </cell>
          <cell r="G145">
            <v>47.616857018619314</v>
          </cell>
        </row>
        <row r="146">
          <cell r="C146">
            <v>8143.1432280487788</v>
          </cell>
          <cell r="D146">
            <v>561.59166689627921</v>
          </cell>
          <cell r="E146">
            <v>382.82193456968452</v>
          </cell>
          <cell r="F146">
            <v>283.92769901778536</v>
          </cell>
          <cell r="G146">
            <v>47.140688448433117</v>
          </cell>
        </row>
        <row r="147">
          <cell r="C147">
            <v>8218.0140019142891</v>
          </cell>
          <cell r="D147">
            <v>550.35983355835356</v>
          </cell>
          <cell r="E147">
            <v>373.8708154751302</v>
          </cell>
          <cell r="F147">
            <v>297.65003061406253</v>
          </cell>
          <cell r="G147">
            <v>46.669281563948786</v>
          </cell>
        </row>
        <row r="148">
          <cell r="C148">
            <v>8292.2672316472472</v>
          </cell>
          <cell r="D148">
            <v>539.35263688718646</v>
          </cell>
          <cell r="E148">
            <v>364.74200889035319</v>
          </cell>
          <cell r="F148">
            <v>311.51930302780704</v>
          </cell>
          <cell r="G148">
            <v>46.202588748309296</v>
          </cell>
        </row>
        <row r="149">
          <cell r="C149">
            <v>8365.9401342305337</v>
          </cell>
          <cell r="D149">
            <v>528.56558414944266</v>
          </cell>
          <cell r="E149">
            <v>355.43597398625434</v>
          </cell>
          <cell r="F149">
            <v>325.53224748092481</v>
          </cell>
          <cell r="G149">
            <v>45.740562860826209</v>
          </cell>
        </row>
        <row r="150">
          <cell r="C150">
            <v>8439.0699532986546</v>
          </cell>
          <cell r="D150">
            <v>517.99427246645382</v>
          </cell>
          <cell r="E150">
            <v>345.9531919819234</v>
          </cell>
          <cell r="F150">
            <v>339.68563149114044</v>
          </cell>
          <cell r="G150">
            <v>45.283157232217938</v>
          </cell>
        </row>
        <row r="151">
          <cell r="C151">
            <v>8511.6939703793068</v>
          </cell>
          <cell r="D151">
            <v>507.63438701712477</v>
          </cell>
          <cell r="E151">
            <v>336.29416572923748</v>
          </cell>
          <cell r="F151">
            <v>353.97625855435058</v>
          </cell>
          <cell r="G151">
            <v>44.830325659895756</v>
          </cell>
        </row>
        <row r="152">
          <cell r="C152">
            <v>8583.8495162205127</v>
          </cell>
          <cell r="D152">
            <v>497.48169927678225</v>
          </cell>
          <cell r="E152">
            <v>326.45941930234289</v>
          </cell>
          <cell r="F152">
            <v>368.40096782942845</v>
          </cell>
          <cell r="G152">
            <v>44.382022403296808</v>
          </cell>
        </row>
        <row r="153">
          <cell r="C153">
            <v>6059.6921628399505</v>
          </cell>
          <cell r="D153">
            <v>912</v>
          </cell>
          <cell r="E153">
            <v>0</v>
          </cell>
          <cell r="F153">
            <v>7.8422197749500002</v>
          </cell>
          <cell r="G153">
            <v>60</v>
          </cell>
        </row>
        <row r="154">
          <cell r="C154">
            <v>6164.4025399296097</v>
          </cell>
          <cell r="D154">
            <v>893.76</v>
          </cell>
          <cell r="E154">
            <v>0</v>
          </cell>
          <cell r="F154">
            <v>8.6110502226513645</v>
          </cell>
          <cell r="G154">
            <v>59.4</v>
          </cell>
        </row>
        <row r="155">
          <cell r="C155">
            <v>6267.6220314711563</v>
          </cell>
          <cell r="D155">
            <v>875.88479999999993</v>
          </cell>
          <cell r="E155">
            <v>0</v>
          </cell>
          <cell r="F155">
            <v>9.3961504441431867</v>
          </cell>
          <cell r="G155">
            <v>58.805999999999997</v>
          </cell>
        </row>
        <row r="156">
          <cell r="C156">
            <v>6369.3862816116016</v>
          </cell>
          <cell r="D156">
            <v>858.36710399999993</v>
          </cell>
          <cell r="E156">
            <v>0</v>
          </cell>
          <cell r="F156">
            <v>10.197217750257561</v>
          </cell>
          <cell r="G156">
            <v>58.217939999999992</v>
          </cell>
        </row>
        <row r="157">
          <cell r="C157">
            <v>6469.7307826950473</v>
          </cell>
          <cell r="D157">
            <v>841.1997619199999</v>
          </cell>
          <cell r="E157">
            <v>0</v>
          </cell>
          <cell r="F157">
            <v>11.013952675827259</v>
          </cell>
          <cell r="G157">
            <v>57.635760599999998</v>
          </cell>
        </row>
        <row r="158">
          <cell r="C158">
            <v>6568.6908846196675</v>
          </cell>
          <cell r="D158">
            <v>824.37576668159988</v>
          </cell>
          <cell r="E158">
            <v>0</v>
          </cell>
          <cell r="F158">
            <v>11.846058951993687</v>
          </cell>
          <cell r="G158">
            <v>57.059402993999996</v>
          </cell>
        </row>
        <row r="159">
          <cell r="C159">
            <v>6666.3018042056065</v>
          </cell>
          <cell r="D159">
            <v>807.88825134796787</v>
          </cell>
          <cell r="E159">
            <v>0</v>
          </cell>
          <cell r="F159">
            <v>12.693243478726256</v>
          </cell>
          <cell r="G159">
            <v>56.488808964059992</v>
          </cell>
        </row>
        <row r="160">
          <cell r="C160">
            <v>6768.7436659652412</v>
          </cell>
          <cell r="D160">
            <v>791.73048632100847</v>
          </cell>
          <cell r="E160">
            <v>0</v>
          </cell>
          <cell r="F160">
            <v>7.4101849093282492</v>
          </cell>
          <cell r="G160">
            <v>55.923920874419395</v>
          </cell>
        </row>
        <row r="161">
          <cell r="C161">
            <v>6864.062509680185</v>
          </cell>
          <cell r="D161">
            <v>775.89587659458823</v>
          </cell>
          <cell r="E161">
            <v>0</v>
          </cell>
          <cell r="F161">
            <v>7.9855354456854011</v>
          </cell>
          <cell r="G161">
            <v>55.364681665675199</v>
          </cell>
        </row>
        <row r="162">
          <cell r="C162">
            <v>6958.1316864195223</v>
          </cell>
          <cell r="D162">
            <v>760.3779590626965</v>
          </cell>
          <cell r="E162">
            <v>0</v>
          </cell>
          <cell r="F162">
            <v>8.5805342129963194</v>
          </cell>
          <cell r="G162">
            <v>54.811034849018441</v>
          </cell>
        </row>
        <row r="163">
          <cell r="C163">
            <v>7050.9855687120507</v>
          </cell>
          <cell r="D163">
            <v>745.17039988144245</v>
          </cell>
          <cell r="E163">
            <v>0</v>
          </cell>
          <cell r="F163">
            <v>9.195306504398939</v>
          </cell>
          <cell r="G163">
            <v>54.262924500528257</v>
          </cell>
        </row>
        <row r="164">
          <cell r="C164">
            <v>7142.6584519036651</v>
          </cell>
          <cell r="D164">
            <v>730.2669918838136</v>
          </cell>
          <cell r="E164">
            <v>0</v>
          </cell>
          <cell r="F164">
            <v>9.8299718676271439</v>
          </cell>
          <cell r="G164">
            <v>53.720295255522977</v>
          </cell>
        </row>
        <row r="165">
          <cell r="C165">
            <v>7233.1845635458058</v>
          </cell>
          <cell r="D165">
            <v>715.66165204613731</v>
          </cell>
          <cell r="E165">
            <v>0</v>
          </cell>
          <cell r="F165">
            <v>10.484644190941186</v>
          </cell>
          <cell r="G165">
            <v>53.183092302967751</v>
          </cell>
        </row>
        <row r="166">
          <cell r="C166">
            <v>7322.5980728185305</v>
          </cell>
          <cell r="D166">
            <v>701.34841900521451</v>
          </cell>
          <cell r="E166">
            <v>0</v>
          </cell>
          <cell r="F166">
            <v>11.159431788126373</v>
          </cell>
          <cell r="G166">
            <v>52.651261379938063</v>
          </cell>
        </row>
        <row r="167">
          <cell r="C167">
            <v>7410.9330999913973</v>
          </cell>
          <cell r="D167">
            <v>687.32145062511029</v>
          </cell>
          <cell r="E167">
            <v>0</v>
          </cell>
          <cell r="F167">
            <v>11.854437482568521</v>
          </cell>
          <cell r="G167">
            <v>52.124748766138687</v>
          </cell>
        </row>
        <row r="168">
          <cell r="C168">
            <v>7498.2237259254916</v>
          </cell>
          <cell r="D168">
            <v>673.575021612608</v>
          </cell>
          <cell r="E168">
            <v>0</v>
          </cell>
          <cell r="F168">
            <v>12.569758690414773</v>
          </cell>
          <cell r="G168">
            <v>51.603501278477296</v>
          </cell>
        </row>
        <row r="169">
          <cell r="C169">
            <v>7584.5040016198936</v>
          </cell>
          <cell r="D169">
            <v>660.10352118035587</v>
          </cell>
          <cell r="E169">
            <v>0</v>
          </cell>
          <cell r="F169">
            <v>13.305487502828036</v>
          </cell>
          <cell r="G169">
            <v>51.087466265692527</v>
          </cell>
        </row>
        <row r="170">
          <cell r="C170">
            <v>7669.8079578059405</v>
          </cell>
          <cell r="D170">
            <v>646.90145075674877</v>
          </cell>
          <cell r="E170">
            <v>0</v>
          </cell>
          <cell r="F170">
            <v>14.061710767343449</v>
          </cell>
          <cell r="G170">
            <v>50.576591603035595</v>
          </cell>
        </row>
        <row r="171">
          <cell r="C171">
            <v>7754.1696145925835</v>
          </cell>
          <cell r="D171">
            <v>633.96342174161373</v>
          </cell>
          <cell r="E171">
            <v>0</v>
          </cell>
          <cell r="F171">
            <v>14.838510168335148</v>
          </cell>
          <cell r="G171">
            <v>50.07082568700524</v>
          </cell>
        </row>
        <row r="172">
          <cell r="C172">
            <v>7837.622991166294</v>
          </cell>
          <cell r="D172">
            <v>621.28415330678149</v>
          </cell>
          <cell r="E172">
            <v>0</v>
          </cell>
          <cell r="F172">
            <v>15.635962306601458</v>
          </cell>
          <cell r="G172">
            <v>49.570117430135184</v>
          </cell>
        </row>
        <row r="173">
          <cell r="C173">
            <v>7920.2021155488783</v>
          </cell>
          <cell r="D173">
            <v>608.85847024064583</v>
          </cell>
          <cell r="E173">
            <v>0</v>
          </cell>
          <cell r="F173">
            <v>16.454138778076707</v>
          </cell>
          <cell r="G173">
            <v>49.074416255833839</v>
          </cell>
        </row>
        <row r="174">
          <cell r="C174">
            <v>8001.9410344166208</v>
          </cell>
          <cell r="D174">
            <v>596.68130083583287</v>
          </cell>
          <cell r="E174">
            <v>0</v>
          </cell>
          <cell r="F174">
            <v>17.293106251677663</v>
          </cell>
          <cell r="G174">
            <v>48.583672093275496</v>
          </cell>
        </row>
        <row r="175">
          <cell r="C175">
            <v>8082.8738229842811</v>
          </cell>
          <cell r="D175">
            <v>584.74767481911624</v>
          </cell>
          <cell r="E175">
            <v>0</v>
          </cell>
          <cell r="F175">
            <v>18.152926546292662</v>
          </cell>
          <cell r="G175">
            <v>48.097835372342736</v>
          </cell>
        </row>
        <row r="176">
          <cell r="C176">
            <v>8163.0345949573712</v>
          </cell>
          <cell r="D176">
            <v>573.05272132273387</v>
          </cell>
          <cell r="E176">
            <v>0</v>
          </cell>
          <cell r="F176">
            <v>19.033656706921217</v>
          </cell>
          <cell r="G176">
            <v>47.616857018619314</v>
          </cell>
        </row>
        <row r="177">
          <cell r="C177">
            <v>8242.4575125562769</v>
          </cell>
          <cell r="D177">
            <v>561.59166689627921</v>
          </cell>
          <cell r="E177">
            <v>0</v>
          </cell>
          <cell r="F177">
            <v>19.935349079972163</v>
          </cell>
          <cell r="G177">
            <v>47.140688448433117</v>
          </cell>
        </row>
        <row r="178">
          <cell r="C178">
            <v>8321.1767966157531</v>
          </cell>
          <cell r="D178">
            <v>550.35983355835356</v>
          </cell>
          <cell r="E178">
            <v>0</v>
          </cell>
          <cell r="F178">
            <v>20.858051387727865</v>
          </cell>
          <cell r="G178">
            <v>46.669281563948786</v>
          </cell>
        </row>
        <row r="179">
          <cell r="C179">
            <v>8399.2267367634267</v>
          </cell>
          <cell r="D179">
            <v>539.35263688718646</v>
          </cell>
          <cell r="E179">
            <v>0</v>
          </cell>
          <cell r="F179">
            <v>21.801806801982551</v>
          </cell>
          <cell r="G179">
            <v>46.202588748309296</v>
          </cell>
        </row>
        <row r="180">
          <cell r="C180">
            <v>8476.64170168085</v>
          </cell>
          <cell r="D180">
            <v>528.56558414944266</v>
          </cell>
          <cell r="E180">
            <v>0</v>
          </cell>
          <cell r="F180">
            <v>22.766654016862141</v>
          </cell>
          <cell r="G180">
            <v>45.740562860826209</v>
          </cell>
        </row>
        <row r="181">
          <cell r="C181">
            <v>8553.4561494508853</v>
          </cell>
          <cell r="D181">
            <v>517.99427246645382</v>
          </cell>
          <cell r="E181">
            <v>0</v>
          </cell>
          <cell r="F181">
            <v>23.752627320833305</v>
          </cell>
          <cell r="G181">
            <v>45.283157232217938</v>
          </cell>
        </row>
        <row r="182">
          <cell r="C182">
            <v>8629.7046379949861</v>
          </cell>
          <cell r="D182">
            <v>507.63438701712477</v>
          </cell>
          <cell r="E182">
            <v>0</v>
          </cell>
          <cell r="F182">
            <v>24.759756667909301</v>
          </cell>
          <cell r="G182">
            <v>44.830325659895756</v>
          </cell>
        </row>
        <row r="183">
          <cell r="C183">
            <v>8705.421835604222</v>
          </cell>
          <cell r="D183">
            <v>497.48169927678225</v>
          </cell>
          <cell r="E183">
            <v>0</v>
          </cell>
          <cell r="F183">
            <v>25.788067748059987</v>
          </cell>
          <cell r="G183">
            <v>44.382022403296808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BD49-A9F2-0245-91CE-657091B3E1BA}">
  <dimension ref="A1:I63"/>
  <sheetViews>
    <sheetView tabSelected="1" workbookViewId="0">
      <selection activeCell="B2" sqref="B2:F63"/>
    </sheetView>
  </sheetViews>
  <sheetFormatPr baseColWidth="10" defaultRowHeight="16" x14ac:dyDescent="0.2"/>
  <cols>
    <col min="2" max="4" width="12.1640625" bestFit="1" customWidth="1"/>
    <col min="5" max="5" width="17.33203125" bestFit="1" customWidth="1"/>
    <col min="6" max="7" width="17.33203125" customWidth="1"/>
    <col min="8" max="8" width="10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14</v>
      </c>
      <c r="H1" t="s">
        <v>5</v>
      </c>
      <c r="I1" t="s">
        <v>8</v>
      </c>
    </row>
    <row r="2" spans="1:9" x14ac:dyDescent="0.2">
      <c r="A2">
        <v>2020</v>
      </c>
      <c r="B2" s="1">
        <f>+[2]Summary!C122</f>
        <v>6059.6921628399505</v>
      </c>
      <c r="C2" s="1">
        <f>+[2]Summary!D122</f>
        <v>912</v>
      </c>
      <c r="D2" s="1">
        <f>+[2]Summary!E122</f>
        <v>0</v>
      </c>
      <c r="E2" s="1">
        <f>+[2]Summary!F122</f>
        <v>7.8422197749500002</v>
      </c>
      <c r="F2" s="1">
        <f>+[2]Summary!G122</f>
        <v>60</v>
      </c>
      <c r="G2" s="1">
        <f>+SUM(B2:F2)</f>
        <v>7039.5343826149001</v>
      </c>
      <c r="H2" t="s">
        <v>6</v>
      </c>
      <c r="I2" t="s">
        <v>9</v>
      </c>
    </row>
    <row r="3" spans="1:9" x14ac:dyDescent="0.2">
      <c r="A3">
        <v>2021</v>
      </c>
      <c r="B3" s="1">
        <f>+[2]Summary!C123</f>
        <v>6156.0564450984248</v>
      </c>
      <c r="C3" s="1">
        <f>+[2]Summary!D123</f>
        <v>893.76</v>
      </c>
      <c r="D3" s="1">
        <f>+[2]Summary!E123</f>
        <v>0</v>
      </c>
      <c r="E3" s="1">
        <f>+[2]Summary!F123</f>
        <v>16.95714505383653</v>
      </c>
      <c r="F3" s="1">
        <f>+[2]Summary!G123</f>
        <v>59.4</v>
      </c>
      <c r="G3" s="1">
        <f t="shared" ref="G3:G63" si="0">+SUM(B3:F3)</f>
        <v>7126.1735901522616</v>
      </c>
      <c r="H3" t="s">
        <v>6</v>
      </c>
      <c r="I3" t="s">
        <v>9</v>
      </c>
    </row>
    <row r="4" spans="1:9" x14ac:dyDescent="0.2">
      <c r="A4">
        <v>2022</v>
      </c>
      <c r="B4" s="1">
        <f>+[2]Summary!C124</f>
        <v>6250.7089606716991</v>
      </c>
      <c r="C4" s="1">
        <f>+[2]Summary!D124</f>
        <v>875.88479999999993</v>
      </c>
      <c r="D4" s="1">
        <f>+[2]Summary!E124</f>
        <v>0</v>
      </c>
      <c r="E4" s="1">
        <f>+[2]Summary!F124</f>
        <v>26.30922124360092</v>
      </c>
      <c r="F4" s="1">
        <f>+[2]Summary!G124</f>
        <v>58.805999999999997</v>
      </c>
      <c r="G4" s="1">
        <f t="shared" si="0"/>
        <v>7211.7089819152998</v>
      </c>
      <c r="H4" t="s">
        <v>6</v>
      </c>
      <c r="I4" t="s">
        <v>9</v>
      </c>
    </row>
    <row r="5" spans="1:9" x14ac:dyDescent="0.2">
      <c r="A5">
        <v>2023</v>
      </c>
      <c r="B5" s="1">
        <f>+[2]Summary!C125</f>
        <v>6343.689292880953</v>
      </c>
      <c r="C5" s="1">
        <f>+[2]Summary!D125</f>
        <v>858.36710399999993</v>
      </c>
      <c r="D5" s="1">
        <f>+[2]Summary!E125</f>
        <v>0</v>
      </c>
      <c r="E5" s="1">
        <f>+[2]Summary!F125</f>
        <v>35.894206480906618</v>
      </c>
      <c r="F5" s="1">
        <f>+[2]Summary!G125</f>
        <v>58.217939999999992</v>
      </c>
      <c r="G5" s="1">
        <f t="shared" si="0"/>
        <v>7296.1685433618586</v>
      </c>
      <c r="H5" t="s">
        <v>6</v>
      </c>
      <c r="I5" t="s">
        <v>9</v>
      </c>
    </row>
    <row r="6" spans="1:9" x14ac:dyDescent="0.2">
      <c r="A6">
        <v>2024</v>
      </c>
      <c r="B6" s="1">
        <f>+[2]Summary!C126</f>
        <v>6435.0368317661923</v>
      </c>
      <c r="C6" s="1">
        <f>+[2]Summary!D126</f>
        <v>841.1997619199999</v>
      </c>
      <c r="D6" s="1">
        <f>+[2]Summary!E126</f>
        <v>0</v>
      </c>
      <c r="E6" s="1">
        <f>+[2]Summary!F126</f>
        <v>45.707903604683125</v>
      </c>
      <c r="F6" s="1">
        <f>+[2]Summary!G126</f>
        <v>57.635760599999998</v>
      </c>
      <c r="G6" s="1">
        <f t="shared" si="0"/>
        <v>7379.5802578908761</v>
      </c>
      <c r="H6" t="s">
        <v>6</v>
      </c>
      <c r="I6" t="s">
        <v>9</v>
      </c>
    </row>
    <row r="7" spans="1:9" x14ac:dyDescent="0.2">
      <c r="A7">
        <v>2025</v>
      </c>
      <c r="B7" s="1">
        <f>+[2]Summary!C127</f>
        <v>6524.7907837975736</v>
      </c>
      <c r="C7" s="1">
        <f>+[2]Summary!D127</f>
        <v>824.37576668159988</v>
      </c>
      <c r="D7" s="1">
        <f>+[2]Summary!E127</f>
        <v>0</v>
      </c>
      <c r="E7" s="1">
        <f>+[2]Summary!F127</f>
        <v>55.746159774087921</v>
      </c>
      <c r="F7" s="1">
        <f>+[2]Summary!G127</f>
        <v>57.059402993999996</v>
      </c>
      <c r="G7" s="1">
        <f t="shared" si="0"/>
        <v>7461.9721132472614</v>
      </c>
      <c r="H7" t="s">
        <v>6</v>
      </c>
      <c r="I7" t="s">
        <v>9</v>
      </c>
    </row>
    <row r="8" spans="1:9" x14ac:dyDescent="0.2">
      <c r="A8">
        <v>2026</v>
      </c>
      <c r="B8" s="1">
        <f>+[2]Summary!C128</f>
        <v>6612.9901815949561</v>
      </c>
      <c r="C8" s="1">
        <f>+[2]Summary!D128</f>
        <v>807.88825134796787</v>
      </c>
      <c r="D8" s="1">
        <f>+[2]Summary!E128</f>
        <v>0</v>
      </c>
      <c r="E8" s="1">
        <f>+[2]Summary!F128</f>
        <v>66.004866089376534</v>
      </c>
      <c r="F8" s="1">
        <f>+[2]Summary!G128</f>
        <v>56.488808964059992</v>
      </c>
      <c r="G8" s="1">
        <f t="shared" si="0"/>
        <v>7543.3721079963598</v>
      </c>
      <c r="H8" t="s">
        <v>6</v>
      </c>
      <c r="I8" t="s">
        <v>9</v>
      </c>
    </row>
    <row r="9" spans="1:9" x14ac:dyDescent="0.2">
      <c r="A9">
        <v>2027</v>
      </c>
      <c r="B9" s="1">
        <f>+[2]Summary!C129</f>
        <v>6739.6984046017715</v>
      </c>
      <c r="C9" s="1">
        <f>+[2]Summary!D129</f>
        <v>791.73048632100847</v>
      </c>
      <c r="D9" s="1">
        <f>+[2]Summary!E129</f>
        <v>14.725489057137942</v>
      </c>
      <c r="E9" s="1">
        <f>+[2]Summary!F129</f>
        <v>76.479957215659979</v>
      </c>
      <c r="F9" s="1">
        <f>+[2]Summary!G129</f>
        <v>55.923920874419395</v>
      </c>
      <c r="G9" s="1">
        <f t="shared" si="0"/>
        <v>7678.5582580699966</v>
      </c>
      <c r="H9" t="s">
        <v>6</v>
      </c>
      <c r="I9" t="s">
        <v>9</v>
      </c>
    </row>
    <row r="10" spans="1:9" x14ac:dyDescent="0.2">
      <c r="A10">
        <v>2028</v>
      </c>
      <c r="B10" s="1">
        <f>+[2]Summary!C130</f>
        <v>6830.7888039146947</v>
      </c>
      <c r="C10" s="1">
        <f>+[2]Summary!D130</f>
        <v>775.89587659458823</v>
      </c>
      <c r="D10" s="1">
        <f>+[2]Summary!E130</f>
        <v>63.591830201647646</v>
      </c>
      <c r="E10" s="1">
        <f>+[2]Summary!F130</f>
        <v>87.1674110095298</v>
      </c>
      <c r="F10" s="1">
        <f>+[2]Summary!G130</f>
        <v>55.364681665675199</v>
      </c>
      <c r="G10" s="1">
        <f t="shared" si="0"/>
        <v>7812.8086033861364</v>
      </c>
      <c r="H10" t="s">
        <v>6</v>
      </c>
      <c r="I10" t="s">
        <v>9</v>
      </c>
    </row>
    <row r="11" spans="1:9" x14ac:dyDescent="0.2">
      <c r="A11">
        <v>2029</v>
      </c>
      <c r="B11" s="1">
        <f>+[2]Summary!C131</f>
        <v>6920.6224940027096</v>
      </c>
      <c r="C11" s="1">
        <f>+[2]Summary!D131</f>
        <v>760.3779590626965</v>
      </c>
      <c r="D11" s="1">
        <f>+[2]Summary!E131</f>
        <v>112.27647848127944</v>
      </c>
      <c r="E11" s="1">
        <f>+[2]Summary!F131</f>
        <v>98.063248148529368</v>
      </c>
      <c r="F11" s="1">
        <f>+[2]Summary!G131</f>
        <v>54.811034849018441</v>
      </c>
      <c r="G11" s="1">
        <f t="shared" si="0"/>
        <v>7946.151214544233</v>
      </c>
      <c r="H11" t="s">
        <v>6</v>
      </c>
      <c r="I11" t="s">
        <v>9</v>
      </c>
    </row>
    <row r="12" spans="1:9" x14ac:dyDescent="0.2">
      <c r="A12">
        <v>2030</v>
      </c>
      <c r="B12" s="1">
        <f>+[2]Summary!C132</f>
        <v>7009.2378937268386</v>
      </c>
      <c r="C12" s="1">
        <f>+[2]Summary!D132</f>
        <v>745.17039988144245</v>
      </c>
      <c r="D12" s="1">
        <f>+[2]Summary!E132</f>
        <v>160.77944972615859</v>
      </c>
      <c r="E12" s="1">
        <f>+[2]Summary!F132</f>
        <v>109.16353176345264</v>
      </c>
      <c r="F12" s="1">
        <f>+[2]Summary!G132</f>
        <v>54.262924500528257</v>
      </c>
      <c r="G12" s="1">
        <f t="shared" si="0"/>
        <v>8078.6141995984208</v>
      </c>
      <c r="H12" t="s">
        <v>6</v>
      </c>
      <c r="I12" t="s">
        <v>9</v>
      </c>
    </row>
    <row r="13" spans="1:9" x14ac:dyDescent="0.2">
      <c r="A13">
        <v>2031</v>
      </c>
      <c r="B13" s="1">
        <f>+[2]Summary!C133</f>
        <v>7096.6732670272604</v>
      </c>
      <c r="C13" s="1">
        <f>+[2]Summary!D133</f>
        <v>730.2669918838136</v>
      </c>
      <c r="D13" s="1">
        <f>+[2]Summary!E133</f>
        <v>209.10078967058243</v>
      </c>
      <c r="E13" s="1">
        <f>+[2]Summary!F133</f>
        <v>120.4643670734489</v>
      </c>
      <c r="F13" s="1">
        <f>+[2]Summary!G133</f>
        <v>53.720295255522977</v>
      </c>
      <c r="G13" s="1">
        <f t="shared" si="0"/>
        <v>8210.2257109106285</v>
      </c>
      <c r="H13" t="s">
        <v>6</v>
      </c>
      <c r="I13" t="s">
        <v>9</v>
      </c>
    </row>
    <row r="14" spans="1:9" x14ac:dyDescent="0.2">
      <c r="A14">
        <v>2032</v>
      </c>
      <c r="B14" s="1">
        <f>+[2]Summary!C134</f>
        <v>7182.9667332657464</v>
      </c>
      <c r="C14" s="1">
        <f>+[2]Summary!D134</f>
        <v>715.66165204613731</v>
      </c>
      <c r="D14" s="1">
        <f>+[2]Summary!E134</f>
        <v>257.24057344708592</v>
      </c>
      <c r="E14" s="1">
        <f>+[2]Summary!F134</f>
        <v>131.96190102391498</v>
      </c>
      <c r="F14" s="1">
        <f>+[2]Summary!G134</f>
        <v>53.183092302967751</v>
      </c>
      <c r="G14" s="1">
        <f t="shared" si="0"/>
        <v>8341.0139520858538</v>
      </c>
      <c r="H14" t="s">
        <v>6</v>
      </c>
      <c r="I14" t="s">
        <v>9</v>
      </c>
    </row>
    <row r="15" spans="1:9" x14ac:dyDescent="0.2">
      <c r="A15">
        <v>2033</v>
      </c>
      <c r="B15" s="1">
        <f>+[2]Summary!C135</f>
        <v>7268.1562775932571</v>
      </c>
      <c r="C15" s="1">
        <f>+[2]Summary!D135</f>
        <v>701.34841900521451</v>
      </c>
      <c r="D15" s="1">
        <f>+[2]Summary!E135</f>
        <v>305.19890508624633</v>
      </c>
      <c r="E15" s="1">
        <f>+[2]Summary!F135</f>
        <v>143.65232192715405</v>
      </c>
      <c r="F15" s="1">
        <f>+[2]Summary!G135</f>
        <v>52.651261379938063</v>
      </c>
      <c r="G15" s="1">
        <f t="shared" si="0"/>
        <v>8471.0071849918113</v>
      </c>
      <c r="H15" t="s">
        <v>6</v>
      </c>
      <c r="I15" t="s">
        <v>9</v>
      </c>
    </row>
    <row r="16" spans="1:9" x14ac:dyDescent="0.2">
      <c r="A16">
        <v>2034</v>
      </c>
      <c r="B16" s="1">
        <f>+[2]Summary!C136</f>
        <v>7352.2797613460125</v>
      </c>
      <c r="C16" s="1">
        <f>+[2]Summary!D136</f>
        <v>687.32145062511029</v>
      </c>
      <c r="D16" s="1">
        <f>+[2]Summary!E136</f>
        <v>352.97591702217233</v>
      </c>
      <c r="E16" s="1">
        <f>+[2]Summary!F136</f>
        <v>155.53185910578233</v>
      </c>
      <c r="F16" s="1">
        <f>+[2]Summary!G136</f>
        <v>52.124748766138687</v>
      </c>
      <c r="G16" s="1">
        <f t="shared" si="0"/>
        <v>8600.233736865217</v>
      </c>
      <c r="H16" t="s">
        <v>6</v>
      </c>
      <c r="I16" t="s">
        <v>9</v>
      </c>
    </row>
    <row r="17" spans="1:9" x14ac:dyDescent="0.2">
      <c r="A17">
        <v>2035</v>
      </c>
      <c r="B17" s="1">
        <f>+[2]Summary!C137</f>
        <v>7435.3749324734181</v>
      </c>
      <c r="C17" s="1">
        <f>+[2]Summary!D137</f>
        <v>673.575021612608</v>
      </c>
      <c r="D17" s="1">
        <f>+[2]Summary!E137</f>
        <v>400.571769603625</v>
      </c>
      <c r="E17" s="1">
        <f>+[2]Summary!F137</f>
        <v>167.59678253886366</v>
      </c>
      <c r="F17" s="1">
        <f>+[2]Summary!G137</f>
        <v>51.603501278477296</v>
      </c>
      <c r="G17" s="1">
        <f t="shared" si="0"/>
        <v>8728.7220075069927</v>
      </c>
      <c r="H17" t="s">
        <v>6</v>
      </c>
      <c r="I17" t="s">
        <v>9</v>
      </c>
    </row>
    <row r="18" spans="1:9" x14ac:dyDescent="0.2">
      <c r="A18">
        <v>2036</v>
      </c>
      <c r="B18" s="1">
        <f>+[2]Summary!C138</f>
        <v>7517.4794360012529</v>
      </c>
      <c r="C18" s="1">
        <f>+[2]Summary!D138</f>
        <v>660.10352118035587</v>
      </c>
      <c r="D18" s="1">
        <f>+[2]Summary!E138</f>
        <v>447.98665061071688</v>
      </c>
      <c r="E18" s="1">
        <f>+[2]Summary!F138</f>
        <v>179.84340251075258</v>
      </c>
      <c r="F18" s="1">
        <f>+[2]Summary!G138</f>
        <v>51.087466265692527</v>
      </c>
      <c r="G18" s="1">
        <f t="shared" si="0"/>
        <v>8856.5004765687718</v>
      </c>
      <c r="H18" t="s">
        <v>6</v>
      </c>
      <c r="I18" t="s">
        <v>9</v>
      </c>
    </row>
    <row r="19" spans="1:9" x14ac:dyDescent="0.2">
      <c r="A19">
        <v>2037</v>
      </c>
      <c r="B19" s="1">
        <f>+[2]Summary!C139</f>
        <v>7598.6308245335194</v>
      </c>
      <c r="C19" s="1">
        <f>+[2]Summary!D139</f>
        <v>646.90145075674877</v>
      </c>
      <c r="D19" s="1">
        <f>+[2]Summary!E139</f>
        <v>440.47077477713759</v>
      </c>
      <c r="E19" s="1">
        <f>+[2]Summary!F139</f>
        <v>192.26806926262711</v>
      </c>
      <c r="F19" s="1">
        <f>+[2]Summary!G139</f>
        <v>50.576591603035595</v>
      </c>
      <c r="G19" s="1">
        <f t="shared" si="0"/>
        <v>8928.8477109330688</v>
      </c>
      <c r="H19" t="s">
        <v>6</v>
      </c>
      <c r="I19" t="s">
        <v>9</v>
      </c>
    </row>
    <row r="20" spans="1:9" x14ac:dyDescent="0.2">
      <c r="A20">
        <v>2038</v>
      </c>
      <c r="B20" s="1">
        <f>+[2]Summary!C140</f>
        <v>7678.866568796373</v>
      </c>
      <c r="C20" s="1">
        <f>+[2]Summary!D140</f>
        <v>633.96342174161373</v>
      </c>
      <c r="D20" s="1">
        <f>+[2]Summary!E140</f>
        <v>432.77438331785265</v>
      </c>
      <c r="E20" s="1">
        <f>+[2]Summary!F140</f>
        <v>204.86717264669176</v>
      </c>
      <c r="F20" s="1">
        <f>+[2]Summary!G140</f>
        <v>50.07082568700524</v>
      </c>
      <c r="G20" s="1">
        <f t="shared" si="0"/>
        <v>9000.5423721895349</v>
      </c>
      <c r="H20" t="s">
        <v>6</v>
      </c>
      <c r="I20" t="s">
        <v>9</v>
      </c>
    </row>
    <row r="21" spans="1:9" x14ac:dyDescent="0.2">
      <c r="A21">
        <v>2039</v>
      </c>
      <c r="B21" s="1">
        <f>+[2]Summary!C141</f>
        <v>7758.2240682276388</v>
      </c>
      <c r="C21" s="1">
        <f>+[2]Summary!D141</f>
        <v>621.28415330678149</v>
      </c>
      <c r="D21" s="1">
        <f>+[2]Summary!E141</f>
        <v>424.89774346222532</v>
      </c>
      <c r="E21" s="1">
        <f>+[2]Summary!F141</f>
        <v>217.63714178303201</v>
      </c>
      <c r="F21" s="1">
        <f>+[2]Summary!G141</f>
        <v>49.570117430135184</v>
      </c>
      <c r="G21" s="1">
        <f t="shared" si="0"/>
        <v>9071.6132242098138</v>
      </c>
      <c r="H21" t="s">
        <v>6</v>
      </c>
      <c r="I21" t="s">
        <v>9</v>
      </c>
    </row>
    <row r="22" spans="1:9" x14ac:dyDescent="0.2">
      <c r="A22">
        <v>2040</v>
      </c>
      <c r="B22" s="1">
        <f>+[2]Summary!C142</f>
        <v>7836.7406616153439</v>
      </c>
      <c r="C22" s="1">
        <f>+[2]Summary!D142</f>
        <v>608.85847024064583</v>
      </c>
      <c r="D22" s="1">
        <f>+[2]Summary!E142</f>
        <v>416.84114799250932</v>
      </c>
      <c r="E22" s="1">
        <f>+[2]Summary!F142</f>
        <v>230.57444471910122</v>
      </c>
      <c r="F22" s="1">
        <f>+[2]Summary!G142</f>
        <v>49.074416255833839</v>
      </c>
      <c r="G22" s="1">
        <f t="shared" si="0"/>
        <v>9142.0891408234329</v>
      </c>
      <c r="H22" t="s">
        <v>6</v>
      </c>
      <c r="I22" t="s">
        <v>9</v>
      </c>
    </row>
    <row r="23" spans="1:9" x14ac:dyDescent="0.2">
      <c r="A23">
        <v>2041</v>
      </c>
      <c r="B23" s="1">
        <f>+[2]Summary!C143</f>
        <v>7914.4536377888144</v>
      </c>
      <c r="C23" s="1">
        <f>+[2]Summary!D143</f>
        <v>596.68130083583287</v>
      </c>
      <c r="D23" s="1">
        <f>+[2]Summary!E143</f>
        <v>408.60491478766164</v>
      </c>
      <c r="E23" s="1">
        <f>+[2]Summary!F143</f>
        <v>243.67558809182165</v>
      </c>
      <c r="F23" s="1">
        <f>+[2]Summary!G143</f>
        <v>48.583672093275496</v>
      </c>
      <c r="G23" s="1">
        <f t="shared" si="0"/>
        <v>9211.9991135974051</v>
      </c>
      <c r="H23" t="s">
        <v>6</v>
      </c>
      <c r="I23" t="s">
        <v>9</v>
      </c>
    </row>
    <row r="24" spans="1:9" x14ac:dyDescent="0.2">
      <c r="A24">
        <v>2042</v>
      </c>
      <c r="B24" s="1">
        <f>+[2]Summary!C144</f>
        <v>7991.4002463658671</v>
      </c>
      <c r="C24" s="1">
        <f>+[2]Summary!D144</f>
        <v>584.74767481911624</v>
      </c>
      <c r="D24" s="1">
        <f>+[2]Summary!E144</f>
        <v>400.18938637242582</v>
      </c>
      <c r="E24" s="1">
        <f>+[2]Summary!F144</f>
        <v>256.93711679228062</v>
      </c>
      <c r="F24" s="1">
        <f>+[2]Summary!G144</f>
        <v>48.097835372342736</v>
      </c>
      <c r="G24" s="1">
        <f t="shared" si="0"/>
        <v>9281.3722597220312</v>
      </c>
      <c r="H24" t="s">
        <v>6</v>
      </c>
      <c r="I24" t="s">
        <v>9</v>
      </c>
    </row>
    <row r="25" spans="1:9" x14ac:dyDescent="0.2">
      <c r="A25">
        <v>2043</v>
      </c>
      <c r="B25" s="1">
        <f>+[2]Summary!C145</f>
        <v>8067.6177085596555</v>
      </c>
      <c r="C25" s="1">
        <f>+[2]Summary!D145</f>
        <v>573.05272132273387</v>
      </c>
      <c r="D25" s="1">
        <f>+[2]Summary!E145</f>
        <v>391.59492947163466</v>
      </c>
      <c r="E25" s="1">
        <f>+[2]Summary!F145</f>
        <v>270.35561363300349</v>
      </c>
      <c r="F25" s="1">
        <f>+[2]Summary!G145</f>
        <v>47.616857018619314</v>
      </c>
      <c r="G25" s="1">
        <f t="shared" si="0"/>
        <v>9350.237830005648</v>
      </c>
      <c r="H25" t="s">
        <v>6</v>
      </c>
      <c r="I25" t="s">
        <v>9</v>
      </c>
    </row>
    <row r="26" spans="1:9" x14ac:dyDescent="0.2">
      <c r="A26">
        <v>2044</v>
      </c>
      <c r="B26" s="1">
        <f>+[2]Summary!C146</f>
        <v>8143.1432280487788</v>
      </c>
      <c r="C26" s="1">
        <f>+[2]Summary!D146</f>
        <v>561.59166689627921</v>
      </c>
      <c r="D26" s="1">
        <f>+[2]Summary!E146</f>
        <v>382.82193456968452</v>
      </c>
      <c r="E26" s="1">
        <f>+[2]Summary!F146</f>
        <v>283.92769901778536</v>
      </c>
      <c r="F26" s="1">
        <f>+[2]Summary!G146</f>
        <v>47.140688448433117</v>
      </c>
      <c r="G26" s="1">
        <f t="shared" si="0"/>
        <v>9418.6252169809632</v>
      </c>
      <c r="H26" t="s">
        <v>6</v>
      </c>
      <c r="I26" t="s">
        <v>9</v>
      </c>
    </row>
    <row r="27" spans="1:9" x14ac:dyDescent="0.2">
      <c r="A27">
        <v>2045</v>
      </c>
      <c r="B27" s="1">
        <f>+[2]Summary!C147</f>
        <v>8218.0140019142891</v>
      </c>
      <c r="C27" s="1">
        <f>+[2]Summary!D147</f>
        <v>550.35983355835356</v>
      </c>
      <c r="D27" s="1">
        <f>+[2]Summary!E147</f>
        <v>373.8708154751302</v>
      </c>
      <c r="E27" s="1">
        <f>+[2]Summary!F147</f>
        <v>297.65003061406253</v>
      </c>
      <c r="F27" s="1">
        <f>+[2]Summary!G147</f>
        <v>46.669281563948786</v>
      </c>
      <c r="G27" s="1">
        <f t="shared" si="0"/>
        <v>9486.5639631257836</v>
      </c>
      <c r="H27" t="s">
        <v>6</v>
      </c>
      <c r="I27" t="s">
        <v>9</v>
      </c>
    </row>
    <row r="28" spans="1:9" x14ac:dyDescent="0.2">
      <c r="A28">
        <v>2046</v>
      </c>
      <c r="B28" s="1">
        <f>+[2]Summary!C148</f>
        <v>8292.2672316472472</v>
      </c>
      <c r="C28" s="1">
        <f>+[2]Summary!D148</f>
        <v>539.35263688718646</v>
      </c>
      <c r="D28" s="1">
        <f>+[2]Summary!E148</f>
        <v>364.74200889035319</v>
      </c>
      <c r="E28" s="1">
        <f>+[2]Summary!F148</f>
        <v>311.51930302780704</v>
      </c>
      <c r="F28" s="1">
        <f>+[2]Summary!G148</f>
        <v>46.202588748309296</v>
      </c>
      <c r="G28" s="1">
        <f t="shared" si="0"/>
        <v>9554.0837692009027</v>
      </c>
      <c r="H28" t="s">
        <v>6</v>
      </c>
      <c r="I28" t="s">
        <v>9</v>
      </c>
    </row>
    <row r="29" spans="1:9" x14ac:dyDescent="0.2">
      <c r="A29">
        <v>2047</v>
      </c>
      <c r="B29" s="1">
        <f>+[2]Summary!C149</f>
        <v>8365.9401342305337</v>
      </c>
      <c r="C29" s="1">
        <f>+[2]Summary!D149</f>
        <v>528.56558414944266</v>
      </c>
      <c r="D29" s="1">
        <f>+[2]Summary!E149</f>
        <v>355.43597398625434</v>
      </c>
      <c r="E29" s="1">
        <f>+[2]Summary!F149</f>
        <v>325.53224748092481</v>
      </c>
      <c r="F29" s="1">
        <f>+[2]Summary!G149</f>
        <v>45.740562860826209</v>
      </c>
      <c r="G29" s="1">
        <f t="shared" si="0"/>
        <v>9621.2145027079823</v>
      </c>
      <c r="H29" t="s">
        <v>6</v>
      </c>
      <c r="I29" t="s">
        <v>9</v>
      </c>
    </row>
    <row r="30" spans="1:9" x14ac:dyDescent="0.2">
      <c r="A30">
        <v>2048</v>
      </c>
      <c r="B30" s="1">
        <f>+[2]Summary!C150</f>
        <v>8439.0699532986546</v>
      </c>
      <c r="C30" s="1">
        <f>+[2]Summary!D150</f>
        <v>517.99427246645382</v>
      </c>
      <c r="D30" s="1">
        <f>+[2]Summary!E150</f>
        <v>345.9531919819234</v>
      </c>
      <c r="E30" s="1">
        <f>+[2]Summary!F150</f>
        <v>339.68563149114044</v>
      </c>
      <c r="F30" s="1">
        <f>+[2]Summary!G150</f>
        <v>45.283157232217938</v>
      </c>
      <c r="G30" s="1">
        <f t="shared" si="0"/>
        <v>9687.9862064703902</v>
      </c>
      <c r="H30" t="s">
        <v>6</v>
      </c>
      <c r="I30" t="s">
        <v>9</v>
      </c>
    </row>
    <row r="31" spans="1:9" x14ac:dyDescent="0.2">
      <c r="A31">
        <v>2049</v>
      </c>
      <c r="B31" s="1">
        <f>+[2]Summary!C151</f>
        <v>8511.6939703793068</v>
      </c>
      <c r="C31" s="1">
        <f>+[2]Summary!D151</f>
        <v>507.63438701712477</v>
      </c>
      <c r="D31" s="1">
        <f>+[2]Summary!E151</f>
        <v>336.29416572923748</v>
      </c>
      <c r="E31" s="1">
        <f>+[2]Summary!F151</f>
        <v>353.97625855435058</v>
      </c>
      <c r="F31" s="1">
        <f>+[2]Summary!G151</f>
        <v>44.830325659895756</v>
      </c>
      <c r="G31" s="1">
        <f t="shared" si="0"/>
        <v>9754.4291073399145</v>
      </c>
      <c r="H31" t="s">
        <v>6</v>
      </c>
      <c r="I31" t="s">
        <v>9</v>
      </c>
    </row>
    <row r="32" spans="1:9" x14ac:dyDescent="0.2">
      <c r="A32">
        <v>2050</v>
      </c>
      <c r="B32" s="1">
        <f>+[2]Summary!C152</f>
        <v>8583.8495162205127</v>
      </c>
      <c r="C32" s="1">
        <f>+[2]Summary!D152</f>
        <v>497.48169927678225</v>
      </c>
      <c r="D32" s="1">
        <f>+[2]Summary!E152</f>
        <v>326.45941930234289</v>
      </c>
      <c r="E32" s="1">
        <f>+[2]Summary!F152</f>
        <v>368.40096782942845</v>
      </c>
      <c r="F32" s="1">
        <f>+[2]Summary!G152</f>
        <v>44.382022403296808</v>
      </c>
      <c r="G32" s="1">
        <f t="shared" si="0"/>
        <v>9820.5736250323625</v>
      </c>
      <c r="H32" t="s">
        <v>6</v>
      </c>
      <c r="I32" t="s">
        <v>9</v>
      </c>
    </row>
    <row r="33" spans="1:9" x14ac:dyDescent="0.2">
      <c r="A33">
        <v>2020</v>
      </c>
      <c r="B33" s="1">
        <f>+[2]Summary!C153</f>
        <v>6059.6921628399505</v>
      </c>
      <c r="C33" s="1">
        <f>+[2]Summary!D153</f>
        <v>912</v>
      </c>
      <c r="D33" s="1">
        <f>+[2]Summary!E153</f>
        <v>0</v>
      </c>
      <c r="E33" s="1">
        <f>+[2]Summary!F153</f>
        <v>7.8422197749500002</v>
      </c>
      <c r="F33" s="1">
        <f>+[2]Summary!G153</f>
        <v>60</v>
      </c>
      <c r="G33" s="1">
        <f t="shared" si="0"/>
        <v>7039.5343826149001</v>
      </c>
      <c r="H33" t="s">
        <v>7</v>
      </c>
      <c r="I33" t="s">
        <v>9</v>
      </c>
    </row>
    <row r="34" spans="1:9" x14ac:dyDescent="0.2">
      <c r="A34">
        <v>2021</v>
      </c>
      <c r="B34" s="1">
        <f>+[2]Summary!C154</f>
        <v>6164.4025399296097</v>
      </c>
      <c r="C34" s="1">
        <f>+[2]Summary!D154</f>
        <v>893.76</v>
      </c>
      <c r="D34" s="1">
        <f>+[2]Summary!E154</f>
        <v>0</v>
      </c>
      <c r="E34" s="1">
        <f>+[2]Summary!F154</f>
        <v>8.6110502226513645</v>
      </c>
      <c r="F34" s="1">
        <f>+[2]Summary!G154</f>
        <v>59.4</v>
      </c>
      <c r="G34" s="1">
        <f t="shared" si="0"/>
        <v>7126.1735901522607</v>
      </c>
      <c r="H34" t="s">
        <v>7</v>
      </c>
      <c r="I34" t="s">
        <v>9</v>
      </c>
    </row>
    <row r="35" spans="1:9" x14ac:dyDescent="0.2">
      <c r="A35">
        <v>2022</v>
      </c>
      <c r="B35" s="1">
        <f>+[2]Summary!C155</f>
        <v>6267.6220314711563</v>
      </c>
      <c r="C35" s="1">
        <f>+[2]Summary!D155</f>
        <v>875.88479999999993</v>
      </c>
      <c r="D35" s="1">
        <f>+[2]Summary!E155</f>
        <v>0</v>
      </c>
      <c r="E35" s="1">
        <f>+[2]Summary!F155</f>
        <v>9.3961504441431867</v>
      </c>
      <c r="F35" s="1">
        <f>+[2]Summary!G155</f>
        <v>58.805999999999997</v>
      </c>
      <c r="G35" s="1">
        <f t="shared" si="0"/>
        <v>7211.7089819152989</v>
      </c>
      <c r="H35" t="s">
        <v>7</v>
      </c>
      <c r="I35" t="s">
        <v>9</v>
      </c>
    </row>
    <row r="36" spans="1:9" x14ac:dyDescent="0.2">
      <c r="A36">
        <v>2023</v>
      </c>
      <c r="B36" s="1">
        <f>+[2]Summary!C156</f>
        <v>6369.3862816116016</v>
      </c>
      <c r="C36" s="1">
        <f>+[2]Summary!D156</f>
        <v>858.36710399999993</v>
      </c>
      <c r="D36" s="1">
        <f>+[2]Summary!E156</f>
        <v>0</v>
      </c>
      <c r="E36" s="1">
        <f>+[2]Summary!F156</f>
        <v>10.197217750257561</v>
      </c>
      <c r="F36" s="1">
        <f>+[2]Summary!G156</f>
        <v>58.217939999999992</v>
      </c>
      <c r="G36" s="1">
        <f t="shared" si="0"/>
        <v>7296.1685433618586</v>
      </c>
      <c r="H36" t="s">
        <v>7</v>
      </c>
      <c r="I36" t="s">
        <v>9</v>
      </c>
    </row>
    <row r="37" spans="1:9" x14ac:dyDescent="0.2">
      <c r="A37">
        <v>2024</v>
      </c>
      <c r="B37" s="1">
        <f>+[2]Summary!C157</f>
        <v>6469.7307826950473</v>
      </c>
      <c r="C37" s="1">
        <f>+[2]Summary!D157</f>
        <v>841.1997619199999</v>
      </c>
      <c r="D37" s="1">
        <f>+[2]Summary!E157</f>
        <v>0</v>
      </c>
      <c r="E37" s="1">
        <f>+[2]Summary!F157</f>
        <v>11.013952675827259</v>
      </c>
      <c r="F37" s="1">
        <f>+[2]Summary!G157</f>
        <v>57.635760599999998</v>
      </c>
      <c r="G37" s="1">
        <f t="shared" si="0"/>
        <v>7379.5802578908751</v>
      </c>
      <c r="H37" t="s">
        <v>7</v>
      </c>
      <c r="I37" t="s">
        <v>9</v>
      </c>
    </row>
    <row r="38" spans="1:9" x14ac:dyDescent="0.2">
      <c r="A38">
        <v>2025</v>
      </c>
      <c r="B38" s="1">
        <f>+[2]Summary!C158</f>
        <v>6568.6908846196675</v>
      </c>
      <c r="C38" s="1">
        <f>+[2]Summary!D158</f>
        <v>824.37576668159988</v>
      </c>
      <c r="D38" s="1">
        <f>+[2]Summary!E158</f>
        <v>0</v>
      </c>
      <c r="E38" s="1">
        <f>+[2]Summary!F158</f>
        <v>11.846058951993687</v>
      </c>
      <c r="F38" s="1">
        <f>+[2]Summary!G158</f>
        <v>57.059402993999996</v>
      </c>
      <c r="G38" s="1">
        <f t="shared" si="0"/>
        <v>7461.9721132472614</v>
      </c>
      <c r="H38" t="s">
        <v>7</v>
      </c>
      <c r="I38" t="s">
        <v>9</v>
      </c>
    </row>
    <row r="39" spans="1:9" x14ac:dyDescent="0.2">
      <c r="A39">
        <v>2026</v>
      </c>
      <c r="B39" s="1">
        <f>+[2]Summary!C159</f>
        <v>6666.3018042056065</v>
      </c>
      <c r="C39" s="1">
        <f>+[2]Summary!D159</f>
        <v>807.88825134796787</v>
      </c>
      <c r="D39" s="1">
        <f>+[2]Summary!E159</f>
        <v>0</v>
      </c>
      <c r="E39" s="1">
        <f>+[2]Summary!F159</f>
        <v>12.693243478726256</v>
      </c>
      <c r="F39" s="1">
        <f>+[2]Summary!G159</f>
        <v>56.488808964059992</v>
      </c>
      <c r="G39" s="1">
        <f t="shared" si="0"/>
        <v>7543.3721079963598</v>
      </c>
      <c r="H39" t="s">
        <v>7</v>
      </c>
      <c r="I39" t="s">
        <v>9</v>
      </c>
    </row>
    <row r="40" spans="1:9" x14ac:dyDescent="0.2">
      <c r="A40">
        <v>2027</v>
      </c>
      <c r="B40" s="1">
        <f>+[2]Summary!C160</f>
        <v>6768.7436659652412</v>
      </c>
      <c r="C40" s="1">
        <f>+[2]Summary!D160</f>
        <v>791.73048632100847</v>
      </c>
      <c r="D40" s="1">
        <f>+[2]Summary!E160</f>
        <v>0</v>
      </c>
      <c r="E40" s="1">
        <f>+[2]Summary!F160</f>
        <v>7.4101849093282492</v>
      </c>
      <c r="F40" s="1">
        <f>+[2]Summary!G160</f>
        <v>55.923920874419395</v>
      </c>
      <c r="G40" s="1">
        <f t="shared" si="0"/>
        <v>7623.8082580699975</v>
      </c>
      <c r="H40" t="s">
        <v>7</v>
      </c>
      <c r="I40" t="s">
        <v>9</v>
      </c>
    </row>
    <row r="41" spans="1:9" x14ac:dyDescent="0.2">
      <c r="A41">
        <v>2028</v>
      </c>
      <c r="B41" s="1">
        <f>+[2]Summary!C161</f>
        <v>6864.062509680185</v>
      </c>
      <c r="C41" s="1">
        <f>+[2]Summary!D161</f>
        <v>775.89587659458823</v>
      </c>
      <c r="D41" s="1">
        <f>+[2]Summary!E161</f>
        <v>0</v>
      </c>
      <c r="E41" s="1">
        <f>+[2]Summary!F161</f>
        <v>7.9855354456854011</v>
      </c>
      <c r="F41" s="1">
        <f>+[2]Summary!G161</f>
        <v>55.364681665675199</v>
      </c>
      <c r="G41" s="1">
        <f t="shared" si="0"/>
        <v>7703.3086033861346</v>
      </c>
      <c r="H41" t="s">
        <v>7</v>
      </c>
      <c r="I41" t="s">
        <v>9</v>
      </c>
    </row>
    <row r="42" spans="1:9" x14ac:dyDescent="0.2">
      <c r="A42">
        <v>2029</v>
      </c>
      <c r="B42" s="1">
        <f>+[2]Summary!C162</f>
        <v>6958.1316864195223</v>
      </c>
      <c r="C42" s="1">
        <f>+[2]Summary!D162</f>
        <v>760.3779590626965</v>
      </c>
      <c r="D42" s="1">
        <f>+[2]Summary!E162</f>
        <v>0</v>
      </c>
      <c r="E42" s="1">
        <f>+[2]Summary!F162</f>
        <v>8.5805342129963194</v>
      </c>
      <c r="F42" s="1">
        <f>+[2]Summary!G162</f>
        <v>54.811034849018441</v>
      </c>
      <c r="G42" s="1">
        <f t="shared" si="0"/>
        <v>7781.901214544233</v>
      </c>
      <c r="H42" t="s">
        <v>7</v>
      </c>
      <c r="I42" t="s">
        <v>9</v>
      </c>
    </row>
    <row r="43" spans="1:9" x14ac:dyDescent="0.2">
      <c r="A43">
        <v>2030</v>
      </c>
      <c r="B43" s="1">
        <f>+[2]Summary!C163</f>
        <v>7050.9855687120507</v>
      </c>
      <c r="C43" s="1">
        <f>+[2]Summary!D163</f>
        <v>745.17039988144245</v>
      </c>
      <c r="D43" s="1">
        <f>+[2]Summary!E163</f>
        <v>0</v>
      </c>
      <c r="E43" s="1">
        <f>+[2]Summary!F163</f>
        <v>9.195306504398939</v>
      </c>
      <c r="F43" s="1">
        <f>+[2]Summary!G163</f>
        <v>54.262924500528257</v>
      </c>
      <c r="G43" s="1">
        <f t="shared" si="0"/>
        <v>7859.6141995984208</v>
      </c>
      <c r="H43" t="s">
        <v>7</v>
      </c>
      <c r="I43" t="s">
        <v>9</v>
      </c>
    </row>
    <row r="44" spans="1:9" x14ac:dyDescent="0.2">
      <c r="A44">
        <v>2031</v>
      </c>
      <c r="B44" s="1">
        <f>+[2]Summary!C164</f>
        <v>7142.6584519036651</v>
      </c>
      <c r="C44" s="1">
        <f>+[2]Summary!D164</f>
        <v>730.2669918838136</v>
      </c>
      <c r="D44" s="1">
        <f>+[2]Summary!E164</f>
        <v>0</v>
      </c>
      <c r="E44" s="1">
        <f>+[2]Summary!F164</f>
        <v>9.8299718676271439</v>
      </c>
      <c r="F44" s="1">
        <f>+[2]Summary!G164</f>
        <v>53.720295255522977</v>
      </c>
      <c r="G44" s="1">
        <f t="shared" si="0"/>
        <v>7936.4757109106285</v>
      </c>
      <c r="H44" t="s">
        <v>7</v>
      </c>
      <c r="I44" t="s">
        <v>9</v>
      </c>
    </row>
    <row r="45" spans="1:9" x14ac:dyDescent="0.2">
      <c r="A45">
        <v>2032</v>
      </c>
      <c r="B45" s="1">
        <f>+[2]Summary!C165</f>
        <v>7233.1845635458058</v>
      </c>
      <c r="C45" s="1">
        <f>+[2]Summary!D165</f>
        <v>715.66165204613731</v>
      </c>
      <c r="D45" s="1">
        <f>+[2]Summary!E165</f>
        <v>0</v>
      </c>
      <c r="E45" s="1">
        <f>+[2]Summary!F165</f>
        <v>10.484644190941186</v>
      </c>
      <c r="F45" s="1">
        <f>+[2]Summary!G165</f>
        <v>53.183092302967751</v>
      </c>
      <c r="G45" s="1">
        <f t="shared" si="0"/>
        <v>8012.513952085852</v>
      </c>
      <c r="H45" t="s">
        <v>7</v>
      </c>
      <c r="I45" t="s">
        <v>9</v>
      </c>
    </row>
    <row r="46" spans="1:9" x14ac:dyDescent="0.2">
      <c r="A46">
        <v>2033</v>
      </c>
      <c r="B46" s="1">
        <f>+[2]Summary!C166</f>
        <v>7322.5980728185305</v>
      </c>
      <c r="C46" s="1">
        <f>+[2]Summary!D166</f>
        <v>701.34841900521451</v>
      </c>
      <c r="D46" s="1">
        <f>+[2]Summary!E166</f>
        <v>0</v>
      </c>
      <c r="E46" s="1">
        <f>+[2]Summary!F166</f>
        <v>11.159431788126373</v>
      </c>
      <c r="F46" s="1">
        <f>+[2]Summary!G166</f>
        <v>52.651261379938063</v>
      </c>
      <c r="G46" s="1">
        <f t="shared" si="0"/>
        <v>8087.7571849918086</v>
      </c>
      <c r="H46" t="s">
        <v>7</v>
      </c>
      <c r="I46" t="s">
        <v>9</v>
      </c>
    </row>
    <row r="47" spans="1:9" x14ac:dyDescent="0.2">
      <c r="A47">
        <v>2034</v>
      </c>
      <c r="B47" s="1">
        <f>+[2]Summary!C167</f>
        <v>7410.9330999913973</v>
      </c>
      <c r="C47" s="1">
        <f>+[2]Summary!D167</f>
        <v>687.32145062511029</v>
      </c>
      <c r="D47" s="1">
        <f>+[2]Summary!E167</f>
        <v>0</v>
      </c>
      <c r="E47" s="1">
        <f>+[2]Summary!F167</f>
        <v>11.854437482568521</v>
      </c>
      <c r="F47" s="1">
        <f>+[2]Summary!G167</f>
        <v>52.124748766138687</v>
      </c>
      <c r="G47" s="1">
        <f t="shared" si="0"/>
        <v>8162.2337368652152</v>
      </c>
      <c r="H47" t="s">
        <v>7</v>
      </c>
      <c r="I47" t="s">
        <v>9</v>
      </c>
    </row>
    <row r="48" spans="1:9" x14ac:dyDescent="0.2">
      <c r="A48">
        <v>2035</v>
      </c>
      <c r="B48" s="1">
        <f>+[2]Summary!C168</f>
        <v>7498.2237259254916</v>
      </c>
      <c r="C48" s="1">
        <f>+[2]Summary!D168</f>
        <v>673.575021612608</v>
      </c>
      <c r="D48" s="1">
        <f>+[2]Summary!E168</f>
        <v>0</v>
      </c>
      <c r="E48" s="1">
        <f>+[2]Summary!F168</f>
        <v>12.569758690414773</v>
      </c>
      <c r="F48" s="1">
        <f>+[2]Summary!G168</f>
        <v>51.603501278477296</v>
      </c>
      <c r="G48" s="1">
        <f t="shared" si="0"/>
        <v>8235.9720075069908</v>
      </c>
      <c r="H48" t="s">
        <v>7</v>
      </c>
      <c r="I48" t="s">
        <v>9</v>
      </c>
    </row>
    <row r="49" spans="1:9" x14ac:dyDescent="0.2">
      <c r="A49">
        <v>2036</v>
      </c>
      <c r="B49" s="1">
        <f>+[2]Summary!C169</f>
        <v>7584.5040016198936</v>
      </c>
      <c r="C49" s="1">
        <f>+[2]Summary!D169</f>
        <v>660.10352118035587</v>
      </c>
      <c r="D49" s="1">
        <f>+[2]Summary!E169</f>
        <v>0</v>
      </c>
      <c r="E49" s="1">
        <f>+[2]Summary!F169</f>
        <v>13.305487502828036</v>
      </c>
      <c r="F49" s="1">
        <f>+[2]Summary!G169</f>
        <v>51.087466265692527</v>
      </c>
      <c r="G49" s="1">
        <f t="shared" si="0"/>
        <v>8309.0004765687718</v>
      </c>
      <c r="H49" t="s">
        <v>7</v>
      </c>
      <c r="I49" t="s">
        <v>9</v>
      </c>
    </row>
    <row r="50" spans="1:9" x14ac:dyDescent="0.2">
      <c r="A50">
        <v>2037</v>
      </c>
      <c r="B50" s="1">
        <f>+[2]Summary!C170</f>
        <v>7669.8079578059405</v>
      </c>
      <c r="C50" s="1">
        <f>+[2]Summary!D170</f>
        <v>646.90145075674877</v>
      </c>
      <c r="D50" s="1">
        <f>+[2]Summary!E170</f>
        <v>0</v>
      </c>
      <c r="E50" s="1">
        <f>+[2]Summary!F170</f>
        <v>14.061710767343449</v>
      </c>
      <c r="F50" s="1">
        <f>+[2]Summary!G170</f>
        <v>50.576591603035595</v>
      </c>
      <c r="G50" s="1">
        <f t="shared" si="0"/>
        <v>8381.3477109330688</v>
      </c>
      <c r="H50" t="s">
        <v>7</v>
      </c>
      <c r="I50" t="s">
        <v>9</v>
      </c>
    </row>
    <row r="51" spans="1:9" x14ac:dyDescent="0.2">
      <c r="A51">
        <v>2038</v>
      </c>
      <c r="B51" s="1">
        <f>+[2]Summary!C171</f>
        <v>7754.1696145925835</v>
      </c>
      <c r="C51" s="1">
        <f>+[2]Summary!D171</f>
        <v>633.96342174161373</v>
      </c>
      <c r="D51" s="1">
        <f>+[2]Summary!E171</f>
        <v>0</v>
      </c>
      <c r="E51" s="1">
        <f>+[2]Summary!F171</f>
        <v>14.838510168335148</v>
      </c>
      <c r="F51" s="1">
        <f>+[2]Summary!G171</f>
        <v>50.07082568700524</v>
      </c>
      <c r="G51" s="1">
        <f t="shared" si="0"/>
        <v>8453.0423721895368</v>
      </c>
      <c r="H51" t="s">
        <v>7</v>
      </c>
      <c r="I51" t="s">
        <v>9</v>
      </c>
    </row>
    <row r="52" spans="1:9" x14ac:dyDescent="0.2">
      <c r="A52">
        <v>2039</v>
      </c>
      <c r="B52" s="1">
        <f>+[2]Summary!C172</f>
        <v>7837.622991166294</v>
      </c>
      <c r="C52" s="1">
        <f>+[2]Summary!D172</f>
        <v>621.28415330678149</v>
      </c>
      <c r="D52" s="1">
        <f>+[2]Summary!E172</f>
        <v>0</v>
      </c>
      <c r="E52" s="1">
        <f>+[2]Summary!F172</f>
        <v>15.635962306601458</v>
      </c>
      <c r="F52" s="1">
        <f>+[2]Summary!G172</f>
        <v>49.570117430135184</v>
      </c>
      <c r="G52" s="1">
        <f t="shared" si="0"/>
        <v>8524.1132242098138</v>
      </c>
      <c r="H52" t="s">
        <v>7</v>
      </c>
      <c r="I52" t="s">
        <v>9</v>
      </c>
    </row>
    <row r="53" spans="1:9" x14ac:dyDescent="0.2">
      <c r="A53">
        <v>2040</v>
      </c>
      <c r="B53" s="1">
        <f>+[2]Summary!C173</f>
        <v>7920.2021155488783</v>
      </c>
      <c r="C53" s="1">
        <f>+[2]Summary!D173</f>
        <v>608.85847024064583</v>
      </c>
      <c r="D53" s="1">
        <f>+[2]Summary!E173</f>
        <v>0</v>
      </c>
      <c r="E53" s="1">
        <f>+[2]Summary!F173</f>
        <v>16.454138778076707</v>
      </c>
      <c r="F53" s="1">
        <f>+[2]Summary!G173</f>
        <v>49.074416255833839</v>
      </c>
      <c r="G53" s="1">
        <f t="shared" si="0"/>
        <v>8594.5891408234347</v>
      </c>
      <c r="H53" t="s">
        <v>7</v>
      </c>
      <c r="I53" t="s">
        <v>9</v>
      </c>
    </row>
    <row r="54" spans="1:9" x14ac:dyDescent="0.2">
      <c r="A54">
        <v>2041</v>
      </c>
      <c r="B54" s="1">
        <f>+[2]Summary!C174</f>
        <v>8001.9410344166208</v>
      </c>
      <c r="C54" s="1">
        <f>+[2]Summary!D174</f>
        <v>596.68130083583287</v>
      </c>
      <c r="D54" s="1">
        <f>+[2]Summary!E174</f>
        <v>0</v>
      </c>
      <c r="E54" s="1">
        <f>+[2]Summary!F174</f>
        <v>17.293106251677663</v>
      </c>
      <c r="F54" s="1">
        <f>+[2]Summary!G174</f>
        <v>48.583672093275496</v>
      </c>
      <c r="G54" s="1">
        <f t="shared" si="0"/>
        <v>8664.4991135974069</v>
      </c>
      <c r="H54" t="s">
        <v>7</v>
      </c>
      <c r="I54" t="s">
        <v>9</v>
      </c>
    </row>
    <row r="55" spans="1:9" x14ac:dyDescent="0.2">
      <c r="A55">
        <v>2042</v>
      </c>
      <c r="B55" s="1">
        <f>+[2]Summary!C175</f>
        <v>8082.8738229842811</v>
      </c>
      <c r="C55" s="1">
        <f>+[2]Summary!D175</f>
        <v>584.74767481911624</v>
      </c>
      <c r="D55" s="1">
        <f>+[2]Summary!E175</f>
        <v>0</v>
      </c>
      <c r="E55" s="1">
        <f>+[2]Summary!F175</f>
        <v>18.152926546292662</v>
      </c>
      <c r="F55" s="1">
        <f>+[2]Summary!G175</f>
        <v>48.097835372342736</v>
      </c>
      <c r="G55" s="1">
        <f t="shared" si="0"/>
        <v>8733.8722597220312</v>
      </c>
      <c r="H55" t="s">
        <v>7</v>
      </c>
      <c r="I55" t="s">
        <v>9</v>
      </c>
    </row>
    <row r="56" spans="1:9" x14ac:dyDescent="0.2">
      <c r="A56">
        <v>2043</v>
      </c>
      <c r="B56" s="1">
        <f>+[2]Summary!C176</f>
        <v>8163.0345949573712</v>
      </c>
      <c r="C56" s="1">
        <f>+[2]Summary!D176</f>
        <v>573.05272132273387</v>
      </c>
      <c r="D56" s="1">
        <f>+[2]Summary!E176</f>
        <v>0</v>
      </c>
      <c r="E56" s="1">
        <f>+[2]Summary!F176</f>
        <v>19.033656706921217</v>
      </c>
      <c r="F56" s="1">
        <f>+[2]Summary!G176</f>
        <v>47.616857018619314</v>
      </c>
      <c r="G56" s="1">
        <f t="shared" si="0"/>
        <v>8802.7378300056462</v>
      </c>
      <c r="H56" t="s">
        <v>7</v>
      </c>
      <c r="I56" t="s">
        <v>9</v>
      </c>
    </row>
    <row r="57" spans="1:9" x14ac:dyDescent="0.2">
      <c r="A57">
        <v>2044</v>
      </c>
      <c r="B57" s="1">
        <f>+[2]Summary!C177</f>
        <v>8242.4575125562769</v>
      </c>
      <c r="C57" s="1">
        <f>+[2]Summary!D177</f>
        <v>561.59166689627921</v>
      </c>
      <c r="D57" s="1">
        <f>+[2]Summary!E177</f>
        <v>0</v>
      </c>
      <c r="E57" s="1">
        <f>+[2]Summary!F177</f>
        <v>19.935349079972163</v>
      </c>
      <c r="F57" s="1">
        <f>+[2]Summary!G177</f>
        <v>47.140688448433117</v>
      </c>
      <c r="G57" s="1">
        <f t="shared" si="0"/>
        <v>8871.1252169809613</v>
      </c>
      <c r="H57" t="s">
        <v>7</v>
      </c>
      <c r="I57" t="s">
        <v>9</v>
      </c>
    </row>
    <row r="58" spans="1:9" x14ac:dyDescent="0.2">
      <c r="A58">
        <v>2045</v>
      </c>
      <c r="B58" s="1">
        <f>+[2]Summary!C178</f>
        <v>8321.1767966157531</v>
      </c>
      <c r="C58" s="1">
        <f>+[2]Summary!D178</f>
        <v>550.35983355835356</v>
      </c>
      <c r="D58" s="1">
        <f>+[2]Summary!E178</f>
        <v>0</v>
      </c>
      <c r="E58" s="1">
        <f>+[2]Summary!F178</f>
        <v>20.858051387727865</v>
      </c>
      <c r="F58" s="1">
        <f>+[2]Summary!G178</f>
        <v>46.669281563948786</v>
      </c>
      <c r="G58" s="1">
        <f t="shared" si="0"/>
        <v>8939.0639631257836</v>
      </c>
      <c r="H58" t="s">
        <v>7</v>
      </c>
      <c r="I58" t="s">
        <v>9</v>
      </c>
    </row>
    <row r="59" spans="1:9" x14ac:dyDescent="0.2">
      <c r="A59">
        <v>2046</v>
      </c>
      <c r="B59" s="1">
        <f>+[2]Summary!C179</f>
        <v>8399.2267367634267</v>
      </c>
      <c r="C59" s="1">
        <f>+[2]Summary!D179</f>
        <v>539.35263688718646</v>
      </c>
      <c r="D59" s="1">
        <f>+[2]Summary!E179</f>
        <v>0</v>
      </c>
      <c r="E59" s="1">
        <f>+[2]Summary!F179</f>
        <v>21.801806801982551</v>
      </c>
      <c r="F59" s="1">
        <f>+[2]Summary!G179</f>
        <v>46.202588748309296</v>
      </c>
      <c r="G59" s="1">
        <f t="shared" si="0"/>
        <v>9006.5837692009045</v>
      </c>
      <c r="H59" t="s">
        <v>7</v>
      </c>
      <c r="I59" t="s">
        <v>9</v>
      </c>
    </row>
    <row r="60" spans="1:9" x14ac:dyDescent="0.2">
      <c r="A60">
        <v>2047</v>
      </c>
      <c r="B60" s="1">
        <f>+[2]Summary!C180</f>
        <v>8476.64170168085</v>
      </c>
      <c r="C60" s="1">
        <f>+[2]Summary!D180</f>
        <v>528.56558414944266</v>
      </c>
      <c r="D60" s="1">
        <f>+[2]Summary!E180</f>
        <v>0</v>
      </c>
      <c r="E60" s="1">
        <f>+[2]Summary!F180</f>
        <v>22.766654016862141</v>
      </c>
      <c r="F60" s="1">
        <f>+[2]Summary!G180</f>
        <v>45.740562860826209</v>
      </c>
      <c r="G60" s="1">
        <f t="shared" si="0"/>
        <v>9073.7145027079823</v>
      </c>
      <c r="H60" t="s">
        <v>7</v>
      </c>
      <c r="I60" t="s">
        <v>9</v>
      </c>
    </row>
    <row r="61" spans="1:9" x14ac:dyDescent="0.2">
      <c r="A61">
        <v>2048</v>
      </c>
      <c r="B61" s="1">
        <f>+[2]Summary!C181</f>
        <v>8553.4561494508853</v>
      </c>
      <c r="C61" s="1">
        <f>+[2]Summary!D181</f>
        <v>517.99427246645382</v>
      </c>
      <c r="D61" s="1">
        <f>+[2]Summary!E181</f>
        <v>0</v>
      </c>
      <c r="E61" s="1">
        <f>+[2]Summary!F181</f>
        <v>23.752627320833305</v>
      </c>
      <c r="F61" s="1">
        <f>+[2]Summary!G181</f>
        <v>45.283157232217938</v>
      </c>
      <c r="G61" s="1">
        <f t="shared" si="0"/>
        <v>9140.4862064703902</v>
      </c>
      <c r="H61" t="s">
        <v>7</v>
      </c>
      <c r="I61" t="s">
        <v>9</v>
      </c>
    </row>
    <row r="62" spans="1:9" x14ac:dyDescent="0.2">
      <c r="A62">
        <v>2049</v>
      </c>
      <c r="B62" s="1">
        <f>+[2]Summary!C182</f>
        <v>8629.7046379949861</v>
      </c>
      <c r="C62" s="1">
        <f>+[2]Summary!D182</f>
        <v>507.63438701712477</v>
      </c>
      <c r="D62" s="1">
        <f>+[2]Summary!E182</f>
        <v>0</v>
      </c>
      <c r="E62" s="1">
        <f>+[2]Summary!F182</f>
        <v>24.759756667909301</v>
      </c>
      <c r="F62" s="1">
        <f>+[2]Summary!G182</f>
        <v>44.830325659895756</v>
      </c>
      <c r="G62" s="1">
        <f t="shared" si="0"/>
        <v>9206.9291073399145</v>
      </c>
      <c r="H62" t="s">
        <v>7</v>
      </c>
      <c r="I62" t="s">
        <v>9</v>
      </c>
    </row>
    <row r="63" spans="1:9" x14ac:dyDescent="0.2">
      <c r="A63">
        <v>2050</v>
      </c>
      <c r="B63" s="1">
        <f>+[2]Summary!C183</f>
        <v>8705.421835604222</v>
      </c>
      <c r="C63" s="1">
        <f>+[2]Summary!D183</f>
        <v>497.48169927678225</v>
      </c>
      <c r="D63" s="1">
        <f>+[2]Summary!E183</f>
        <v>0</v>
      </c>
      <c r="E63" s="1">
        <f>+[2]Summary!F183</f>
        <v>25.788067748059987</v>
      </c>
      <c r="F63" s="1">
        <f>+[2]Summary!G183</f>
        <v>44.382022403296808</v>
      </c>
      <c r="G63" s="1">
        <f t="shared" si="0"/>
        <v>9273.0736250323625</v>
      </c>
      <c r="H63" t="s">
        <v>7</v>
      </c>
      <c r="I6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3B5A-15E6-4243-9C32-4407A380D2D4}">
  <dimension ref="A1:G63"/>
  <sheetViews>
    <sheetView workbookViewId="0"/>
  </sheetViews>
  <sheetFormatPr baseColWidth="10" defaultRowHeight="16" x14ac:dyDescent="0.2"/>
  <cols>
    <col min="2" max="6" width="12.1640625" customWidth="1"/>
  </cols>
  <sheetData>
    <row r="1" spans="1:7" x14ac:dyDescent="0.2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5</v>
      </c>
    </row>
    <row r="2" spans="1:7" x14ac:dyDescent="0.2">
      <c r="A2">
        <v>2020</v>
      </c>
      <c r="B2">
        <f>+[1]Summary!C202</f>
        <v>784.22197749500003</v>
      </c>
      <c r="C2">
        <f>+[1]Summary!D202</f>
        <v>389.62701858989999</v>
      </c>
      <c r="D2">
        <f>+[1]Summary!E202</f>
        <v>5865.68538653</v>
      </c>
      <c r="E2">
        <f>+[1]Summary!F202</f>
        <v>0</v>
      </c>
      <c r="F2">
        <f>+[1]Summary!G202</f>
        <v>7039.5343826149001</v>
      </c>
      <c r="G2" t="s">
        <v>6</v>
      </c>
    </row>
    <row r="3" spans="1:7" x14ac:dyDescent="0.2">
      <c r="A3">
        <v>2021</v>
      </c>
      <c r="B3">
        <f>+[1]Summary!C203</f>
        <v>794.86617439858742</v>
      </c>
      <c r="C3">
        <f>+[1]Summary!D203</f>
        <v>403.93296803511453</v>
      </c>
      <c r="D3">
        <f>+[1]Summary!E203</f>
        <v>5927.3744477185592</v>
      </c>
      <c r="E3">
        <f>+[1]Summary!F203</f>
        <v>0</v>
      </c>
      <c r="F3">
        <f>+[1]Summary!G203</f>
        <v>7126.1735901522607</v>
      </c>
      <c r="G3" t="s">
        <v>6</v>
      </c>
    </row>
    <row r="4" spans="1:7" x14ac:dyDescent="0.2">
      <c r="A4">
        <v>2022</v>
      </c>
      <c r="B4">
        <f>+[1]Summary!C204</f>
        <v>805.38432378370169</v>
      </c>
      <c r="C4">
        <f>+[1]Summary!D204</f>
        <v>418.62357806823337</v>
      </c>
      <c r="D4">
        <f>+[1]Summary!E204</f>
        <v>5987.7010800633643</v>
      </c>
      <c r="E4">
        <f>+[1]Summary!F204</f>
        <v>0</v>
      </c>
      <c r="F4">
        <f>+[1]Summary!G204</f>
        <v>7211.7089819152989</v>
      </c>
      <c r="G4" t="s">
        <v>6</v>
      </c>
    </row>
    <row r="5" spans="1:7" x14ac:dyDescent="0.2">
      <c r="A5">
        <v>2023</v>
      </c>
      <c r="B5">
        <f>+[1]Summary!C205</f>
        <v>815.77742002060484</v>
      </c>
      <c r="C5">
        <f>+[1]Summary!D205</f>
        <v>433.70798901525569</v>
      </c>
      <c r="D5">
        <f>+[1]Summary!E205</f>
        <v>6046.6831343259983</v>
      </c>
      <c r="E5">
        <f>+[1]Summary!F205</f>
        <v>0</v>
      </c>
      <c r="F5">
        <f>+[1]Summary!G205</f>
        <v>7296.1685433618586</v>
      </c>
      <c r="G5" t="s">
        <v>6</v>
      </c>
    </row>
    <row r="6" spans="1:7" x14ac:dyDescent="0.2">
      <c r="A6">
        <v>2024</v>
      </c>
      <c r="B6">
        <f>+[1]Summary!C206</f>
        <v>826.0464506870444</v>
      </c>
      <c r="C6">
        <f>+[1]Summary!D206</f>
        <v>449.19554435252496</v>
      </c>
      <c r="D6">
        <f>+[1]Summary!E206</f>
        <v>6104.3382628513064</v>
      </c>
      <c r="E6">
        <f>+[1]Summary!F206</f>
        <v>0</v>
      </c>
      <c r="F6">
        <f>+[1]Summary!G206</f>
        <v>7379.5802578908751</v>
      </c>
      <c r="G6" t="s">
        <v>6</v>
      </c>
    </row>
    <row r="7" spans="1:7" x14ac:dyDescent="0.2">
      <c r="A7">
        <v>2025</v>
      </c>
      <c r="B7">
        <f>+[1]Summary!C207</f>
        <v>836.19239661131905</v>
      </c>
      <c r="C7">
        <f>+[1]Summary!D207</f>
        <v>465.09579503632892</v>
      </c>
      <c r="D7">
        <f>+[1]Summary!E207</f>
        <v>6160.6839215996133</v>
      </c>
      <c r="E7">
        <f>+[1]Summary!F207</f>
        <v>0</v>
      </c>
      <c r="F7">
        <f>+[1]Summary!G207</f>
        <v>7461.9721132472614</v>
      </c>
      <c r="G7" t="s">
        <v>6</v>
      </c>
    </row>
    <row r="8" spans="1:7" x14ac:dyDescent="0.2">
      <c r="A8">
        <v>2026</v>
      </c>
      <c r="B8">
        <f>+[1]Summary!C208</f>
        <v>846.21623191508377</v>
      </c>
      <c r="C8">
        <f>+[1]Summary!D208</f>
        <v>481.41850392215304</v>
      </c>
      <c r="D8">
        <f>+[1]Summary!E208</f>
        <v>6215.737372159123</v>
      </c>
      <c r="E8">
        <f>+[1]Summary!F208</f>
        <v>0</v>
      </c>
      <c r="F8">
        <f>+[1]Summary!G208</f>
        <v>7543.3721079963598</v>
      </c>
      <c r="G8" t="s">
        <v>6</v>
      </c>
    </row>
    <row r="9" spans="1:7" x14ac:dyDescent="0.2">
      <c r="A9">
        <v>2027</v>
      </c>
      <c r="B9">
        <f>+[1]Summary!C209</f>
        <v>856.11892405589538</v>
      </c>
      <c r="C9">
        <f>+[1]Summary!D209</f>
        <v>498.17365027540257</v>
      </c>
      <c r="D9">
        <f>+[1]Summary!E209</f>
        <v>6269.5156837386994</v>
      </c>
      <c r="E9">
        <f>+[1]Summary!F209</f>
        <v>54.75</v>
      </c>
      <c r="F9">
        <f>+[1]Summary!G209</f>
        <v>7678.5582580699975</v>
      </c>
      <c r="G9" t="s">
        <v>6</v>
      </c>
    </row>
    <row r="10" spans="1:7" x14ac:dyDescent="0.2">
      <c r="A10">
        <v>2028</v>
      </c>
      <c r="B10">
        <f>+[1]Summary!C210</f>
        <v>865.90143386950137</v>
      </c>
      <c r="C10">
        <f>+[1]Summary!D210</f>
        <v>515.37143437544944</v>
      </c>
      <c r="D10">
        <f>+[1]Summary!E210</f>
        <v>6322.035735141184</v>
      </c>
      <c r="E10">
        <f>+[1]Summary!F210</f>
        <v>109.5</v>
      </c>
      <c r="F10">
        <f>+[1]Summary!G210</f>
        <v>7812.8086033861346</v>
      </c>
      <c r="G10" t="s">
        <v>6</v>
      </c>
    </row>
    <row r="11" spans="1:7" x14ac:dyDescent="0.2">
      <c r="A11">
        <v>2029</v>
      </c>
      <c r="B11">
        <f>+[1]Summary!C211</f>
        <v>875.56471561186947</v>
      </c>
      <c r="C11">
        <f>+[1]Summary!D211</f>
        <v>533.02228221489327</v>
      </c>
      <c r="D11">
        <f>+[1]Summary!E211</f>
        <v>6373.3142167174701</v>
      </c>
      <c r="E11">
        <f>+[1]Summary!F211</f>
        <v>164.25</v>
      </c>
      <c r="F11">
        <f>+[1]Summary!G211</f>
        <v>7946.151214544233</v>
      </c>
      <c r="G11" t="s">
        <v>6</v>
      </c>
    </row>
    <row r="12" spans="1:7" x14ac:dyDescent="0.2">
      <c r="A12">
        <v>2030</v>
      </c>
      <c r="B12">
        <f>+[1]Summary!C212</f>
        <v>885.10971700096752</v>
      </c>
      <c r="C12">
        <f>+[1]Summary!D212</f>
        <v>551.13685029596729</v>
      </c>
      <c r="D12">
        <f>+[1]Summary!E212</f>
        <v>6423.3676323014861</v>
      </c>
      <c r="E12">
        <f>+[1]Summary!F212</f>
        <v>219</v>
      </c>
      <c r="F12">
        <f>+[1]Summary!G212</f>
        <v>8078.6141995984208</v>
      </c>
      <c r="G12" t="s">
        <v>6</v>
      </c>
    </row>
    <row r="13" spans="1:7" x14ac:dyDescent="0.2">
      <c r="A13">
        <v>2031</v>
      </c>
      <c r="B13">
        <f>+[1]Summary!C213</f>
        <v>894.53737925828398</v>
      </c>
      <c r="C13">
        <f>+[1]Summary!D213</f>
        <v>569.72603052605507</v>
      </c>
      <c r="D13">
        <f>+[1]Summary!E213</f>
        <v>6472.2123011262884</v>
      </c>
      <c r="E13">
        <f>+[1]Summary!F213</f>
        <v>273.75</v>
      </c>
      <c r="F13">
        <f>+[1]Summary!G213</f>
        <v>8210.2257109106285</v>
      </c>
      <c r="G13" t="s">
        <v>6</v>
      </c>
    </row>
    <row r="14" spans="1:7" x14ac:dyDescent="0.2">
      <c r="A14">
        <v>2032</v>
      </c>
      <c r="B14">
        <f>+[1]Summary!C214</f>
        <v>903.84863715010238</v>
      </c>
      <c r="C14">
        <f>+[1]Summary!D214</f>
        <v>588.80095521432304</v>
      </c>
      <c r="D14">
        <f>+[1]Summary!E214</f>
        <v>6519.8643597214268</v>
      </c>
      <c r="E14">
        <f>+[1]Summary!F214</f>
        <v>328.5</v>
      </c>
      <c r="F14">
        <f>+[1]Summary!G214</f>
        <v>8341.013952085852</v>
      </c>
      <c r="G14" t="s">
        <v>6</v>
      </c>
    </row>
    <row r="15" spans="1:7" x14ac:dyDescent="0.2">
      <c r="A15">
        <v>2033</v>
      </c>
      <c r="B15">
        <f>+[1]Summary!C215</f>
        <v>913.04441902852136</v>
      </c>
      <c r="C15">
        <f>+[1]Summary!D215</f>
        <v>608.3730021715196</v>
      </c>
      <c r="D15">
        <f>+[1]Summary!E215</f>
        <v>6566.3397637917687</v>
      </c>
      <c r="E15">
        <f>+[1]Summary!F215</f>
        <v>383.25</v>
      </c>
      <c r="F15">
        <f>+[1]Summary!G215</f>
        <v>8471.0071849918095</v>
      </c>
      <c r="G15" t="s">
        <v>6</v>
      </c>
    </row>
    <row r="16" spans="1:7" x14ac:dyDescent="0.2">
      <c r="A16">
        <v>2034</v>
      </c>
      <c r="B16">
        <f>+[1]Summary!C216</f>
        <v>922.12564687222732</v>
      </c>
      <c r="C16">
        <f>+[1]Summary!D216</f>
        <v>628.45379991502341</v>
      </c>
      <c r="D16">
        <f>+[1]Summary!E216</f>
        <v>6611.654290077965</v>
      </c>
      <c r="E16">
        <f>+[1]Summary!F216</f>
        <v>438</v>
      </c>
      <c r="F16">
        <f>+[1]Summary!G216</f>
        <v>8600.2337368652152</v>
      </c>
      <c r="G16" t="s">
        <v>6</v>
      </c>
    </row>
    <row r="17" spans="1:7" x14ac:dyDescent="0.2">
      <c r="A17">
        <v>2035</v>
      </c>
      <c r="B17">
        <f>+[1]Summary!C217</f>
        <v>931.09323632702035</v>
      </c>
      <c r="C17">
        <f>+[1]Summary!D217</f>
        <v>649.05523298127218</v>
      </c>
      <c r="D17">
        <f>+[1]Summary!E217</f>
        <v>6655.8235381986988</v>
      </c>
      <c r="E17">
        <f>+[1]Summary!F217</f>
        <v>492.75</v>
      </c>
      <c r="F17">
        <f>+[1]Summary!G217</f>
        <v>8728.7220075069908</v>
      </c>
      <c r="G17" t="s">
        <v>6</v>
      </c>
    </row>
    <row r="18" spans="1:7" x14ac:dyDescent="0.2">
      <c r="A18">
        <v>2036</v>
      </c>
      <c r="B18">
        <f>+[1]Summary!C218</f>
        <v>939.9480967460936</v>
      </c>
      <c r="C18">
        <f>+[1]Summary!D218</f>
        <v>670.18944734774129</v>
      </c>
      <c r="D18">
        <f>+[1]Summary!E218</f>
        <v>6698.8629324749354</v>
      </c>
      <c r="E18">
        <f>+[1]Summary!F218</f>
        <v>547.5</v>
      </c>
      <c r="F18">
        <f>+[1]Summary!G218</f>
        <v>8856.50047656877</v>
      </c>
      <c r="G18" t="s">
        <v>6</v>
      </c>
    </row>
    <row r="19" spans="1:7" x14ac:dyDescent="0.2">
      <c r="A19">
        <v>2037</v>
      </c>
      <c r="B19">
        <f>+[1]Summary!C219</f>
        <v>948.69113123006798</v>
      </c>
      <c r="C19">
        <f>+[1]Summary!D219</f>
        <v>691.86885596669049</v>
      </c>
      <c r="D19">
        <f>+[1]Summary!E219</f>
        <v>6740.7877237363109</v>
      </c>
      <c r="E19">
        <f>+[1]Summary!F219</f>
        <v>547.5</v>
      </c>
      <c r="F19">
        <f>+[1]Summary!G219</f>
        <v>8928.8477109330688</v>
      </c>
      <c r="G19" t="s">
        <v>6</v>
      </c>
    </row>
    <row r="20" spans="1:7" x14ac:dyDescent="0.2">
      <c r="A20">
        <v>2038</v>
      </c>
      <c r="B20">
        <f>+[1]Summary!C220</f>
        <v>957.32323666678394</v>
      </c>
      <c r="C20">
        <f>+[1]Summary!D220</f>
        <v>714.10614441293103</v>
      </c>
      <c r="D20">
        <f>+[1]Summary!E220</f>
        <v>6781.6129911098215</v>
      </c>
      <c r="E20">
        <f>+[1]Summary!F220</f>
        <v>547.5</v>
      </c>
      <c r="F20">
        <f>+[1]Summary!G220</f>
        <v>9000.5423721895368</v>
      </c>
      <c r="G20" t="s">
        <v>6</v>
      </c>
    </row>
    <row r="21" spans="1:7" x14ac:dyDescent="0.2">
      <c r="A21">
        <v>2039</v>
      </c>
      <c r="B21">
        <f>+[1]Summary!C221</f>
        <v>965.84530377085218</v>
      </c>
      <c r="C21">
        <f>+[1]Summary!D221</f>
        <v>736.91427664792297</v>
      </c>
      <c r="D21">
        <f>+[1]Summary!E221</f>
        <v>6821.353643791037</v>
      </c>
      <c r="E21">
        <f>+[1]Summary!F221</f>
        <v>547.5</v>
      </c>
      <c r="F21">
        <f>+[1]Summary!G221</f>
        <v>9071.613224209812</v>
      </c>
      <c r="G21" t="s">
        <v>6</v>
      </c>
    </row>
    <row r="22" spans="1:7" x14ac:dyDescent="0.2">
      <c r="A22">
        <v>2040</v>
      </c>
      <c r="B22">
        <f>+[1]Summary!C222</f>
        <v>974.25821712296306</v>
      </c>
      <c r="C22">
        <f>+[1]Summary!D222</f>
        <v>760.30650090254744</v>
      </c>
      <c r="D22">
        <f>+[1]Summary!E222</f>
        <v>6860.0244227979247</v>
      </c>
      <c r="E22">
        <f>+[1]Summary!F222</f>
        <v>547.5</v>
      </c>
      <c r="F22">
        <f>+[1]Summary!G222</f>
        <v>9142.0891408234347</v>
      </c>
      <c r="G22" t="s">
        <v>6</v>
      </c>
    </row>
    <row r="23" spans="1:7" x14ac:dyDescent="0.2">
      <c r="A23">
        <v>2041</v>
      </c>
      <c r="B23">
        <f>+[1]Summary!C223</f>
        <v>982.56285520895824</v>
      </c>
      <c r="C23">
        <f>+[1]Summary!D223</f>
        <v>784.29635568095091</v>
      </c>
      <c r="D23">
        <f>+[1]Summary!E223</f>
        <v>6897.6399027074976</v>
      </c>
      <c r="E23">
        <f>+[1]Summary!F223</f>
        <v>547.5</v>
      </c>
      <c r="F23">
        <f>+[1]Summary!G223</f>
        <v>9211.9991135974069</v>
      </c>
      <c r="G23" t="s">
        <v>6</v>
      </c>
    </row>
    <row r="24" spans="1:7" x14ac:dyDescent="0.2">
      <c r="A24">
        <v>2042</v>
      </c>
      <c r="B24">
        <f>+[1]Summary!C224</f>
        <v>990.76009045866579</v>
      </c>
      <c r="C24">
        <f>+[1]Summary!D224</f>
        <v>808.89767588790824</v>
      </c>
      <c r="D24">
        <f>+[1]Summary!E224</f>
        <v>6934.2144933754589</v>
      </c>
      <c r="E24">
        <f>+[1]Summary!F224</f>
        <v>547.5</v>
      </c>
      <c r="F24">
        <f>+[1]Summary!G224</f>
        <v>9281.372259722033</v>
      </c>
      <c r="G24" t="s">
        <v>6</v>
      </c>
    </row>
    <row r="25" spans="1:7" x14ac:dyDescent="0.2">
      <c r="A25">
        <v>2043</v>
      </c>
      <c r="B25">
        <f>+[1]Summary!C225</f>
        <v>998.8507892844957</v>
      </c>
      <c r="C25">
        <f>+[1]Summary!D225</f>
        <v>834.12459908219046</v>
      </c>
      <c r="D25">
        <f>+[1]Summary!E225</f>
        <v>6969.7624416389599</v>
      </c>
      <c r="E25">
        <f>+[1]Summary!F225</f>
        <v>547.5</v>
      </c>
      <c r="F25">
        <f>+[1]Summary!G225</f>
        <v>9350.2378300056462</v>
      </c>
      <c r="G25" t="s">
        <v>6</v>
      </c>
    </row>
    <row r="26" spans="1:7" x14ac:dyDescent="0.2">
      <c r="A26">
        <v>2044</v>
      </c>
      <c r="B26">
        <f>+[1]Summary!C226</f>
        <v>1006.8358121198061</v>
      </c>
      <c r="C26">
        <f>+[1]Summary!D226</f>
        <v>859.99157185848537</v>
      </c>
      <c r="D26">
        <f>+[1]Summary!E226</f>
        <v>7004.2978330026699</v>
      </c>
      <c r="E26">
        <f>+[1]Summary!F226</f>
        <v>547.5</v>
      </c>
      <c r="F26">
        <f>+[1]Summary!G226</f>
        <v>9418.6252169809613</v>
      </c>
      <c r="G26" t="s">
        <v>6</v>
      </c>
    </row>
    <row r="27" spans="1:7" x14ac:dyDescent="0.2">
      <c r="A27">
        <v>2045</v>
      </c>
      <c r="B27">
        <f>+[1]Summary!C227</f>
        <v>1014.7160134570314</v>
      </c>
      <c r="C27">
        <f>+[1]Summary!D227</f>
        <v>886.51335636045974</v>
      </c>
      <c r="D27">
        <f>+[1]Summary!E227</f>
        <v>7037.8345933082928</v>
      </c>
      <c r="E27">
        <f>+[1]Summary!F227</f>
        <v>547.5</v>
      </c>
      <c r="F27">
        <f>+[1]Summary!G227</f>
        <v>9486.5639631257836</v>
      </c>
      <c r="G27" t="s">
        <v>6</v>
      </c>
    </row>
    <row r="28" spans="1:7" x14ac:dyDescent="0.2">
      <c r="A28">
        <v>2046</v>
      </c>
      <c r="B28">
        <f>+[1]Summary!C228</f>
        <v>1022.4922418855811</v>
      </c>
      <c r="C28">
        <f>+[1]Summary!D228</f>
        <v>913.7050369276069</v>
      </c>
      <c r="D28">
        <f>+[1]Summary!E228</f>
        <v>7070.3864903877156</v>
      </c>
      <c r="E28">
        <f>+[1]Summary!F228</f>
        <v>547.5</v>
      </c>
      <c r="F28">
        <f>+[1]Summary!G228</f>
        <v>9554.0837692009045</v>
      </c>
      <c r="G28" t="s">
        <v>6</v>
      </c>
    </row>
    <row r="29" spans="1:7" x14ac:dyDescent="0.2">
      <c r="A29">
        <v>2047</v>
      </c>
      <c r="B29">
        <f>+[1]Summary!C229</f>
        <v>1030.1653401295089</v>
      </c>
      <c r="C29">
        <f>+[1]Summary!D229</f>
        <v>941.58202687857829</v>
      </c>
      <c r="D29">
        <f>+[1]Summary!E229</f>
        <v>7101.9671356998942</v>
      </c>
      <c r="E29">
        <f>+[1]Summary!F229</f>
        <v>547.5</v>
      </c>
      <c r="F29">
        <f>+[1]Summary!G229</f>
        <v>9621.2145027079823</v>
      </c>
      <c r="G29" t="s">
        <v>6</v>
      </c>
    </row>
    <row r="30" spans="1:7" x14ac:dyDescent="0.2">
      <c r="A30">
        <v>2048</v>
      </c>
      <c r="B30">
        <f>+[1]Summary!C230</f>
        <v>1037.7361450849505</v>
      </c>
      <c r="C30">
        <f>+[1]Summary!D230</f>
        <v>970.16007543374485</v>
      </c>
      <c r="D30">
        <f>+[1]Summary!E230</f>
        <v>7132.5899859516949</v>
      </c>
      <c r="E30">
        <f>+[1]Summary!F230</f>
        <v>547.5</v>
      </c>
      <c r="F30">
        <f>+[1]Summary!G230</f>
        <v>9687.9862064703902</v>
      </c>
      <c r="G30" t="s">
        <v>6</v>
      </c>
    </row>
    <row r="31" spans="1:7" x14ac:dyDescent="0.2">
      <c r="A31">
        <v>2049</v>
      </c>
      <c r="B31">
        <f>+[1]Summary!C231</f>
        <v>1045.2054878573344</v>
      </c>
      <c r="C31">
        <f>+[1]Summary!D231</f>
        <v>999.45527477979738</v>
      </c>
      <c r="D31">
        <f>+[1]Summary!E231</f>
        <v>7162.268344702783</v>
      </c>
      <c r="E31">
        <f>+[1]Summary!F231</f>
        <v>547.5</v>
      </c>
      <c r="F31">
        <f>+[1]Summary!G231</f>
        <v>9754.4291073399145</v>
      </c>
      <c r="G31" t="s">
        <v>6</v>
      </c>
    </row>
    <row r="32" spans="1:7" x14ac:dyDescent="0.2">
      <c r="A32">
        <v>2050</v>
      </c>
      <c r="B32">
        <f>+[1]Summary!C232</f>
        <v>1052.5741937983671</v>
      </c>
      <c r="C32">
        <f>+[1]Summary!D232</f>
        <v>1029.4840672792445</v>
      </c>
      <c r="D32">
        <f>+[1]Summary!E232</f>
        <v>7191.0153639547507</v>
      </c>
      <c r="E32">
        <f>+[1]Summary!F232</f>
        <v>547.5</v>
      </c>
      <c r="F32">
        <f>+[1]Summary!G232</f>
        <v>9820.5736250323625</v>
      </c>
      <c r="G32" t="s">
        <v>6</v>
      </c>
    </row>
    <row r="33" spans="1:7" x14ac:dyDescent="0.2">
      <c r="A33">
        <v>2020</v>
      </c>
      <c r="B33">
        <f>+[1]Summary!C233</f>
        <v>784.22197749500003</v>
      </c>
      <c r="C33">
        <f>+[1]Summary!D233</f>
        <v>389.62701858989999</v>
      </c>
      <c r="D33">
        <f>+[1]Summary!E233</f>
        <v>5865.68538653</v>
      </c>
      <c r="E33">
        <f>+[1]Summary!F233</f>
        <v>0</v>
      </c>
      <c r="F33">
        <f>+[1]Summary!G233</f>
        <v>7039.5343826149001</v>
      </c>
      <c r="G33" t="s">
        <v>7</v>
      </c>
    </row>
    <row r="34" spans="1:7" x14ac:dyDescent="0.2">
      <c r="A34">
        <v>2021</v>
      </c>
      <c r="B34">
        <f>+[1]Summary!C234</f>
        <v>794.86617439858742</v>
      </c>
      <c r="C34">
        <f>+[1]Summary!D234</f>
        <v>403.93296803511453</v>
      </c>
      <c r="D34">
        <f>+[1]Summary!E234</f>
        <v>5927.3744477185592</v>
      </c>
      <c r="E34">
        <f>+[1]Summary!F234</f>
        <v>0</v>
      </c>
      <c r="F34">
        <f>+[1]Summary!G234</f>
        <v>7126.1735901522607</v>
      </c>
      <c r="G34" t="s">
        <v>7</v>
      </c>
    </row>
    <row r="35" spans="1:7" x14ac:dyDescent="0.2">
      <c r="A35">
        <v>2022</v>
      </c>
      <c r="B35">
        <f>+[1]Summary!C235</f>
        <v>805.38432378370169</v>
      </c>
      <c r="C35">
        <f>+[1]Summary!D235</f>
        <v>418.62357806823337</v>
      </c>
      <c r="D35">
        <f>+[1]Summary!E235</f>
        <v>5987.7010800633643</v>
      </c>
      <c r="E35">
        <f>+[1]Summary!F235</f>
        <v>0</v>
      </c>
      <c r="F35">
        <f>+[1]Summary!G235</f>
        <v>7211.7089819152989</v>
      </c>
      <c r="G35" t="s">
        <v>7</v>
      </c>
    </row>
    <row r="36" spans="1:7" x14ac:dyDescent="0.2">
      <c r="A36">
        <v>2023</v>
      </c>
      <c r="B36">
        <f>+[1]Summary!C236</f>
        <v>815.77742002060484</v>
      </c>
      <c r="C36">
        <f>+[1]Summary!D236</f>
        <v>433.70798901525569</v>
      </c>
      <c r="D36">
        <f>+[1]Summary!E236</f>
        <v>6046.6831343259983</v>
      </c>
      <c r="E36">
        <f>+[1]Summary!F236</f>
        <v>0</v>
      </c>
      <c r="F36">
        <f>+[1]Summary!G236</f>
        <v>7296.1685433618586</v>
      </c>
      <c r="G36" t="s">
        <v>7</v>
      </c>
    </row>
    <row r="37" spans="1:7" x14ac:dyDescent="0.2">
      <c r="A37">
        <v>2024</v>
      </c>
      <c r="B37">
        <f>+[1]Summary!C237</f>
        <v>826.0464506870444</v>
      </c>
      <c r="C37">
        <f>+[1]Summary!D237</f>
        <v>449.19554435252496</v>
      </c>
      <c r="D37">
        <f>+[1]Summary!E237</f>
        <v>6104.3382628513064</v>
      </c>
      <c r="E37">
        <f>+[1]Summary!F237</f>
        <v>0</v>
      </c>
      <c r="F37">
        <f>+[1]Summary!G237</f>
        <v>7379.5802578908751</v>
      </c>
      <c r="G37" t="s">
        <v>7</v>
      </c>
    </row>
    <row r="38" spans="1:7" x14ac:dyDescent="0.2">
      <c r="A38">
        <v>2025</v>
      </c>
      <c r="B38">
        <f>+[1]Summary!C238</f>
        <v>836.19239661131905</v>
      </c>
      <c r="C38">
        <f>+[1]Summary!D238</f>
        <v>465.09579503632892</v>
      </c>
      <c r="D38">
        <f>+[1]Summary!E238</f>
        <v>6160.6839215996133</v>
      </c>
      <c r="E38">
        <f>+[1]Summary!F238</f>
        <v>0</v>
      </c>
      <c r="F38">
        <f>+[1]Summary!G238</f>
        <v>7461.9721132472614</v>
      </c>
      <c r="G38" t="s">
        <v>7</v>
      </c>
    </row>
    <row r="39" spans="1:7" x14ac:dyDescent="0.2">
      <c r="A39">
        <v>2026</v>
      </c>
      <c r="B39">
        <f>+[1]Summary!C239</f>
        <v>846.21623191508377</v>
      </c>
      <c r="C39">
        <f>+[1]Summary!D239</f>
        <v>481.41850392215304</v>
      </c>
      <c r="D39">
        <f>+[1]Summary!E239</f>
        <v>6215.737372159123</v>
      </c>
      <c r="E39">
        <f>+[1]Summary!F239</f>
        <v>0</v>
      </c>
      <c r="F39">
        <f>+[1]Summary!G239</f>
        <v>7543.3721079963598</v>
      </c>
      <c r="G39" t="s">
        <v>7</v>
      </c>
    </row>
    <row r="40" spans="1:7" x14ac:dyDescent="0.2">
      <c r="A40">
        <v>2027</v>
      </c>
      <c r="B40">
        <f>+[1]Summary!C240</f>
        <v>856.11892405589538</v>
      </c>
      <c r="C40">
        <f>+[1]Summary!D240</f>
        <v>498.17365027540257</v>
      </c>
      <c r="D40">
        <f>+[1]Summary!E240</f>
        <v>6269.5156837386994</v>
      </c>
      <c r="E40">
        <f>+[1]Summary!F240</f>
        <v>0</v>
      </c>
      <c r="F40">
        <f>+[1]Summary!G240</f>
        <v>7623.8082580699975</v>
      </c>
      <c r="G40" t="s">
        <v>7</v>
      </c>
    </row>
    <row r="41" spans="1:7" x14ac:dyDescent="0.2">
      <c r="A41">
        <v>2028</v>
      </c>
      <c r="B41">
        <f>+[1]Summary!C241</f>
        <v>865.90143386950137</v>
      </c>
      <c r="C41">
        <f>+[1]Summary!D241</f>
        <v>515.37143437544944</v>
      </c>
      <c r="D41">
        <f>+[1]Summary!E241</f>
        <v>6322.035735141184</v>
      </c>
      <c r="E41">
        <f>+[1]Summary!F241</f>
        <v>0</v>
      </c>
      <c r="F41">
        <f>+[1]Summary!G241</f>
        <v>7703.3086033861346</v>
      </c>
      <c r="G41" t="s">
        <v>7</v>
      </c>
    </row>
    <row r="42" spans="1:7" x14ac:dyDescent="0.2">
      <c r="A42">
        <v>2029</v>
      </c>
      <c r="B42">
        <f>+[1]Summary!C242</f>
        <v>875.56471561186947</v>
      </c>
      <c r="C42">
        <f>+[1]Summary!D242</f>
        <v>533.02228221489327</v>
      </c>
      <c r="D42">
        <f>+[1]Summary!E242</f>
        <v>6373.3142167174701</v>
      </c>
      <c r="E42">
        <f>+[1]Summary!F242</f>
        <v>0</v>
      </c>
      <c r="F42">
        <f>+[1]Summary!G242</f>
        <v>7781.901214544233</v>
      </c>
      <c r="G42" t="s">
        <v>7</v>
      </c>
    </row>
    <row r="43" spans="1:7" x14ac:dyDescent="0.2">
      <c r="A43">
        <v>2030</v>
      </c>
      <c r="B43">
        <f>+[1]Summary!C243</f>
        <v>885.10971700096752</v>
      </c>
      <c r="C43">
        <f>+[1]Summary!D243</f>
        <v>551.13685029596729</v>
      </c>
      <c r="D43">
        <f>+[1]Summary!E243</f>
        <v>6423.3676323014861</v>
      </c>
      <c r="E43">
        <f>+[1]Summary!F243</f>
        <v>0</v>
      </c>
      <c r="F43">
        <f>+[1]Summary!G243</f>
        <v>7859.6141995984208</v>
      </c>
      <c r="G43" t="s">
        <v>7</v>
      </c>
    </row>
    <row r="44" spans="1:7" x14ac:dyDescent="0.2">
      <c r="A44">
        <v>2031</v>
      </c>
      <c r="B44">
        <f>+[1]Summary!C244</f>
        <v>894.53737925828398</v>
      </c>
      <c r="C44">
        <f>+[1]Summary!D244</f>
        <v>569.72603052605507</v>
      </c>
      <c r="D44">
        <f>+[1]Summary!E244</f>
        <v>6472.2123011262884</v>
      </c>
      <c r="E44">
        <f>+[1]Summary!F244</f>
        <v>0</v>
      </c>
      <c r="F44">
        <f>+[1]Summary!G244</f>
        <v>7936.4757109106276</v>
      </c>
      <c r="G44" t="s">
        <v>7</v>
      </c>
    </row>
    <row r="45" spans="1:7" x14ac:dyDescent="0.2">
      <c r="A45">
        <v>2032</v>
      </c>
      <c r="B45">
        <f>+[1]Summary!C245</f>
        <v>903.84863715010238</v>
      </c>
      <c r="C45">
        <f>+[1]Summary!D245</f>
        <v>588.80095521432304</v>
      </c>
      <c r="D45">
        <f>+[1]Summary!E245</f>
        <v>6519.8643597214268</v>
      </c>
      <c r="E45">
        <f>+[1]Summary!F245</f>
        <v>0</v>
      </c>
      <c r="F45">
        <f>+[1]Summary!G245</f>
        <v>8012.513952085852</v>
      </c>
      <c r="G45" t="s">
        <v>7</v>
      </c>
    </row>
    <row r="46" spans="1:7" x14ac:dyDescent="0.2">
      <c r="A46">
        <v>2033</v>
      </c>
      <c r="B46">
        <f>+[1]Summary!C246</f>
        <v>913.04441902852136</v>
      </c>
      <c r="C46">
        <f>+[1]Summary!D246</f>
        <v>608.3730021715196</v>
      </c>
      <c r="D46">
        <f>+[1]Summary!E246</f>
        <v>6566.3397637917687</v>
      </c>
      <c r="E46">
        <f>+[1]Summary!F246</f>
        <v>0</v>
      </c>
      <c r="F46">
        <f>+[1]Summary!G246</f>
        <v>8087.7571849918095</v>
      </c>
      <c r="G46" t="s">
        <v>7</v>
      </c>
    </row>
    <row r="47" spans="1:7" x14ac:dyDescent="0.2">
      <c r="A47">
        <v>2034</v>
      </c>
      <c r="B47">
        <f>+[1]Summary!C247</f>
        <v>922.12564687222732</v>
      </c>
      <c r="C47">
        <f>+[1]Summary!D247</f>
        <v>628.45379991502341</v>
      </c>
      <c r="D47">
        <f>+[1]Summary!E247</f>
        <v>6611.654290077965</v>
      </c>
      <c r="E47">
        <f>+[1]Summary!F247</f>
        <v>0</v>
      </c>
      <c r="F47">
        <f>+[1]Summary!G247</f>
        <v>8162.2337368652152</v>
      </c>
      <c r="G47" t="s">
        <v>7</v>
      </c>
    </row>
    <row r="48" spans="1:7" x14ac:dyDescent="0.2">
      <c r="A48">
        <v>2035</v>
      </c>
      <c r="B48">
        <f>+[1]Summary!C248</f>
        <v>931.09323632702035</v>
      </c>
      <c r="C48">
        <f>+[1]Summary!D248</f>
        <v>649.05523298127218</v>
      </c>
      <c r="D48">
        <f>+[1]Summary!E248</f>
        <v>6655.8235381986988</v>
      </c>
      <c r="E48">
        <f>+[1]Summary!F248</f>
        <v>0</v>
      </c>
      <c r="F48">
        <f>+[1]Summary!G248</f>
        <v>8235.9720075069908</v>
      </c>
      <c r="G48" t="s">
        <v>7</v>
      </c>
    </row>
    <row r="49" spans="1:7" x14ac:dyDescent="0.2">
      <c r="A49">
        <v>2036</v>
      </c>
      <c r="B49">
        <f>+[1]Summary!C249</f>
        <v>939.9480967460936</v>
      </c>
      <c r="C49">
        <f>+[1]Summary!D249</f>
        <v>670.18944734774129</v>
      </c>
      <c r="D49">
        <f>+[1]Summary!E249</f>
        <v>6698.8629324749354</v>
      </c>
      <c r="E49">
        <f>+[1]Summary!F249</f>
        <v>0</v>
      </c>
      <c r="F49">
        <f>+[1]Summary!G249</f>
        <v>8309.00047656877</v>
      </c>
      <c r="G49" t="s">
        <v>7</v>
      </c>
    </row>
    <row r="50" spans="1:7" x14ac:dyDescent="0.2">
      <c r="A50">
        <v>2037</v>
      </c>
      <c r="B50">
        <f>+[1]Summary!C250</f>
        <v>948.69113123006798</v>
      </c>
      <c r="C50">
        <f>+[1]Summary!D250</f>
        <v>691.86885596669049</v>
      </c>
      <c r="D50">
        <f>+[1]Summary!E250</f>
        <v>6740.7877237363109</v>
      </c>
      <c r="E50">
        <f>+[1]Summary!F250</f>
        <v>0</v>
      </c>
      <c r="F50">
        <f>+[1]Summary!G250</f>
        <v>8381.3477109330688</v>
      </c>
      <c r="G50" t="s">
        <v>7</v>
      </c>
    </row>
    <row r="51" spans="1:7" x14ac:dyDescent="0.2">
      <c r="A51">
        <v>2038</v>
      </c>
      <c r="B51">
        <f>+[1]Summary!C251</f>
        <v>957.32323666678394</v>
      </c>
      <c r="C51">
        <f>+[1]Summary!D251</f>
        <v>714.10614441293103</v>
      </c>
      <c r="D51">
        <f>+[1]Summary!E251</f>
        <v>6781.6129911098215</v>
      </c>
      <c r="E51">
        <f>+[1]Summary!F251</f>
        <v>0</v>
      </c>
      <c r="F51">
        <f>+[1]Summary!G251</f>
        <v>8453.0423721895368</v>
      </c>
      <c r="G51" t="s">
        <v>7</v>
      </c>
    </row>
    <row r="52" spans="1:7" x14ac:dyDescent="0.2">
      <c r="A52">
        <v>2039</v>
      </c>
      <c r="B52">
        <f>+[1]Summary!C252</f>
        <v>965.84530377085218</v>
      </c>
      <c r="C52">
        <f>+[1]Summary!D252</f>
        <v>736.91427664792297</v>
      </c>
      <c r="D52">
        <f>+[1]Summary!E252</f>
        <v>6821.353643791037</v>
      </c>
      <c r="E52">
        <f>+[1]Summary!F252</f>
        <v>0</v>
      </c>
      <c r="F52">
        <f>+[1]Summary!G252</f>
        <v>8524.113224209812</v>
      </c>
      <c r="G52" t="s">
        <v>7</v>
      </c>
    </row>
    <row r="53" spans="1:7" x14ac:dyDescent="0.2">
      <c r="A53">
        <v>2040</v>
      </c>
      <c r="B53">
        <f>+[1]Summary!C253</f>
        <v>974.25821712296306</v>
      </c>
      <c r="C53">
        <f>+[1]Summary!D253</f>
        <v>760.30650090254744</v>
      </c>
      <c r="D53">
        <f>+[1]Summary!E253</f>
        <v>6860.0244227979247</v>
      </c>
      <c r="E53">
        <f>+[1]Summary!F253</f>
        <v>0</v>
      </c>
      <c r="F53">
        <f>+[1]Summary!G253</f>
        <v>8594.5891408234347</v>
      </c>
      <c r="G53" t="s">
        <v>7</v>
      </c>
    </row>
    <row r="54" spans="1:7" x14ac:dyDescent="0.2">
      <c r="A54">
        <v>2041</v>
      </c>
      <c r="B54">
        <f>+[1]Summary!C254</f>
        <v>982.56285520895824</v>
      </c>
      <c r="C54">
        <f>+[1]Summary!D254</f>
        <v>784.29635568095091</v>
      </c>
      <c r="D54">
        <f>+[1]Summary!E254</f>
        <v>6897.6399027074976</v>
      </c>
      <c r="E54">
        <f>+[1]Summary!F254</f>
        <v>0</v>
      </c>
      <c r="F54">
        <f>+[1]Summary!G254</f>
        <v>8664.4991135974069</v>
      </c>
      <c r="G54" t="s">
        <v>7</v>
      </c>
    </row>
    <row r="55" spans="1:7" x14ac:dyDescent="0.2">
      <c r="A55">
        <v>2042</v>
      </c>
      <c r="B55">
        <f>+[1]Summary!C255</f>
        <v>990.76009045866579</v>
      </c>
      <c r="C55">
        <f>+[1]Summary!D255</f>
        <v>808.89767588790824</v>
      </c>
      <c r="D55">
        <f>+[1]Summary!E255</f>
        <v>6934.2144933754589</v>
      </c>
      <c r="E55">
        <f>+[1]Summary!F255</f>
        <v>0</v>
      </c>
      <c r="F55">
        <f>+[1]Summary!G255</f>
        <v>8733.872259722033</v>
      </c>
      <c r="G55" t="s">
        <v>7</v>
      </c>
    </row>
    <row r="56" spans="1:7" x14ac:dyDescent="0.2">
      <c r="A56">
        <v>2043</v>
      </c>
      <c r="B56">
        <f>+[1]Summary!C256</f>
        <v>998.8507892844957</v>
      </c>
      <c r="C56">
        <f>+[1]Summary!D256</f>
        <v>834.12459908219046</v>
      </c>
      <c r="D56">
        <f>+[1]Summary!E256</f>
        <v>6969.7624416389599</v>
      </c>
      <c r="E56">
        <f>+[1]Summary!F256</f>
        <v>0</v>
      </c>
      <c r="F56">
        <f>+[1]Summary!G256</f>
        <v>8802.7378300056462</v>
      </c>
      <c r="G56" t="s">
        <v>7</v>
      </c>
    </row>
    <row r="57" spans="1:7" x14ac:dyDescent="0.2">
      <c r="A57">
        <v>2044</v>
      </c>
      <c r="B57">
        <f>+[1]Summary!C257</f>
        <v>1006.8358121198061</v>
      </c>
      <c r="C57">
        <f>+[1]Summary!D257</f>
        <v>859.99157185848537</v>
      </c>
      <c r="D57">
        <f>+[1]Summary!E257</f>
        <v>7004.2978330026699</v>
      </c>
      <c r="E57">
        <f>+[1]Summary!F257</f>
        <v>0</v>
      </c>
      <c r="F57">
        <f>+[1]Summary!G257</f>
        <v>8871.1252169809613</v>
      </c>
      <c r="G57" t="s">
        <v>7</v>
      </c>
    </row>
    <row r="58" spans="1:7" x14ac:dyDescent="0.2">
      <c r="A58">
        <v>2045</v>
      </c>
      <c r="B58">
        <f>+[1]Summary!C258</f>
        <v>1014.7160134570314</v>
      </c>
      <c r="C58">
        <f>+[1]Summary!D258</f>
        <v>886.51335636045974</v>
      </c>
      <c r="D58">
        <f>+[1]Summary!E258</f>
        <v>7037.8345933082928</v>
      </c>
      <c r="E58">
        <f>+[1]Summary!F258</f>
        <v>0</v>
      </c>
      <c r="F58">
        <f>+[1]Summary!G258</f>
        <v>8939.0639631257836</v>
      </c>
      <c r="G58" t="s">
        <v>7</v>
      </c>
    </row>
    <row r="59" spans="1:7" x14ac:dyDescent="0.2">
      <c r="A59">
        <v>2046</v>
      </c>
      <c r="B59">
        <f>+[1]Summary!C259</f>
        <v>1022.4922418855811</v>
      </c>
      <c r="C59">
        <f>+[1]Summary!D259</f>
        <v>913.7050369276069</v>
      </c>
      <c r="D59">
        <f>+[1]Summary!E259</f>
        <v>7070.3864903877156</v>
      </c>
      <c r="E59">
        <f>+[1]Summary!F259</f>
        <v>0</v>
      </c>
      <c r="F59">
        <f>+[1]Summary!G259</f>
        <v>9006.5837692009045</v>
      </c>
      <c r="G59" t="s">
        <v>7</v>
      </c>
    </row>
    <row r="60" spans="1:7" x14ac:dyDescent="0.2">
      <c r="A60">
        <v>2047</v>
      </c>
      <c r="B60">
        <f>+[1]Summary!C260</f>
        <v>1030.1653401295089</v>
      </c>
      <c r="C60">
        <f>+[1]Summary!D260</f>
        <v>941.58202687857829</v>
      </c>
      <c r="D60">
        <f>+[1]Summary!E260</f>
        <v>7101.9671356998942</v>
      </c>
      <c r="E60">
        <f>+[1]Summary!F260</f>
        <v>0</v>
      </c>
      <c r="F60">
        <f>+[1]Summary!G260</f>
        <v>9073.7145027079823</v>
      </c>
      <c r="G60" t="s">
        <v>7</v>
      </c>
    </row>
    <row r="61" spans="1:7" x14ac:dyDescent="0.2">
      <c r="A61">
        <v>2048</v>
      </c>
      <c r="B61">
        <f>+[1]Summary!C261</f>
        <v>1037.7361450849505</v>
      </c>
      <c r="C61">
        <f>+[1]Summary!D261</f>
        <v>970.16007543374485</v>
      </c>
      <c r="D61">
        <f>+[1]Summary!E261</f>
        <v>7132.5899859516949</v>
      </c>
      <c r="E61">
        <f>+[1]Summary!F261</f>
        <v>0</v>
      </c>
      <c r="F61">
        <f>+[1]Summary!G261</f>
        <v>9140.4862064703902</v>
      </c>
      <c r="G61" t="s">
        <v>7</v>
      </c>
    </row>
    <row r="62" spans="1:7" x14ac:dyDescent="0.2">
      <c r="A62">
        <v>2049</v>
      </c>
      <c r="B62">
        <f>+[1]Summary!C262</f>
        <v>1045.2054878573344</v>
      </c>
      <c r="C62">
        <f>+[1]Summary!D262</f>
        <v>999.45527477979738</v>
      </c>
      <c r="D62">
        <f>+[1]Summary!E262</f>
        <v>7162.268344702783</v>
      </c>
      <c r="E62">
        <f>+[1]Summary!F262</f>
        <v>0</v>
      </c>
      <c r="F62">
        <f>+[1]Summary!G262</f>
        <v>9206.9291073399145</v>
      </c>
      <c r="G62" t="s">
        <v>7</v>
      </c>
    </row>
    <row r="63" spans="1:7" x14ac:dyDescent="0.2">
      <c r="A63">
        <v>2050</v>
      </c>
      <c r="B63">
        <f>+[1]Summary!C263</f>
        <v>1052.5741937983671</v>
      </c>
      <c r="C63">
        <f>+[1]Summary!D263</f>
        <v>1029.4840672792445</v>
      </c>
      <c r="D63">
        <f>+[1]Summary!E263</f>
        <v>7191.0153639547507</v>
      </c>
      <c r="E63">
        <f>+[1]Summary!F263</f>
        <v>0</v>
      </c>
      <c r="F63">
        <f>+[1]Summary!G263</f>
        <v>9273.0736250323625</v>
      </c>
      <c r="G6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Molina Perez</dc:creator>
  <cp:lastModifiedBy>Carlos Fabian Fuentes Rivas</cp:lastModifiedBy>
  <dcterms:created xsi:type="dcterms:W3CDTF">2026-04-24T05:54:00Z</dcterms:created>
  <dcterms:modified xsi:type="dcterms:W3CDTF">2026-05-06T18:03:03Z</dcterms:modified>
</cp:coreProperties>
</file>