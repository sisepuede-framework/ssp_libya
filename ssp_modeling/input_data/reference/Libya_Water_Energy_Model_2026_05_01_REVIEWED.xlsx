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3"/>
    <sheet name="Reviewer_Notes" sheetId="2" state="visible" r:id="rId4"/>
    <sheet name="EI_Benchmark" sheetId="3" state="visible" r:id="rId5"/>
    <sheet name="Recommended_Fixes" sheetId="4" state="visible" r:id="rId6"/>
    <sheet name="Inputs" sheetId="5" state="visible" r:id="rId7"/>
    <sheet name="Demand" sheetId="6" state="visible" r:id="rId8"/>
    <sheet name="Supply" sheetId="7" state="visible" r:id="rId9"/>
    <sheet name="Energy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WB Reviewer</author>
  </authors>
  <commentList>
    <comment ref="B7" authorId="0">
      <text>
        <r>
          <rPr>
            <sz val="10"/>
            <rFont val="Arial"/>
            <family val="2"/>
          </rPr>
          <t xml:space="preserve">Population 2050 = 10.51 M. UN WPP 2024 medium-variant for Libya 2050 ≈ 9.26 M. Note 'Matched to SISEPUEDE'. Flag: this is ~13% higher than UN baseline. Recommend running a sensitivity with UN-WPP medium (9.26 M) to bracket urban demand. Source: UN DESA WPP 2024 medium variant. Verdict: Defensible if SISEPUEDE alignment is the binding constraint, but disclose departure from UN baseline.</t>
        </r>
      </text>
    </comment>
    <comment ref="B9" authorId="0">
      <text>
        <r>
          <rPr>
            <sz val="10"/>
            <rFont val="Arial"/>
            <family val="2"/>
          </rPr>
          <t xml:space="preserve">GDP per capita CAGR 2.8 %/yr is plausible mid-case for a post-stabilisation Libya (IMF Article IV Jun-2025 projects 3-4% real GDP). However, oil-dependent CAGR is highly volatile. Recommend low/high scenarios at 1.0 % and 4.0 %. Verdict: defensible, parameterise sensitivity.</t>
        </r>
      </text>
    </comment>
    <comment ref="B12" authorId="0">
      <text>
        <r>
          <rPr>
            <sz val="10"/>
            <rFont val="Arial"/>
            <family val="2"/>
          </rPr>
          <t xml:space="preserve">Domestic 319 L/cap/day is HIGH versus WHO/JMP global benchmarks (100-200 L/cap/day) but DEFENSIBLE because Libya municipal demand includes 50-65% non-revenue water (UfW), small-commercial use, and is back-calibrated to NWSS 2025 figure (836 Mm³/yr). RECOMMENDED ACTION: rename row to 'Municipal water withdrawal (incl. losses)' to avoid mis-reading as household consumption. Source: UNICEF Libya 2022; NWSS 2025 (Hydroconseil/UNDP).</t>
        </r>
      </text>
    </comment>
    <comment ref="B14" authorId="0">
      <text>
        <r>
          <rPr>
            <sz val="10"/>
            <rFont val="Arial"/>
            <family val="2"/>
          </rPr>
          <t xml:space="preserve">Industrial 9.1 m³/$1000 GDP is HIGH vs MENA average (~3-5) and OECD (~1-2). REASON: Libya's industrial sector is dominated by oil &amp; petrochemicals (water-intensive) and GDP is depressed by conflict, inflating m³/GDP ratio. Calibration to NWSS midpoint 465 Mm³ in 2025. RISK: GDP-driven projection means 2050 industrial demand 1,030 Mm³ (2.6x growth) is mostly an artefact of GDP CAGR, not real industrial expansion. RECOMMEND: cap industrial demand growth or switch to a sector-specific intensity (m³ per refinery throughput, m³/MWh power gen).</t>
        </r>
      </text>
    </comment>
    <comment ref="B16" authorId="0">
      <text>
        <r>
          <rPr>
            <sz val="10"/>
            <rFont val="Arial"/>
            <family val="2"/>
          </rPr>
          <t xml:space="preserve">CRITICAL METHODOLOGY FLAG: Agricultural intensity expressed as L/cap/day (2,386). Agriculture is NOT driven by population — it is driven by irrigated area × ET. The proxy works only because population grows slowly (1.4%/yr) and agricultural area is roughly stable. RECOMMENDED IMPROVEMENT: replace with m³/ha × ha_irrigated, or fix Mm³/yr trajectory directly from NWSS Table 26 forecast. Currently it implies +22% ag demand by 2050 driven by population (5,866 → 7,191 Mm³), which contradicts NWSS messaging on irrigation modernisation and area contraction.</t>
        </r>
      </text>
    </comment>
    <comment ref="B17" authorId="0">
      <text>
        <r>
          <rPr>
            <sz val="10"/>
            <rFont val="Arial"/>
            <family val="2"/>
          </rPr>
          <t xml:space="preserve">Ag efficiency trend -0.8 %/yr is OPTIMISTIC. Net effect (with population growth +56%) still gives +22 % ag demand 2020-2050. NWSS Hydroconseil scenario 'Sustained Reform' assumes ag demand FALLS to ~5,200 Mm³ by 2050. Model trajectory diverges from NWSS reform pathway by ~2,000 Mm³.</t>
        </r>
      </text>
    </comment>
    <comment ref="B20" authorId="0">
      <text>
        <r>
          <rPr>
            <sz val="10"/>
            <rFont val="Arial"/>
            <family val="2"/>
          </rPr>
          <t xml:space="preserve">Local groundwater 6,000 Mm³/yr (2020) — NWSS p.119 reports 5,900 Mm³/yr from private + GCWW wells. EXCLUDES GMMR. ALMOST ENTIRELY UNSUSTAINABLE (i.e., this is mining of non-renewable Saharan &amp; coastal aquifers). Renewable yield estimated at 600-700 Mm³/yr (FAO AQUASTAT). Model uses 6,000 as baseline yield without distinguishing renewable vs. mined. RECOMMEND: split into 'renewable GW' (~700 Mm³) and 'non-renewable GW abstraction' (~5,300 Mm³). Source: NWSS-LY 2025; FAO AQUASTAT.</t>
        </r>
      </text>
    </comment>
    <comment ref="B21" authorId="0">
      <text>
        <r>
          <rPr>
            <sz val="10"/>
            <rFont val="Arial"/>
            <family val="2"/>
          </rPr>
          <t xml:space="preserve">GW decline rate -1.5%/yr → 50% reduction by 2050 (6,000 → 3,813 Mm³). This is a smoothed proxy for aquifer collapse + salinisation. Lonergan (1996) cited 60-yr lifetime for the Nubian system at 1996 abstraction rates. Recommend: replace exponential with explicit storage-balance model OR add scenario at -3%/yr (severe).</t>
        </r>
      </text>
    </comment>
    <comment ref="B22" authorId="0">
      <text>
        <r>
          <rPr>
            <sz val="10"/>
            <rFont val="Arial"/>
            <family val="2"/>
          </rPr>
          <t xml:space="preserve">GMMR delivery 912 Mm³/yr (2020) = 2.5 Mm³/day × 365. MEI 2024 confirms current delivery 2.5 vs design 6.5 Mm³/d. DEFENSIBLE.</t>
        </r>
      </text>
    </comment>
    <comment ref="B23" authorId="0">
      <text>
        <r>
          <rPr>
            <sz val="10"/>
            <rFont val="Arial"/>
            <family val="2"/>
          </rPr>
          <t xml:space="preserve">GMMR decline -2%/yr (45% drop by 2050). Reflects Nubian aquifer drawdown + ageing infrastructure. Plausible but uncertain. 2017 sabotage of Hasouna line + ongoing security risk argue for SCENARIO at -4 %/yr.</t>
        </r>
      </text>
    </comment>
    <comment ref="B24" authorId="0">
      <text>
        <r>
          <rPr>
            <sz val="10"/>
            <rFont val="Arial"/>
            <family val="2"/>
          </rPr>
          <t xml:space="preserve">Surface water 60 Mm³/yr — only used as fixed input to ag (Supply!D7 = 60×(1-0.01)^t). Aligns with NWSS p.24-25. Negligible role; OK.</t>
        </r>
      </text>
    </comment>
    <comment ref="B26" authorId="0">
      <text>
        <r>
          <rPr>
            <sz val="10"/>
            <rFont val="Arial"/>
            <family val="2"/>
          </rPr>
          <t xml:space="preserve">=== EI LOCAL GROUNDWATER 0.35 kWh/m³ (=0.7×0.5) ===
ISSUE 1 (METHODOLOGY): the cell hard-codes the grid-electrified factor (×0.5) inside the EI value. But Inputs!B60 separately sets the same factor to 0.53 — it is NEVER REFERENCED in any formula. The two values are inconsistent (0.50 vs 0.53) and the explicit B60 row is DEAD code.
ISSUE 2 (METHODOLOGY): conflating physical EI with grid-share gives 'grid-only electricity', not 'total energy'. Diesel pumping (~47% of private-farm wells) is excluded from the energy ledger. For a water-energy NEXUS report this UNDER-REPORTS sector primary energy by ~50%.
RECOMMENDED FIX:
  • Set B26 = 0.7 (kWh/m³, physical EI for shallow/coastal pumping, USGS 2017; Plappally &amp; Lienhard 2012 → 0.004 kWh/m³ per m of head × ~150 m typical).
  • Wire B60 (grid share) into Energy!D9 explicitly: =D5 * Inputs!$B$60 * (Supply!D18+...).
  • Add a parallel row 'Total energy GW (incl. diesel)' for nexus reporting.
LITERATURE BENCHMARKS (kWh/m³):
  Shallow well &lt;100 m: 0.2-0.5
  Mid 100-200 m:      0.4-0.8
  Deep &gt;300 m:        0.8-1.5
  Source: Plappally &amp; Lienhard (2012) RSER 16(7); Wada et al. (2014); World Bank GCC W-E Nexus (2024).</t>
        </r>
      </text>
    </comment>
    <comment ref="B27" authorId="0">
      <text>
        <r>
          <rPr>
            <sz val="10"/>
            <rFont val="Arial"/>
            <family val="2"/>
          </rPr>
          <t xml:space="preserve">EI rise rate 1.5 %/yr → +56% by 2050 (0.35 → 0.55). Reflects water-table drawdown raising lift head. Aligns with documented 1-2 m/yr decline in coastal wells (Brika 2018) for shallow/coastal subset. DEFENSIBLE. Verify rate consistency once B26 fix above is implemented.</t>
        </r>
      </text>
    </comment>
    <comment ref="B28" authorId="0">
      <text>
        <r>
          <rPr>
            <sz val="10"/>
            <rFont val="Arial"/>
            <family val="2"/>
          </rPr>
          <t xml:space="preserve">EI GMMR 1.8 kWh/m³ (2020) — at the LOW end of the literature range:
  • Deep-well lift only (500 m, 75% pump efficiency): 0.004 × 500 / 0.75 ≈ 2.7 kWh/m³ (theoretical).
  • + 600+ km conveyance friction: typically +0.3-0.5 kWh/m³.
  • + booster stations along transmission line.
Total practical: 2.0-3.0 kWh/m³.
RECOMMEND: revise to 2.0 kWh/m³ baseline. Model under-reports GMMR electricity by ~10-30%.
Source: GMMR Authority pump curves (per Brika 2018 review); MEI 2024.</t>
        </r>
      </text>
    </comment>
    <comment ref="B29" authorId="0">
      <text>
        <r>
          <rPr>
            <sz val="10"/>
            <rFont val="Arial"/>
            <family val="2"/>
          </rPr>
          <t xml:space="preserve">Pipeline EI rise rate 1 %/yr (+30% by 2050). Defensible given documented Nubian aquifer drawdown.</t>
        </r>
      </text>
    </comment>
    <comment ref="B30" authorId="0">
      <text>
        <r>
          <rPr>
            <sz val="10"/>
            <rFont val="Arial"/>
            <family val="2"/>
          </rPr>
          <t xml:space="preserve">EI desalination 3.5 kWh/m³ (2020) — DEFENSIBLE for SWRO with ERDs:
  • IRENA-ETSAP (2012, 2015): 3.5-5 kWh/m³ for SWRO with energy recovery.
  • Qasem, Mittal &amp; Arafat (2021) review: typical SWRO 2.5-4.0; best-in-class 2.8.
  • Cell.com Joule (2024) practical minimum: 2.5 kWh/m³.
BUT: Libya's existing fleet is ~95 % thermal MSF/MED (Brika 2018; Fadiel et al. 2025), which is 14-25 kWh-eq/m³.
→ The 3.5 kWh/m³ value is correct for NEW SWRO ONLY, not for the 2020 INSTALLED BASE.
CRITICAL: Inputs!B61–B63 define thermal share (0.95→0.10) and EI_thermal (15) — these rows ARE NOT WIRED INTO the Energy formulas. Energy!D11 = D7 × Volume uses 100% SWRO assumption regardless of installed mix.
ENERGY UNDER-COUNT IN 2020 ≈ (0.95×15 + 0.05×3.5 − 3.5) × 20 Mm³ ≈ 218 GWh.
By 2050 with SWRO dominance the gap closes.
RECOMMENDED FIX: Energy!D11 = (Inputs!$B$61_t × Inputs!$B$63 + (1−Inputs!$B$61_t)×D7) × Supply!D29, with thermal share linearly interpolated 2020→2050.</t>
        </r>
      </text>
    </comment>
    <comment ref="B31" authorId="0">
      <text>
        <r>
          <rPr>
            <sz val="10"/>
            <rFont val="Arial"/>
            <family val="2"/>
          </rPr>
          <t xml:space="preserve">EI desal 2050 = 3.0 kWh/m³ — defensible. State-of-art XL plants 2.8 kWh/m³ (Danfoss 2024 record 1.79); by 2050 fleet average 3.0 is a CONSERVATIVE-REALISTIC trajectory.</t>
        </r>
      </text>
    </comment>
    <comment ref="B32" authorId="0">
      <text>
        <r>
          <rPr>
            <sz val="10"/>
            <rFont val="Arial"/>
            <family val="2"/>
          </rPr>
          <t xml:space="preserve">Desal capacity 2020 = 20 Mm³/yr — much LOWER than NWSS reported nameplate 70-76 Mm³/yr in 2010-13. Actual operating capacity post-conflict is far below nameplate; 20 Mm³ effective is plausible. DOCUMENT THIS CHOICE explicitly in the assumption note (effective vs nameplate).</t>
        </r>
      </text>
    </comment>
    <comment ref="B37" authorId="0">
      <text>
        <r>
          <rPr>
            <sz val="10"/>
            <rFont val="Arial"/>
            <family val="2"/>
          </rPr>
          <t xml:space="preserve">Water per tree 15 L/d — combined establishment (20-30) + maintenance (5-15) average. Becker et al. (2022) Nature Sustainability used 10-20 L/d for arid afforestation under sub-surface drip. USU Forestry Extension cites 41 L/d for mature arid shade trees. DEFENSIBLE midpoint. SENSITIVITY recommended at 10 L/d (low) and 25 L/d (high) — tree program demand swings 365 → 913 Mm³/yr.</t>
        </r>
      </text>
    </comment>
    <comment ref="B38" authorId="0">
      <text>
        <r>
          <rPr>
            <sz val="10"/>
            <rFont val="Arial"/>
            <family val="2"/>
          </rPr>
          <t xml:space="preserve">Desal capacity 2050 = 750 Mm³/yr ≈ 2.05 Mm³/day. NWSS p.92 implies max 850 Mm³/yr if all 14-15 planned SWRO are commissioned. 750 is a defensible CONSERVATIVE buildout. Note that delivering this needs ~6 GW of new generation (≈ 17% of Libya's current grid). FLAG to your boss: this is a non-trivial energy infrastructure ask, not just a water project.</t>
        </r>
      </text>
    </comment>
    <comment ref="B41" authorId="0">
      <text>
        <r>
          <rPr>
            <sz val="10"/>
            <rFont val="Arial"/>
            <family val="2"/>
          </rPr>
          <t xml:space="preserve">Urban WW recovery 1% (2020). NWSS reports 0-2 % of urban WW currently treated/reused. DEFENSIBLE.</t>
        </r>
      </text>
    </comment>
    <comment ref="B42" authorId="0">
      <text>
        <r>
          <rPr>
            <sz val="10"/>
            <rFont val="Arial"/>
            <family val="2"/>
          </rPr>
          <t xml:space="preserve">=0.35×0.1 = 3.5% in 2050 (BAU). The formula '0.35×0.1' is OPAQUE: appears to combine 35% collection × 10% reuse-of-collected. RECOMMEND: write the two factors as named cells for transparency. Compare with Conditional B70 = 35% (10× higher reuse).</t>
        </r>
      </text>
    </comment>
    <comment ref="B43" authorId="0">
      <text>
        <r>
          <rPr>
            <sz val="10"/>
            <rFont val="Arial"/>
            <family val="2"/>
          </rPr>
          <t xml:space="preserve">DUPLICATE / DEAD: Inputs!B43 (Recycled water split to trees 2020 = 0.5) is DEFINED but NEVER REFERENCED — the model reads from Inputs!B50 instead. RECOMMEND DELETE this row to avoid confusion.</t>
        </r>
      </text>
    </comment>
    <comment ref="B44" authorId="0">
      <text>
        <r>
          <rPr>
            <sz val="10"/>
            <rFont val="Arial"/>
            <family val="2"/>
          </rPr>
          <t xml:space="preserve">DUPLICATE / DEAD: same as B43 — Inputs!B44 not used; model reads B51. DELETE.</t>
        </r>
      </text>
    </comment>
    <comment ref="B45" authorId="0">
      <text>
        <r>
          <rPr>
            <sz val="10"/>
            <rFont val="Arial"/>
            <family val="2"/>
          </rPr>
          <t xml:space="preserve">EI recycled water 0.8 kWh/m³ (2020) — DEFENSIBLE for non-potable secondary treatment + pumping. Plappally &amp; Lienhard (2012): urban WW reuse 0.27-3.8 kWh/m³ depending on treatment train. 0.8 sits at low-mid range, consistent with secondary + tertiary disinfection (no RO polish). OK.</t>
        </r>
      </text>
    </comment>
    <comment ref="B46" authorId="0">
      <text>
        <r>
          <rPr>
            <sz val="10"/>
            <rFont val="Arial"/>
            <family val="2"/>
          </rPr>
          <t xml:space="preserve">EI recycled 2050 = 0.65. -19% efficiency gain over 30 yrs is reasonable. OK.</t>
        </r>
      </text>
    </comment>
    <comment ref="B52" authorId="0">
      <text>
        <r>
          <rPr>
            <sz val="10"/>
            <rFont val="Arial"/>
            <family val="2"/>
          </rPr>
          <t xml:space="preserve">Urban GW priority share = 1 (100%). Means 100% of urban demand is served by GW first before any GMMR or desal. BUT Tripoli, Benghazi, Misrata are coastal cities historically supplied by GMMR + desal, not local coastal GW. REAL ALLOCATION should put GMMR or desal as the primary urban source for coastal demand centres. RECOMMEND scenario with B52 = 0.4 (only inland/peri-urban share goes from local GW first).</t>
        </r>
      </text>
    </comment>
    <comment ref="B53" authorId="0">
      <text>
        <r>
          <rPr>
            <sz val="10"/>
            <rFont val="Arial"/>
            <family val="2"/>
          </rPr>
          <t xml:space="preserve">Urban GMMR priority = 1 — combined with B52=1, urban never reaches GMMR or desal in the model. Whole urban load is on local GW. UNREALISTIC — see B52 note.</t>
        </r>
      </text>
    </comment>
    <comment ref="B54" authorId="0">
      <text>
        <r>
          <rPr>
            <sz val="10"/>
            <rFont val="Arial"/>
            <family val="2"/>
          </rPr>
          <t xml:space="preserve">Industrial GW priority = 1 — same allocation issue: 100% of industrial water comes from GW. Real Libya industrial supply (refineries at Zawiya, Ras Lanuf, Brega) is largely DESAL or GMMR. Scenario fix: B54 = 0.3.</t>
        </r>
      </text>
    </comment>
    <comment ref="B56" authorId="0">
      <text>
        <r>
          <rPr>
            <sz val="10"/>
            <rFont val="Arial"/>
            <family val="2"/>
          </rPr>
          <t xml:space="preserve">Ag GW priority = 1 — DEFENSIBLE. Most Libyan ag is on private wells.</t>
        </r>
      </text>
    </comment>
    <comment ref="B60" authorId="0">
      <text>
        <r>
          <rPr>
            <sz val="10"/>
            <rFont val="Arial"/>
            <family val="2"/>
          </rPr>
          <t xml:space="preserve">⚠ DEFINED BUT NOT REFERENCED: Inputs!B60 (GW grid-electrified share = 0.53) is never used by any formula. Yet the same concept is hard-coded as ×0.5 inside Inputs!B26. INCONSISTENT (0.50 vs 0.53). ACTION: wire B60 into Energy!D9 — see B26 note.</t>
        </r>
      </text>
    </comment>
    <comment ref="B61" authorId="0">
      <text>
        <r>
          <rPr>
            <sz val="10"/>
            <rFont val="Arial"/>
            <family val="2"/>
          </rPr>
          <t xml:space="preserve">⚠ DEFINED BUT NOT REFERENCED: Thermal desal share 2020 = 0.95. ACTION: wire into Energy!D11 — see B30 note.</t>
        </r>
      </text>
    </comment>
    <comment ref="B62" authorId="0">
      <text>
        <r>
          <rPr>
            <sz val="10"/>
            <rFont val="Arial"/>
            <family val="2"/>
          </rPr>
          <t xml:space="preserve">⚠ DEFINED BUT NOT REFERENCED: Thermal desal share 2050 = 0.10. ACTION: wire into Energy!D11 — see B30 note.</t>
        </r>
      </text>
    </comment>
    <comment ref="B63" authorId="0">
      <text>
        <r>
          <rPr>
            <sz val="10"/>
            <rFont val="Arial"/>
            <family val="2"/>
          </rPr>
          <t xml:space="preserve">⚠ DEFINED BUT NOT REFERENCED: EI thermal desal 15 kWh-eq/m³. Literature 14-27 kWh-eq/m³ (MSF 19.6-27.25; MED 14-21 — Hamed 2005; ScienceDirect LCA 2006). 15 is at the LOW end (closer to MED). For Libya's MSF-heavy fleet, 18-20 would be more representative. ACTION: wire into Energy!D11 — see B30 note.</t>
        </r>
      </text>
    </comment>
    <comment ref="B64" authorId="0">
      <text>
        <r>
          <rPr>
            <sz val="10"/>
            <rFont val="Arial"/>
            <family val="2"/>
          </rPr>
          <t xml:space="preserve">GWh→PJ conversion 0.0036 = 3.6×10⁻³. Correct (1 GWh = 3.6 TJ = 0.0036 PJ).</t>
        </r>
      </text>
    </comment>
    <comment ref="B65" authorId="0">
      <text>
        <r>
          <rPr>
            <sz val="10"/>
            <rFont val="Arial"/>
            <family val="2"/>
          </rPr>
          <t xml:space="preserve">Reference total electricity 35 TWh (IEA/OEC 2021). DEFINED BUT NOT USED in calculations — intended as analyst-side cross-check. RECOMMEND: add a 'Water sector share of national grid' computed row in Energy = Total_water_electricity / B65.</t>
        </r>
      </text>
    </comment>
  </commentList>
</comments>
</file>

<file path=xl/sharedStrings.xml><?xml version="1.0" encoding="utf-8"?>
<sst xmlns="http://schemas.openxmlformats.org/spreadsheetml/2006/main" count="1017" uniqueCount="647">
  <si>
    <t xml:space="preserve">Libya Water–Energy Nexus Model (2020–2050)</t>
  </si>
  <si>
    <t xml:space="preserve">Purpose</t>
  </si>
  <si>
    <t xml:space="preserve"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</si>
  <si>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 xml:space="preserve">Country context</t>
  </si>
  <si>
    <t xml:space="preserve"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</si>
  <si>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 xml:space="preserve">Model logic</t>
  </si>
  <si>
    <t xml:space="preserve">1.  Population: linear interpolation between UN WPP 2024 medium-variant 2020 (6.735M) and 2050 (9.261M).</t>
  </si>
  <si>
    <t xml:space="preserve">2.  GDP per capita: user-specified CAGR (default 2.5%/yr).</t>
  </si>
  <si>
    <t xml:space="preserve"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</si>
  <si>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</si>
  <si>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</si>
  <si>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</si>
  <si>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</si>
  <si>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 xml:space="preserve"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</si>
  <si>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</si>
  <si>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</si>
  <si>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</si>
  <si>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 xml:space="preserve">5.  Tree-program desalination burden is isolated by running the deficit calc twice, with and without the tree demand, and reporting the difference as 'Incremental desal for tree program'.</t>
  </si>
  <si>
    <t xml:space="preserve">6.  Energy = Σ (supply volume × specific energy intensity) for each source.</t>
  </si>
  <si>
    <t xml:space="preserve"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</si>
  <si>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</si>
  <si>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</si>
  <si>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</si>
  <si>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</si>
  <si>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</si>
  <si>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 xml:space="preserve">Data sources &amp; citations</t>
  </si>
  <si>
    <t xml:space="preserve"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</si>
  <si>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</si>
  <si>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 xml:space="preserve">• FAO AQUASTAT. Core database — water withdrawals by sector. https://www.fao.org/aquastat/en/databases/maindatabase/</t>
  </si>
  <si>
    <t xml:space="preserve">• UN DESA. World Population Prospects 2024, medium variant. https://population.un.org/wpp/</t>
  </si>
  <si>
    <t xml:space="preserve">• World Bank. Libya country data. https://data.worldbank.org/country/libya</t>
  </si>
  <si>
    <t xml:space="preserve">• IMF. Libya Article IV Staff Report, June 2025. https://www.imf.org/en/countries/lby</t>
  </si>
  <si>
    <t xml:space="preserve">• Middle East Institute (2024). What's next for Libya's Great Man-Made River Project? https://mei.edu/publication/whats-next-libyas-great-man-made-river-project/</t>
  </si>
  <si>
    <t xml:space="preserve">• Columbia State of the Planet (2011). Colonel Qaddafi and the Great Man-made River (aquifer depletion ~60 yr, Lonergan). https://news.climate.columbia.edu/2011/04/01/libya/</t>
  </si>
  <si>
    <t xml:space="preserve">• Brika, B. (2018). Water Resources and Desalination in Libya: A Review. https://www.mdpi.com/2504-3900/2/11/586</t>
  </si>
  <si>
    <t xml:space="preserve">• Qasem, Mittal &amp; Arafat (2021). Review of SWRO energy consumption, ScienceDirect. https://www.sciencedirect.com/science/article/abs/pii/S030626191931339X</t>
  </si>
  <si>
    <t xml:space="preserve">• IRENA (2015). Renewable Energy in the Water–Energy–Food Nexus (desalination 3.5–5 kWh/m³).</t>
  </si>
  <si>
    <t xml:space="preserve">• Becker, Sapkota, Kolusu et al. (2022). Afforesting arid land with renewable electricity and desalination, Nature Sustainability. https://www.nature.com/articles/s41893-022-01056-7</t>
  </si>
  <si>
    <t xml:space="preserve">• USU Forestry Extension. Drip Irrigation for Trees (arid landscape tree water demand). https://forestry.usu.edu/trees-cities-towns/tree-care/drip-irrigation</t>
  </si>
  <si>
    <t xml:space="preserve">100-million-tree programme — assumed parameters (editable on Inputs)</t>
  </si>
  <si>
    <t xml:space="preserve">• Programme start: 2026.  Planting ramp: 10 years (10 M trees/yr), so 100 M trees by 2036.</t>
  </si>
  <si>
    <t xml:space="preserve"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</si>
  <si>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 xml:space="preserve">• Implication: once fully established, programme demand ≈ 100 M × 15 L × 365 d ≈ 547 M m³/yr (~9% of national water use) and requires an equivalent incremental desalination plant fleet of ~1.5 M m³/day.</t>
  </si>
  <si>
    <t xml:space="preserve">Caveats</t>
  </si>
  <si>
    <t xml:space="preserve">• Libya's economy and water sector are highly disrupted by conflict; historical data are noisy.</t>
  </si>
  <si>
    <t xml:space="preserve">• GMMR actual delivery is already well below design capacity (2.5 vs 6.5 Mm³/day as of 2017–2024).</t>
  </si>
  <si>
    <t xml:space="preserve">• Local groundwater yield baseline is a residual estimate — treat as editable.</t>
  </si>
  <si>
    <t xml:space="preserve">• Industrial intensity is derived (AQUASTAT industrial share ÷ World Bank GDP) and very sensitive.</t>
  </si>
  <si>
    <t xml:space="preserve">• Thermal desalination (MSF/MED), still ~95% of Libya's legacy fleet per Brika (2018), would have higher equivalent electrical intensity (~15–25 kWh/m³). Default 3.5 kWh/m³ assumes new SWRO buildout.</t>
  </si>
  <si>
    <t xml:space="preserve">• Tree water demand is highly uncertain — depends on species, microclimate, mulching, drip efficiency, whether rainfall (56 mm/yr) is partially counted. Edit the 'Water per tree' assumption accordingly.</t>
  </si>
  <si>
    <t xml:space="preserve">• All trends are user-editable; the model is intentionally simple.</t>
  </si>
  <si>
    <t xml:space="preserve">Colour coding (in calculation sheets)</t>
  </si>
  <si>
    <t xml:space="preserve">• Blue text = hardcoded input number.  Black text = formula.  Green text = cross-sheet link.</t>
  </si>
  <si>
    <t xml:space="preserve">• Yellow fill = key assumption to review.  Light-blue fill = section header.  Green fill = total/result.</t>
  </si>
  <si>
    <t xml:space="preserve">• Light-green fill = 100-million-tree programme rows.</t>
  </si>
  <si>
    <t xml:space="preserve">UPDATE v2: recycled water and sector allocation logic added.</t>
  </si>
  <si>
    <t xml:space="preserve"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</si>
  <si>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 xml:space="preserve">UPDATE v3: allocation logic made more user-editable through new Inputs rows for recycled-water split and source-priority shares by sector.</t>
  </si>
  <si>
    <t xml:space="preserve">UPDATE v4 (April 2026): Recalibrated to Libya National Water Security Strategy — Situation Analysis report (MoP/UNDP/Hydroconseil, Aug 2025). Demand intensities calibrated to hit reported 2025 figures (municipal 836, agricultural 6,098, industrial mid-465 Mm³/y). Added Surface water as a new supply source (~60 Mm³/y, declining). Capped desalination at the realistic ceiling implied by the report (70 → 750 Mm³/y by 2050, per Table 18 planned SWRO buildout). Added explicit 'Agriculture from groundwater (overdraft)' row to capture the unsustainable private-well withdrawals the report identifies as up to 5,900 Mm³/y (p.119). GW available baseline raised to 6,000 Mm³/y (was 3,500) to reflect total non-MMR groundwater incl. private wells. Both BAU and Conditional scenarios preserved; all charts and cross-references intact.</t>
  </si>
  <si>
    <t xml:space="preserve">Libya Water-Energy Model — Full Reviewer Audit</t>
  </si>
  <si>
    <t xml:space="preserve">Reviewer: World Bank water-modelling specialist (independent peer review). Date: May 2026. Source file: Libya_Water_Energy_Model_2026_04_30.xlsx.</t>
  </si>
  <si>
    <t xml:space="preserve">#</t>
  </si>
  <si>
    <t xml:space="preserve">Severity</t>
  </si>
  <si>
    <t xml:space="preserve">Sheet / Cell</t>
  </si>
  <si>
    <t xml:space="preserve">Issue</t>
  </si>
  <si>
    <t xml:space="preserve">Recommendation</t>
  </si>
  <si>
    <t xml:space="preserve">Reference / source</t>
  </si>
  <si>
    <t xml:space="preserve">I-01</t>
  </si>
  <si>
    <t xml:space="preserve">CRITICAL</t>
  </si>
  <si>
    <t xml:space="preserve">Inputs!B26 + B60</t>
  </si>
  <si>
    <t xml:space="preserve">EI groundwater hard-codes ×0.5 grid factor inside the EI value (0.7×0.5=0.35), while B60 separately defines the grid share as 0.53. The two are inconsistent and B60 is never referenced by any formula.</t>
  </si>
  <si>
    <t xml:space="preserve">Set B26 = 0.7 (physical EI). Wire B60 explicitly into Energy!D9. Add a parallel row reporting total energy (incl. diesel) as well as grid-only.</t>
  </si>
  <si>
    <t xml:space="preserve">Plappally &amp; Lienhard 2012; FAO/WB Libya note.</t>
  </si>
  <si>
    <t xml:space="preserve">I-02</t>
  </si>
  <si>
    <t xml:space="preserve">Inputs!B61–B63 + Energy!D11</t>
  </si>
  <si>
    <t xml:space="preserve">Thermal-desalination share (0.95→0.10) and EI_thermal (15 kWh-eq/m³) are defined but NEVER WIRED into Energy formulas. Energy!D11 treats all desal as 100% SWRO. 2020 desal energy under-counted by ~218 GWh (~3-4×).</t>
  </si>
  <si>
    <t xml:space="preserve">Energy!D11 = (thermal_share_t × Inputs!$B$63 + (1−thermal_share_t)×D7) × Supply!D29, with thermal_share_t linearly interpolated from B61 (2020) to B62 (2050).</t>
  </si>
  <si>
    <t xml:space="preserve">Brika 2018 (Libya fleet 95% thermal); Hamed 2005; LCA 2006.</t>
  </si>
  <si>
    <t xml:space="preserve">I-03</t>
  </si>
  <si>
    <t xml:space="preserve">Demand!row 15 + Inputs!B16</t>
  </si>
  <si>
    <t xml:space="preserve">Agricultural demand expressed as L/cap/day (2,386). Agriculture is driven by irrigated area × ET, not by population. Causes ag demand to grow +22% by 2050 (5,866 → 7,191 Mm³) purely as a population artefact, contradicting NWSS reform pathway.</t>
  </si>
  <si>
    <t xml:space="preserve">Replace with m³/ha × ha_irrigated, or fix Mm³/yr trajectory directly from NWSS Table 26. At minimum, add scenario aligned with NWSS "Sustained Reform" (~5,200 Mm³ by 2050).</t>
  </si>
  <si>
    <t xml:space="preserve">NWSS-LY 2025 Hydroconseil/UNDP Table 26.</t>
  </si>
  <si>
    <t xml:space="preserve">I-04</t>
  </si>
  <si>
    <t xml:space="preserve">Inputs!B43–B44</t>
  </si>
  <si>
    <t xml:space="preserve">Duplicate dead inputs: B43/B44 (Recycled water split to trees) repeat B50/B51 and are never referenced.</t>
  </si>
  <si>
    <t xml:space="preserve">Delete B43–B44 to remove confusion.</t>
  </si>
  <si>
    <t xml:space="preserve">Internal model audit.</t>
  </si>
  <si>
    <t xml:space="preserve">I-05</t>
  </si>
  <si>
    <t xml:space="preserve">Energy!D8</t>
  </si>
  <si>
    <t xml:space="preserve">Surface-water EI (0.2 kWh/m³) is hard-coded inside the formula, not in Inputs.</t>
  </si>
  <si>
    <t xml:space="preserve">Move to a new Inputs row "EI surface water" so it can be edited and audited.</t>
  </si>
  <si>
    <t xml:space="preserve">Modeling best practice.</t>
  </si>
  <si>
    <t xml:space="preserve">I-06</t>
  </si>
  <si>
    <t xml:space="preserve">Supply!row 39 (overdraft)</t>
  </si>
  <si>
    <t xml:space="preserve">Agricultural deficit is silently absorbed by an "overdraft" residual that is added back to GW use. Supply ≡ Demand by construction even when the system is physically infeasible.</t>
  </si>
  <si>
    <t xml:space="preserve">Surface the overdraft as a top-line indicator ("non-renewable groundwater mining, Mm³/yr") in Summary; add a caps-and-balances scenario where ag demand is curtailed if total renewable + sustainable-mining &lt; demand.</t>
  </si>
  <si>
    <t xml:space="preserve">NWSS-LY 2025 sustainable yield concept; FAO AQUASTAT.</t>
  </si>
  <si>
    <t xml:space="preserve">II-07</t>
  </si>
  <si>
    <t xml:space="preserve">HIGH</t>
  </si>
  <si>
    <t xml:space="preserve">Inputs!B14</t>
  </si>
  <si>
    <t xml:space="preserve">Industrial intensity 9.1 m³/$1000 GDP gives 2050 industrial demand of 1,030 Mm³ (2.6× growth) driven mostly by GDP CAGR. Libya industrial demand is structurally tied to oil &amp; petrochemicals throughput, not GDP.</t>
  </si>
  <si>
    <t xml:space="preserve">Cap industrial growth at refinery/petrochem capacity expansion or switch to physical intensity (m³/Mt refined throughput).</t>
  </si>
  <si>
    <t xml:space="preserve">IEA Libya Country Report; IMF Article IV Jun-2025.</t>
  </si>
  <si>
    <t xml:space="preserve">II-08</t>
  </si>
  <si>
    <t xml:space="preserve">Inputs!B7</t>
  </si>
  <si>
    <t xml:space="preserve">Population 2050 = 10.51 M, ~13% above UN WPP 2024 medium variant (9.26 M). Note says "Matched to SISEPUEDE".</t>
  </si>
  <si>
    <t xml:space="preserve">Document the divergence; run sensitivity at UN baseline. Disclose the assumption in Summary.</t>
  </si>
  <si>
    <t xml:space="preserve">UN DESA WPP 2024.</t>
  </si>
  <si>
    <t xml:space="preserve">II-09</t>
  </si>
  <si>
    <t xml:space="preserve">Inputs!B20</t>
  </si>
  <si>
    <t xml:space="preserve">Local GW yield 6,000 Mm³/yr is essentially all non-renewable. Renewable GW for Libya is ~600-700 Mm³/yr.</t>
  </si>
  <si>
    <t xml:space="preserve">Split into "renewable GW" and "non-renewable GW abstraction" rows to make the mining flow explicit.</t>
  </si>
  <si>
    <t xml:space="preserve">FAO AQUASTAT; NWSS-LY 2025 p.119.</t>
  </si>
  <si>
    <t xml:space="preserve">II-10</t>
  </si>
  <si>
    <t xml:space="preserve">Inputs!B28</t>
  </si>
  <si>
    <t xml:space="preserve">EI GMMR 1.8 kWh/m³ is at low end of plausible range for 500 m lift + 600 km conveyance.</t>
  </si>
  <si>
    <t xml:space="preserve">Raise to 2.0-2.2 kWh/m³ baseline. Document the lift + conveyance + booster breakdown.</t>
  </si>
  <si>
    <t xml:space="preserve">Brika 2018; MEI 2024 review.</t>
  </si>
  <si>
    <t xml:space="preserve">II-11</t>
  </si>
  <si>
    <t xml:space="preserve">Inputs!B52–B55</t>
  </si>
  <si>
    <t xml:space="preserve">Urban and Industrial allocation priorities default to 100% local GW. Tripoli/Benghazi/Misrata are coastal and historically GMMR + desal supplied. Refineries (Zawiya, Ras Lanuf, Brega) primarily run on desal/GMMR.</t>
  </si>
  <si>
    <t xml:space="preserve">Set urban GW priority to ~0.4 and industrial GW priority to ~0.3 to reflect actual supply mix; rebalance.</t>
  </si>
  <si>
    <t xml:space="preserve">NWSS-LY 2025 Tables 12 &amp; 18.</t>
  </si>
  <si>
    <t xml:space="preserve">II-12</t>
  </si>
  <si>
    <t xml:space="preserve">Inputs!B63</t>
  </si>
  <si>
    <t xml:space="preserve">EI thermal desal = 15 kWh-eq/m³ is at the low end (closer to MED). Libya legacy fleet is MSF-heavy.</t>
  </si>
  <si>
    <t xml:space="preserve">Raise to 18 kWh-eq/m³ (MSF-heavy fleet midpoint).</t>
  </si>
  <si>
    <t xml:space="preserve">Hamed 2005; LCA 2006; Fadiel et al. 2025.</t>
  </si>
  <si>
    <t xml:space="preserve">III-13</t>
  </si>
  <si>
    <t xml:space="preserve">MEDIUM</t>
  </si>
  <si>
    <t xml:space="preserve">Inputs!B42</t>
  </si>
  <si>
    <t xml:space="preserve">Cell formula =0.35×0.1 obscures intent (35% collection × 10% reuse?).</t>
  </si>
  <si>
    <t xml:space="preserve">Replace with named cells: "WW collection rate 2050" and "WW reuse rate of collected" so the assumption chain is auditable.</t>
  </si>
  <si>
    <t xml:space="preserve">III-14</t>
  </si>
  <si>
    <t xml:space="preserve">Inputs!B12</t>
  </si>
  <si>
    <t xml:space="preserve">Domestic 319 L/cap/day ≈ 3× WHO global benchmark, because it includes ~50-65% non-revenue water. Risk of mis-reading.</t>
  </si>
  <si>
    <t xml:space="preserve">Rename row to "Municipal water withdrawal (incl. losses)" to prevent comparison with consumption benchmarks.</t>
  </si>
  <si>
    <t xml:space="preserve">UNICEF Libya 2022; IBNET MENA losses.</t>
  </si>
  <si>
    <t xml:space="preserve">III-15</t>
  </si>
  <si>
    <t xml:space="preserve">Inputs!B32</t>
  </si>
  <si>
    <t xml:space="preserve">Desal capacity 2020 = 20 Mm³/yr is much below NWSS-reported nameplate 70-76 Mm³/yr (2010-13).</t>
  </si>
  <si>
    <t xml:space="preserve">Document explicitly that 20 Mm³ is an "effective post-conflict" estimate, not nameplate.</t>
  </si>
  <si>
    <t xml:space="preserve">NWSS-LY 2025 p.92.</t>
  </si>
  <si>
    <t xml:space="preserve">III-16</t>
  </si>
  <si>
    <t xml:space="preserve">Inputs!B65</t>
  </si>
  <si>
    <t xml:space="preserve">Reference total electricity 35 TWh defined but never used in calculations.</t>
  </si>
  <si>
    <t xml:space="preserve">Add an Energy row: "Water sector share of national grid (%)" = Total / B65, for cross-check.</t>
  </si>
  <si>
    <t xml:space="preserve">IEA Libya Country Report 2021.</t>
  </si>
  <si>
    <t xml:space="preserve">III-17</t>
  </si>
  <si>
    <t xml:space="preserve">LOW</t>
  </si>
  <si>
    <t xml:space="preserve">Inputs!B17</t>
  </si>
  <si>
    <t xml:space="preserve">Ag efficiency trend −0.8%/yr is optimistic; combined with population growth still gives +22% ag demand by 2050.</t>
  </si>
  <si>
    <t xml:space="preserve">Add scenario at −2.0%/yr (aggressive irrigation modernisation, drip retrofit).</t>
  </si>
  <si>
    <t xml:space="preserve">FAO Libya Irrigation Modernisation programme.</t>
  </si>
  <si>
    <t xml:space="preserve">Energy Intensity Benchmark — Libya Water-Energy Model Review</t>
  </si>
  <si>
    <t xml:space="preserve">Each parameter compared with current literature. Verdict colour: green=defensible, amber=tighten, red=fix required.</t>
  </si>
  <si>
    <t xml:space="preserve">Parameter (Inputs cell)</t>
  </si>
  <si>
    <t xml:space="preserve">Model value</t>
  </si>
  <si>
    <t xml:space="preserve">Units</t>
  </si>
  <si>
    <t xml:space="preserve">Literature range / benchmark</t>
  </si>
  <si>
    <t xml:space="preserve">Reference</t>
  </si>
  <si>
    <t xml:space="preserve">Verdict</t>
  </si>
  <si>
    <t xml:space="preserve">Recommended action</t>
  </si>
  <si>
    <t xml:space="preserve">1</t>
  </si>
  <si>
    <t xml:space="preserve">EI local groundwater (B26)</t>
  </si>
  <si>
    <t xml:space="preserve">0.35 (=0.7×0.5)</t>
  </si>
  <si>
    <t xml:space="preserve">kWh/m³</t>
  </si>
  <si>
    <t xml:space="preserve">Shallow &lt;100 m: 0.2-0.5
Mid 100-200 m: 0.4-0.8
Deep &gt;300 m: 0.8-1.5
Libya coastal typ.: 0.5-0.8</t>
  </si>
  <si>
    <t xml:space="preserve">Plappally &amp; Lienhard 2012, RSER 16(7), p.4818-4848 (0.004 kWh/m³ per m of head). Wada et al. 2014 (global GW pumping). World Bank GCC W-E Nexus 2024.</t>
  </si>
  <si>
    <t xml:space="preserve">FIX (red)</t>
  </si>
  <si>
    <t xml:space="preserve">Set B26 = 0.7 (physical EI). Wire B60 (grid share, 0.53) into Energy!D9 explicitly. Add parallel total-energy row.</t>
  </si>
  <si>
    <t xml:space="preserve">2</t>
  </si>
  <si>
    <t xml:space="preserve">EI groundwater rise rate (B27)</t>
  </si>
  <si>
    <t xml:space="preserve">0.015</t>
  </si>
  <si>
    <t xml:space="preserve">per year</t>
  </si>
  <si>
    <t xml:space="preserve">1-2%/yr drawdown effect on lift head over 30 yr</t>
  </si>
  <si>
    <t xml:space="preserve">Brika 2018 MDPI (Libya); Lonergan 1996 (Nubian aquifer)</t>
  </si>
  <si>
    <t xml:space="preserve">OK (green)</t>
  </si>
  <si>
    <t xml:space="preserve">Keep, recheck after B26 fix.</t>
  </si>
  <si>
    <t xml:space="preserve">3</t>
  </si>
  <si>
    <t xml:space="preserve">EI pipeline GMMR (B28)</t>
  </si>
  <si>
    <t xml:space="preserve">1.8</t>
  </si>
  <si>
    <t xml:space="preserve">Theoretical lift only (500 m): 2.7
Lift + 600 km conveyance + boosters: 2.0-3.0</t>
  </si>
  <si>
    <t xml:space="preserve">Brika 2018 MDPI; MEI 2024 GMMR review; energy bill from GMMR Authority</t>
  </si>
  <si>
    <t xml:space="preserve">TIGHTEN (amber)</t>
  </si>
  <si>
    <t xml:space="preserve">Increase to 2.0-2.2 baseline. Document the lift+conveyance breakdown.</t>
  </si>
  <si>
    <t xml:space="preserve">4</t>
  </si>
  <si>
    <t xml:space="preserve">EI pipeline rise rate (B29)</t>
  </si>
  <si>
    <t xml:space="preserve">0.01</t>
  </si>
  <si>
    <t xml:space="preserve">0.5-1.5%/yr (Nubian drawdown)</t>
  </si>
  <si>
    <t xml:space="preserve">Lonergan 1996; MEI 2024</t>
  </si>
  <si>
    <t xml:space="preserve">Keep.</t>
  </si>
  <si>
    <t xml:space="preserve">5</t>
  </si>
  <si>
    <t xml:space="preserve">EI desalination 2020 (B30)</t>
  </si>
  <si>
    <t xml:space="preserve">3.5</t>
  </si>
  <si>
    <t xml:space="preserve">SWRO with ERDs: 2.5-4.0
State-of-art: 2.8
World record (2025): 1.79
MSF: 19.6-27.25
MED: 14.45-21.35</t>
  </si>
  <si>
    <t xml:space="preserve">IRENA-ETSAP 2015; Qasem, Mittal &amp; Arafat 2021 ScienceDirect; Cell Joule 2024; Hamed 2005; Voutchkov 2018</t>
  </si>
  <si>
    <t xml:space="preserve">Currently treats 100% as SWRO. Wire thermal share (B61/B62) and EI_thermal (B63) into Energy!D11. 2020 desal energy under-counted by ~218 GWh.</t>
  </si>
  <si>
    <t xml:space="preserve">6</t>
  </si>
  <si>
    <t xml:space="preserve">EI desalination 2050 (B31)</t>
  </si>
  <si>
    <t xml:space="preserve">3.0</t>
  </si>
  <si>
    <t xml:space="preserve">XL plants 2.8 by 2030; 2.5 practical floor (thermo limit ~1.0)</t>
  </si>
  <si>
    <t xml:space="preserve">Cell Joule 2024 ("Practical minimum energy use of SWRO"); Danfoss 2024 record; IEA 2024</t>
  </si>
  <si>
    <t xml:space="preserve">Keep. Possibly even 2.8 if all new builds are Gen-IV ERDs.</t>
  </si>
  <si>
    <t xml:space="preserve">7</t>
  </si>
  <si>
    <t xml:space="preserve">EI recycled water 2020 (B45)</t>
  </si>
  <si>
    <t xml:space="preserve">0.8</t>
  </si>
  <si>
    <t xml:space="preserve">Urban WW reuse: 0.27-3.8
Secondary + disinfection (no RO): 0.5-1.0
With RO polish: 1.5-3.0</t>
  </si>
  <si>
    <t xml:space="preserve">Plappally &amp; Lienhard 2012; Wakeel et al. 2016 RSER</t>
  </si>
  <si>
    <t xml:space="preserve">Keep at 0.8. Add scenario at 1.2 if higher-quality (RO polish) is needed for tree drip irrigation.</t>
  </si>
  <si>
    <t xml:space="preserve">8</t>
  </si>
  <si>
    <t xml:space="preserve">EI recycled water 2050 (B46)</t>
  </si>
  <si>
    <t xml:space="preserve">0.65</t>
  </si>
  <si>
    <t xml:space="preserve">0.5-0.8 (membrane bio-reactor + UV; post-2030 BAU)</t>
  </si>
  <si>
    <t xml:space="preserve">IWA 2022 Energy efficient water utilities</t>
  </si>
  <si>
    <t xml:space="preserve">9</t>
  </si>
  <si>
    <t xml:space="preserve">EI thermal desal — equiv. (B63)</t>
  </si>
  <si>
    <t xml:space="preserve">15</t>
  </si>
  <si>
    <t xml:space="preserve">kWh-eq/m³</t>
  </si>
  <si>
    <t xml:space="preserve">MSF: 19.6-27.25
MED-TVC: 14.45-21.35
Libya fleet (MSF-heavy): 18-22 typical</t>
  </si>
  <si>
    <t xml:space="preserve">Hamed 2005; ScienceDirect LCA 2006; Fadiel et al. 2025</t>
  </si>
  <si>
    <t xml:space="preserve">TIGHTEN + WIRE (red)</t>
  </si>
  <si>
    <t xml:space="preserve">Raise to 18 to match MSF-heavy fleet, AND wire into Energy!D11 (currently unused).</t>
  </si>
  <si>
    <t xml:space="preserve">10</t>
  </si>
  <si>
    <t xml:space="preserve">GW grid-electrified share (B60)</t>
  </si>
  <si>
    <t xml:space="preserve">0.53</t>
  </si>
  <si>
    <t xml:space="preserve">0-1</t>
  </si>
  <si>
    <t xml:space="preserve">FAO/WB Libya: ~47% private-farm pumping unmetered/diesel → 0.53 grid share is plausible</t>
  </si>
  <si>
    <t xml:space="preserve">FAO AQUASTAT; World Bank Libya Water Sector Note 2018</t>
  </si>
  <si>
    <t xml:space="preserve">WIRE-IN (red)</t>
  </si>
  <si>
    <t xml:space="preserve">B60 is defined but unused. Wire into Energy!D9 and remove the duplicate ×0.5 factor inside B26.</t>
  </si>
  <si>
    <t xml:space="preserve">11</t>
  </si>
  <si>
    <t xml:space="preserve">Surface-water EI (Energy!D8 hardcode 0.2)</t>
  </si>
  <si>
    <t xml:space="preserve">0.2</t>
  </si>
  <si>
    <t xml:space="preserve">0.1-0.3 for surface water treatment + distribution</t>
  </si>
  <si>
    <t xml:space="preserve">Plappally &amp; Lienhard 2012</t>
  </si>
  <si>
    <t xml:space="preserve">PARAMETERISE (amber)</t>
  </si>
  <si>
    <t xml:space="preserve">Move 0.2 from hardcode in Energy!D8 to a new Inputs row for transparency.</t>
  </si>
  <si>
    <t xml:space="preserve">12</t>
  </si>
  <si>
    <t xml:space="preserve">GWh→PJ factor (B64)</t>
  </si>
  <si>
    <t xml:space="preserve">0.0036</t>
  </si>
  <si>
    <t xml:space="preserve">PJ/GWh</t>
  </si>
  <si>
    <t xml:space="preserve">3.6×10⁻³ (exact)</t>
  </si>
  <si>
    <t xml:space="preserve">SI conversion</t>
  </si>
  <si>
    <t xml:space="preserve">13</t>
  </si>
  <si>
    <t xml:space="preserve">Total system avg EI (Energy R23)</t>
  </si>
  <si>
    <t xml:space="preserve">0.55 (2020) → 0.83 (2050)</t>
  </si>
  <si>
    <t xml:space="preserve">MENA average: 0.5-1.2 (incl. desal weight)</t>
  </si>
  <si>
    <t xml:space="preserve">World Bank Beyond Scarcity 2017; UNESCWA W-E Nexus 2018</t>
  </si>
  <si>
    <t xml:space="preserve">PLAUSIBLE (amber)</t>
  </si>
  <si>
    <t xml:space="preserve">Will rise to 1.0-1.1 once thermal-desal blending is wired in correctly for early years.</t>
  </si>
  <si>
    <t xml:space="preserve">Recommended Formula Fixes — copy/paste into the corresponding cells</t>
  </si>
  <si>
    <t xml:space="preserve">Cell</t>
  </si>
  <si>
    <t xml:space="preserve">Current value/formula</t>
  </si>
  <si>
    <t xml:space="preserve">Recommended replacement</t>
  </si>
  <si>
    <t xml:space="preserve">Rationale</t>
  </si>
  <si>
    <t xml:space="preserve">Inputs!B26</t>
  </si>
  <si>
    <t xml:space="preserve">=0.7*0.5  (= 0.35)</t>
  </si>
  <si>
    <t xml:space="preserve">0.7</t>
  </si>
  <si>
    <t xml:space="preserve">Make B26 the physical EI. Apply grid-share factor in Energy formula instead.</t>
  </si>
  <si>
    <t xml:space="preserve">Energy!D9 (and copy across cols)</t>
  </si>
  <si>
    <t xml:space="preserve">=D5*(Supply!D18+Supply!D21+Supply!D24+Supply!D39)</t>
  </si>
  <si>
    <t xml:space="preserve">=D5*Inputs!$B$60*(Supply!D18+Supply!D21+Supply!D24+Supply!D39)</t>
  </si>
  <si>
    <t xml:space="preserve">Apply grid-electrified share so we report grid demand. Add a parallel row "Total energy GW" without the *B60 for nexus reporting.</t>
  </si>
  <si>
    <t xml:space="preserve">Energy!D11 (and copy across cols)</t>
  </si>
  <si>
    <t xml:space="preserve">=D7*Supply!D29</t>
  </si>
  <si>
    <t xml:space="preserve">=((Inputs!$B$61+(Inputs!$B$62-Inputs!$B$61)*(D$3-2020)/30)*Inputs!$B$63 + (1-(Inputs!$B$61+(Inputs!$B$62-Inputs!$B$61)*(D$3-2020)/30))*D7)*Supply!D29</t>
  </si>
  <si>
    <t xml:space="preserve">Blend SWRO + thermal MSF/MED EI by their fleet shares (linearly transitioning 2020→2050). Wires in Inputs B61/B62/B63.</t>
  </si>
  <si>
    <t xml:space="preserve">Inputs (new row)</t>
  </si>
  <si>
    <t xml:space="preserve">— (currently 0.2 hardcoded inside Energy!D8)</t>
  </si>
  <si>
    <t xml:space="preserve">EI surface water = 0.20 kWh/m³, then change Energy!D8 to =Inputs!$B$NEW * Supply!D7</t>
  </si>
  <si>
    <t xml:space="preserve">Move hardcode to inputs for transparency.</t>
  </si>
  <si>
    <t xml:space="preserve">Energy (new row, e.g. R26)</t>
  </si>
  <si>
    <t xml:space="preserve">— (does not exist)</t>
  </si>
  <si>
    <t xml:space="preserve">"Water sector share of national grid (%)" = =D15/(Inputs!$B$65*1000)</t>
  </si>
  <si>
    <t xml:space="preserve">Cross-check vs Libya total grid 35 TWh. Currently we report ~11% (2020) → 23% (2050).</t>
  </si>
  <si>
    <t xml:space="preserve">Inputs (delete)</t>
  </si>
  <si>
    <t xml:space="preserve">B43, B44 dead values</t>
  </si>
  <si>
    <t xml:space="preserve">Delete rows / clear values</t>
  </si>
  <si>
    <t xml:space="preserve">Duplicate of B50/B51 and unreferenced.</t>
  </si>
  <si>
    <t xml:space="preserve">9.1</t>
  </si>
  <si>
    <t xml:space="preserve">Sensitivity: 6.0 (low) | 9.1 (mid) | 12.0 (high)</t>
  </si>
  <si>
    <t xml:space="preserve">Industrial water intensity is highly uncertain post-conflict. Provide a range.</t>
  </si>
  <si>
    <t xml:space="preserve">Inputs!B16</t>
  </si>
  <si>
    <t xml:space="preserve">2,386 L/cap/day</t>
  </si>
  <si>
    <t xml:space="preserve">Replace driver: ag_demand_t (Mm³/yr) = m³/ha × ha_irrigated_t</t>
  </si>
  <si>
    <t xml:space="preserve">Decouple agriculture from population. Use FAO/NWSS area projections.</t>
  </si>
  <si>
    <t xml:space="preserve">2.0</t>
  </si>
  <si>
    <t xml:space="preserve">Better aligned with 500 m lift + 600 km conveyance physics.</t>
  </si>
  <si>
    <t xml:space="preserve">18</t>
  </si>
  <si>
    <t xml:space="preserve">Libya legacy fleet is MSF-heavy; midpoint 18 kWh-eq/m³ is more representative.</t>
  </si>
  <si>
    <t xml:space="preserve">Inputs!B52, B53, B54, B55</t>
  </si>
  <si>
    <t xml:space="preserve">1, 1, 1, 1</t>
  </si>
  <si>
    <t xml:space="preserve">Urban GW: 0.4; Urban GMMR: 0.6; Industrial GW: 0.3; Industrial GMMR: 0.7</t>
  </si>
  <si>
    <t xml:space="preserve">Match real allocation: coastal cities &amp; refineries use GMMR/desal, not local GW first.</t>
  </si>
  <si>
    <t xml:space="preserve">Libya Water-Energy Model — Inputs &amp; Assumptions</t>
  </si>
  <si>
    <t xml:space="preserve">Parameter</t>
  </si>
  <si>
    <t xml:space="preserve">Value</t>
  </si>
  <si>
    <t xml:space="preserve">Source / Note</t>
  </si>
  <si>
    <t xml:space="preserve">DEMOGRAPHICS &amp; ECONOMY</t>
  </si>
  <si>
    <t xml:space="preserve">Population 2020</t>
  </si>
  <si>
    <t xml:space="preserve">persons</t>
  </si>
  <si>
    <t xml:space="preserve">UN WPP 2024 medium variant</t>
  </si>
  <si>
    <t xml:space="preserve">*</t>
  </si>
  <si>
    <t xml:space="preserve">Population 2050</t>
  </si>
  <si>
    <t xml:space="preserve">Matched to SISEPUEDE</t>
  </si>
  <si>
    <t xml:space="preserve">GDP per capita 2020</t>
  </si>
  <si>
    <t xml:space="preserve">USD (current)</t>
  </si>
  <si>
    <t xml:space="preserve">World Bank WDI 2020 (volatile)</t>
  </si>
  <si>
    <t xml:space="preserve">GDP per capita CAGR</t>
  </si>
  <si>
    <t xml:space="preserve">WATER DEMAND INTENSITIES</t>
  </si>
  <si>
    <t xml:space="preserve">Domestic water use 2020</t>
  </si>
  <si>
    <t xml:space="preserve">L/cap/day</t>
  </si>
  <si>
    <t xml:space="preserve">Calibrated to report (p.115): municipal demand 836 Mm³/y in 2025</t>
  </si>
  <si>
    <t xml:space="preserve">Domestic efficiency trend</t>
  </si>
  <si>
    <t xml:space="preserve">Assumption: leak reduction, metering</t>
  </si>
  <si>
    <t xml:space="preserve">Industrial water intensity 2020</t>
  </si>
  <si>
    <t xml:space="preserve">m³ per $1000 GDP</t>
  </si>
  <si>
    <t xml:space="preserve">Calibrated to report (p.117): industrial demand 273-656 Mm³/y in 2025; midpoint ~465</t>
  </si>
  <si>
    <t xml:space="preserve">Industrial efficiency trend</t>
  </si>
  <si>
    <t xml:space="preserve">Assumption: process efficiency</t>
  </si>
  <si>
    <t xml:space="preserve">Agricultural water use 2020</t>
  </si>
  <si>
    <t xml:space="preserve">Calibrated to report (p.111, Table 26): agricultural demand 6,098 Mm³/y in 2025</t>
  </si>
  <si>
    <t xml:space="preserve">Agricultural efficiency trend</t>
  </si>
  <si>
    <t xml:space="preserve">Assumption: irrigation modernization</t>
  </si>
  <si>
    <t xml:space="preserve">Surface water decline rate</t>
  </si>
  <si>
    <t xml:space="preserve">Report p.61-69: rising evap &amp; climate change</t>
  </si>
  <si>
    <t xml:space="preserve">SUPPLY CAPACITY &amp; TRENDS</t>
  </si>
  <si>
    <t xml:space="preserve">Local groundwater yield 2020</t>
  </si>
  <si>
    <t xml:space="preserve">M m³/yr</t>
  </si>
  <si>
    <t xml:space="preserve">Report p.119: ~5,900 Mm³/y from private wells + GCWW wells; mostly unsustainable. Excl. MMR.</t>
  </si>
  <si>
    <t xml:space="preserve">Groundwater decline rate</t>
  </si>
  <si>
    <t xml:space="preserve">Overdraft &amp; coastal salinization</t>
  </si>
  <si>
    <t xml:space="preserve">GMMR pipeline delivery 2020</t>
  </si>
  <si>
    <t xml:space="preserve">2.5 Mm³/day × 365 (MEI 2024)</t>
  </si>
  <si>
    <t xml:space="preserve">Great Man Made River</t>
  </si>
  <si>
    <t xml:space="preserve">GMMR decline rate</t>
  </si>
  <si>
    <t xml:space="preserve">Aquifer depletion (Lonergan ~60 yr) + infra decay</t>
  </si>
  <si>
    <t xml:space="preserve">Surface water 2020</t>
  </si>
  <si>
    <t xml:space="preserve">Report p.24-25: very limited; few small dams; high evap (1,700-6,000 mm/y)</t>
  </si>
  <si>
    <t xml:space="preserve">ENERGY INTENSITIES</t>
  </si>
  <si>
    <t xml:space="preserve">EI local groundwater 2020</t>
  </si>
  <si>
    <t xml:space="preserve">USGS/Denver 1.2-1.8 deep; 0.7 shallow/coastal
We assumed that the majoriry of private-farm groundwater runs on diesel gensets and is not billed through the grid, given that FAO/World Bank water-sector assessments for the countrt, we can assume  that private-farm pumping  is largely unmetered and off-grid (approx 50%). Thus the energy intensity of this is scaled to what it is actually being demanded by the electricity grid. </t>
  </si>
  <si>
    <t xml:space="preserve">EI groundwater rise rate</t>
  </si>
  <si>
    <t xml:space="preserve">Water-table drawdown raises lift</t>
  </si>
  <si>
    <t xml:space="preserve">EI pipeline (GMMR) 2020</t>
  </si>
  <si>
    <t xml:space="preserve">Deep-well (500 m) + long conveyance; lit. 1.5-2.0</t>
  </si>
  <si>
    <t xml:space="preserve">EI pipeline rise rate</t>
  </si>
  <si>
    <t xml:space="preserve">Rising lift as Nubian aquifer draws down</t>
  </si>
  <si>
    <t xml:space="preserve">EI desalination 2020</t>
  </si>
  <si>
    <t xml:space="preserve">SWRO with ERDs (IRENA; ScienceDirect)</t>
  </si>
  <si>
    <t xml:space="preserve">EI desalination 2050</t>
  </si>
  <si>
    <t xml:space="preserve">Efficiency gains toward 2.8 state-of-art</t>
  </si>
  <si>
    <t xml:space="preserve">Desalination capacity 2020</t>
  </si>
  <si>
    <t xml:space="preserve">Report p.92: 70-76 Mm³/y in 2010-2013</t>
  </si>
  <si>
    <t xml:space="preserve">100-MILLION TREE AFFORESTATION PROGRAMME</t>
  </si>
  <si>
    <t xml:space="preserve">Programme start year</t>
  </si>
  <si>
    <t xml:space="preserve">year</t>
  </si>
  <si>
    <t xml:space="preserve">Assumption — edit to shift timeline</t>
  </si>
  <si>
    <t xml:space="preserve">Planting ramp (years)</t>
  </si>
  <si>
    <t xml:space="preserve">years</t>
  </si>
  <si>
    <t xml:space="preserve">Linear planting of target over this period</t>
  </si>
  <si>
    <t xml:space="preserve">Target trees</t>
  </si>
  <si>
    <t xml:space="preserve">trees</t>
  </si>
  <si>
    <t xml:space="preserve">Programme ambition (100 million)</t>
  </si>
  <si>
    <t xml:space="preserve">Water per tree</t>
  </si>
  <si>
    <t xml:space="preserve">L/tree/day</t>
  </si>
  <si>
    <t xml:space="preserve">Drip-irrigated drought-tolerant; Becker et al. 2022; USU ext. ~41 L/d for mature arid shade tree</t>
  </si>
  <si>
    <t xml:space="preserve">L/day</t>
  </si>
  <si>
    <t xml:space="preserve">m3/year</t>
  </si>
  <si>
    <t xml:space="preserve">Mm3/year</t>
  </si>
  <si>
    <t xml:space="preserve">Desalination capacity 2050</t>
  </si>
  <si>
    <t xml:space="preserve">Report p.92, Table 18: existing rehab + 14-15 planned SWRO at 2 Mm³/d ≈ 850 max; conservative 750</t>
  </si>
  <si>
    <t xml:space="preserve">RECYCLED WATER &amp; ALLOCATION</t>
  </si>
  <si>
    <t xml:space="preserve">Urban wastewater recovery share 2020</t>
  </si>
  <si>
    <t xml:space="preserve">share of urban water demand met</t>
  </si>
  <si>
    <t xml:space="preserve">Assumption: recoverable municipal wastewater</t>
  </si>
  <si>
    <t xml:space="preserve">Urban wastewater recovery share 2050</t>
  </si>
  <si>
    <t xml:space="preserve">Assumption: better sewerage, treatment, and reuse</t>
  </si>
  <si>
    <t xml:space="preserve">Recycled water split to trees 2020</t>
  </si>
  <si>
    <t xml:space="preserve">share of recycled water</t>
  </si>
  <si>
    <t xml:space="preserve">Allocation priority from recycled water</t>
  </si>
  <si>
    <t xml:space="preserve">Recycled water split to trees 2050</t>
  </si>
  <si>
    <t xml:space="preserve">Less tree priority over time as ag reuse scales</t>
  </si>
  <si>
    <t xml:space="preserve">EI recycled water 2020</t>
  </si>
  <si>
    <t xml:space="preserve">Assumption: treatment + pumping for non-potable reuse</t>
  </si>
  <si>
    <t xml:space="preserve">EI recycled water 2050</t>
  </si>
  <si>
    <t xml:space="preserve">Efficiency improvement assumption</t>
  </si>
  <si>
    <t xml:space="preserve">EDITABLE ALLOCATION SHARES</t>
  </si>
  <si>
    <t xml:space="preserve">Editable share; remainder goes to agriculture</t>
  </si>
  <si>
    <t xml:space="preserve">Urban priority GW share</t>
  </si>
  <si>
    <t xml:space="preserve">share of urban demand</t>
  </si>
  <si>
    <t xml:space="preserve">Default strict priority</t>
  </si>
  <si>
    <t xml:space="preserve">Urban priority GMMR share</t>
  </si>
  <si>
    <t xml:space="preserve">share of urban residual</t>
  </si>
  <si>
    <t xml:space="preserve">Industrial priority GW share</t>
  </si>
  <si>
    <t xml:space="preserve">share of industrial demand</t>
  </si>
  <si>
    <t xml:space="preserve">Industrial priority GMMR share</t>
  </si>
  <si>
    <t xml:space="preserve">share of industrial residual</t>
  </si>
  <si>
    <t xml:space="preserve">Agriculture priority GW share</t>
  </si>
  <si>
    <t xml:space="preserve">share of ag residual demand</t>
  </si>
  <si>
    <t xml:space="preserve">Agriculture priority GMMR share</t>
  </si>
  <si>
    <t xml:space="preserve">share of ag residual after GW</t>
  </si>
  <si>
    <t xml:space="preserve">ADJUSTMENT FACTORS (v2 — technical review)</t>
  </si>
  <si>
    <t xml:space="preserve">Groundwater grid-electrified share</t>
  </si>
  <si>
    <t xml:space="preserve">share (0-1)</t>
  </si>
  <si>
    <t xml:space="preserve">FAO/WB: ~47% private-farm pumping unmetered/off-grid (diesel). 0.53 is metered share</t>
  </si>
  <si>
    <t xml:space="preserve">Thermal desal fleet share 2020</t>
  </si>
  <si>
    <t xml:space="preserve">share</t>
  </si>
  <si>
    <t xml:space="preserve">README: Libya legacy fleet ~95% thermal (MSF/MED); Fadiel et al. 2025</t>
  </si>
  <si>
    <t xml:space="preserve">Thermal desal fleet share 2050</t>
  </si>
  <si>
    <t xml:space="preserve">Assumption: new SWRO turnover dominates by 2050</t>
  </si>
  <si>
    <t xml:space="preserve">EI thermal desal (electric-equiv)</t>
  </si>
  <si>
    <t xml:space="preserve">Midpoint of 15-25 kWh-eq/m³ literature range for MSF/MED</t>
  </si>
  <si>
    <t xml:space="preserve">GWh → PJ conversion factor</t>
  </si>
  <si>
    <t xml:space="preserve">3600 × 1e-6 = 3.6e-3. Used in Energy rows 17, 19-21, 32</t>
  </si>
  <si>
    <t xml:space="preserve">Libya total electricity generation (ref)</t>
  </si>
  <si>
    <t xml:space="preserve">GWh/yr</t>
  </si>
  <si>
    <t xml:space="preserve">IEA/OEC ~35 TWh (2021). Reference for Energy cross-check</t>
  </si>
  <si>
    <t xml:space="preserve">CONDITIONAL SCENARIO — TREATED WASTEWATER</t>
  </si>
  <si>
    <t xml:space="preserve">Urban wastewater recovery share 2020 — Conditional</t>
  </si>
  <si>
    <t xml:space="preserve">Same as BAU 2020 (=Inputs!B41); only Conditional 2050 differs</t>
  </si>
  <si>
    <t xml:space="preserve">Urban wastewater recovery share 2050 — Conditional</t>
  </si>
  <si>
    <t xml:space="preserve">Recycled water split to trees 2020 — Conditional</t>
  </si>
  <si>
    <t xml:space="preserve">Recycled water split to trees 2050 — Conditional</t>
  </si>
  <si>
    <t xml:space="preserve">Water Demand Projections — Libya (2020–2050)</t>
  </si>
  <si>
    <t xml:space="preserve">Metric</t>
  </si>
  <si>
    <t xml:space="preserve">Notes</t>
  </si>
  <si>
    <t xml:space="preserve">Population</t>
  </si>
  <si>
    <t xml:space="preserve">Linear interp UN WPP 2024 (2020 ↔ 2050)</t>
  </si>
  <si>
    <t xml:space="preserve">GDP per capita</t>
  </si>
  <si>
    <t xml:space="preserve">USD</t>
  </si>
  <si>
    <t xml:space="preserve">GDP_pc_2020 × (1+CAGR)^(year-2020)</t>
  </si>
  <si>
    <t xml:space="preserve">Total GDP</t>
  </si>
  <si>
    <t xml:space="preserve">M USD</t>
  </si>
  <si>
    <t xml:space="preserve">Population × GDP per capita / 1e6</t>
  </si>
  <si>
    <t xml:space="preserve">Domestic intensity</t>
  </si>
  <si>
    <t xml:space="preserve">Base × (1+eff)^(year-2020)</t>
  </si>
  <si>
    <t xml:space="preserve">Industrial intensity</t>
  </si>
  <si>
    <t xml:space="preserve">m³/$1000 GDP</t>
  </si>
  <si>
    <t xml:space="preserve">Agricultural intensity</t>
  </si>
  <si>
    <t xml:space="preserve">Domestic demand</t>
  </si>
  <si>
    <t xml:space="preserve">Pop × lpcd × 365 / 1e9</t>
  </si>
  <si>
    <t xml:space="preserve">Industrial demand</t>
  </si>
  <si>
    <t xml:space="preserve">GDP(M USD) × (m³/$1000) / 1000</t>
  </si>
  <si>
    <t xml:space="preserve">Agricultural demand</t>
  </si>
  <si>
    <t xml:space="preserve">Active trees (100 M program)</t>
  </si>
  <si>
    <t xml:space="preserve">MIN(target, MAX(0, target×(year−start)/ramp))</t>
  </si>
  <si>
    <t xml:space="preserve">Tree programme demand</t>
  </si>
  <si>
    <t xml:space="preserve">Active trees × L/tree/day × 365 / 1e9</t>
  </si>
  <si>
    <t xml:space="preserve">TOTAL water demand</t>
  </si>
  <si>
    <t xml:space="preserve">Sum of sectors + tree program</t>
  </si>
  <si>
    <t xml:space="preserve">Water Supply Allocation — Libya (2020–2050)</t>
  </si>
  <si>
    <t xml:space="preserve">Total water demand</t>
  </si>
  <si>
    <t xml:space="preserve">link ← Demand row 19</t>
  </si>
  <si>
    <t xml:space="preserve">Of which tree programme</t>
  </si>
  <si>
    <t xml:space="preserve">link ← Demand row 17</t>
  </si>
  <si>
    <t xml:space="preserve">Surface water to agriculture</t>
  </si>
  <si>
    <t xml:space="preserve">min(SW available, ag residual after recycled)</t>
  </si>
  <si>
    <t xml:space="preserve">Local groundwater available</t>
  </si>
  <si>
    <t xml:space="preserve">GW_2020 × (1+decline)^(year-2020)</t>
  </si>
  <si>
    <t xml:space="preserve">Pipeline (GMMR) available</t>
  </si>
  <si>
    <t xml:space="preserve">GMMR_2020 × (1+decline)^(year-2020)</t>
  </si>
  <si>
    <t xml:space="preserve">Groundwater + GMMR + Surface water</t>
  </si>
  <si>
    <t xml:space="preserve">GW + GMMR + SW</t>
  </si>
  <si>
    <t xml:space="preserve">Surface water available</t>
  </si>
  <si>
    <t xml:space="preserve">SW_2020 × (1+decline)^(year-2020)</t>
  </si>
  <si>
    <t xml:space="preserve">link ← Demand domestic</t>
  </si>
  <si>
    <t xml:space="preserve">link ← Demand industrial</t>
  </si>
  <si>
    <t xml:space="preserve">link ← Demand agriculture</t>
  </si>
  <si>
    <t xml:space="preserve">Recycled water available</t>
  </si>
  <si>
    <t xml:space="preserve">Urban demand met × recovery share</t>
  </si>
  <si>
    <t xml:space="preserve">Recycled water to trees</t>
  </si>
  <si>
    <t xml:space="preserve">Allocated first from recycled water, capped by tree demand</t>
  </si>
  <si>
    <t xml:space="preserve">Recycled water to agriculture</t>
  </si>
  <si>
    <t xml:space="preserve">Residual recycled water after trees</t>
  </si>
  <si>
    <t xml:space="preserve">Urban from groundwater</t>
  </si>
  <si>
    <t xml:space="preserve">Urban first draw on GW</t>
  </si>
  <si>
    <t xml:space="preserve">Urban from GMMR</t>
  </si>
  <si>
    <t xml:space="preserve">Urban then GMMR</t>
  </si>
  <si>
    <t xml:space="preserve">Urban from desalination</t>
  </si>
  <si>
    <t xml:space="preserve">Urban residual desal</t>
  </si>
  <si>
    <t xml:space="preserve">Industrial from groundwater</t>
  </si>
  <si>
    <t xml:space="preserve">Industrial second draw on GW</t>
  </si>
  <si>
    <t xml:space="preserve">Industrial from GMMR</t>
  </si>
  <si>
    <t xml:space="preserve">Industrial then GMMR</t>
  </si>
  <si>
    <t xml:space="preserve">Industrial from desalination</t>
  </si>
  <si>
    <t xml:space="preserve">Industrial residual desal</t>
  </si>
  <si>
    <t xml:space="preserve">Agriculture from groundwater</t>
  </si>
  <si>
    <t xml:space="preserve">Agriculture draw on GW after recycled</t>
  </si>
  <si>
    <t xml:space="preserve">Agriculture from GMMR</t>
  </si>
  <si>
    <t xml:space="preserve">Agriculture then GMMR</t>
  </si>
  <si>
    <t xml:space="preserve">Agriculture from desalination</t>
  </si>
  <si>
    <t xml:space="preserve">Agriculture residual desal</t>
  </si>
  <si>
    <t xml:space="preserve">Trees from desalination</t>
  </si>
  <si>
    <t xml:space="preserve">Tree residual after recycled</t>
  </si>
  <si>
    <t xml:space="preserve">CHECK: allocated demand incl recycled</t>
  </si>
  <si>
    <t xml:space="preserve">Should equal total demand</t>
  </si>
  <si>
    <t xml:space="preserve">Desalination required (total)</t>
  </si>
  <si>
    <t xml:space="preserve">MAX(0, Total demand − GW − GMMR)</t>
  </si>
  <si>
    <t xml:space="preserve">Desalination if NO tree programme</t>
  </si>
  <si>
    <t xml:space="preserve">MAX(0, (Demand−Tree) − GW − GMMR)</t>
  </si>
  <si>
    <t xml:space="preserve">Incremental desal for tree programme</t>
  </si>
  <si>
    <t xml:space="preserve">Row 12 − Row 13</t>
  </si>
  <si>
    <t xml:space="preserve">→ equivalent SWRO capacity</t>
  </si>
  <si>
    <t xml:space="preserve">m³/day</t>
  </si>
  <si>
    <t xml:space="preserve">Row 14 × 1e6 / 365</t>
  </si>
  <si>
    <t xml:space="preserve">Desalination capacity (max)</t>
  </si>
  <si>
    <t xml:space="preserve">Linear from 2020 baseline to 2050 max (per report p.92)</t>
  </si>
  <si>
    <t xml:space="preserve">Recycled water used (total)</t>
  </si>
  <si>
    <t xml:space="preserve">Recycled water to trees + agriculture</t>
  </si>
  <si>
    <t xml:space="preserve">Total water supply (incl. recycled)</t>
  </si>
  <si>
    <t xml:space="preserve">GW + GMMR + desal + recycled</t>
  </si>
  <si>
    <t xml:space="preserve">Share: Local groundwater</t>
  </si>
  <si>
    <t xml:space="preserve">%</t>
  </si>
  <si>
    <t xml:space="preserve">Share: GMMR pipeline</t>
  </si>
  <si>
    <t xml:space="preserve">Share: Desalination</t>
  </si>
  <si>
    <t xml:space="preserve">Ag from groundwater (overdraft)</t>
  </si>
  <si>
    <t xml:space="preserve">Residual ag demand absorbed by unsustainable private wells when desal hits cap</t>
  </si>
  <si>
    <t xml:space="preserve">CHECK: Supply − Demand</t>
  </si>
  <si>
    <t xml:space="preserve">Should equal zero</t>
  </si>
  <si>
    <t xml:space="preserve">Share: Surface water</t>
  </si>
  <si>
    <t xml:space="preserve">Surface water used / total demand</t>
  </si>
  <si>
    <t xml:space="preserve">CONDITIONAL SCENARIO — higher treated wastewater recovery</t>
  </si>
  <si>
    <t xml:space="preserve">Recycled water available (Conditional)</t>
  </si>
  <si>
    <t xml:space="preserve">Urban demand × Conditional recovery share</t>
  </si>
  <si>
    <t xml:space="preserve">Recycled water to trees (Conditional)</t>
  </si>
  <si>
    <t xml:space="preserve">Recycled water to agriculture (Conditional)</t>
  </si>
  <si>
    <t xml:space="preserve">Urban from groundwater (Conditional)</t>
  </si>
  <si>
    <t xml:space="preserve">Urban from GMMR (Conditional)</t>
  </si>
  <si>
    <t xml:space="preserve">Urban from desalination (Conditional)</t>
  </si>
  <si>
    <t xml:space="preserve">Industrial from groundwater (Conditional)</t>
  </si>
  <si>
    <t xml:space="preserve">Industrial from GMMR (Conditional)</t>
  </si>
  <si>
    <t xml:space="preserve">Industrial from desalination (Conditional)</t>
  </si>
  <si>
    <t xml:space="preserve">Agriculture from groundwater (Conditional)</t>
  </si>
  <si>
    <t xml:space="preserve">Agriculture from GMMR (Conditional)</t>
  </si>
  <si>
    <t xml:space="preserve">Agriculture from desalination (Conditional)</t>
  </si>
  <si>
    <t xml:space="preserve">Trees from desalination (Conditional)</t>
  </si>
  <si>
    <t xml:space="preserve">CHECK: allocated demand incl recycled (Conditional)</t>
  </si>
  <si>
    <t xml:space="preserve">Desalination required total (Conditional)</t>
  </si>
  <si>
    <t xml:space="preserve">Sum of desal allocations under Conditional</t>
  </si>
  <si>
    <t xml:space="preserve">Surface water to agriculture (Conditional)</t>
  </si>
  <si>
    <t xml:space="preserve">Recycled water used total (Conditional)</t>
  </si>
  <si>
    <t xml:space="preserve">Trees + Agriculture from recycled water</t>
  </si>
  <si>
    <t xml:space="preserve">Total water supply (Conditional)</t>
  </si>
  <si>
    <t xml:space="preserve">Share: Local groundwater (Conditional)</t>
  </si>
  <si>
    <t xml:space="preserve">Share: GMMR pipeline (Conditional)</t>
  </si>
  <si>
    <t xml:space="preserve">Share: Desalination (Conditional)</t>
  </si>
  <si>
    <t xml:space="preserve">Share: Treated wastewater (Conditional)</t>
  </si>
  <si>
    <t xml:space="preserve">Ag from groundwater (overdraft, Conditional)</t>
  </si>
  <si>
    <t xml:space="preserve">Residual ag demand absorbed by private wells when desal hits cap</t>
  </si>
  <si>
    <t xml:space="preserve">Electricity Demand for Water Supply — Libya (2020–2050)</t>
  </si>
  <si>
    <t xml:space="preserve">EI local groundwater</t>
  </si>
  <si>
    <t xml:space="preserve">EI_GW_2020 × (1+rise)^(year-2020)</t>
  </si>
  <si>
    <t xml:space="preserve">EI pipeline (GMMR)</t>
  </si>
  <si>
    <t xml:space="preserve">EI_pipe × (1+rise)^(year-2020)</t>
  </si>
  <si>
    <t xml:space="preserve">EI desalination (SWRO)</t>
  </si>
  <si>
    <t xml:space="preserve">Linear from EI_2020 to EI_2050</t>
  </si>
  <si>
    <t xml:space="preserve">Energy: Surface water</t>
  </si>
  <si>
    <t xml:space="preserve">EI × volume (low)</t>
  </si>
  <si>
    <t xml:space="preserve">Energy: Local groundwater</t>
  </si>
  <si>
    <t xml:space="preserve">EI × volume (M m³)</t>
  </si>
  <si>
    <t xml:space="preserve">Energy: Pipeline (GMMR)</t>
  </si>
  <si>
    <t xml:space="preserve">EI × volume</t>
  </si>
  <si>
    <t xml:space="preserve">Energy: Desalination (total) (DESAL)</t>
  </si>
  <si>
    <t xml:space="preserve">  of which: for tree programme</t>
  </si>
  <si>
    <t xml:space="preserve">EI × incremental desal volume</t>
  </si>
  <si>
    <t xml:space="preserve">EI recycled water</t>
  </si>
  <si>
    <t xml:space="preserve">Energy: Recycled water (RW)</t>
  </si>
  <si>
    <t xml:space="preserve">EI × recycled water volume</t>
  </si>
  <si>
    <t xml:space="preserve">TOTAL electricity demand</t>
  </si>
  <si>
    <t xml:space="preserve">GW + GMMR + Desal</t>
  </si>
  <si>
    <t xml:space="preserve">TWh/yr</t>
  </si>
  <si>
    <t xml:space="preserve">GWh / 1000</t>
  </si>
  <si>
    <t xml:space="preserve">PJ/yr</t>
  </si>
  <si>
    <t xml:space="preserve">GW * × 0.0036 PJ/GWh</t>
  </si>
  <si>
    <t xml:space="preserve">BAU (no tree programme)</t>
  </si>
  <si>
    <t xml:space="preserve">GW + GMMR + desal (excl. tree programme) + RW</t>
  </si>
  <si>
    <t xml:space="preserve">Unconditional (incl. tree programme)</t>
  </si>
  <si>
    <t xml:space="preserve">GW + GMMR + desal (incl. tree) + RW</t>
  </si>
  <si>
    <t xml:space="preserve">Conditional (incl. tree programme)</t>
  </si>
  <si>
    <t xml:space="preserve">System-avg EI (kWh/m³)</t>
  </si>
  <si>
    <t xml:space="preserve">Total energy (GWh) / Total water (M m³)</t>
  </si>
  <si>
    <t xml:space="preserve">Electricity per capita</t>
  </si>
  <si>
    <t xml:space="preserve">kWh/cap/yr</t>
  </si>
  <si>
    <t xml:space="preserve">Total energy × 1e6 / Population</t>
  </si>
  <si>
    <t xml:space="preserve">Desalination share of energy</t>
  </si>
  <si>
    <t xml:space="preserve">Libya Water-Energy Model — Summary (2020 vs 2050)</t>
  </si>
  <si>
    <t xml:space="preserve">2020</t>
  </si>
  <si>
    <t xml:space="preserve">2050</t>
  </si>
  <si>
    <t xml:space="preserve">CAGR</t>
  </si>
  <si>
    <t xml:space="preserve">GDP per capita (USD)</t>
  </si>
  <si>
    <t xml:space="preserve">Total GDP (M USD)</t>
  </si>
  <si>
    <t xml:space="preserve"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</si>
  <si>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</si>
  <si>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</si>
  <si>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</si>
  <si>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</si>
  <si>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 xml:space="preserve">~9% of national water use once fully established (2036+)</t>
  </si>
  <si>
    <t xml:space="preserve">Local groundwater (M m³/yr)</t>
  </si>
  <si>
    <t xml:space="preserve">GMMR pipeline (M m³/yr)</t>
  </si>
  <si>
    <t xml:space="preserve">Now declining at −2%/yr (was +recovery)</t>
  </si>
  <si>
    <t xml:space="preserve">Desalination required (M m³/yr)</t>
  </si>
  <si>
    <t xml:space="preserve">Makes up deficit</t>
  </si>
  <si>
    <t xml:space="preserve">  Incremental desal for trees</t>
  </si>
  <si>
    <t xml:space="preserve">  SWRO capacity for trees (m³/day)</t>
  </si>
  <si>
    <t xml:space="preserve">≈3× Libya's current operational desal fleet (~526 k m³/d, Brika 2018)</t>
  </si>
  <si>
    <t xml:space="preserve">Electricity: groundwater (GWh)</t>
  </si>
  <si>
    <t xml:space="preserve">Electricity: GMMR (GWh)</t>
  </si>
  <si>
    <t xml:space="preserve">Electricity: desalination (GWh)</t>
  </si>
  <si>
    <t xml:space="preserve">  of which: for tree programme (GWh)</t>
  </si>
  <si>
    <t xml:space="preserve">TOTAL electricity (GWh/yr)</t>
  </si>
  <si>
    <t xml:space="preserve">TOTAL electricity (TWh/yr)</t>
  </si>
  <si>
    <t xml:space="preserve">Electricity per capita (kWh/cap/yr)</t>
  </si>
  <si>
    <t xml:space="preserve">Desal share of energy (%)</t>
  </si>
  <si>
    <t xml:space="preserve">Recycled water available (M m³/yr)</t>
  </si>
  <si>
    <t xml:space="preserve">Recycled water to trees (M m³/yr)</t>
  </si>
  <si>
    <t xml:space="preserve">Recycled water to agriculture (M m³/yr)</t>
  </si>
  <si>
    <t xml:space="preserve">Electricity: recycled water (GWh)</t>
  </si>
  <si>
    <t xml:space="preserve">Note: Total demand rises over time; declining GW and GMMR are balanced by higher desalination and recycled water so total supply still matches demand.</t>
  </si>
  <si>
    <t xml:space="preserve">Sector water demand chart data</t>
  </si>
  <si>
    <t xml:space="preserve">Year</t>
  </si>
  <si>
    <t xml:space="preserve">Domestic</t>
  </si>
  <si>
    <t xml:space="preserve">Industrial</t>
  </si>
  <si>
    <t xml:space="preserve">Agriculture</t>
  </si>
  <si>
    <t xml:space="preserve">Trees</t>
  </si>
  <si>
    <t xml:space="preserve">Cleaned summary charts</t>
  </si>
  <si>
    <t xml:space="preserve">Total demand rises over time. Declining groundwater and GMMR are offset by desalination and treated wastewater, so total supply and total electricity demand both rise.</t>
  </si>
  <si>
    <t xml:space="preserve">Sector water demand full-period data</t>
  </si>
  <si>
    <t xml:space="preserve">Energy demand data</t>
  </si>
  <si>
    <t xml:space="preserve">Groundwater</t>
  </si>
  <si>
    <t xml:space="preserve">GMMR</t>
  </si>
  <si>
    <t xml:space="preserve">Desalination</t>
  </si>
  <si>
    <t xml:space="preserve">Treated wastewater</t>
  </si>
  <si>
    <t xml:space="preserve">Surface water</t>
  </si>
  <si>
    <t xml:space="preserve">Scenario</t>
  </si>
  <si>
    <t xml:space="preserve">Total</t>
  </si>
  <si>
    <t xml:space="preserve">Conditional</t>
  </si>
  <si>
    <t xml:space="preserve">BAU</t>
  </si>
  <si>
    <t xml:space="preserve">Demand by sector data</t>
  </si>
  <si>
    <t xml:space="preserve">Total demand</t>
  </si>
  <si>
    <t xml:space="preserve">Check</t>
  </si>
  <si>
    <t xml:space="preserve">Supply mix (BAU) — feeds Supply vs Demand chart</t>
  </si>
  <si>
    <t xml:space="preserve">Supply mix (Conditional) — feeds Supply vs Demand chart</t>
  </si>
  <si>
    <t xml:space="preserve">Demand by sector (BAU &amp; Conditional)</t>
  </si>
  <si>
    <t xml:space="preserve">Trees (Conditional only)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</si>
</sst>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_(* #,##0.00_);_(* \(#,##0.00\);_(* \-??_);_(@_)"/>
    <numFmt numFmtId="167" formatCode="0.00"/>
    <numFmt numFmtId="168" formatCode="0"/>
    <numFmt numFmtId="169" formatCode="0.0"/>
    <numFmt numFmtId="170" formatCode="#,##0.0"/>
    <numFmt numFmtId="171" formatCode="0.0%"/>
    <numFmt numFmtId="172" formatCode="#,##0.00"/>
    <numFmt numFmtId="173" formatCode="0.000"/>
    <numFmt numFmtId="174" formatCode="0%"/>
    <numFmt numFmtId="175" formatCode="0.00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sz val="11"/>
      <color rgb="FF0563C1"/>
      <name val="Arial"/>
      <family val="2"/>
      <charset val="1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1F4E79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mbria"/>
      <family val="1"/>
      <charset val="1"/>
    </font>
    <font>
      <sz val="10"/>
      <name val="Arial"/>
      <family val="2"/>
      <charset val="1"/>
    </font>
    <font>
      <sz val="11"/>
      <color rgb="FF0000FF"/>
      <name val="Calibri"/>
      <family val="2"/>
      <charset val="1"/>
    </font>
    <font>
      <b val="true"/>
      <sz val="11"/>
      <color rgb="FFC00000"/>
      <name val="Arial"/>
      <family val="2"/>
      <charset val="1"/>
    </font>
    <font>
      <sz val="11"/>
      <name val="Arial"/>
      <family val="2"/>
      <charset val="1"/>
    </font>
    <font>
      <i val="true"/>
      <sz val="11"/>
      <color rgb="FF666666"/>
      <name val="Arial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sz val="11"/>
      <color rgb="FF008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i val="true"/>
      <sz val="11"/>
      <color rgb="FFC00000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000000"/>
      <name val="Arial"/>
      <family val="2"/>
      <charset val="1"/>
    </font>
    <font>
      <b val="true"/>
      <sz val="11"/>
      <color rgb="FF008000"/>
      <name val="Arial"/>
      <family val="2"/>
      <charset val="1"/>
    </font>
    <font>
      <b val="true"/>
      <sz val="13"/>
      <name val="Calibri"/>
      <family val="2"/>
      <charset val="1"/>
    </font>
    <font>
      <b val="true"/>
      <sz val="11"/>
      <name val="Cambria"/>
      <family val="1"/>
      <charset val="1"/>
    </font>
    <font>
      <sz val="11"/>
      <color rgb="FF006100"/>
      <name val="Cambria"/>
      <family val="1"/>
      <charset val="1"/>
    </font>
    <font>
      <sz val="11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4"/>
      <color rgb="FF000000"/>
      <name val="Calibri"/>
      <family val="2"/>
    </font>
    <font>
      <sz val="14"/>
      <color rgb="FF59595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FC7CE"/>
        <bgColor rgb="FFFCE4D6"/>
      </patternFill>
    </fill>
    <fill>
      <patternFill patternType="solid">
        <fgColor rgb="FFFFE699"/>
        <bgColor rgb="FFFFFF99"/>
      </patternFill>
    </fill>
    <fill>
      <patternFill patternType="solid">
        <fgColor rgb="FFD9E1F2"/>
        <bgColor rgb="FFDCE6F2"/>
      </patternFill>
    </fill>
    <fill>
      <patternFill patternType="solid">
        <fgColor rgb="FFC6EFCE"/>
        <bgColor rgb="FFE2EFDA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CE4D6"/>
      </patternFill>
    </fill>
    <fill>
      <patternFill patternType="solid">
        <fgColor rgb="FFFFFF99"/>
        <bgColor rgb="FFFFE699"/>
      </patternFill>
    </fill>
    <fill>
      <patternFill patternType="solid">
        <fgColor rgb="FFDDEBF7"/>
        <bgColor rgb="FFDCE6F2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theme="3" tint="0.5998"/>
        <bgColor rgb="FFB3B3B3"/>
      </patternFill>
    </fill>
    <fill>
      <patternFill patternType="solid">
        <fgColor rgb="FFFCE4D6"/>
        <bgColor rgb="FFFFF2CC"/>
      </patternFill>
    </fill>
    <fill>
      <patternFill patternType="solid">
        <fgColor theme="3" tint="0.7998"/>
        <bgColor rgb="FFD9E1F2"/>
      </patternFill>
    </fill>
    <fill>
      <patternFill patternType="solid">
        <fgColor theme="4" tint="0.7998"/>
        <bgColor rgb="FFD9E1F2"/>
      </patternFill>
    </fill>
    <fill>
      <patternFill patternType="solid">
        <fgColor rgb="FFFFFF00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7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4B4B4"/>
      <rgbColor rgb="FF808080"/>
      <rgbColor rgb="FFD9E1F2"/>
      <rgbColor rgb="FFC0504D"/>
      <rgbColor rgb="FFFFF2CC"/>
      <rgbColor rgb="FFE4F6E1"/>
      <rgbColor rgb="FF660066"/>
      <rgbColor rgb="FFDC853E"/>
      <rgbColor rgb="FF0563C1"/>
      <rgbColor rgb="FFC6D9F1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F99"/>
      <rgbColor rgb="FF8DB4E3"/>
      <rgbColor rgb="FFFCE4D6"/>
      <rgbColor rgb="FFD9D9D9"/>
      <rgbColor rgb="FFFFC7CE"/>
      <rgbColor rgb="FF4F81BD"/>
      <rgbColor rgb="FF4BACC6"/>
      <rgbColor rgb="FF9BBB59"/>
      <rgbColor rgb="FFE2EFDA"/>
      <rgbColor rgb="FFF79646"/>
      <rgbColor rgb="FFFF6600"/>
      <rgbColor rgb="FF8064A2"/>
      <rgbColor rgb="FFB3B3B3"/>
      <rgbColor rgb="FF1F4E78"/>
      <rgbColor rgb="FFDCE6F2"/>
      <rgbColor rgb="FF0061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MX" sz="1800" b="1" u="none" strike="noStrike">
                <a:solidFill>
                  <a:srgbClr val="000000"/>
                </a:solidFill>
                <a:uFillTx/>
                <a:latin typeface="Calibri"/>
              </a:rPr>
              <a:t>Electricity Demand for Water Supply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1"/>
                <c:pt idx="0">
                  <c:v>BAU (no tree programme) PJ/yr GW + GMMR + desal (excl. tree programme) + RW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Pt>
            <c:idx val="30"/>
            <c:marker>
              <c:symbol val="none"/>
            </c:marker>
          </c:dPt>
          <c:dLbls>
            <c:dLbl>
              <c:idx val="30"/>
              <c:numFmt formatCode="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Energy!$D$3:$AH$3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13.8375577181302</c:v>
                </c:pt>
                <c:pt idx="1">
                  <c:v>14.2997897820532</c:v>
                </c:pt>
                <c:pt idx="2">
                  <c:v>14.7626003955827</c:v>
                </c:pt>
                <c:pt idx="3">
                  <c:v>15.226036454832</c:v>
                </c:pt>
                <c:pt idx="4">
                  <c:v>15.6901467262719</c:v>
                </c:pt>
                <c:pt idx="5">
                  <c:v>16.1549819153317</c:v>
                </c:pt>
                <c:pt idx="6">
                  <c:v>16.6205947377378</c:v>
                </c:pt>
                <c:pt idx="7">
                  <c:v>17.1636026450126</c:v>
                </c:pt>
                <c:pt idx="8">
                  <c:v>17.7097968271962</c:v>
                </c:pt>
                <c:pt idx="9">
                  <c:v>18.2592881677001</c:v>
                </c:pt>
                <c:pt idx="10">
                  <c:v>18.8121909087082</c:v>
                </c:pt>
                <c:pt idx="11">
                  <c:v>19.3686227572257</c:v>
                </c:pt>
                <c:pt idx="12">
                  <c:v>19.9152857758507</c:v>
                </c:pt>
                <c:pt idx="13">
                  <c:v>20.4328455350735</c:v>
                </c:pt>
                <c:pt idx="14">
                  <c:v>20.9529120695987</c:v>
                </c:pt>
                <c:pt idx="15">
                  <c:v>21.4755858360985</c:v>
                </c:pt>
                <c:pt idx="16">
                  <c:v>22.0009706860607</c:v>
                </c:pt>
                <c:pt idx="17">
                  <c:v>22.5291739840584</c:v>
                </c:pt>
                <c:pt idx="18">
                  <c:v>23.0603067304527</c:v>
                </c:pt>
                <c:pt idx="19">
                  <c:v>23.5944836886923</c:v>
                </c:pt>
                <c:pt idx="20">
                  <c:v>24.13182351738</c:v>
                </c:pt>
                <c:pt idx="21">
                  <c:v>24.6724489072813</c:v>
                </c:pt>
                <c:pt idx="22">
                  <c:v>25.1854504648741</c:v>
                </c:pt>
                <c:pt idx="23">
                  <c:v>25.6890645216562</c:v>
                </c:pt>
                <c:pt idx="24">
                  <c:v>26.1950649938854</c:v>
                </c:pt>
                <c:pt idx="25">
                  <c:v>26.7035640930628</c:v>
                </c:pt>
                <c:pt idx="26">
                  <c:v>27.2146782836306</c:v>
                </c:pt>
                <c:pt idx="27">
                  <c:v>27.7285284436666</c:v>
                </c:pt>
                <c:pt idx="28">
                  <c:v>28.245240031765</c:v>
                </c:pt>
                <c:pt idx="29">
                  <c:v>28.7649432603349</c:v>
                </c:pt>
                <c:pt idx="30">
                  <c:v>29.2877732755566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Energy!$A$20:$C$20</c:f>
              <c:strCache>
                <c:ptCount val="1"/>
                <c:pt idx="0">
                  <c:v>Unconditional (incl. tree programme) PJ/yr GW + GMMR + desal (incl. tree) + RW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Energy!$D$3:$AH$3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13.8375577181302</c:v>
                </c:pt>
                <c:pt idx="1">
                  <c:v>14.2997897820532</c:v>
                </c:pt>
                <c:pt idx="2">
                  <c:v>14.7626003955827</c:v>
                </c:pt>
                <c:pt idx="3">
                  <c:v>15.226036454832</c:v>
                </c:pt>
                <c:pt idx="4">
                  <c:v>15.6901467262719</c:v>
                </c:pt>
                <c:pt idx="5">
                  <c:v>16.1549819153317</c:v>
                </c:pt>
                <c:pt idx="6">
                  <c:v>16.6205947377378</c:v>
                </c:pt>
                <c:pt idx="7">
                  <c:v>17.1636026450126</c:v>
                </c:pt>
                <c:pt idx="8">
                  <c:v>17.7097968271962</c:v>
                </c:pt>
                <c:pt idx="9">
                  <c:v>18.2592881677001</c:v>
                </c:pt>
                <c:pt idx="10">
                  <c:v>18.8121909087082</c:v>
                </c:pt>
                <c:pt idx="11">
                  <c:v>19.3686227572257</c:v>
                </c:pt>
                <c:pt idx="12">
                  <c:v>20.0211089126522</c:v>
                </c:pt>
                <c:pt idx="13">
                  <c:v>20.8944678306233</c:v>
                </c:pt>
                <c:pt idx="14">
                  <c:v>21.7668026395707</c:v>
                </c:pt>
                <c:pt idx="15">
                  <c:v>22.6382167183132</c:v>
                </c:pt>
                <c:pt idx="16">
                  <c:v>23.5088166575174</c:v>
                </c:pt>
                <c:pt idx="17">
                  <c:v>23.7447073816695</c:v>
                </c:pt>
                <c:pt idx="18">
                  <c:v>23.9865772754319</c:v>
                </c:pt>
                <c:pt idx="19">
                  <c:v>24.2345433145446</c:v>
                </c:pt>
                <c:pt idx="20">
                  <c:v>24.4887262014447</c:v>
                </c:pt>
                <c:pt idx="21">
                  <c:v>24.7492505057784</c:v>
                </c:pt>
                <c:pt idx="22">
                  <c:v>25.1854504648741</c:v>
                </c:pt>
                <c:pt idx="23">
                  <c:v>25.6890645216562</c:v>
                </c:pt>
                <c:pt idx="24">
                  <c:v>26.1950649938854</c:v>
                </c:pt>
                <c:pt idx="25">
                  <c:v>26.7035640930628</c:v>
                </c:pt>
                <c:pt idx="26">
                  <c:v>27.2146782836306</c:v>
                </c:pt>
                <c:pt idx="27">
                  <c:v>27.7285284436666</c:v>
                </c:pt>
                <c:pt idx="28">
                  <c:v>28.245240031765</c:v>
                </c:pt>
                <c:pt idx="29">
                  <c:v>28.7649432603349</c:v>
                </c:pt>
                <c:pt idx="30">
                  <c:v>29.2877732755566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Energy!$A$21:$C$21</c:f>
              <c:strCache>
                <c:ptCount val="1"/>
                <c:pt idx="0">
                  <c:v>Conditional (incl. tree programme) PJ/yr GW + GMMR + desal (incl. tree) + RW</c:v>
                </c:pt>
              </c:strCache>
            </c:strRef>
          </c:tx>
          <c:spPr>
            <a:solidFill>
              <a:srgbClr val="9BBB59"/>
            </a:solidFill>
            <a:ln cap="rnd" w="28440">
              <a:solidFill>
                <a:srgbClr val="9BBB59"/>
              </a:solidFill>
              <a:prstDash val="sysDot"/>
              <a:round/>
            </a:ln>
          </c:spPr>
          <c:marker>
            <c:symbol val="none"/>
          </c:marker>
          <c:dPt>
            <c:idx val="30"/>
            <c:marker>
              <c:symbol val="none"/>
            </c:marker>
          </c:dPt>
          <c:dLbls>
            <c:dLbl>
              <c:idx val="30"/>
              <c:numFmt formatCode="0.0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Energy!$D$3:$AH$3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13.8375577181302</c:v>
                </c:pt>
                <c:pt idx="1">
                  <c:v>14.2997897820532</c:v>
                </c:pt>
                <c:pt idx="2">
                  <c:v>14.7626003955827</c:v>
                </c:pt>
                <c:pt idx="3">
                  <c:v>15.226036454832</c:v>
                </c:pt>
                <c:pt idx="4">
                  <c:v>15.6901467262719</c:v>
                </c:pt>
                <c:pt idx="5">
                  <c:v>16.1549819153317</c:v>
                </c:pt>
                <c:pt idx="6">
                  <c:v>16.6205947377378</c:v>
                </c:pt>
                <c:pt idx="7">
                  <c:v>17.1636026450126</c:v>
                </c:pt>
                <c:pt idx="8">
                  <c:v>17.7097968271962</c:v>
                </c:pt>
                <c:pt idx="9">
                  <c:v>18.2592881677001</c:v>
                </c:pt>
                <c:pt idx="10">
                  <c:v>18.8121909087082</c:v>
                </c:pt>
                <c:pt idx="11">
                  <c:v>19.3686227572257</c:v>
                </c:pt>
                <c:pt idx="12">
                  <c:v>20.0211089126522</c:v>
                </c:pt>
                <c:pt idx="13">
                  <c:v>20.8944678306233</c:v>
                </c:pt>
                <c:pt idx="14">
                  <c:v>21.7668026395707</c:v>
                </c:pt>
                <c:pt idx="15">
                  <c:v>22.6382167183132</c:v>
                </c:pt>
                <c:pt idx="16">
                  <c:v>23.5088166575174</c:v>
                </c:pt>
                <c:pt idx="17">
                  <c:v>23.7447073816695</c:v>
                </c:pt>
                <c:pt idx="18">
                  <c:v>23.9865772754319</c:v>
                </c:pt>
                <c:pt idx="19">
                  <c:v>24.2345433145446</c:v>
                </c:pt>
                <c:pt idx="20">
                  <c:v>24.4887262014447</c:v>
                </c:pt>
                <c:pt idx="21">
                  <c:v>24.7492505057784</c:v>
                </c:pt>
                <c:pt idx="22">
                  <c:v>25.1854504648741</c:v>
                </c:pt>
                <c:pt idx="23">
                  <c:v>25.6890645216562</c:v>
                </c:pt>
                <c:pt idx="24">
                  <c:v>26.1950649938854</c:v>
                </c:pt>
                <c:pt idx="25">
                  <c:v>26.7035640930628</c:v>
                </c:pt>
                <c:pt idx="26">
                  <c:v>27.2146782836306</c:v>
                </c:pt>
                <c:pt idx="27">
                  <c:v>27.7285284436666</c:v>
                </c:pt>
                <c:pt idx="28">
                  <c:v>28.245240031765</c:v>
                </c:pt>
                <c:pt idx="29">
                  <c:v>28.7649432603349</c:v>
                </c:pt>
                <c:pt idx="30">
                  <c:v>29.2877732755566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711436"/>
        <c:axId val="75048273"/>
      </c:lineChart>
      <c:catAx>
        <c:axId val="2771143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5048273"/>
        <c:crosses val="autoZero"/>
        <c:auto val="1"/>
        <c:lblAlgn val="ctr"/>
        <c:lblOffset val="100"/>
        <c:noMultiLvlLbl val="0"/>
      </c:catAx>
      <c:valAx>
        <c:axId val="750482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Petejoules (PJ)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77114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Calibri"/>
              </a:rPr>
              <a:t>Supply vs Demand (M m³/yr) -Conditional-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6039.69216283995</c:v>
                </c:pt>
                <c:pt idx="1">
                  <c:v>6111.72311176509</c:v>
                </c:pt>
                <c:pt idx="2">
                  <c:v>6182.04229400503</c:v>
                </c:pt>
                <c:pt idx="3">
                  <c:v>6250.68929288096</c:v>
                </c:pt>
                <c:pt idx="4">
                  <c:v>6317.70349843286</c:v>
                </c:pt>
                <c:pt idx="5">
                  <c:v>6383.12411713091</c:v>
                </c:pt>
                <c:pt idx="6">
                  <c:v>6446.99018159496</c:v>
                </c:pt>
                <c:pt idx="7">
                  <c:v>6564.09056032558</c:v>
                </c:pt>
                <c:pt idx="8">
                  <c:v>6679.71396744968</c:v>
                </c:pt>
                <c:pt idx="9">
                  <c:v>6793.89897248399</c:v>
                </c:pt>
                <c:pt idx="10">
                  <c:v>6906.68401011967</c:v>
                </c:pt>
                <c:pt idx="11">
                  <c:v>7018.10739003118</c:v>
                </c:pt>
                <c:pt idx="12">
                  <c:v>7128.20730671283</c:v>
                </c:pt>
                <c:pt idx="13">
                  <c:v>7237.02184934617</c:v>
                </c:pt>
                <c:pt idx="14">
                  <c:v>7344.58901170152</c:v>
                </c:pt>
                <c:pt idx="15">
                  <c:v>7435.37493247342</c:v>
                </c:pt>
                <c:pt idx="16">
                  <c:v>7517.47943600126</c:v>
                </c:pt>
                <c:pt idx="17">
                  <c:v>7598.63082453352</c:v>
                </c:pt>
                <c:pt idx="18">
                  <c:v>7653.64095211423</c:v>
                </c:pt>
                <c:pt idx="19">
                  <c:v>7700.78847835653</c:v>
                </c:pt>
                <c:pt idx="20">
                  <c:v>7746.91514294119</c:v>
                </c:pt>
                <c:pt idx="21">
                  <c:v>7792.05855257648</c:v>
                </c:pt>
                <c:pt idx="22">
                  <c:v>7836.25629940496</c:v>
                </c:pt>
                <c:pt idx="23">
                  <c:v>7879.54597136463</c:v>
                </c:pt>
                <c:pt idx="24">
                  <c:v>7921.96516261847</c:v>
                </c:pt>
                <c:pt idx="25">
                  <c:v>7963.55148405609</c:v>
                </c:pt>
                <c:pt idx="26">
                  <c:v>8004.34257387094</c:v>
                </c:pt>
                <c:pt idx="27">
                  <c:v>8044.3761082168</c:v>
                </c:pt>
                <c:pt idx="28">
                  <c:v>8083.68981194725</c:v>
                </c:pt>
                <c:pt idx="29">
                  <c:v>8122.32146944188</c:v>
                </c:pt>
                <c:pt idx="30">
                  <c:v>8160.30893552286</c:v>
                </c:pt>
              </c:numCache>
            </c:numRef>
          </c:val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875.8848</c:v>
                </c:pt>
                <c:pt idx="3">
                  <c:v>858.367104</c:v>
                </c:pt>
                <c:pt idx="4">
                  <c:v>841.19976192</c:v>
                </c:pt>
                <c:pt idx="5">
                  <c:v>824.3757666816</c:v>
                </c:pt>
                <c:pt idx="6">
                  <c:v>807.888251347968</c:v>
                </c:pt>
                <c:pt idx="7">
                  <c:v>791.730486321009</c:v>
                </c:pt>
                <c:pt idx="8">
                  <c:v>775.895876594588</c:v>
                </c:pt>
                <c:pt idx="9">
                  <c:v>760.377959062697</c:v>
                </c:pt>
                <c:pt idx="10">
                  <c:v>745.170399881443</c:v>
                </c:pt>
                <c:pt idx="11">
                  <c:v>730.266991883814</c:v>
                </c:pt>
                <c:pt idx="12">
                  <c:v>715.661652046137</c:v>
                </c:pt>
                <c:pt idx="13">
                  <c:v>701.348419005215</c:v>
                </c:pt>
                <c:pt idx="14">
                  <c:v>687.32145062511</c:v>
                </c:pt>
                <c:pt idx="15">
                  <c:v>673.575021612608</c:v>
                </c:pt>
                <c:pt idx="16">
                  <c:v>660.103521180356</c:v>
                </c:pt>
                <c:pt idx="17">
                  <c:v>646.901450756749</c:v>
                </c:pt>
                <c:pt idx="18">
                  <c:v>633.963421741614</c:v>
                </c:pt>
                <c:pt idx="19">
                  <c:v>621.284153306782</c:v>
                </c:pt>
                <c:pt idx="20">
                  <c:v>608.858470240646</c:v>
                </c:pt>
                <c:pt idx="21">
                  <c:v>596.681300835833</c:v>
                </c:pt>
                <c:pt idx="22">
                  <c:v>584.747674819116</c:v>
                </c:pt>
                <c:pt idx="23">
                  <c:v>573.052721322734</c:v>
                </c:pt>
                <c:pt idx="24">
                  <c:v>561.591666896279</c:v>
                </c:pt>
                <c:pt idx="25">
                  <c:v>550.359833558354</c:v>
                </c:pt>
                <c:pt idx="26">
                  <c:v>539.352636887187</c:v>
                </c:pt>
                <c:pt idx="27">
                  <c:v>528.565584149443</c:v>
                </c:pt>
                <c:pt idx="28">
                  <c:v>517.994272466454</c:v>
                </c:pt>
                <c:pt idx="29">
                  <c:v>507.634387017125</c:v>
                </c:pt>
                <c:pt idx="30">
                  <c:v>497.481699276783</c:v>
                </c:pt>
              </c:numCache>
            </c:numRef>
          </c:val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20</c:v>
                </c:pt>
                <c:pt idx="1">
                  <c:v>44.3333333333333</c:v>
                </c:pt>
                <c:pt idx="2">
                  <c:v>68.6666666666667</c:v>
                </c:pt>
                <c:pt idx="3">
                  <c:v>93</c:v>
                </c:pt>
                <c:pt idx="4">
                  <c:v>117.333333333333</c:v>
                </c:pt>
                <c:pt idx="5">
                  <c:v>141.666666666667</c:v>
                </c:pt>
                <c:pt idx="6">
                  <c:v>166</c:v>
                </c:pt>
                <c:pt idx="7">
                  <c:v>190.333333333333</c:v>
                </c:pt>
                <c:pt idx="8">
                  <c:v>214.666666666667</c:v>
                </c:pt>
                <c:pt idx="9">
                  <c:v>239</c:v>
                </c:pt>
                <c:pt idx="10">
                  <c:v>263.333333333333</c:v>
                </c:pt>
                <c:pt idx="11">
                  <c:v>287.666666666667</c:v>
                </c:pt>
                <c:pt idx="12">
                  <c:v>312</c:v>
                </c:pt>
                <c:pt idx="13">
                  <c:v>336.333333333333</c:v>
                </c:pt>
                <c:pt idx="14">
                  <c:v>360.666666666667</c:v>
                </c:pt>
                <c:pt idx="15">
                  <c:v>400.571769603625</c:v>
                </c:pt>
                <c:pt idx="16">
                  <c:v>447.986650610717</c:v>
                </c:pt>
                <c:pt idx="17">
                  <c:v>440.470774777138</c:v>
                </c:pt>
                <c:pt idx="18">
                  <c:v>458</c:v>
                </c:pt>
                <c:pt idx="19">
                  <c:v>482.333333333333</c:v>
                </c:pt>
                <c:pt idx="20">
                  <c:v>506.666666666667</c:v>
                </c:pt>
                <c:pt idx="21">
                  <c:v>531</c:v>
                </c:pt>
                <c:pt idx="22">
                  <c:v>555.333333333333</c:v>
                </c:pt>
                <c:pt idx="23">
                  <c:v>579.666666666667</c:v>
                </c:pt>
                <c:pt idx="24">
                  <c:v>604</c:v>
                </c:pt>
                <c:pt idx="25">
                  <c:v>628.333333333333</c:v>
                </c:pt>
                <c:pt idx="26">
                  <c:v>652.666666666667</c:v>
                </c:pt>
                <c:pt idx="27">
                  <c:v>677</c:v>
                </c:pt>
                <c:pt idx="28">
                  <c:v>701.333333333333</c:v>
                </c:pt>
                <c:pt idx="29">
                  <c:v>725.666666666667</c:v>
                </c:pt>
                <c:pt idx="30">
                  <c:v>750</c:v>
                </c:pt>
              </c:numCache>
            </c:numRef>
          </c:val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7.84221977495</c:v>
                </c:pt>
                <c:pt idx="1">
                  <c:v>16.9571450538365</c:v>
                </c:pt>
                <c:pt idx="2">
                  <c:v>26.3092212436009</c:v>
                </c:pt>
                <c:pt idx="3">
                  <c:v>35.8942064809066</c:v>
                </c:pt>
                <c:pt idx="4">
                  <c:v>45.7079036046831</c:v>
                </c:pt>
                <c:pt idx="5">
                  <c:v>55.7461597740879</c:v>
                </c:pt>
                <c:pt idx="6">
                  <c:v>66.0048660893765</c:v>
                </c:pt>
                <c:pt idx="7">
                  <c:v>76.47995721566</c:v>
                </c:pt>
                <c:pt idx="8">
                  <c:v>87.1674110095298</c:v>
                </c:pt>
                <c:pt idx="9">
                  <c:v>98.0632481485294</c:v>
                </c:pt>
                <c:pt idx="10">
                  <c:v>109.163531763453</c:v>
                </c:pt>
                <c:pt idx="11">
                  <c:v>120.464367073449</c:v>
                </c:pt>
                <c:pt idx="12">
                  <c:v>131.961901023915</c:v>
                </c:pt>
                <c:pt idx="13">
                  <c:v>143.652321927154</c:v>
                </c:pt>
                <c:pt idx="14">
                  <c:v>155.531859105782</c:v>
                </c:pt>
                <c:pt idx="15">
                  <c:v>167.596782538864</c:v>
                </c:pt>
                <c:pt idx="16">
                  <c:v>179.843402510753</c:v>
                </c:pt>
                <c:pt idx="17">
                  <c:v>192.268069262627</c:v>
                </c:pt>
                <c:pt idx="18">
                  <c:v>204.867172646692</c:v>
                </c:pt>
                <c:pt idx="19">
                  <c:v>217.637141783032</c:v>
                </c:pt>
                <c:pt idx="20">
                  <c:v>230.574444719101</c:v>
                </c:pt>
                <c:pt idx="21">
                  <c:v>243.675588091822</c:v>
                </c:pt>
                <c:pt idx="22">
                  <c:v>256.937116792281</c:v>
                </c:pt>
                <c:pt idx="23">
                  <c:v>270.355613633003</c:v>
                </c:pt>
                <c:pt idx="24">
                  <c:v>283.927699017785</c:v>
                </c:pt>
                <c:pt idx="25">
                  <c:v>297.650030614062</c:v>
                </c:pt>
                <c:pt idx="26">
                  <c:v>311.519303027807</c:v>
                </c:pt>
                <c:pt idx="27">
                  <c:v>325.532247480925</c:v>
                </c:pt>
                <c:pt idx="28">
                  <c:v>339.68563149114</c:v>
                </c:pt>
                <c:pt idx="29">
                  <c:v>353.97625855435</c:v>
                </c:pt>
                <c:pt idx="30">
                  <c:v>368.400967829428</c:v>
                </c:pt>
              </c:numCache>
            </c:numRef>
          </c:val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Summary!$G$122:$G$152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58.806</c:v>
                </c:pt>
                <c:pt idx="3">
                  <c:v>58.21794</c:v>
                </c:pt>
                <c:pt idx="4">
                  <c:v>57.6357606</c:v>
                </c:pt>
                <c:pt idx="5">
                  <c:v>57.059402994</c:v>
                </c:pt>
                <c:pt idx="6">
                  <c:v>56.48880896406</c:v>
                </c:pt>
                <c:pt idx="7">
                  <c:v>55.9239208744194</c:v>
                </c:pt>
                <c:pt idx="8">
                  <c:v>55.3646816656752</c:v>
                </c:pt>
                <c:pt idx="9">
                  <c:v>54.8110348490185</c:v>
                </c:pt>
                <c:pt idx="10">
                  <c:v>54.2629245005283</c:v>
                </c:pt>
                <c:pt idx="11">
                  <c:v>53.720295255523</c:v>
                </c:pt>
                <c:pt idx="12">
                  <c:v>53.1830923029678</c:v>
                </c:pt>
                <c:pt idx="13">
                  <c:v>52.6512613799381</c:v>
                </c:pt>
                <c:pt idx="14">
                  <c:v>52.1247487661387</c:v>
                </c:pt>
                <c:pt idx="15">
                  <c:v>51.6035012784773</c:v>
                </c:pt>
                <c:pt idx="16">
                  <c:v>51.0874662656925</c:v>
                </c:pt>
                <c:pt idx="17">
                  <c:v>50.5765916030356</c:v>
                </c:pt>
                <c:pt idx="18">
                  <c:v>50.0708256870053</c:v>
                </c:pt>
                <c:pt idx="19">
                  <c:v>49.5701174301352</c:v>
                </c:pt>
                <c:pt idx="20">
                  <c:v>49.0744162558338</c:v>
                </c:pt>
                <c:pt idx="21">
                  <c:v>48.5836720932755</c:v>
                </c:pt>
                <c:pt idx="22">
                  <c:v>48.0978353723428</c:v>
                </c:pt>
                <c:pt idx="23">
                  <c:v>47.6168570186193</c:v>
                </c:pt>
                <c:pt idx="24">
                  <c:v>47.1406884484331</c:v>
                </c:pt>
                <c:pt idx="25">
                  <c:v>46.6692815639488</c:v>
                </c:pt>
                <c:pt idx="26">
                  <c:v>46.2025887483093</c:v>
                </c:pt>
                <c:pt idx="27">
                  <c:v>45.7405628608262</c:v>
                </c:pt>
                <c:pt idx="28">
                  <c:v>45.283157232218</c:v>
                </c:pt>
                <c:pt idx="29">
                  <c:v>44.8303256598958</c:v>
                </c:pt>
                <c:pt idx="30">
                  <c:v>44.3820224032968</c:v>
                </c:pt>
              </c:numCache>
            </c:numRef>
          </c:val>
        </c:ser>
        <c:gapWidth val="150"/>
        <c:overlap val="100"/>
        <c:axId val="70367152"/>
        <c:axId val="52887572"/>
      </c:barChart>
      <c:lineChart>
        <c:grouping val="stacked"/>
        <c:varyColors val="0"/>
        <c:ser>
          <c:idx val="5"/>
          <c:order val="5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Summary!$G$202:$G$232</c:f>
              <c:numCache>
                <c:formatCode>General</c:formatCode>
                <c:ptCount val="31"/>
                <c:pt idx="0">
                  <c:v>7039.5343826149</c:v>
                </c:pt>
                <c:pt idx="1">
                  <c:v>7126.17359015226</c:v>
                </c:pt>
                <c:pt idx="2">
                  <c:v>7211.7089819153</c:v>
                </c:pt>
                <c:pt idx="3">
                  <c:v>7296.16854336186</c:v>
                </c:pt>
                <c:pt idx="4">
                  <c:v>7379.58025789088</c:v>
                </c:pt>
                <c:pt idx="5">
                  <c:v>7461.97211324726</c:v>
                </c:pt>
                <c:pt idx="6">
                  <c:v>7543.37210799636</c:v>
                </c:pt>
                <c:pt idx="7">
                  <c:v>7678.55825807</c:v>
                </c:pt>
                <c:pt idx="8">
                  <c:v>7812.80860338614</c:v>
                </c:pt>
                <c:pt idx="9">
                  <c:v>7946.15121454423</c:v>
                </c:pt>
                <c:pt idx="10">
                  <c:v>8078.61419959842</c:v>
                </c:pt>
                <c:pt idx="11">
                  <c:v>8210.22571091063</c:v>
                </c:pt>
                <c:pt idx="12">
                  <c:v>8341.01395208585</c:v>
                </c:pt>
                <c:pt idx="13">
                  <c:v>8471.00718499181</c:v>
                </c:pt>
                <c:pt idx="14">
                  <c:v>8600.23373686522</c:v>
                </c:pt>
                <c:pt idx="15">
                  <c:v>8728.72200750699</c:v>
                </c:pt>
                <c:pt idx="16">
                  <c:v>8856.50047656877</c:v>
                </c:pt>
                <c:pt idx="17">
                  <c:v>8928.84771093307</c:v>
                </c:pt>
                <c:pt idx="18">
                  <c:v>9000.54237218954</c:v>
                </c:pt>
                <c:pt idx="19">
                  <c:v>9071.61322420982</c:v>
                </c:pt>
                <c:pt idx="20">
                  <c:v>9142.08914082344</c:v>
                </c:pt>
                <c:pt idx="21">
                  <c:v>9211.99911359741</c:v>
                </c:pt>
                <c:pt idx="22">
                  <c:v>9281.37225972204</c:v>
                </c:pt>
                <c:pt idx="23">
                  <c:v>9350.23783000565</c:v>
                </c:pt>
                <c:pt idx="24">
                  <c:v>9418.62521698097</c:v>
                </c:pt>
                <c:pt idx="25">
                  <c:v>9486.56396312579</c:v>
                </c:pt>
                <c:pt idx="26">
                  <c:v>9554.08376920091</c:v>
                </c:pt>
                <c:pt idx="27">
                  <c:v>9621.21450270799</c:v>
                </c:pt>
                <c:pt idx="28">
                  <c:v>9687.9862064704</c:v>
                </c:pt>
                <c:pt idx="29">
                  <c:v>9754.42910733992</c:v>
                </c:pt>
                <c:pt idx="30">
                  <c:v>9820.57362503237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367152"/>
        <c:axId val="52887572"/>
      </c:lineChart>
      <c:catAx>
        <c:axId val="70367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2887572"/>
        <c:crosses val="autoZero"/>
        <c:auto val="1"/>
        <c:lblAlgn val="ctr"/>
        <c:lblOffset val="100"/>
        <c:noMultiLvlLbl val="0"/>
      </c:catAx>
      <c:valAx>
        <c:axId val="528875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03671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Calibri"/>
              </a:rPr>
              <a:t>Supply vs Demand (M m³/yr) -BAU-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Summary!$C$153:$C$183</c:f>
              <c:numCache>
                <c:formatCode>#,##0.0</c:formatCode>
                <c:ptCount val="31"/>
                <c:pt idx="0">
                  <c:v>6039.69216283995</c:v>
                </c:pt>
                <c:pt idx="1">
                  <c:v>6120.06920659628</c:v>
                </c:pt>
                <c:pt idx="2">
                  <c:v>6198.95536480449</c:v>
                </c:pt>
                <c:pt idx="3">
                  <c:v>6276.3862816116</c:v>
                </c:pt>
                <c:pt idx="4">
                  <c:v>6352.39744936171</c:v>
                </c:pt>
                <c:pt idx="5">
                  <c:v>6427.024217953</c:v>
                </c:pt>
                <c:pt idx="6">
                  <c:v>6500.30180420561</c:v>
                </c:pt>
                <c:pt idx="7">
                  <c:v>6578.41033263191</c:v>
                </c:pt>
                <c:pt idx="8">
                  <c:v>6649.39584301352</c:v>
                </c:pt>
                <c:pt idx="9">
                  <c:v>6719.13168641952</c:v>
                </c:pt>
                <c:pt idx="10">
                  <c:v>6787.65223537872</c:v>
                </c:pt>
                <c:pt idx="11">
                  <c:v>6854.991785237</c:v>
                </c:pt>
                <c:pt idx="12">
                  <c:v>6921.18456354581</c:v>
                </c:pt>
                <c:pt idx="13">
                  <c:v>6986.2647394852</c:v>
                </c:pt>
                <c:pt idx="14">
                  <c:v>7050.26643332473</c:v>
                </c:pt>
                <c:pt idx="15">
                  <c:v>7113.2237259255</c:v>
                </c:pt>
                <c:pt idx="16">
                  <c:v>7175.17066828656</c:v>
                </c:pt>
                <c:pt idx="17">
                  <c:v>7236.14129113928</c:v>
                </c:pt>
                <c:pt idx="18">
                  <c:v>7296.16961459258</c:v>
                </c:pt>
                <c:pt idx="19">
                  <c:v>7355.28965783297</c:v>
                </c:pt>
                <c:pt idx="20">
                  <c:v>7413.53544888222</c:v>
                </c:pt>
                <c:pt idx="21">
                  <c:v>7470.94103441663</c:v>
                </c:pt>
                <c:pt idx="22">
                  <c:v>7527.54048965095</c:v>
                </c:pt>
                <c:pt idx="23">
                  <c:v>7583.36792829071</c:v>
                </c:pt>
                <c:pt idx="24">
                  <c:v>7638.45751255628</c:v>
                </c:pt>
                <c:pt idx="25">
                  <c:v>7692.84346328243</c:v>
                </c:pt>
                <c:pt idx="26">
                  <c:v>7746.56007009676</c:v>
                </c:pt>
                <c:pt idx="27">
                  <c:v>7799.64170168086</c:v>
                </c:pt>
                <c:pt idx="28">
                  <c:v>7852.12281611756</c:v>
                </c:pt>
                <c:pt idx="29">
                  <c:v>7904.03797132832</c:v>
                </c:pt>
                <c:pt idx="30">
                  <c:v>7955.42183560423</c:v>
                </c:pt>
              </c:numCache>
            </c:numRef>
          </c:val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Summary!$D$153:$D$183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875.8848</c:v>
                </c:pt>
                <c:pt idx="3">
                  <c:v>858.367104</c:v>
                </c:pt>
                <c:pt idx="4">
                  <c:v>841.19976192</c:v>
                </c:pt>
                <c:pt idx="5">
                  <c:v>824.3757666816</c:v>
                </c:pt>
                <c:pt idx="6">
                  <c:v>807.888251347968</c:v>
                </c:pt>
                <c:pt idx="7">
                  <c:v>791.730486321009</c:v>
                </c:pt>
                <c:pt idx="8">
                  <c:v>775.895876594588</c:v>
                </c:pt>
                <c:pt idx="9">
                  <c:v>760.377959062697</c:v>
                </c:pt>
                <c:pt idx="10">
                  <c:v>745.170399881443</c:v>
                </c:pt>
                <c:pt idx="11">
                  <c:v>730.266991883814</c:v>
                </c:pt>
                <c:pt idx="12">
                  <c:v>715.661652046137</c:v>
                </c:pt>
                <c:pt idx="13">
                  <c:v>701.348419005215</c:v>
                </c:pt>
                <c:pt idx="14">
                  <c:v>687.32145062511</c:v>
                </c:pt>
                <c:pt idx="15">
                  <c:v>673.575021612608</c:v>
                </c:pt>
                <c:pt idx="16">
                  <c:v>660.103521180356</c:v>
                </c:pt>
                <c:pt idx="17">
                  <c:v>646.901450756749</c:v>
                </c:pt>
                <c:pt idx="18">
                  <c:v>633.963421741614</c:v>
                </c:pt>
                <c:pt idx="19">
                  <c:v>621.284153306782</c:v>
                </c:pt>
                <c:pt idx="20">
                  <c:v>608.858470240646</c:v>
                </c:pt>
                <c:pt idx="21">
                  <c:v>596.681300835833</c:v>
                </c:pt>
                <c:pt idx="22">
                  <c:v>584.747674819116</c:v>
                </c:pt>
                <c:pt idx="23">
                  <c:v>573.052721322734</c:v>
                </c:pt>
                <c:pt idx="24">
                  <c:v>561.591666896279</c:v>
                </c:pt>
                <c:pt idx="25">
                  <c:v>550.359833558354</c:v>
                </c:pt>
                <c:pt idx="26">
                  <c:v>539.352636887187</c:v>
                </c:pt>
                <c:pt idx="27">
                  <c:v>528.565584149443</c:v>
                </c:pt>
                <c:pt idx="28">
                  <c:v>517.994272466454</c:v>
                </c:pt>
                <c:pt idx="29">
                  <c:v>507.634387017125</c:v>
                </c:pt>
                <c:pt idx="30">
                  <c:v>497.481699276783</c:v>
                </c:pt>
              </c:numCache>
            </c:numRef>
          </c:val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Summary!$E$153:$E$183</c:f>
              <c:numCache>
                <c:formatCode>#,##0.0</c:formatCode>
                <c:ptCount val="31"/>
                <c:pt idx="0">
                  <c:v>20</c:v>
                </c:pt>
                <c:pt idx="1">
                  <c:v>44.3333333333333</c:v>
                </c:pt>
                <c:pt idx="2">
                  <c:v>68.6666666666667</c:v>
                </c:pt>
                <c:pt idx="3">
                  <c:v>93</c:v>
                </c:pt>
                <c:pt idx="4">
                  <c:v>117.333333333333</c:v>
                </c:pt>
                <c:pt idx="5">
                  <c:v>141.666666666667</c:v>
                </c:pt>
                <c:pt idx="6">
                  <c:v>166</c:v>
                </c:pt>
                <c:pt idx="7">
                  <c:v>190.333333333333</c:v>
                </c:pt>
                <c:pt idx="8">
                  <c:v>214.666666666667</c:v>
                </c:pt>
                <c:pt idx="9">
                  <c:v>239</c:v>
                </c:pt>
                <c:pt idx="10">
                  <c:v>263.333333333333</c:v>
                </c:pt>
                <c:pt idx="11">
                  <c:v>287.666666666667</c:v>
                </c:pt>
                <c:pt idx="12">
                  <c:v>312</c:v>
                </c:pt>
                <c:pt idx="13">
                  <c:v>336.333333333333</c:v>
                </c:pt>
                <c:pt idx="14">
                  <c:v>360.666666666667</c:v>
                </c:pt>
                <c:pt idx="15">
                  <c:v>385</c:v>
                </c:pt>
                <c:pt idx="16">
                  <c:v>409.333333333333</c:v>
                </c:pt>
                <c:pt idx="17">
                  <c:v>433.666666666667</c:v>
                </c:pt>
                <c:pt idx="18">
                  <c:v>458</c:v>
                </c:pt>
                <c:pt idx="19">
                  <c:v>482.333333333333</c:v>
                </c:pt>
                <c:pt idx="20">
                  <c:v>506.666666666667</c:v>
                </c:pt>
                <c:pt idx="21">
                  <c:v>531</c:v>
                </c:pt>
                <c:pt idx="22">
                  <c:v>555.333333333333</c:v>
                </c:pt>
                <c:pt idx="23">
                  <c:v>579.666666666667</c:v>
                </c:pt>
                <c:pt idx="24">
                  <c:v>604</c:v>
                </c:pt>
                <c:pt idx="25">
                  <c:v>628.333333333333</c:v>
                </c:pt>
                <c:pt idx="26">
                  <c:v>652.666666666667</c:v>
                </c:pt>
                <c:pt idx="27">
                  <c:v>677</c:v>
                </c:pt>
                <c:pt idx="28">
                  <c:v>701.333333333333</c:v>
                </c:pt>
                <c:pt idx="29">
                  <c:v>725.666666666667</c:v>
                </c:pt>
                <c:pt idx="30">
                  <c:v>750</c:v>
                </c:pt>
              </c:numCache>
            </c:numRef>
          </c:val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Summary!$F$153:$F$183</c:f>
              <c:numCache>
                <c:formatCode>#,##0.0</c:formatCode>
                <c:ptCount val="31"/>
                <c:pt idx="0">
                  <c:v>7.84221977495</c:v>
                </c:pt>
                <c:pt idx="1">
                  <c:v>8.61105022265137</c:v>
                </c:pt>
                <c:pt idx="2">
                  <c:v>9.39615044414319</c:v>
                </c:pt>
                <c:pt idx="3">
                  <c:v>10.1972177502576</c:v>
                </c:pt>
                <c:pt idx="4">
                  <c:v>11.0139526758273</c:v>
                </c:pt>
                <c:pt idx="5">
                  <c:v>11.8460589519937</c:v>
                </c:pt>
                <c:pt idx="6">
                  <c:v>12.6932434787263</c:v>
                </c:pt>
                <c:pt idx="7">
                  <c:v>7.41018490932825</c:v>
                </c:pt>
                <c:pt idx="8">
                  <c:v>7.9855354456854</c:v>
                </c:pt>
                <c:pt idx="9">
                  <c:v>8.58053421299632</c:v>
                </c:pt>
                <c:pt idx="10">
                  <c:v>9.19530650439894</c:v>
                </c:pt>
                <c:pt idx="11">
                  <c:v>9.82997186762714</c:v>
                </c:pt>
                <c:pt idx="12">
                  <c:v>10.4846441909412</c:v>
                </c:pt>
                <c:pt idx="13">
                  <c:v>11.1594317881264</c:v>
                </c:pt>
                <c:pt idx="14">
                  <c:v>11.8544374825685</c:v>
                </c:pt>
                <c:pt idx="15">
                  <c:v>12.5697586904148</c:v>
                </c:pt>
                <c:pt idx="16">
                  <c:v>13.305487502828</c:v>
                </c:pt>
                <c:pt idx="17">
                  <c:v>14.0617107673434</c:v>
                </c:pt>
                <c:pt idx="18">
                  <c:v>14.8385101683351</c:v>
                </c:pt>
                <c:pt idx="19">
                  <c:v>15.6359623066015</c:v>
                </c:pt>
                <c:pt idx="20">
                  <c:v>16.4541387780767</c:v>
                </c:pt>
                <c:pt idx="21">
                  <c:v>17.2931062516777</c:v>
                </c:pt>
                <c:pt idx="22">
                  <c:v>18.1529265462927</c:v>
                </c:pt>
                <c:pt idx="23">
                  <c:v>19.0336567069212</c:v>
                </c:pt>
                <c:pt idx="24">
                  <c:v>19.9353490799722</c:v>
                </c:pt>
                <c:pt idx="25">
                  <c:v>20.8580513877279</c:v>
                </c:pt>
                <c:pt idx="26">
                  <c:v>21.8018068019825</c:v>
                </c:pt>
                <c:pt idx="27">
                  <c:v>22.7666540168621</c:v>
                </c:pt>
                <c:pt idx="28">
                  <c:v>23.7526273208333</c:v>
                </c:pt>
                <c:pt idx="29">
                  <c:v>24.7597566679093</c:v>
                </c:pt>
                <c:pt idx="30">
                  <c:v>25.78806774806</c:v>
                </c:pt>
              </c:numCache>
            </c:numRef>
          </c:val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Summary!$G$153:$G$183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58.806</c:v>
                </c:pt>
                <c:pt idx="3">
                  <c:v>58.21794</c:v>
                </c:pt>
                <c:pt idx="4">
                  <c:v>57.6357606</c:v>
                </c:pt>
                <c:pt idx="5">
                  <c:v>57.059402994</c:v>
                </c:pt>
                <c:pt idx="6">
                  <c:v>56.48880896406</c:v>
                </c:pt>
                <c:pt idx="7">
                  <c:v>55.9239208744194</c:v>
                </c:pt>
                <c:pt idx="8">
                  <c:v>55.3646816656752</c:v>
                </c:pt>
                <c:pt idx="9">
                  <c:v>54.8110348490185</c:v>
                </c:pt>
                <c:pt idx="10">
                  <c:v>54.2629245005283</c:v>
                </c:pt>
                <c:pt idx="11">
                  <c:v>53.720295255523</c:v>
                </c:pt>
                <c:pt idx="12">
                  <c:v>53.1830923029678</c:v>
                </c:pt>
                <c:pt idx="13">
                  <c:v>52.6512613799381</c:v>
                </c:pt>
                <c:pt idx="14">
                  <c:v>52.1247487661387</c:v>
                </c:pt>
                <c:pt idx="15">
                  <c:v>51.6035012784773</c:v>
                </c:pt>
                <c:pt idx="16">
                  <c:v>51.0874662656925</c:v>
                </c:pt>
                <c:pt idx="17">
                  <c:v>50.5765916030356</c:v>
                </c:pt>
                <c:pt idx="18">
                  <c:v>50.0708256870053</c:v>
                </c:pt>
                <c:pt idx="19">
                  <c:v>49.5701174301352</c:v>
                </c:pt>
                <c:pt idx="20">
                  <c:v>49.0744162558338</c:v>
                </c:pt>
                <c:pt idx="21">
                  <c:v>48.5836720932755</c:v>
                </c:pt>
                <c:pt idx="22">
                  <c:v>48.0978353723428</c:v>
                </c:pt>
                <c:pt idx="23">
                  <c:v>47.6168570186193</c:v>
                </c:pt>
                <c:pt idx="24">
                  <c:v>47.1406884484331</c:v>
                </c:pt>
                <c:pt idx="25">
                  <c:v>46.6692815639488</c:v>
                </c:pt>
                <c:pt idx="26">
                  <c:v>46.2025887483093</c:v>
                </c:pt>
                <c:pt idx="27">
                  <c:v>45.7405628608262</c:v>
                </c:pt>
                <c:pt idx="28">
                  <c:v>45.283157232218</c:v>
                </c:pt>
                <c:pt idx="29">
                  <c:v>44.8303256598958</c:v>
                </c:pt>
                <c:pt idx="30">
                  <c:v>44.3820224032968</c:v>
                </c:pt>
              </c:numCache>
            </c:numRef>
          </c:val>
        </c:ser>
        <c:gapWidth val="150"/>
        <c:overlap val="100"/>
        <c:axId val="1291976"/>
        <c:axId val="72674249"/>
      </c:barChart>
      <c:lineChart>
        <c:grouping val="stacked"/>
        <c:varyColors val="0"/>
        <c:ser>
          <c:idx val="5"/>
          <c:order val="5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Summary!$G$233:$G$263</c:f>
              <c:numCache>
                <c:formatCode>General</c:formatCode>
                <c:ptCount val="31"/>
                <c:pt idx="0">
                  <c:v>7039.5343826149</c:v>
                </c:pt>
                <c:pt idx="1">
                  <c:v>7126.17359015226</c:v>
                </c:pt>
                <c:pt idx="2">
                  <c:v>7211.7089819153</c:v>
                </c:pt>
                <c:pt idx="3">
                  <c:v>7296.16854336186</c:v>
                </c:pt>
                <c:pt idx="4">
                  <c:v>7379.58025789088</c:v>
                </c:pt>
                <c:pt idx="5">
                  <c:v>7461.97211324726</c:v>
                </c:pt>
                <c:pt idx="6">
                  <c:v>7543.37210799636</c:v>
                </c:pt>
                <c:pt idx="7">
                  <c:v>7623.80825807</c:v>
                </c:pt>
                <c:pt idx="8">
                  <c:v>7703.30860338614</c:v>
                </c:pt>
                <c:pt idx="9">
                  <c:v>7781.90121454423</c:v>
                </c:pt>
                <c:pt idx="10">
                  <c:v>7859.61419959842</c:v>
                </c:pt>
                <c:pt idx="11">
                  <c:v>7936.47571091063</c:v>
                </c:pt>
                <c:pt idx="12">
                  <c:v>8012.51395208585</c:v>
                </c:pt>
                <c:pt idx="13">
                  <c:v>8087.75718499181</c:v>
                </c:pt>
                <c:pt idx="14">
                  <c:v>8162.23373686522</c:v>
                </c:pt>
                <c:pt idx="15">
                  <c:v>8235.97200750699</c:v>
                </c:pt>
                <c:pt idx="16">
                  <c:v>8309.00047656877</c:v>
                </c:pt>
                <c:pt idx="17">
                  <c:v>8381.34771093307</c:v>
                </c:pt>
                <c:pt idx="18">
                  <c:v>8453.04237218954</c:v>
                </c:pt>
                <c:pt idx="19">
                  <c:v>8524.11322420982</c:v>
                </c:pt>
                <c:pt idx="20">
                  <c:v>8594.58914082344</c:v>
                </c:pt>
                <c:pt idx="21">
                  <c:v>8664.49911359741</c:v>
                </c:pt>
                <c:pt idx="22">
                  <c:v>8733.87225972204</c:v>
                </c:pt>
                <c:pt idx="23">
                  <c:v>8802.73783000565</c:v>
                </c:pt>
                <c:pt idx="24">
                  <c:v>8871.12521698097</c:v>
                </c:pt>
                <c:pt idx="25">
                  <c:v>8939.06396312579</c:v>
                </c:pt>
                <c:pt idx="26">
                  <c:v>9006.58376920091</c:v>
                </c:pt>
                <c:pt idx="27">
                  <c:v>9073.71450270799</c:v>
                </c:pt>
                <c:pt idx="28">
                  <c:v>9140.4862064704</c:v>
                </c:pt>
                <c:pt idx="29">
                  <c:v>9206.92910733992</c:v>
                </c:pt>
                <c:pt idx="30">
                  <c:v>9273.07362503237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91976"/>
        <c:axId val="72674249"/>
      </c:lineChart>
      <c:catAx>
        <c:axId val="1291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2674249"/>
        <c:crosses val="autoZero"/>
        <c:auto val="1"/>
        <c:lblAlgn val="ctr"/>
        <c:lblOffset val="100"/>
        <c:noMultiLvlLbl val="0"/>
      </c:catAx>
      <c:valAx>
        <c:axId val="72674249"/>
        <c:scaling>
          <c:orientation val="minMax"/>
          <c:max val="12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2919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Demand by Source -Conditional-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Summary!$C$202:$C$232</c:f>
              <c:numCache>
                <c:formatCode>#,##0.0</c:formatCode>
                <c:ptCount val="31"/>
                <c:pt idx="0">
                  <c:v>784.221977495</c:v>
                </c:pt>
                <c:pt idx="1">
                  <c:v>794.866174398587</c:v>
                </c:pt>
                <c:pt idx="2">
                  <c:v>805.384323783702</c:v>
                </c:pt>
                <c:pt idx="3">
                  <c:v>815.777420020605</c:v>
                </c:pt>
                <c:pt idx="4">
                  <c:v>826.046450687044</c:v>
                </c:pt>
                <c:pt idx="5">
                  <c:v>836.192396611319</c:v>
                </c:pt>
                <c:pt idx="6">
                  <c:v>846.216231915084</c:v>
                </c:pt>
                <c:pt idx="7">
                  <c:v>856.118924055895</c:v>
                </c:pt>
                <c:pt idx="8">
                  <c:v>865.901433869501</c:v>
                </c:pt>
                <c:pt idx="9">
                  <c:v>875.564715611869</c:v>
                </c:pt>
                <c:pt idx="10">
                  <c:v>885.109717000968</c:v>
                </c:pt>
                <c:pt idx="11">
                  <c:v>894.537379258284</c:v>
                </c:pt>
                <c:pt idx="12">
                  <c:v>903.848637150102</c:v>
                </c:pt>
                <c:pt idx="13">
                  <c:v>913.044419028521</c:v>
                </c:pt>
                <c:pt idx="14">
                  <c:v>922.125646872227</c:v>
                </c:pt>
                <c:pt idx="15">
                  <c:v>931.09323632702</c:v>
                </c:pt>
                <c:pt idx="16">
                  <c:v>939.948096746093</c:v>
                </c:pt>
                <c:pt idx="17">
                  <c:v>948.691131230068</c:v>
                </c:pt>
                <c:pt idx="18">
                  <c:v>957.323236666784</c:v>
                </c:pt>
                <c:pt idx="19">
                  <c:v>965.845303770852</c:v>
                </c:pt>
                <c:pt idx="20">
                  <c:v>974.258217122963</c:v>
                </c:pt>
                <c:pt idx="21">
                  <c:v>982.562855208958</c:v>
                </c:pt>
                <c:pt idx="22">
                  <c:v>990.760090458665</c:v>
                </c:pt>
                <c:pt idx="23">
                  <c:v>998.850789284495</c:v>
                </c:pt>
                <c:pt idx="24">
                  <c:v>1006.83581211981</c:v>
                </c:pt>
                <c:pt idx="25">
                  <c:v>1014.71601345703</c:v>
                </c:pt>
                <c:pt idx="26">
                  <c:v>1022.49224188558</c:v>
                </c:pt>
                <c:pt idx="27">
                  <c:v>1030.16534012951</c:v>
                </c:pt>
                <c:pt idx="28">
                  <c:v>1037.73614508495</c:v>
                </c:pt>
                <c:pt idx="29">
                  <c:v>1045.20548785733</c:v>
                </c:pt>
                <c:pt idx="30">
                  <c:v>1052.57419379837</c:v>
                </c:pt>
              </c:numCache>
            </c:numRef>
          </c:val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Summary!$D$202:$D$232</c:f>
              <c:numCache>
                <c:formatCode>#,##0.0</c:formatCode>
                <c:ptCount val="31"/>
                <c:pt idx="0">
                  <c:v>389.6270185899</c:v>
                </c:pt>
                <c:pt idx="1">
                  <c:v>403.932968035115</c:v>
                </c:pt>
                <c:pt idx="2">
                  <c:v>418.623578068233</c:v>
                </c:pt>
                <c:pt idx="3">
                  <c:v>433.707989015256</c:v>
                </c:pt>
                <c:pt idx="4">
                  <c:v>449.195544352525</c:v>
                </c:pt>
                <c:pt idx="5">
                  <c:v>465.095795036329</c:v>
                </c:pt>
                <c:pt idx="6">
                  <c:v>481.418503922153</c:v>
                </c:pt>
                <c:pt idx="7">
                  <c:v>498.173650275403</c:v>
                </c:pt>
                <c:pt idx="8">
                  <c:v>515.37143437545</c:v>
                </c:pt>
                <c:pt idx="9">
                  <c:v>533.022282214894</c:v>
                </c:pt>
                <c:pt idx="10">
                  <c:v>551.136850295968</c:v>
                </c:pt>
                <c:pt idx="11">
                  <c:v>569.726030526055</c:v>
                </c:pt>
                <c:pt idx="12">
                  <c:v>588.800955214323</c:v>
                </c:pt>
                <c:pt idx="13">
                  <c:v>608.37300217152</c:v>
                </c:pt>
                <c:pt idx="14">
                  <c:v>628.453799915024</c:v>
                </c:pt>
                <c:pt idx="15">
                  <c:v>649.055232981272</c:v>
                </c:pt>
                <c:pt idx="16">
                  <c:v>670.189447347742</c:v>
                </c:pt>
                <c:pt idx="17">
                  <c:v>691.868855966691</c:v>
                </c:pt>
                <c:pt idx="18">
                  <c:v>714.106144412932</c:v>
                </c:pt>
                <c:pt idx="19">
                  <c:v>736.914276647924</c:v>
                </c:pt>
                <c:pt idx="20">
                  <c:v>760.306500902548</c:v>
                </c:pt>
                <c:pt idx="21">
                  <c:v>784.296355680951</c:v>
                </c:pt>
                <c:pt idx="22">
                  <c:v>808.897675887909</c:v>
                </c:pt>
                <c:pt idx="23">
                  <c:v>834.124599082191</c:v>
                </c:pt>
                <c:pt idx="24">
                  <c:v>859.991571858486</c:v>
                </c:pt>
                <c:pt idx="25">
                  <c:v>886.51335636046</c:v>
                </c:pt>
                <c:pt idx="26">
                  <c:v>913.705036927608</c:v>
                </c:pt>
                <c:pt idx="27">
                  <c:v>941.582026878579</c:v>
                </c:pt>
                <c:pt idx="28">
                  <c:v>970.160075433746</c:v>
                </c:pt>
                <c:pt idx="29">
                  <c:v>999.455274779798</c:v>
                </c:pt>
                <c:pt idx="30">
                  <c:v>1029.48406727925</c:v>
                </c:pt>
              </c:numCache>
            </c:numRef>
          </c:val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Summary!$E$202:$E$232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5927.37444771856</c:v>
                </c:pt>
                <c:pt idx="2">
                  <c:v>5987.70108006336</c:v>
                </c:pt>
                <c:pt idx="3">
                  <c:v>6046.683134326</c:v>
                </c:pt>
                <c:pt idx="4">
                  <c:v>6104.33826285131</c:v>
                </c:pt>
                <c:pt idx="5">
                  <c:v>6160.68392159961</c:v>
                </c:pt>
                <c:pt idx="6">
                  <c:v>6215.73737215912</c:v>
                </c:pt>
                <c:pt idx="7">
                  <c:v>6269.5156837387</c:v>
                </c:pt>
                <c:pt idx="8">
                  <c:v>6322.03573514119</c:v>
                </c:pt>
                <c:pt idx="9">
                  <c:v>6373.31421671747</c:v>
                </c:pt>
                <c:pt idx="10">
                  <c:v>6423.36763230149</c:v>
                </c:pt>
                <c:pt idx="11">
                  <c:v>6472.21230112629</c:v>
                </c:pt>
                <c:pt idx="12">
                  <c:v>6519.86435972143</c:v>
                </c:pt>
                <c:pt idx="13">
                  <c:v>6566.33976379177</c:v>
                </c:pt>
                <c:pt idx="14">
                  <c:v>6611.65429007797</c:v>
                </c:pt>
                <c:pt idx="15">
                  <c:v>6655.8235381987</c:v>
                </c:pt>
                <c:pt idx="16">
                  <c:v>6698.86293247494</c:v>
                </c:pt>
                <c:pt idx="17">
                  <c:v>6740.78772373631</c:v>
                </c:pt>
                <c:pt idx="18">
                  <c:v>6781.61299110982</c:v>
                </c:pt>
                <c:pt idx="19">
                  <c:v>6821.35364379104</c:v>
                </c:pt>
                <c:pt idx="20">
                  <c:v>6860.02442279793</c:v>
                </c:pt>
                <c:pt idx="21">
                  <c:v>6897.6399027075</c:v>
                </c:pt>
                <c:pt idx="22">
                  <c:v>6934.21449337546</c:v>
                </c:pt>
                <c:pt idx="23">
                  <c:v>6969.76244163896</c:v>
                </c:pt>
                <c:pt idx="24">
                  <c:v>7004.29783300267</c:v>
                </c:pt>
                <c:pt idx="25">
                  <c:v>7037.8345933083</c:v>
                </c:pt>
                <c:pt idx="26">
                  <c:v>7070.38649038772</c:v>
                </c:pt>
                <c:pt idx="27">
                  <c:v>7101.9671356999</c:v>
                </c:pt>
                <c:pt idx="28">
                  <c:v>7132.5899859517</c:v>
                </c:pt>
                <c:pt idx="29">
                  <c:v>7162.26834470279</c:v>
                </c:pt>
                <c:pt idx="30">
                  <c:v>7191.01536395476</c:v>
                </c:pt>
              </c:numCache>
            </c:numRef>
          </c:val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Summary!$F$202:$F$232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</c:ser>
        <c:axId val="11701275"/>
        <c:axId val="21348060"/>
      </c:areaChart>
      <c:catAx>
        <c:axId val="11701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348060"/>
        <c:crosses val="autoZero"/>
        <c:auto val="1"/>
        <c:lblAlgn val="ctr"/>
        <c:lblOffset val="100"/>
        <c:noMultiLvlLbl val="0"/>
      </c:catAx>
      <c:valAx>
        <c:axId val="213480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0127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Demand by Source -BAU-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Summary!$C$233:$C$263</c:f>
              <c:numCache>
                <c:formatCode>#,##0.0</c:formatCode>
                <c:ptCount val="31"/>
                <c:pt idx="0">
                  <c:v>784.221977495</c:v>
                </c:pt>
                <c:pt idx="1">
                  <c:v>794.866174398587</c:v>
                </c:pt>
                <c:pt idx="2">
                  <c:v>805.384323783702</c:v>
                </c:pt>
                <c:pt idx="3">
                  <c:v>815.777420020605</c:v>
                </c:pt>
                <c:pt idx="4">
                  <c:v>826.046450687044</c:v>
                </c:pt>
                <c:pt idx="5">
                  <c:v>836.192396611319</c:v>
                </c:pt>
                <c:pt idx="6">
                  <c:v>846.216231915084</c:v>
                </c:pt>
                <c:pt idx="7">
                  <c:v>856.118924055895</c:v>
                </c:pt>
                <c:pt idx="8">
                  <c:v>865.901433869501</c:v>
                </c:pt>
                <c:pt idx="9">
                  <c:v>875.564715611869</c:v>
                </c:pt>
                <c:pt idx="10">
                  <c:v>885.109717000968</c:v>
                </c:pt>
                <c:pt idx="11">
                  <c:v>894.537379258284</c:v>
                </c:pt>
                <c:pt idx="12">
                  <c:v>903.848637150102</c:v>
                </c:pt>
                <c:pt idx="13">
                  <c:v>913.044419028521</c:v>
                </c:pt>
                <c:pt idx="14">
                  <c:v>922.125646872227</c:v>
                </c:pt>
                <c:pt idx="15">
                  <c:v>931.09323632702</c:v>
                </c:pt>
                <c:pt idx="16">
                  <c:v>939.948096746093</c:v>
                </c:pt>
                <c:pt idx="17">
                  <c:v>948.691131230068</c:v>
                </c:pt>
                <c:pt idx="18">
                  <c:v>957.323236666784</c:v>
                </c:pt>
                <c:pt idx="19">
                  <c:v>965.845303770852</c:v>
                </c:pt>
                <c:pt idx="20">
                  <c:v>974.258217122963</c:v>
                </c:pt>
                <c:pt idx="21">
                  <c:v>982.562855208958</c:v>
                </c:pt>
                <c:pt idx="22">
                  <c:v>990.760090458665</c:v>
                </c:pt>
                <c:pt idx="23">
                  <c:v>998.850789284495</c:v>
                </c:pt>
                <c:pt idx="24">
                  <c:v>1006.83581211981</c:v>
                </c:pt>
                <c:pt idx="25">
                  <c:v>1014.71601345703</c:v>
                </c:pt>
                <c:pt idx="26">
                  <c:v>1022.49224188558</c:v>
                </c:pt>
                <c:pt idx="27">
                  <c:v>1030.16534012951</c:v>
                </c:pt>
                <c:pt idx="28">
                  <c:v>1037.73614508495</c:v>
                </c:pt>
                <c:pt idx="29">
                  <c:v>1045.20548785733</c:v>
                </c:pt>
                <c:pt idx="30">
                  <c:v>1052.57419379837</c:v>
                </c:pt>
              </c:numCache>
            </c:numRef>
          </c:val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Summary!$D$233:$D$263</c:f>
              <c:numCache>
                <c:formatCode>#,##0.0</c:formatCode>
                <c:ptCount val="31"/>
                <c:pt idx="0">
                  <c:v>389.6270185899</c:v>
                </c:pt>
                <c:pt idx="1">
                  <c:v>403.932968035115</c:v>
                </c:pt>
                <c:pt idx="2">
                  <c:v>418.623578068233</c:v>
                </c:pt>
                <c:pt idx="3">
                  <c:v>433.707989015256</c:v>
                </c:pt>
                <c:pt idx="4">
                  <c:v>449.195544352525</c:v>
                </c:pt>
                <c:pt idx="5">
                  <c:v>465.095795036329</c:v>
                </c:pt>
                <c:pt idx="6">
                  <c:v>481.418503922153</c:v>
                </c:pt>
                <c:pt idx="7">
                  <c:v>498.173650275403</c:v>
                </c:pt>
                <c:pt idx="8">
                  <c:v>515.37143437545</c:v>
                </c:pt>
                <c:pt idx="9">
                  <c:v>533.022282214894</c:v>
                </c:pt>
                <c:pt idx="10">
                  <c:v>551.136850295968</c:v>
                </c:pt>
                <c:pt idx="11">
                  <c:v>569.726030526055</c:v>
                </c:pt>
                <c:pt idx="12">
                  <c:v>588.800955214323</c:v>
                </c:pt>
                <c:pt idx="13">
                  <c:v>608.37300217152</c:v>
                </c:pt>
                <c:pt idx="14">
                  <c:v>628.453799915024</c:v>
                </c:pt>
                <c:pt idx="15">
                  <c:v>649.055232981272</c:v>
                </c:pt>
                <c:pt idx="16">
                  <c:v>670.189447347742</c:v>
                </c:pt>
                <c:pt idx="17">
                  <c:v>691.868855966691</c:v>
                </c:pt>
                <c:pt idx="18">
                  <c:v>714.106144412932</c:v>
                </c:pt>
                <c:pt idx="19">
                  <c:v>736.914276647924</c:v>
                </c:pt>
                <c:pt idx="20">
                  <c:v>760.306500902548</c:v>
                </c:pt>
                <c:pt idx="21">
                  <c:v>784.296355680951</c:v>
                </c:pt>
                <c:pt idx="22">
                  <c:v>808.897675887909</c:v>
                </c:pt>
                <c:pt idx="23">
                  <c:v>834.124599082191</c:v>
                </c:pt>
                <c:pt idx="24">
                  <c:v>859.991571858486</c:v>
                </c:pt>
                <c:pt idx="25">
                  <c:v>886.51335636046</c:v>
                </c:pt>
                <c:pt idx="26">
                  <c:v>913.705036927608</c:v>
                </c:pt>
                <c:pt idx="27">
                  <c:v>941.582026878579</c:v>
                </c:pt>
                <c:pt idx="28">
                  <c:v>970.160075433746</c:v>
                </c:pt>
                <c:pt idx="29">
                  <c:v>999.455274779798</c:v>
                </c:pt>
                <c:pt idx="30">
                  <c:v>1029.48406727925</c:v>
                </c:pt>
              </c:numCache>
            </c:numRef>
          </c:val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Summary!$E$233:$E$263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5927.37444771856</c:v>
                </c:pt>
                <c:pt idx="2">
                  <c:v>5987.70108006336</c:v>
                </c:pt>
                <c:pt idx="3">
                  <c:v>6046.683134326</c:v>
                </c:pt>
                <c:pt idx="4">
                  <c:v>6104.33826285131</c:v>
                </c:pt>
                <c:pt idx="5">
                  <c:v>6160.68392159961</c:v>
                </c:pt>
                <c:pt idx="6">
                  <c:v>6215.73737215912</c:v>
                </c:pt>
                <c:pt idx="7">
                  <c:v>6269.5156837387</c:v>
                </c:pt>
                <c:pt idx="8">
                  <c:v>6322.03573514119</c:v>
                </c:pt>
                <c:pt idx="9">
                  <c:v>6373.31421671747</c:v>
                </c:pt>
                <c:pt idx="10">
                  <c:v>6423.36763230149</c:v>
                </c:pt>
                <c:pt idx="11">
                  <c:v>6472.21230112629</c:v>
                </c:pt>
                <c:pt idx="12">
                  <c:v>6519.86435972143</c:v>
                </c:pt>
                <c:pt idx="13">
                  <c:v>6566.33976379177</c:v>
                </c:pt>
                <c:pt idx="14">
                  <c:v>6611.65429007797</c:v>
                </c:pt>
                <c:pt idx="15">
                  <c:v>6655.8235381987</c:v>
                </c:pt>
                <c:pt idx="16">
                  <c:v>6698.86293247494</c:v>
                </c:pt>
                <c:pt idx="17">
                  <c:v>6740.78772373631</c:v>
                </c:pt>
                <c:pt idx="18">
                  <c:v>6781.61299110982</c:v>
                </c:pt>
                <c:pt idx="19">
                  <c:v>6821.35364379104</c:v>
                </c:pt>
                <c:pt idx="20">
                  <c:v>6860.02442279793</c:v>
                </c:pt>
                <c:pt idx="21">
                  <c:v>6897.6399027075</c:v>
                </c:pt>
                <c:pt idx="22">
                  <c:v>6934.21449337546</c:v>
                </c:pt>
                <c:pt idx="23">
                  <c:v>6969.76244163896</c:v>
                </c:pt>
                <c:pt idx="24">
                  <c:v>7004.29783300267</c:v>
                </c:pt>
                <c:pt idx="25">
                  <c:v>7037.8345933083</c:v>
                </c:pt>
                <c:pt idx="26">
                  <c:v>7070.38649038772</c:v>
                </c:pt>
                <c:pt idx="27">
                  <c:v>7101.9671356999</c:v>
                </c:pt>
                <c:pt idx="28">
                  <c:v>7132.5899859517</c:v>
                </c:pt>
                <c:pt idx="29">
                  <c:v>7162.26834470279</c:v>
                </c:pt>
                <c:pt idx="30">
                  <c:v>7191.01536395476</c:v>
                </c:pt>
              </c:numCache>
            </c:numRef>
          </c:val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Summary!$F$233:$F$263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57921565"/>
        <c:axId val="37440902"/>
      </c:areaChart>
      <c:catAx>
        <c:axId val="57921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440902"/>
        <c:crosses val="autoZero"/>
        <c:auto val="1"/>
        <c:lblAlgn val="ctr"/>
        <c:lblOffset val="100"/>
        <c:noMultiLvlLbl val="0"/>
      </c:catAx>
      <c:valAx>
        <c:axId val="374409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92156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Water supply mix (M m³/yr)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6039.69216283995</c:v>
                </c:pt>
                <c:pt idx="1">
                  <c:v>6111.72311176509</c:v>
                </c:pt>
                <c:pt idx="2">
                  <c:v>6182.04229400503</c:v>
                </c:pt>
                <c:pt idx="3">
                  <c:v>6250.68929288096</c:v>
                </c:pt>
                <c:pt idx="4">
                  <c:v>6317.70349843286</c:v>
                </c:pt>
                <c:pt idx="5">
                  <c:v>6383.12411713091</c:v>
                </c:pt>
                <c:pt idx="6">
                  <c:v>6446.99018159496</c:v>
                </c:pt>
                <c:pt idx="7">
                  <c:v>6564.09056032558</c:v>
                </c:pt>
                <c:pt idx="8">
                  <c:v>6679.71396744968</c:v>
                </c:pt>
                <c:pt idx="9">
                  <c:v>6793.89897248399</c:v>
                </c:pt>
                <c:pt idx="10">
                  <c:v>6906.68401011967</c:v>
                </c:pt>
                <c:pt idx="11">
                  <c:v>7018.10739003118</c:v>
                </c:pt>
                <c:pt idx="12">
                  <c:v>7128.20730671283</c:v>
                </c:pt>
                <c:pt idx="13">
                  <c:v>7237.02184934617</c:v>
                </c:pt>
                <c:pt idx="14">
                  <c:v>7344.58901170152</c:v>
                </c:pt>
                <c:pt idx="15">
                  <c:v>7435.37493247342</c:v>
                </c:pt>
                <c:pt idx="16">
                  <c:v>7517.47943600126</c:v>
                </c:pt>
                <c:pt idx="17">
                  <c:v>7598.63082453352</c:v>
                </c:pt>
                <c:pt idx="18">
                  <c:v>7653.64095211423</c:v>
                </c:pt>
                <c:pt idx="19">
                  <c:v>7700.78847835653</c:v>
                </c:pt>
                <c:pt idx="20">
                  <c:v>7746.91514294119</c:v>
                </c:pt>
                <c:pt idx="21">
                  <c:v>7792.05855257648</c:v>
                </c:pt>
                <c:pt idx="22">
                  <c:v>7836.25629940496</c:v>
                </c:pt>
                <c:pt idx="23">
                  <c:v>7879.54597136463</c:v>
                </c:pt>
                <c:pt idx="24">
                  <c:v>7921.96516261847</c:v>
                </c:pt>
                <c:pt idx="25">
                  <c:v>7963.55148405609</c:v>
                </c:pt>
                <c:pt idx="26">
                  <c:v>8004.34257387094</c:v>
                </c:pt>
                <c:pt idx="27">
                  <c:v>8044.3761082168</c:v>
                </c:pt>
                <c:pt idx="28">
                  <c:v>8083.68981194725</c:v>
                </c:pt>
                <c:pt idx="29">
                  <c:v>8122.32146944188</c:v>
                </c:pt>
                <c:pt idx="30">
                  <c:v>8160.30893552286</c:v>
                </c:pt>
              </c:numCache>
            </c:numRef>
          </c:val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875.8848</c:v>
                </c:pt>
                <c:pt idx="3">
                  <c:v>858.367104</c:v>
                </c:pt>
                <c:pt idx="4">
                  <c:v>841.19976192</c:v>
                </c:pt>
                <c:pt idx="5">
                  <c:v>824.3757666816</c:v>
                </c:pt>
                <c:pt idx="6">
                  <c:v>807.888251347968</c:v>
                </c:pt>
                <c:pt idx="7">
                  <c:v>791.730486321009</c:v>
                </c:pt>
                <c:pt idx="8">
                  <c:v>775.895876594588</c:v>
                </c:pt>
                <c:pt idx="9">
                  <c:v>760.377959062697</c:v>
                </c:pt>
                <c:pt idx="10">
                  <c:v>745.170399881443</c:v>
                </c:pt>
                <c:pt idx="11">
                  <c:v>730.266991883814</c:v>
                </c:pt>
                <c:pt idx="12">
                  <c:v>715.661652046137</c:v>
                </c:pt>
                <c:pt idx="13">
                  <c:v>701.348419005215</c:v>
                </c:pt>
                <c:pt idx="14">
                  <c:v>687.32145062511</c:v>
                </c:pt>
                <c:pt idx="15">
                  <c:v>673.575021612608</c:v>
                </c:pt>
                <c:pt idx="16">
                  <c:v>660.103521180356</c:v>
                </c:pt>
                <c:pt idx="17">
                  <c:v>646.901450756749</c:v>
                </c:pt>
                <c:pt idx="18">
                  <c:v>633.963421741614</c:v>
                </c:pt>
                <c:pt idx="19">
                  <c:v>621.284153306782</c:v>
                </c:pt>
                <c:pt idx="20">
                  <c:v>608.858470240646</c:v>
                </c:pt>
                <c:pt idx="21">
                  <c:v>596.681300835833</c:v>
                </c:pt>
                <c:pt idx="22">
                  <c:v>584.747674819116</c:v>
                </c:pt>
                <c:pt idx="23">
                  <c:v>573.052721322734</c:v>
                </c:pt>
                <c:pt idx="24">
                  <c:v>561.591666896279</c:v>
                </c:pt>
                <c:pt idx="25">
                  <c:v>550.359833558354</c:v>
                </c:pt>
                <c:pt idx="26">
                  <c:v>539.352636887187</c:v>
                </c:pt>
                <c:pt idx="27">
                  <c:v>528.565584149443</c:v>
                </c:pt>
                <c:pt idx="28">
                  <c:v>517.994272466454</c:v>
                </c:pt>
                <c:pt idx="29">
                  <c:v>507.634387017125</c:v>
                </c:pt>
                <c:pt idx="30">
                  <c:v>497.481699276783</c:v>
                </c:pt>
              </c:numCache>
            </c:numRef>
          </c:val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20</c:v>
                </c:pt>
                <c:pt idx="1">
                  <c:v>44.3333333333333</c:v>
                </c:pt>
                <c:pt idx="2">
                  <c:v>68.6666666666667</c:v>
                </c:pt>
                <c:pt idx="3">
                  <c:v>93</c:v>
                </c:pt>
                <c:pt idx="4">
                  <c:v>117.333333333333</c:v>
                </c:pt>
                <c:pt idx="5">
                  <c:v>141.666666666667</c:v>
                </c:pt>
                <c:pt idx="6">
                  <c:v>166</c:v>
                </c:pt>
                <c:pt idx="7">
                  <c:v>190.333333333333</c:v>
                </c:pt>
                <c:pt idx="8">
                  <c:v>214.666666666667</c:v>
                </c:pt>
                <c:pt idx="9">
                  <c:v>239</c:v>
                </c:pt>
                <c:pt idx="10">
                  <c:v>263.333333333333</c:v>
                </c:pt>
                <c:pt idx="11">
                  <c:v>287.666666666667</c:v>
                </c:pt>
                <c:pt idx="12">
                  <c:v>312</c:v>
                </c:pt>
                <c:pt idx="13">
                  <c:v>336.333333333333</c:v>
                </c:pt>
                <c:pt idx="14">
                  <c:v>360.666666666667</c:v>
                </c:pt>
                <c:pt idx="15">
                  <c:v>400.571769603625</c:v>
                </c:pt>
                <c:pt idx="16">
                  <c:v>447.986650610717</c:v>
                </c:pt>
                <c:pt idx="17">
                  <c:v>440.470774777138</c:v>
                </c:pt>
                <c:pt idx="18">
                  <c:v>458</c:v>
                </c:pt>
                <c:pt idx="19">
                  <c:v>482.333333333333</c:v>
                </c:pt>
                <c:pt idx="20">
                  <c:v>506.666666666667</c:v>
                </c:pt>
                <c:pt idx="21">
                  <c:v>531</c:v>
                </c:pt>
                <c:pt idx="22">
                  <c:v>555.333333333333</c:v>
                </c:pt>
                <c:pt idx="23">
                  <c:v>579.666666666667</c:v>
                </c:pt>
                <c:pt idx="24">
                  <c:v>604</c:v>
                </c:pt>
                <c:pt idx="25">
                  <c:v>628.333333333333</c:v>
                </c:pt>
                <c:pt idx="26">
                  <c:v>652.666666666667</c:v>
                </c:pt>
                <c:pt idx="27">
                  <c:v>677</c:v>
                </c:pt>
                <c:pt idx="28">
                  <c:v>701.333333333333</c:v>
                </c:pt>
                <c:pt idx="29">
                  <c:v>725.666666666667</c:v>
                </c:pt>
                <c:pt idx="30">
                  <c:v>750</c:v>
                </c:pt>
              </c:numCache>
            </c:numRef>
          </c:val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7.84221977495</c:v>
                </c:pt>
                <c:pt idx="1">
                  <c:v>16.9571450538365</c:v>
                </c:pt>
                <c:pt idx="2">
                  <c:v>26.3092212436009</c:v>
                </c:pt>
                <c:pt idx="3">
                  <c:v>35.8942064809066</c:v>
                </c:pt>
                <c:pt idx="4">
                  <c:v>45.7079036046831</c:v>
                </c:pt>
                <c:pt idx="5">
                  <c:v>55.7461597740879</c:v>
                </c:pt>
                <c:pt idx="6">
                  <c:v>66.0048660893765</c:v>
                </c:pt>
                <c:pt idx="7">
                  <c:v>76.47995721566</c:v>
                </c:pt>
                <c:pt idx="8">
                  <c:v>87.1674110095298</c:v>
                </c:pt>
                <c:pt idx="9">
                  <c:v>98.0632481485294</c:v>
                </c:pt>
                <c:pt idx="10">
                  <c:v>109.163531763453</c:v>
                </c:pt>
                <c:pt idx="11">
                  <c:v>120.464367073449</c:v>
                </c:pt>
                <c:pt idx="12">
                  <c:v>131.961901023915</c:v>
                </c:pt>
                <c:pt idx="13">
                  <c:v>143.652321927154</c:v>
                </c:pt>
                <c:pt idx="14">
                  <c:v>155.531859105782</c:v>
                </c:pt>
                <c:pt idx="15">
                  <c:v>167.596782538864</c:v>
                </c:pt>
                <c:pt idx="16">
                  <c:v>179.843402510753</c:v>
                </c:pt>
                <c:pt idx="17">
                  <c:v>192.268069262627</c:v>
                </c:pt>
                <c:pt idx="18">
                  <c:v>204.867172646692</c:v>
                </c:pt>
                <c:pt idx="19">
                  <c:v>217.637141783032</c:v>
                </c:pt>
                <c:pt idx="20">
                  <c:v>230.574444719101</c:v>
                </c:pt>
                <c:pt idx="21">
                  <c:v>243.675588091822</c:v>
                </c:pt>
                <c:pt idx="22">
                  <c:v>256.937116792281</c:v>
                </c:pt>
                <c:pt idx="23">
                  <c:v>270.355613633003</c:v>
                </c:pt>
                <c:pt idx="24">
                  <c:v>283.927699017785</c:v>
                </c:pt>
                <c:pt idx="25">
                  <c:v>297.650030614062</c:v>
                </c:pt>
                <c:pt idx="26">
                  <c:v>311.519303027807</c:v>
                </c:pt>
                <c:pt idx="27">
                  <c:v>325.532247480925</c:v>
                </c:pt>
                <c:pt idx="28">
                  <c:v>339.68563149114</c:v>
                </c:pt>
                <c:pt idx="29">
                  <c:v>353.97625855435</c:v>
                </c:pt>
                <c:pt idx="30">
                  <c:v>368.400967829428</c:v>
                </c:pt>
              </c:numCache>
            </c:numRef>
          </c:val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Summary!$B$122:$B$152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Summary!$G$122:$G$152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58.806</c:v>
                </c:pt>
                <c:pt idx="3">
                  <c:v>58.21794</c:v>
                </c:pt>
                <c:pt idx="4">
                  <c:v>57.6357606</c:v>
                </c:pt>
                <c:pt idx="5">
                  <c:v>57.059402994</c:v>
                </c:pt>
                <c:pt idx="6">
                  <c:v>56.48880896406</c:v>
                </c:pt>
                <c:pt idx="7">
                  <c:v>55.9239208744194</c:v>
                </c:pt>
                <c:pt idx="8">
                  <c:v>55.3646816656752</c:v>
                </c:pt>
                <c:pt idx="9">
                  <c:v>54.8110348490185</c:v>
                </c:pt>
                <c:pt idx="10">
                  <c:v>54.2629245005283</c:v>
                </c:pt>
                <c:pt idx="11">
                  <c:v>53.720295255523</c:v>
                </c:pt>
                <c:pt idx="12">
                  <c:v>53.1830923029678</c:v>
                </c:pt>
                <c:pt idx="13">
                  <c:v>52.6512613799381</c:v>
                </c:pt>
                <c:pt idx="14">
                  <c:v>52.1247487661387</c:v>
                </c:pt>
                <c:pt idx="15">
                  <c:v>51.6035012784773</c:v>
                </c:pt>
                <c:pt idx="16">
                  <c:v>51.0874662656925</c:v>
                </c:pt>
                <c:pt idx="17">
                  <c:v>50.5765916030356</c:v>
                </c:pt>
                <c:pt idx="18">
                  <c:v>50.0708256870053</c:v>
                </c:pt>
                <c:pt idx="19">
                  <c:v>49.5701174301352</c:v>
                </c:pt>
                <c:pt idx="20">
                  <c:v>49.0744162558338</c:v>
                </c:pt>
                <c:pt idx="21">
                  <c:v>48.5836720932755</c:v>
                </c:pt>
                <c:pt idx="22">
                  <c:v>48.0978353723428</c:v>
                </c:pt>
                <c:pt idx="23">
                  <c:v>47.6168570186193</c:v>
                </c:pt>
                <c:pt idx="24">
                  <c:v>47.1406884484331</c:v>
                </c:pt>
                <c:pt idx="25">
                  <c:v>46.6692815639488</c:v>
                </c:pt>
                <c:pt idx="26">
                  <c:v>46.2025887483093</c:v>
                </c:pt>
                <c:pt idx="27">
                  <c:v>45.7405628608262</c:v>
                </c:pt>
                <c:pt idx="28">
                  <c:v>45.283157232218</c:v>
                </c:pt>
                <c:pt idx="29">
                  <c:v>44.8303256598958</c:v>
                </c:pt>
                <c:pt idx="30">
                  <c:v>44.3820224032968</c:v>
                </c:pt>
              </c:numCache>
            </c:numRef>
          </c:val>
        </c:ser>
        <c:gapWidth val="150"/>
        <c:overlap val="100"/>
        <c:axId val="190598"/>
        <c:axId val="49877510"/>
      </c:barChart>
      <c:catAx>
        <c:axId val="19059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77510"/>
        <c:auto val="1"/>
        <c:lblAlgn val="ctr"/>
        <c:lblOffset val="100"/>
        <c:noMultiLvlLbl val="0"/>
      </c:catAx>
      <c:valAx>
        <c:axId val="49877510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 m³/yr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0598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Electricity demand for water supply (GWh/yr)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Summary!$J$122:$J$152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Summary!$K$122:$K$152</c:f>
              <c:numCache>
                <c:formatCode>#,##0.0</c:formatCode>
                <c:ptCount val="31"/>
                <c:pt idx="0">
                  <c:v>2113.89225699398</c:v>
                </c:pt>
                <c:pt idx="1">
                  <c:v>2174.15458564333</c:v>
                </c:pt>
                <c:pt idx="2">
                  <c:v>2235.211576747</c:v>
                </c:pt>
                <c:pt idx="3">
                  <c:v>2297.07849273977</c:v>
                </c:pt>
                <c:pt idx="4">
                  <c:v>2359.77108914251</c:v>
                </c:pt>
                <c:pt idx="5">
                  <c:v>2423.30563390239</c:v>
                </c:pt>
                <c:pt idx="6">
                  <c:v>2487.69892749098</c:v>
                </c:pt>
                <c:pt idx="7">
                  <c:v>2574.23572693265</c:v>
                </c:pt>
                <c:pt idx="8">
                  <c:v>2662.30458016992</c:v>
                </c:pt>
                <c:pt idx="9">
                  <c:v>2751.93836935179</c:v>
                </c:pt>
                <c:pt idx="10">
                  <c:v>2843.17088482662</c:v>
                </c:pt>
                <c:pt idx="11">
                  <c:v>2936.03685486802</c:v>
                </c:pt>
                <c:pt idx="12">
                  <c:v>3026.84441559865</c:v>
                </c:pt>
                <c:pt idx="13">
                  <c:v>3110.22487578026</c:v>
                </c:pt>
                <c:pt idx="14">
                  <c:v>3194.96076049638</c:v>
                </c:pt>
                <c:pt idx="15">
                  <c:v>3281.08191078523</c:v>
                </c:pt>
                <c:pt idx="16">
                  <c:v>3368.61908746334</c:v>
                </c:pt>
                <c:pt idx="17">
                  <c:v>3457.6040042302</c:v>
                </c:pt>
                <c:pt idx="18">
                  <c:v>3548.06936200181</c:v>
                </c:pt>
                <c:pt idx="19">
                  <c:v>3640.04888451867</c:v>
                </c:pt>
                <c:pt idx="20">
                  <c:v>3733.57735527537</c:v>
                </c:pt>
                <c:pt idx="21">
                  <c:v>3828.69065582051</c:v>
                </c:pt>
                <c:pt idx="22">
                  <c:v>3916.80462253794</c:v>
                </c:pt>
                <c:pt idx="23">
                  <c:v>4002.98666058029</c:v>
                </c:pt>
                <c:pt idx="24">
                  <c:v>4090.50903847601</c:v>
                </c:pt>
                <c:pt idx="25">
                  <c:v>4179.40464127379</c:v>
                </c:pt>
                <c:pt idx="26">
                  <c:v>4269.70751457753</c:v>
                </c:pt>
                <c:pt idx="27">
                  <c:v>4361.45290941131</c:v>
                </c:pt>
                <c:pt idx="28">
                  <c:v>4454.67732880059</c:v>
                </c:pt>
                <c:pt idx="29">
                  <c:v>4549.41857613385</c:v>
                </c:pt>
                <c:pt idx="30">
                  <c:v>4645.71580537121</c:v>
                </c:pt>
              </c:numCache>
            </c:numRef>
          </c:val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Summary!$J$122:$J$152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Summary!$L$122:$L$152</c:f>
              <c:numCache>
                <c:formatCode>#,##0.0</c:formatCode>
                <c:ptCount val="31"/>
                <c:pt idx="0">
                  <c:v>1641.6</c:v>
                </c:pt>
                <c:pt idx="1">
                  <c:v>1624.85568</c:v>
                </c:pt>
                <c:pt idx="2">
                  <c:v>1608.282152064</c:v>
                </c:pt>
                <c:pt idx="3">
                  <c:v>1591.87767411295</c:v>
                </c:pt>
                <c:pt idx="4">
                  <c:v>1575.640521837</c:v>
                </c:pt>
                <c:pt idx="5">
                  <c:v>1559.56898851426</c:v>
                </c:pt>
                <c:pt idx="6">
                  <c:v>1543.66138483141</c:v>
                </c:pt>
                <c:pt idx="7">
                  <c:v>1527.91603870613</c:v>
                </c:pt>
                <c:pt idx="8">
                  <c:v>1512.33129511133</c:v>
                </c:pt>
                <c:pt idx="9">
                  <c:v>1496.90551590119</c:v>
                </c:pt>
                <c:pt idx="10">
                  <c:v>1481.637079639</c:v>
                </c:pt>
                <c:pt idx="11">
                  <c:v>1466.52438142668</c:v>
                </c:pt>
                <c:pt idx="12">
                  <c:v>1451.56583273613</c:v>
                </c:pt>
                <c:pt idx="13">
                  <c:v>1436.75986124222</c:v>
                </c:pt>
                <c:pt idx="14">
                  <c:v>1422.10491065755</c:v>
                </c:pt>
                <c:pt idx="15">
                  <c:v>1407.59944056885</c:v>
                </c:pt>
                <c:pt idx="16">
                  <c:v>1393.24192627504</c:v>
                </c:pt>
                <c:pt idx="17">
                  <c:v>1379.03085862704</c:v>
                </c:pt>
                <c:pt idx="18">
                  <c:v>1364.96474386904</c:v>
                </c:pt>
                <c:pt idx="19">
                  <c:v>1351.04210348158</c:v>
                </c:pt>
                <c:pt idx="20">
                  <c:v>1337.26147402607</c:v>
                </c:pt>
                <c:pt idx="21">
                  <c:v>1323.621406991</c:v>
                </c:pt>
                <c:pt idx="22">
                  <c:v>1310.12046863969</c:v>
                </c:pt>
                <c:pt idx="23">
                  <c:v>1296.75723985957</c:v>
                </c:pt>
                <c:pt idx="24">
                  <c:v>1283.530316013</c:v>
                </c:pt>
                <c:pt idx="25">
                  <c:v>1270.43830678967</c:v>
                </c:pt>
                <c:pt idx="26">
                  <c:v>1257.47983606041</c:v>
                </c:pt>
                <c:pt idx="27">
                  <c:v>1244.6535417326</c:v>
                </c:pt>
                <c:pt idx="28">
                  <c:v>1231.95807560692</c:v>
                </c:pt>
                <c:pt idx="29">
                  <c:v>1219.39210323573</c:v>
                </c:pt>
                <c:pt idx="30">
                  <c:v>1206.95430378273</c:v>
                </c:pt>
              </c:numCache>
            </c:numRef>
          </c:val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Summary!$J$122:$J$152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Summary!$M$122:$M$152</c:f>
              <c:numCache>
                <c:formatCode>#,##0.0</c:formatCode>
                <c:ptCount val="31"/>
                <c:pt idx="0">
                  <c:v>70</c:v>
                </c:pt>
                <c:pt idx="1">
                  <c:v>154.427777777778</c:v>
                </c:pt>
                <c:pt idx="2">
                  <c:v>238.044444444444</c:v>
                </c:pt>
                <c:pt idx="3">
                  <c:v>320.85</c:v>
                </c:pt>
                <c:pt idx="4">
                  <c:v>402.844444444444</c:v>
                </c:pt>
                <c:pt idx="5">
                  <c:v>484.027777777778</c:v>
                </c:pt>
                <c:pt idx="6">
                  <c:v>564.4</c:v>
                </c:pt>
                <c:pt idx="7">
                  <c:v>643.961111111111</c:v>
                </c:pt>
                <c:pt idx="8">
                  <c:v>722.711111111111</c:v>
                </c:pt>
                <c:pt idx="9">
                  <c:v>800.65</c:v>
                </c:pt>
                <c:pt idx="10">
                  <c:v>877.777777777778</c:v>
                </c:pt>
                <c:pt idx="11">
                  <c:v>954.094444444445</c:v>
                </c:pt>
                <c:pt idx="12">
                  <c:v>1058.9953157782</c:v>
                </c:pt>
                <c:pt idx="13">
                  <c:v>1232.52285987497</c:v>
                </c:pt>
                <c:pt idx="14">
                  <c:v>1404.25849165888</c:v>
                </c:pt>
                <c:pt idx="15">
                  <c:v>1574.20302283743</c:v>
                </c:pt>
                <c:pt idx="16">
                  <c:v>1742.35721429352</c:v>
                </c:pt>
                <c:pt idx="17">
                  <c:v>1732.6092771142</c:v>
                </c:pt>
                <c:pt idx="18">
                  <c:v>1722.89737360533</c:v>
                </c:pt>
                <c:pt idx="19">
                  <c:v>1713.2221182923</c:v>
                </c:pt>
                <c:pt idx="20">
                  <c:v>1703.58407890686</c:v>
                </c:pt>
                <c:pt idx="21">
                  <c:v>1693.98377736031</c:v>
                </c:pt>
                <c:pt idx="22">
                  <c:v>1740.04444444444</c:v>
                </c:pt>
                <c:pt idx="23">
                  <c:v>1806.62777777778</c:v>
                </c:pt>
                <c:pt idx="24">
                  <c:v>1872.4</c:v>
                </c:pt>
                <c:pt idx="25">
                  <c:v>1937.36111111111</c:v>
                </c:pt>
                <c:pt idx="26">
                  <c:v>2001.51111111111</c:v>
                </c:pt>
                <c:pt idx="27">
                  <c:v>2064.85</c:v>
                </c:pt>
                <c:pt idx="28">
                  <c:v>2127.37777777778</c:v>
                </c:pt>
                <c:pt idx="29">
                  <c:v>2189.09444444444</c:v>
                </c:pt>
                <c:pt idx="30">
                  <c:v>2250</c:v>
                </c:pt>
              </c:numCache>
            </c:numRef>
          </c:val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Summary!$J$122:$J$152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Summary!$N$122:$N$152</c:f>
              <c:numCache>
                <c:formatCode>#,##0.0</c:formatCode>
                <c:ptCount val="31"/>
                <c:pt idx="0">
                  <c:v>6.27377581996</c:v>
                </c:pt>
                <c:pt idx="1">
                  <c:v>6.84578492700784</c:v>
                </c:pt>
                <c:pt idx="2">
                  <c:v>7.42295885087312</c:v>
                </c:pt>
                <c:pt idx="3">
                  <c:v>8.00481593395219</c:v>
                </c:pt>
                <c:pt idx="4">
                  <c:v>8.59088308714526</c:v>
                </c:pt>
                <c:pt idx="5">
                  <c:v>9.1806956877951</c:v>
                </c:pt>
                <c:pt idx="6">
                  <c:v>9.77379747861922</c:v>
                </c:pt>
                <c:pt idx="7">
                  <c:v>10.369740467627</c:v>
                </c:pt>
                <c:pt idx="8">
                  <c:v>10.9680848290137</c:v>
                </c:pt>
                <c:pt idx="9">
                  <c:v>11.5683988050218</c:v>
                </c:pt>
                <c:pt idx="10">
                  <c:v>12.1702586087633</c:v>
                </c:pt>
                <c:pt idx="11">
                  <c:v>12.7732483279922</c:v>
                </c:pt>
                <c:pt idx="12">
                  <c:v>13.3769598298215</c:v>
                </c:pt>
                <c:pt idx="13">
                  <c:v>13.9809926663742</c:v>
                </c:pt>
                <c:pt idx="14">
                  <c:v>14.5849539813624</c:v>
                </c:pt>
                <c:pt idx="15">
                  <c:v>15.1884584175845</c:v>
                </c:pt>
                <c:pt idx="16">
                  <c:v>15.7911280253344</c:v>
                </c:pt>
                <c:pt idx="17">
                  <c:v>16.3925921717129</c:v>
                </c:pt>
                <c:pt idx="18">
                  <c:v>16.9924874508354</c:v>
                </c:pt>
                <c:pt idx="19">
                  <c:v>17.5904575949266</c:v>
                </c:pt>
                <c:pt idx="20">
                  <c:v>18.1861533862953</c:v>
                </c:pt>
                <c:pt idx="21">
                  <c:v>18.7792325701812</c:v>
                </c:pt>
                <c:pt idx="22">
                  <c:v>19.3693597684669</c:v>
                </c:pt>
                <c:pt idx="23">
                  <c:v>19.9562063942465</c:v>
                </c:pt>
                <c:pt idx="24">
                  <c:v>20.539450567244</c:v>
                </c:pt>
                <c:pt idx="25">
                  <c:v>21.1187770300745</c:v>
                </c:pt>
                <c:pt idx="26">
                  <c:v>21.6938770653391</c:v>
                </c:pt>
                <c:pt idx="27">
                  <c:v>22.264448413549</c:v>
                </c:pt>
                <c:pt idx="28">
                  <c:v>22.8301951918689</c:v>
                </c:pt>
                <c:pt idx="29">
                  <c:v>23.3908278136739</c:v>
                </c:pt>
                <c:pt idx="30">
                  <c:v>23.9460629089128</c:v>
                </c:pt>
              </c:numCache>
            </c:numRef>
          </c:val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Summary!$J$122:$J$152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Summary!$O$122:$O$152</c:f>
              <c:numCache>
                <c:formatCode>#,##0.0</c:formatCode>
                <c:ptCount val="31"/>
                <c:pt idx="0">
                  <c:v>3843.76603281394</c:v>
                </c:pt>
                <c:pt idx="1">
                  <c:v>3972.16382834811</c:v>
                </c:pt>
                <c:pt idx="2">
                  <c:v>4100.72233210631</c:v>
                </c:pt>
                <c:pt idx="3">
                  <c:v>4229.45457078667</c:v>
                </c:pt>
                <c:pt idx="4">
                  <c:v>4358.37409063109</c:v>
                </c:pt>
                <c:pt idx="5">
                  <c:v>4487.49497648102</c:v>
                </c:pt>
                <c:pt idx="6">
                  <c:v>4616.83187159383</c:v>
                </c:pt>
                <c:pt idx="7">
                  <c:v>4767.6674013924</c:v>
                </c:pt>
                <c:pt idx="8">
                  <c:v>4919.3880075545</c:v>
                </c:pt>
                <c:pt idx="9">
                  <c:v>5072.02449102781</c:v>
                </c:pt>
                <c:pt idx="10">
                  <c:v>5225.60858575227</c:v>
                </c:pt>
                <c:pt idx="11">
                  <c:v>5380.17298811825</c:v>
                </c:pt>
                <c:pt idx="12">
                  <c:v>5561.4191424034</c:v>
                </c:pt>
                <c:pt idx="13">
                  <c:v>5804.01884183982</c:v>
                </c:pt>
                <c:pt idx="14">
                  <c:v>6046.3340665474</c:v>
                </c:pt>
                <c:pt idx="15">
                  <c:v>6288.39353286479</c:v>
                </c:pt>
                <c:pt idx="16">
                  <c:v>6530.22684931038</c:v>
                </c:pt>
                <c:pt idx="17">
                  <c:v>6595.75205046376</c:v>
                </c:pt>
                <c:pt idx="18">
                  <c:v>6662.93813206442</c:v>
                </c:pt>
                <c:pt idx="19">
                  <c:v>6731.8175873735</c:v>
                </c:pt>
                <c:pt idx="20">
                  <c:v>6802.42394484576</c:v>
                </c:pt>
                <c:pt idx="21">
                  <c:v>6874.79180716066</c:v>
                </c:pt>
                <c:pt idx="22">
                  <c:v>6995.95846246502</c:v>
                </c:pt>
                <c:pt idx="23">
                  <c:v>7135.8512560156</c:v>
                </c:pt>
                <c:pt idx="24">
                  <c:v>7276.40694274594</c:v>
                </c:pt>
                <c:pt idx="25">
                  <c:v>7417.65669251744</c:v>
                </c:pt>
                <c:pt idx="26">
                  <c:v>7559.63285656406</c:v>
                </c:pt>
                <c:pt idx="27">
                  <c:v>7702.36901212962</c:v>
                </c:pt>
                <c:pt idx="28">
                  <c:v>7845.90000882361</c:v>
                </c:pt>
                <c:pt idx="29">
                  <c:v>7990.26201675968</c:v>
                </c:pt>
                <c:pt idx="30">
                  <c:v>8135.49257654351</c:v>
                </c:pt>
              </c:numCache>
            </c:numRef>
          </c:val>
        </c:ser>
        <c:ser>
          <c:idx val="5"/>
          <c:order val="5"/>
          <c:tx>
            <c:strRef>
              <c:f>Summary!$P$121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Summary!$J$122:$J$152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Summary!$P$122:$P$152</c:f>
              <c:numCache>
                <c:formatCode>#,##0.0</c:formatCode>
                <c:ptCount val="31"/>
                <c:pt idx="0">
                  <c:v>12</c:v>
                </c:pt>
                <c:pt idx="1">
                  <c:v>11.88</c:v>
                </c:pt>
                <c:pt idx="2">
                  <c:v>11.7612</c:v>
                </c:pt>
                <c:pt idx="3">
                  <c:v>11.643588</c:v>
                </c:pt>
                <c:pt idx="4">
                  <c:v>11.52715212</c:v>
                </c:pt>
                <c:pt idx="5">
                  <c:v>11.4118805988</c:v>
                </c:pt>
                <c:pt idx="6">
                  <c:v>11.297761792812</c:v>
                </c:pt>
                <c:pt idx="7">
                  <c:v>11.1847841748839</c:v>
                </c:pt>
                <c:pt idx="8">
                  <c:v>11.072936333135</c:v>
                </c:pt>
                <c:pt idx="9">
                  <c:v>10.9622069698037</c:v>
                </c:pt>
                <c:pt idx="10">
                  <c:v>10.8525849001057</c:v>
                </c:pt>
                <c:pt idx="11">
                  <c:v>10.7440590511046</c:v>
                </c:pt>
                <c:pt idx="12">
                  <c:v>10.6366184605936</c:v>
                </c:pt>
                <c:pt idx="13">
                  <c:v>10.5302522759876</c:v>
                </c:pt>
                <c:pt idx="14">
                  <c:v>10.4249497532277</c:v>
                </c:pt>
                <c:pt idx="15">
                  <c:v>10.3207002556955</c:v>
                </c:pt>
                <c:pt idx="16">
                  <c:v>10.2174932531385</c:v>
                </c:pt>
                <c:pt idx="17">
                  <c:v>10.1153183206071</c:v>
                </c:pt>
                <c:pt idx="18">
                  <c:v>10.0141651374011</c:v>
                </c:pt>
                <c:pt idx="19">
                  <c:v>9.91402348602704</c:v>
                </c:pt>
                <c:pt idx="20">
                  <c:v>9.81488325116677</c:v>
                </c:pt>
                <c:pt idx="21">
                  <c:v>9.7167344186551</c:v>
                </c:pt>
                <c:pt idx="22">
                  <c:v>9.61956707446855</c:v>
                </c:pt>
                <c:pt idx="23">
                  <c:v>9.52337140372386</c:v>
                </c:pt>
                <c:pt idx="24">
                  <c:v>9.42813768968663</c:v>
                </c:pt>
                <c:pt idx="25">
                  <c:v>9.33385631278976</c:v>
                </c:pt>
                <c:pt idx="26">
                  <c:v>9.24051774966186</c:v>
                </c:pt>
                <c:pt idx="27">
                  <c:v>9.14811257216524</c:v>
                </c:pt>
                <c:pt idx="28">
                  <c:v>9.05663144644359</c:v>
                </c:pt>
                <c:pt idx="29">
                  <c:v>8.96606513197916</c:v>
                </c:pt>
                <c:pt idx="30">
                  <c:v>8.87640448065936</c:v>
                </c:pt>
              </c:numCache>
            </c:numRef>
          </c:val>
        </c:ser>
        <c:gapWidth val="150"/>
        <c:overlap val="0"/>
        <c:axId val="19503501"/>
        <c:axId val="34974446"/>
      </c:barChart>
      <c:catAx>
        <c:axId val="1950350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74446"/>
        <c:auto val="1"/>
        <c:lblAlgn val="ctr"/>
        <c:lblOffset val="100"/>
        <c:noMultiLvlLbl val="0"/>
      </c:catAx>
      <c:valAx>
        <c:axId val="34974446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GWh/yr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503501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Water demand by sector (M m³/yr)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Summary!$C$202:$C$232</c:f>
              <c:numCache>
                <c:formatCode>#,##0.0</c:formatCode>
                <c:ptCount val="31"/>
                <c:pt idx="0">
                  <c:v>784.221977495</c:v>
                </c:pt>
                <c:pt idx="1">
                  <c:v>794.866174398587</c:v>
                </c:pt>
                <c:pt idx="2">
                  <c:v>805.384323783702</c:v>
                </c:pt>
                <c:pt idx="3">
                  <c:v>815.777420020605</c:v>
                </c:pt>
                <c:pt idx="4">
                  <c:v>826.046450687044</c:v>
                </c:pt>
                <c:pt idx="5">
                  <c:v>836.192396611319</c:v>
                </c:pt>
                <c:pt idx="6">
                  <c:v>846.216231915084</c:v>
                </c:pt>
                <c:pt idx="7">
                  <c:v>856.118924055895</c:v>
                </c:pt>
                <c:pt idx="8">
                  <c:v>865.901433869501</c:v>
                </c:pt>
                <c:pt idx="9">
                  <c:v>875.564715611869</c:v>
                </c:pt>
                <c:pt idx="10">
                  <c:v>885.109717000968</c:v>
                </c:pt>
                <c:pt idx="11">
                  <c:v>894.537379258284</c:v>
                </c:pt>
                <c:pt idx="12">
                  <c:v>903.848637150102</c:v>
                </c:pt>
                <c:pt idx="13">
                  <c:v>913.044419028521</c:v>
                </c:pt>
                <c:pt idx="14">
                  <c:v>922.125646872227</c:v>
                </c:pt>
                <c:pt idx="15">
                  <c:v>931.09323632702</c:v>
                </c:pt>
                <c:pt idx="16">
                  <c:v>939.948096746093</c:v>
                </c:pt>
                <c:pt idx="17">
                  <c:v>948.691131230068</c:v>
                </c:pt>
                <c:pt idx="18">
                  <c:v>957.323236666784</c:v>
                </c:pt>
                <c:pt idx="19">
                  <c:v>965.845303770852</c:v>
                </c:pt>
                <c:pt idx="20">
                  <c:v>974.258217122963</c:v>
                </c:pt>
                <c:pt idx="21">
                  <c:v>982.562855208958</c:v>
                </c:pt>
                <c:pt idx="22">
                  <c:v>990.760090458665</c:v>
                </c:pt>
                <c:pt idx="23">
                  <c:v>998.850789284495</c:v>
                </c:pt>
                <c:pt idx="24">
                  <c:v>1006.83581211981</c:v>
                </c:pt>
                <c:pt idx="25">
                  <c:v>1014.71601345703</c:v>
                </c:pt>
                <c:pt idx="26">
                  <c:v>1022.49224188558</c:v>
                </c:pt>
                <c:pt idx="27">
                  <c:v>1030.16534012951</c:v>
                </c:pt>
                <c:pt idx="28">
                  <c:v>1037.73614508495</c:v>
                </c:pt>
                <c:pt idx="29">
                  <c:v>1045.20548785733</c:v>
                </c:pt>
                <c:pt idx="30">
                  <c:v>1052.57419379837</c:v>
                </c:pt>
              </c:numCache>
            </c:numRef>
          </c:val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Summary!$D$202:$D$232</c:f>
              <c:numCache>
                <c:formatCode>#,##0.0</c:formatCode>
                <c:ptCount val="31"/>
                <c:pt idx="0">
                  <c:v>389.6270185899</c:v>
                </c:pt>
                <c:pt idx="1">
                  <c:v>403.932968035115</c:v>
                </c:pt>
                <c:pt idx="2">
                  <c:v>418.623578068233</c:v>
                </c:pt>
                <c:pt idx="3">
                  <c:v>433.707989015256</c:v>
                </c:pt>
                <c:pt idx="4">
                  <c:v>449.195544352525</c:v>
                </c:pt>
                <c:pt idx="5">
                  <c:v>465.095795036329</c:v>
                </c:pt>
                <c:pt idx="6">
                  <c:v>481.418503922153</c:v>
                </c:pt>
                <c:pt idx="7">
                  <c:v>498.173650275403</c:v>
                </c:pt>
                <c:pt idx="8">
                  <c:v>515.37143437545</c:v>
                </c:pt>
                <c:pt idx="9">
                  <c:v>533.022282214894</c:v>
                </c:pt>
                <c:pt idx="10">
                  <c:v>551.136850295968</c:v>
                </c:pt>
                <c:pt idx="11">
                  <c:v>569.726030526055</c:v>
                </c:pt>
                <c:pt idx="12">
                  <c:v>588.800955214323</c:v>
                </c:pt>
                <c:pt idx="13">
                  <c:v>608.37300217152</c:v>
                </c:pt>
                <c:pt idx="14">
                  <c:v>628.453799915024</c:v>
                </c:pt>
                <c:pt idx="15">
                  <c:v>649.055232981272</c:v>
                </c:pt>
                <c:pt idx="16">
                  <c:v>670.189447347742</c:v>
                </c:pt>
                <c:pt idx="17">
                  <c:v>691.868855966691</c:v>
                </c:pt>
                <c:pt idx="18">
                  <c:v>714.106144412932</c:v>
                </c:pt>
                <c:pt idx="19">
                  <c:v>736.914276647924</c:v>
                </c:pt>
                <c:pt idx="20">
                  <c:v>760.306500902548</c:v>
                </c:pt>
                <c:pt idx="21">
                  <c:v>784.296355680951</c:v>
                </c:pt>
                <c:pt idx="22">
                  <c:v>808.897675887909</c:v>
                </c:pt>
                <c:pt idx="23">
                  <c:v>834.124599082191</c:v>
                </c:pt>
                <c:pt idx="24">
                  <c:v>859.991571858486</c:v>
                </c:pt>
                <c:pt idx="25">
                  <c:v>886.51335636046</c:v>
                </c:pt>
                <c:pt idx="26">
                  <c:v>913.705036927608</c:v>
                </c:pt>
                <c:pt idx="27">
                  <c:v>941.582026878579</c:v>
                </c:pt>
                <c:pt idx="28">
                  <c:v>970.160075433746</c:v>
                </c:pt>
                <c:pt idx="29">
                  <c:v>999.455274779798</c:v>
                </c:pt>
                <c:pt idx="30">
                  <c:v>1029.48406727925</c:v>
                </c:pt>
              </c:numCache>
            </c:numRef>
          </c:val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Summary!$E$202:$E$232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5927.37444771856</c:v>
                </c:pt>
                <c:pt idx="2">
                  <c:v>5987.70108006336</c:v>
                </c:pt>
                <c:pt idx="3">
                  <c:v>6046.683134326</c:v>
                </c:pt>
                <c:pt idx="4">
                  <c:v>6104.33826285131</c:v>
                </c:pt>
                <c:pt idx="5">
                  <c:v>6160.68392159961</c:v>
                </c:pt>
                <c:pt idx="6">
                  <c:v>6215.73737215912</c:v>
                </c:pt>
                <c:pt idx="7">
                  <c:v>6269.5156837387</c:v>
                </c:pt>
                <c:pt idx="8">
                  <c:v>6322.03573514119</c:v>
                </c:pt>
                <c:pt idx="9">
                  <c:v>6373.31421671747</c:v>
                </c:pt>
                <c:pt idx="10">
                  <c:v>6423.36763230149</c:v>
                </c:pt>
                <c:pt idx="11">
                  <c:v>6472.21230112629</c:v>
                </c:pt>
                <c:pt idx="12">
                  <c:v>6519.86435972143</c:v>
                </c:pt>
                <c:pt idx="13">
                  <c:v>6566.33976379177</c:v>
                </c:pt>
                <c:pt idx="14">
                  <c:v>6611.65429007797</c:v>
                </c:pt>
                <c:pt idx="15">
                  <c:v>6655.8235381987</c:v>
                </c:pt>
                <c:pt idx="16">
                  <c:v>6698.86293247494</c:v>
                </c:pt>
                <c:pt idx="17">
                  <c:v>6740.78772373631</c:v>
                </c:pt>
                <c:pt idx="18">
                  <c:v>6781.61299110982</c:v>
                </c:pt>
                <c:pt idx="19">
                  <c:v>6821.35364379104</c:v>
                </c:pt>
                <c:pt idx="20">
                  <c:v>6860.02442279793</c:v>
                </c:pt>
                <c:pt idx="21">
                  <c:v>6897.6399027075</c:v>
                </c:pt>
                <c:pt idx="22">
                  <c:v>6934.21449337546</c:v>
                </c:pt>
                <c:pt idx="23">
                  <c:v>6969.76244163896</c:v>
                </c:pt>
                <c:pt idx="24">
                  <c:v>7004.29783300267</c:v>
                </c:pt>
                <c:pt idx="25">
                  <c:v>7037.8345933083</c:v>
                </c:pt>
                <c:pt idx="26">
                  <c:v>7070.38649038772</c:v>
                </c:pt>
                <c:pt idx="27">
                  <c:v>7101.9671356999</c:v>
                </c:pt>
                <c:pt idx="28">
                  <c:v>7132.5899859517</c:v>
                </c:pt>
                <c:pt idx="29">
                  <c:v>7162.26834470279</c:v>
                </c:pt>
                <c:pt idx="30">
                  <c:v>7191.01536395476</c:v>
                </c:pt>
              </c:numCache>
            </c:numRef>
          </c:val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Summary!$B$202:$B$232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Summary!$F$202:$F$232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</c:ser>
        <c:gapWidth val="150"/>
        <c:overlap val="100"/>
        <c:axId val="49830679"/>
        <c:axId val="81617005"/>
      </c:barChart>
      <c:catAx>
        <c:axId val="4983067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17005"/>
        <c:auto val="1"/>
        <c:lblAlgn val="ctr"/>
        <c:lblOffset val="100"/>
        <c:noMultiLvlLbl val="0"/>
      </c:catAx>
      <c:valAx>
        <c:axId val="81617005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 m³/yr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30679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42120</xdr:colOff>
      <xdr:row>41</xdr:row>
      <xdr:rowOff>56160</xdr:rowOff>
    </xdr:from>
    <xdr:to>
      <xdr:col>15</xdr:col>
      <xdr:colOff>57600</xdr:colOff>
      <xdr:row>71</xdr:row>
      <xdr:rowOff>187200</xdr:rowOff>
    </xdr:to>
    <xdr:graphicFrame>
      <xdr:nvGraphicFramePr>
        <xdr:cNvPr id="1" name="Chart 1"/>
        <xdr:cNvGraphicFramePr/>
      </xdr:nvGraphicFramePr>
      <xdr:xfrm>
        <a:off x="7383960" y="7895160"/>
        <a:ext cx="7063920" cy="584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395280</xdr:colOff>
      <xdr:row>33</xdr:row>
      <xdr:rowOff>138240</xdr:rowOff>
    </xdr:from>
    <xdr:to>
      <xdr:col>24</xdr:col>
      <xdr:colOff>60480</xdr:colOff>
      <xdr:row>45</xdr:row>
      <xdr:rowOff>82080</xdr:rowOff>
    </xdr:to>
    <xdr:graphicFrame>
      <xdr:nvGraphicFramePr>
        <xdr:cNvPr id="2" name="Chart 1"/>
        <xdr:cNvGraphicFramePr/>
      </xdr:nvGraphicFramePr>
      <xdr:xfrm>
        <a:off x="16747920" y="6453360"/>
        <a:ext cx="6149880" cy="469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59400</xdr:colOff>
      <xdr:row>33</xdr:row>
      <xdr:rowOff>148320</xdr:rowOff>
    </xdr:from>
    <xdr:to>
      <xdr:col>14</xdr:col>
      <xdr:colOff>306360</xdr:colOff>
      <xdr:row>45</xdr:row>
      <xdr:rowOff>71280</xdr:rowOff>
    </xdr:to>
    <xdr:graphicFrame>
      <xdr:nvGraphicFramePr>
        <xdr:cNvPr id="3" name="Chart 2"/>
        <xdr:cNvGraphicFramePr/>
      </xdr:nvGraphicFramePr>
      <xdr:xfrm>
        <a:off x="10491120" y="6463440"/>
        <a:ext cx="6167880" cy="46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387360</xdr:colOff>
      <xdr:row>45</xdr:row>
      <xdr:rowOff>168120</xdr:rowOff>
    </xdr:from>
    <xdr:to>
      <xdr:col>24</xdr:col>
      <xdr:colOff>118080</xdr:colOff>
      <xdr:row>68</xdr:row>
      <xdr:rowOff>133920</xdr:rowOff>
    </xdr:to>
    <xdr:graphicFrame>
      <xdr:nvGraphicFramePr>
        <xdr:cNvPr id="4" name="Chart 3"/>
        <xdr:cNvGraphicFramePr/>
      </xdr:nvGraphicFramePr>
      <xdr:xfrm>
        <a:off x="16740000" y="11236320"/>
        <a:ext cx="6215400" cy="434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68400</xdr:colOff>
      <xdr:row>45</xdr:row>
      <xdr:rowOff>163440</xdr:rowOff>
    </xdr:from>
    <xdr:to>
      <xdr:col>14</xdr:col>
      <xdr:colOff>284400</xdr:colOff>
      <xdr:row>69</xdr:row>
      <xdr:rowOff>36720</xdr:rowOff>
    </xdr:to>
    <xdr:graphicFrame>
      <xdr:nvGraphicFramePr>
        <xdr:cNvPr id="5" name="Chart 4"/>
        <xdr:cNvGraphicFramePr/>
      </xdr:nvGraphicFramePr>
      <xdr:xfrm>
        <a:off x="10500120" y="11231640"/>
        <a:ext cx="6136920" cy="444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67320</xdr:colOff>
      <xdr:row>0</xdr:row>
      <xdr:rowOff>25560</xdr:rowOff>
    </xdr:from>
    <xdr:to>
      <xdr:col>12</xdr:col>
      <xdr:colOff>529920</xdr:colOff>
      <xdr:row>13</xdr:row>
      <xdr:rowOff>37080</xdr:rowOff>
    </xdr:to>
    <xdr:graphicFrame>
      <xdr:nvGraphicFramePr>
        <xdr:cNvPr id="6" name="Chart 5"/>
        <xdr:cNvGraphicFramePr/>
      </xdr:nvGraphicFramePr>
      <xdr:xfrm>
        <a:off x="9512280" y="25560"/>
        <a:ext cx="5396760" cy="251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262080</xdr:colOff>
      <xdr:row>14</xdr:row>
      <xdr:rowOff>17280</xdr:rowOff>
    </xdr:from>
    <xdr:to>
      <xdr:col>16</xdr:col>
      <xdr:colOff>113760</xdr:colOff>
      <xdr:row>27</xdr:row>
      <xdr:rowOff>57600</xdr:rowOff>
    </xdr:to>
    <xdr:graphicFrame>
      <xdr:nvGraphicFramePr>
        <xdr:cNvPr id="7" name="Chart 6"/>
        <xdr:cNvGraphicFramePr/>
      </xdr:nvGraphicFramePr>
      <xdr:xfrm>
        <a:off x="12667320" y="2712960"/>
        <a:ext cx="5396760" cy="251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757800</xdr:colOff>
      <xdr:row>0</xdr:row>
      <xdr:rowOff>72720</xdr:rowOff>
    </xdr:from>
    <xdr:to>
      <xdr:col>20</xdr:col>
      <xdr:colOff>140040</xdr:colOff>
      <xdr:row>13</xdr:row>
      <xdr:rowOff>84240</xdr:rowOff>
    </xdr:to>
    <xdr:graphicFrame>
      <xdr:nvGraphicFramePr>
        <xdr:cNvPr id="8" name="Chart 7"/>
        <xdr:cNvGraphicFramePr/>
      </xdr:nvGraphicFramePr>
      <xdr:xfrm>
        <a:off x="15136920" y="72720"/>
        <a:ext cx="5396760" cy="251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.75" hidden="false" customHeight="true" outlineLevel="0" collapsed="false">
      <c r="A3" s="4" t="s">
        <v>1</v>
      </c>
    </row>
    <row r="4" customFormat="false" ht="34.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.75" hidden="false" customHeight="true" outlineLevel="0" collapsed="false">
      <c r="A6" s="4" t="s">
        <v>3</v>
      </c>
    </row>
    <row r="7" customFormat="false" ht="79.5" hidden="false" customHeight="true" outlineLevel="0" collapsed="false">
      <c r="A7" s="3" t="s">
        <v>4</v>
      </c>
    </row>
    <row r="8" customFormat="false" ht="15" hidden="false" customHeight="true" outlineLevel="0" collapsed="false">
      <c r="A8" s="3"/>
    </row>
    <row r="9" customFormat="false" ht="15.75" hidden="false" customHeight="true" outlineLevel="0" collapsed="false">
      <c r="A9" s="4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23.2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/>
    </row>
    <row r="24" customFormat="false" ht="15.7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/>
    </row>
    <row r="31" customFormat="false" ht="15.75" hidden="false" customHeight="true" outlineLevel="0" collapsed="false">
      <c r="A31" s="4" t="s">
        <v>25</v>
      </c>
    </row>
    <row r="32" customFormat="false" ht="15" hidden="false" customHeight="true" outlineLevel="0" collapsed="false">
      <c r="A32" s="3" t="s">
        <v>26</v>
      </c>
    </row>
    <row r="33" customFormat="false" ht="39" hidden="false" customHeight="true" outlineLevel="0" collapsed="false">
      <c r="A33" s="5" t="s">
        <v>27</v>
      </c>
    </row>
    <row r="34" customFormat="false" ht="26.25" hidden="false" customHeight="true" outlineLevel="0" collapsed="false">
      <c r="A34" s="5" t="s">
        <v>28</v>
      </c>
    </row>
    <row r="35" customFormat="false" ht="15" hidden="false" customHeight="true" outlineLevel="0" collapsed="false">
      <c r="A35" s="5" t="s">
        <v>29</v>
      </c>
    </row>
    <row r="36" customFormat="false" ht="15" hidden="false" customHeight="true" outlineLevel="0" collapsed="false">
      <c r="A36" s="5" t="s">
        <v>30</v>
      </c>
    </row>
    <row r="37" customFormat="false" ht="15" hidden="false" customHeight="true" outlineLevel="0" collapsed="false">
      <c r="A37" s="5" t="s">
        <v>31</v>
      </c>
    </row>
    <row r="38" customFormat="false" ht="26.25" hidden="false" customHeight="true" outlineLevel="0" collapsed="false">
      <c r="A38" s="5" t="s">
        <v>32</v>
      </c>
    </row>
    <row r="39" customFormat="false" ht="26.25" hidden="false" customHeight="true" outlineLevel="0" collapsed="false">
      <c r="A39" s="5" t="s">
        <v>33</v>
      </c>
    </row>
    <row r="40" customFormat="false" ht="15" hidden="false" customHeight="true" outlineLevel="0" collapsed="false">
      <c r="A40" s="5" t="s">
        <v>34</v>
      </c>
    </row>
    <row r="41" customFormat="false" ht="26.25" hidden="false" customHeight="true" outlineLevel="0" collapsed="false">
      <c r="A41" s="5" t="s">
        <v>35</v>
      </c>
    </row>
    <row r="42" customFormat="false" ht="15" hidden="false" customHeight="true" outlineLevel="0" collapsed="false">
      <c r="A42" s="3" t="s">
        <v>36</v>
      </c>
    </row>
    <row r="43" customFormat="false" ht="26.25" hidden="false" customHeight="true" outlineLevel="0" collapsed="false">
      <c r="A43" s="5" t="s">
        <v>37</v>
      </c>
    </row>
    <row r="44" customFormat="false" ht="26.25" hidden="false" customHeight="true" outlineLevel="0" collapsed="false">
      <c r="A44" s="5" t="s">
        <v>38</v>
      </c>
    </row>
    <row r="45" customFormat="false" ht="15" hidden="false" customHeight="true" outlineLevel="0" collapsed="false">
      <c r="A45" s="3"/>
    </row>
    <row r="46" customFormat="false" ht="15.75" hidden="false" customHeight="true" outlineLevel="0" collapsed="false">
      <c r="A46" s="4" t="s">
        <v>39</v>
      </c>
    </row>
    <row r="47" customFormat="false" ht="15" hidden="false" customHeight="true" outlineLevel="0" collapsed="false">
      <c r="A47" s="3" t="s">
        <v>40</v>
      </c>
    </row>
    <row r="48" customFormat="false" ht="34.5" hidden="false" customHeight="true" outlineLevel="0" collapsed="false">
      <c r="A48" s="3" t="s">
        <v>41</v>
      </c>
    </row>
    <row r="49" customFormat="false" ht="23.25" hidden="false" customHeight="true" outlineLevel="0" collapsed="false">
      <c r="A49" s="3" t="s">
        <v>42</v>
      </c>
    </row>
    <row r="50" customFormat="false" ht="15" hidden="false" customHeight="true" outlineLevel="0" collapsed="false">
      <c r="A50" s="3"/>
    </row>
    <row r="51" customFormat="false" ht="15.75" hidden="false" customHeight="true" outlineLevel="0" collapsed="false">
      <c r="A51" s="4" t="s">
        <v>43</v>
      </c>
    </row>
    <row r="52" customFormat="false" ht="15" hidden="false" customHeight="true" outlineLevel="0" collapsed="false">
      <c r="A52" s="3" t="s">
        <v>44</v>
      </c>
    </row>
    <row r="53" customFormat="false" ht="15" hidden="false" customHeight="true" outlineLevel="0" collapsed="false">
      <c r="A53" s="3" t="s">
        <v>45</v>
      </c>
    </row>
    <row r="54" customFormat="false" ht="15" hidden="false" customHeight="true" outlineLevel="0" collapsed="false">
      <c r="A54" s="3" t="s">
        <v>46</v>
      </c>
    </row>
    <row r="55" customFormat="false" ht="15" hidden="false" customHeight="true" outlineLevel="0" collapsed="false">
      <c r="A55" s="3" t="s">
        <v>47</v>
      </c>
    </row>
    <row r="56" customFormat="false" ht="23.25" hidden="false" customHeight="true" outlineLevel="0" collapsed="false">
      <c r="A56" s="3" t="s">
        <v>48</v>
      </c>
    </row>
    <row r="57" customFormat="false" ht="23.25" hidden="false" customHeight="true" outlineLevel="0" collapsed="false">
      <c r="A57" s="3" t="s">
        <v>49</v>
      </c>
    </row>
    <row r="58" customFormat="false" ht="15" hidden="false" customHeight="true" outlineLevel="0" collapsed="false">
      <c r="A58" s="3" t="s">
        <v>50</v>
      </c>
    </row>
    <row r="59" customFormat="false" ht="15" hidden="false" customHeight="true" outlineLevel="0" collapsed="false">
      <c r="A59" s="3"/>
    </row>
    <row r="60" customFormat="false" ht="15.75" hidden="false" customHeight="true" outlineLevel="0" collapsed="false">
      <c r="A60" s="4" t="s">
        <v>51</v>
      </c>
    </row>
    <row r="61" customFormat="false" ht="15" hidden="false" customHeight="true" outlineLevel="0" collapsed="false">
      <c r="A61" s="3" t="s">
        <v>52</v>
      </c>
    </row>
    <row r="62" customFormat="false" ht="15" hidden="false" customHeight="true" outlineLevel="0" collapsed="false">
      <c r="A62" s="3" t="s">
        <v>53</v>
      </c>
    </row>
    <row r="63" customFormat="false" ht="15" hidden="false" customHeight="true" outlineLevel="0" collapsed="false">
      <c r="A63" s="3" t="s">
        <v>54</v>
      </c>
    </row>
    <row r="65" customFormat="false" ht="15" hidden="false" customHeight="true" outlineLevel="0" collapsed="false">
      <c r="A65" s="1" t="s">
        <v>55</v>
      </c>
    </row>
    <row r="68" customFormat="false" ht="15" hidden="false" customHeight="true" outlineLevel="0" collapsed="false">
      <c r="A68" s="1" t="s">
        <v>56</v>
      </c>
    </row>
    <row r="70" customFormat="false" ht="15" hidden="false" customHeight="true" outlineLevel="0" collapsed="false">
      <c r="A70" s="1" t="s">
        <v>57</v>
      </c>
    </row>
    <row r="71" customFormat="false" ht="15" hidden="false" customHeight="true" outlineLevel="0" collapsed="false">
      <c r="A71" s="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5" min="4" style="1" width="50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6" t="s">
        <v>59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60</v>
      </c>
      <c r="B2" s="7"/>
      <c r="C2" s="7"/>
      <c r="D2" s="7"/>
      <c r="E2" s="7"/>
      <c r="F2" s="7"/>
    </row>
    <row r="4" customFormat="false" ht="27.75" hidden="false" customHeight="true" outlineLevel="0" collapsed="false">
      <c r="A4" s="8" t="s">
        <v>61</v>
      </c>
      <c r="B4" s="8" t="s">
        <v>62</v>
      </c>
      <c r="C4" s="8" t="s">
        <v>63</v>
      </c>
      <c r="D4" s="8" t="s">
        <v>64</v>
      </c>
      <c r="E4" s="8" t="s">
        <v>65</v>
      </c>
      <c r="F4" s="8" t="s">
        <v>66</v>
      </c>
    </row>
    <row r="5" customFormat="false" ht="90" hidden="false" customHeight="true" outlineLevel="0" collapsed="false">
      <c r="A5" s="9" t="s">
        <v>67</v>
      </c>
      <c r="B5" s="10" t="s">
        <v>68</v>
      </c>
      <c r="C5" s="9" t="s">
        <v>69</v>
      </c>
      <c r="D5" s="9" t="s">
        <v>70</v>
      </c>
      <c r="E5" s="9" t="s">
        <v>71</v>
      </c>
      <c r="F5" s="9" t="s">
        <v>72</v>
      </c>
    </row>
    <row r="6" customFormat="false" ht="90" hidden="false" customHeight="true" outlineLevel="0" collapsed="false">
      <c r="A6" s="9" t="s">
        <v>73</v>
      </c>
      <c r="B6" s="10" t="s">
        <v>68</v>
      </c>
      <c r="C6" s="9" t="s">
        <v>74</v>
      </c>
      <c r="D6" s="9" t="s">
        <v>75</v>
      </c>
      <c r="E6" s="9" t="s">
        <v>76</v>
      </c>
      <c r="F6" s="9" t="s">
        <v>77</v>
      </c>
    </row>
    <row r="7" customFormat="false" ht="90" hidden="false" customHeight="true" outlineLevel="0" collapsed="false">
      <c r="A7" s="9" t="s">
        <v>78</v>
      </c>
      <c r="B7" s="10" t="s">
        <v>68</v>
      </c>
      <c r="C7" s="9" t="s">
        <v>79</v>
      </c>
      <c r="D7" s="9" t="s">
        <v>80</v>
      </c>
      <c r="E7" s="9" t="s">
        <v>81</v>
      </c>
      <c r="F7" s="9" t="s">
        <v>82</v>
      </c>
    </row>
    <row r="8" customFormat="false" ht="90" hidden="false" customHeight="true" outlineLevel="0" collapsed="false">
      <c r="A8" s="9" t="s">
        <v>83</v>
      </c>
      <c r="B8" s="10" t="s">
        <v>68</v>
      </c>
      <c r="C8" s="9" t="s">
        <v>84</v>
      </c>
      <c r="D8" s="9" t="s">
        <v>85</v>
      </c>
      <c r="E8" s="9" t="s">
        <v>86</v>
      </c>
      <c r="F8" s="9" t="s">
        <v>87</v>
      </c>
    </row>
    <row r="9" customFormat="false" ht="90" hidden="false" customHeight="true" outlineLevel="0" collapsed="false">
      <c r="A9" s="9" t="s">
        <v>88</v>
      </c>
      <c r="B9" s="10" t="s">
        <v>68</v>
      </c>
      <c r="C9" s="9" t="s">
        <v>89</v>
      </c>
      <c r="D9" s="9" t="s">
        <v>90</v>
      </c>
      <c r="E9" s="9" t="s">
        <v>91</v>
      </c>
      <c r="F9" s="9" t="s">
        <v>92</v>
      </c>
    </row>
    <row r="10" customFormat="false" ht="90" hidden="false" customHeight="true" outlineLevel="0" collapsed="false">
      <c r="A10" s="9" t="s">
        <v>93</v>
      </c>
      <c r="B10" s="10" t="s">
        <v>68</v>
      </c>
      <c r="C10" s="9" t="s">
        <v>94</v>
      </c>
      <c r="D10" s="9" t="s">
        <v>95</v>
      </c>
      <c r="E10" s="9" t="s">
        <v>96</v>
      </c>
      <c r="F10" s="9" t="s">
        <v>97</v>
      </c>
    </row>
    <row r="11" customFormat="false" ht="90" hidden="false" customHeight="true" outlineLevel="0" collapsed="false">
      <c r="A11" s="9" t="s">
        <v>98</v>
      </c>
      <c r="B11" s="11" t="s">
        <v>99</v>
      </c>
      <c r="C11" s="9" t="s">
        <v>100</v>
      </c>
      <c r="D11" s="9" t="s">
        <v>101</v>
      </c>
      <c r="E11" s="9" t="s">
        <v>102</v>
      </c>
      <c r="F11" s="9" t="s">
        <v>103</v>
      </c>
    </row>
    <row r="12" customFormat="false" ht="90" hidden="false" customHeight="true" outlineLevel="0" collapsed="false">
      <c r="A12" s="9" t="s">
        <v>104</v>
      </c>
      <c r="B12" s="11" t="s">
        <v>99</v>
      </c>
      <c r="C12" s="9" t="s">
        <v>105</v>
      </c>
      <c r="D12" s="9" t="s">
        <v>106</v>
      </c>
      <c r="E12" s="9" t="s">
        <v>107</v>
      </c>
      <c r="F12" s="9" t="s">
        <v>108</v>
      </c>
    </row>
    <row r="13" customFormat="false" ht="90" hidden="false" customHeight="true" outlineLevel="0" collapsed="false">
      <c r="A13" s="9" t="s">
        <v>109</v>
      </c>
      <c r="B13" s="11" t="s">
        <v>99</v>
      </c>
      <c r="C13" s="9" t="s">
        <v>110</v>
      </c>
      <c r="D13" s="9" t="s">
        <v>111</v>
      </c>
      <c r="E13" s="9" t="s">
        <v>112</v>
      </c>
      <c r="F13" s="9" t="s">
        <v>113</v>
      </c>
    </row>
    <row r="14" customFormat="false" ht="90" hidden="false" customHeight="true" outlineLevel="0" collapsed="false">
      <c r="A14" s="9" t="s">
        <v>114</v>
      </c>
      <c r="B14" s="11" t="s">
        <v>99</v>
      </c>
      <c r="C14" s="9" t="s">
        <v>115</v>
      </c>
      <c r="D14" s="9" t="s">
        <v>116</v>
      </c>
      <c r="E14" s="9" t="s">
        <v>117</v>
      </c>
      <c r="F14" s="9" t="s">
        <v>118</v>
      </c>
    </row>
    <row r="15" customFormat="false" ht="90" hidden="false" customHeight="true" outlineLevel="0" collapsed="false">
      <c r="A15" s="9" t="s">
        <v>119</v>
      </c>
      <c r="B15" s="11" t="s">
        <v>99</v>
      </c>
      <c r="C15" s="9" t="s">
        <v>120</v>
      </c>
      <c r="D15" s="9" t="s">
        <v>121</v>
      </c>
      <c r="E15" s="9" t="s">
        <v>122</v>
      </c>
      <c r="F15" s="9" t="s">
        <v>123</v>
      </c>
    </row>
    <row r="16" customFormat="false" ht="90" hidden="false" customHeight="true" outlineLevel="0" collapsed="false">
      <c r="A16" s="9" t="s">
        <v>124</v>
      </c>
      <c r="B16" s="11" t="s">
        <v>99</v>
      </c>
      <c r="C16" s="9" t="s">
        <v>125</v>
      </c>
      <c r="D16" s="9" t="s">
        <v>126</v>
      </c>
      <c r="E16" s="9" t="s">
        <v>127</v>
      </c>
      <c r="F16" s="9" t="s">
        <v>128</v>
      </c>
    </row>
    <row r="17" customFormat="false" ht="90" hidden="false" customHeight="true" outlineLevel="0" collapsed="false">
      <c r="A17" s="9" t="s">
        <v>129</v>
      </c>
      <c r="B17" s="12" t="s">
        <v>130</v>
      </c>
      <c r="C17" s="9" t="s">
        <v>131</v>
      </c>
      <c r="D17" s="9" t="s">
        <v>132</v>
      </c>
      <c r="E17" s="9" t="s">
        <v>133</v>
      </c>
      <c r="F17" s="9" t="s">
        <v>92</v>
      </c>
    </row>
    <row r="18" customFormat="false" ht="90" hidden="false" customHeight="true" outlineLevel="0" collapsed="false">
      <c r="A18" s="9" t="s">
        <v>134</v>
      </c>
      <c r="B18" s="12" t="s">
        <v>130</v>
      </c>
      <c r="C18" s="9" t="s">
        <v>135</v>
      </c>
      <c r="D18" s="9" t="s">
        <v>136</v>
      </c>
      <c r="E18" s="9" t="s">
        <v>137</v>
      </c>
      <c r="F18" s="9" t="s">
        <v>138</v>
      </c>
    </row>
    <row r="19" customFormat="false" ht="90" hidden="false" customHeight="true" outlineLevel="0" collapsed="false">
      <c r="A19" s="9" t="s">
        <v>139</v>
      </c>
      <c r="B19" s="12" t="s">
        <v>130</v>
      </c>
      <c r="C19" s="9" t="s">
        <v>140</v>
      </c>
      <c r="D19" s="9" t="s">
        <v>141</v>
      </c>
      <c r="E19" s="9" t="s">
        <v>142</v>
      </c>
      <c r="F19" s="9" t="s">
        <v>143</v>
      </c>
    </row>
    <row r="20" customFormat="false" ht="90" hidden="false" customHeight="true" outlineLevel="0" collapsed="false">
      <c r="A20" s="9" t="s">
        <v>144</v>
      </c>
      <c r="B20" s="12" t="s">
        <v>130</v>
      </c>
      <c r="C20" s="9" t="s">
        <v>145</v>
      </c>
      <c r="D20" s="9" t="s">
        <v>146</v>
      </c>
      <c r="E20" s="9" t="s">
        <v>147</v>
      </c>
      <c r="F20" s="9" t="s">
        <v>148</v>
      </c>
    </row>
    <row r="21" customFormat="false" ht="90" hidden="false" customHeight="true" outlineLevel="0" collapsed="false">
      <c r="A21" s="9" t="s">
        <v>149</v>
      </c>
      <c r="B21" s="12" t="s">
        <v>150</v>
      </c>
      <c r="C21" s="9" t="s">
        <v>151</v>
      </c>
      <c r="D21" s="9" t="s">
        <v>152</v>
      </c>
      <c r="E21" s="9" t="s">
        <v>153</v>
      </c>
      <c r="F21" s="9" t="s">
        <v>154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6" min="5" style="1" width="38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17.25" hidden="false" customHeight="true" outlineLevel="0" collapsed="false">
      <c r="A1" s="6" t="s">
        <v>155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7" t="s">
        <v>156</v>
      </c>
      <c r="B2" s="7"/>
      <c r="C2" s="7"/>
      <c r="D2" s="7"/>
      <c r="E2" s="7"/>
      <c r="F2" s="7"/>
      <c r="G2" s="7"/>
      <c r="H2" s="7"/>
    </row>
    <row r="4" customFormat="false" ht="31.5" hidden="false" customHeight="true" outlineLevel="0" collapsed="false">
      <c r="A4" s="8" t="s">
        <v>61</v>
      </c>
      <c r="B4" s="8" t="s">
        <v>157</v>
      </c>
      <c r="C4" s="8" t="s">
        <v>158</v>
      </c>
      <c r="D4" s="8" t="s">
        <v>159</v>
      </c>
      <c r="E4" s="8" t="s">
        <v>160</v>
      </c>
      <c r="F4" s="8" t="s">
        <v>161</v>
      </c>
      <c r="G4" s="8" t="s">
        <v>162</v>
      </c>
      <c r="H4" s="8" t="s">
        <v>163</v>
      </c>
    </row>
    <row r="5" customFormat="false" ht="90" hidden="false" customHeight="true" outlineLevel="0" collapsed="false">
      <c r="A5" s="9" t="s">
        <v>164</v>
      </c>
      <c r="B5" s="9" t="s">
        <v>165</v>
      </c>
      <c r="C5" s="9" t="s">
        <v>166</v>
      </c>
      <c r="D5" s="9" t="s">
        <v>167</v>
      </c>
      <c r="E5" s="9" t="s">
        <v>168</v>
      </c>
      <c r="F5" s="9" t="s">
        <v>169</v>
      </c>
      <c r="G5" s="10" t="s">
        <v>170</v>
      </c>
      <c r="H5" s="9" t="s">
        <v>171</v>
      </c>
    </row>
    <row r="6" customFormat="false" ht="90" hidden="false" customHeight="true" outlineLevel="0" collapsed="false">
      <c r="A6" s="9" t="s">
        <v>172</v>
      </c>
      <c r="B6" s="9" t="s">
        <v>173</v>
      </c>
      <c r="C6" s="9" t="s">
        <v>174</v>
      </c>
      <c r="D6" s="9" t="s">
        <v>175</v>
      </c>
      <c r="E6" s="9" t="s">
        <v>176</v>
      </c>
      <c r="F6" s="9" t="s">
        <v>177</v>
      </c>
      <c r="G6" s="13" t="s">
        <v>178</v>
      </c>
      <c r="H6" s="9" t="s">
        <v>179</v>
      </c>
    </row>
    <row r="7" customFormat="false" ht="90" hidden="false" customHeight="true" outlineLevel="0" collapsed="false">
      <c r="A7" s="9" t="s">
        <v>180</v>
      </c>
      <c r="B7" s="9" t="s">
        <v>181</v>
      </c>
      <c r="C7" s="9" t="s">
        <v>182</v>
      </c>
      <c r="D7" s="9" t="s">
        <v>167</v>
      </c>
      <c r="E7" s="9" t="s">
        <v>183</v>
      </c>
      <c r="F7" s="9" t="s">
        <v>184</v>
      </c>
      <c r="G7" s="11" t="s">
        <v>185</v>
      </c>
      <c r="H7" s="9" t="s">
        <v>186</v>
      </c>
    </row>
    <row r="8" customFormat="false" ht="90" hidden="false" customHeight="true" outlineLevel="0" collapsed="false">
      <c r="A8" s="9" t="s">
        <v>187</v>
      </c>
      <c r="B8" s="9" t="s">
        <v>188</v>
      </c>
      <c r="C8" s="9" t="s">
        <v>189</v>
      </c>
      <c r="D8" s="9" t="s">
        <v>175</v>
      </c>
      <c r="E8" s="9" t="s">
        <v>190</v>
      </c>
      <c r="F8" s="9" t="s">
        <v>191</v>
      </c>
      <c r="G8" s="13" t="s">
        <v>178</v>
      </c>
      <c r="H8" s="9" t="s">
        <v>192</v>
      </c>
    </row>
    <row r="9" customFormat="false" ht="90" hidden="false" customHeight="true" outlineLevel="0" collapsed="false">
      <c r="A9" s="9" t="s">
        <v>193</v>
      </c>
      <c r="B9" s="9" t="s">
        <v>194</v>
      </c>
      <c r="C9" s="9" t="s">
        <v>195</v>
      </c>
      <c r="D9" s="9" t="s">
        <v>167</v>
      </c>
      <c r="E9" s="9" t="s">
        <v>196</v>
      </c>
      <c r="F9" s="9" t="s">
        <v>197</v>
      </c>
      <c r="G9" s="10" t="s">
        <v>170</v>
      </c>
      <c r="H9" s="9" t="s">
        <v>198</v>
      </c>
    </row>
    <row r="10" customFormat="false" ht="90" hidden="false" customHeight="true" outlineLevel="0" collapsed="false">
      <c r="A10" s="9" t="s">
        <v>199</v>
      </c>
      <c r="B10" s="9" t="s">
        <v>200</v>
      </c>
      <c r="C10" s="9" t="s">
        <v>201</v>
      </c>
      <c r="D10" s="9" t="s">
        <v>167</v>
      </c>
      <c r="E10" s="9" t="s">
        <v>202</v>
      </c>
      <c r="F10" s="9" t="s">
        <v>203</v>
      </c>
      <c r="G10" s="13" t="s">
        <v>178</v>
      </c>
      <c r="H10" s="9" t="s">
        <v>204</v>
      </c>
    </row>
    <row r="11" customFormat="false" ht="90" hidden="false" customHeight="true" outlineLevel="0" collapsed="false">
      <c r="A11" s="9" t="s">
        <v>205</v>
      </c>
      <c r="B11" s="9" t="s">
        <v>206</v>
      </c>
      <c r="C11" s="9" t="s">
        <v>207</v>
      </c>
      <c r="D11" s="9" t="s">
        <v>167</v>
      </c>
      <c r="E11" s="9" t="s">
        <v>208</v>
      </c>
      <c r="F11" s="9" t="s">
        <v>209</v>
      </c>
      <c r="G11" s="13" t="s">
        <v>178</v>
      </c>
      <c r="H11" s="9" t="s">
        <v>210</v>
      </c>
    </row>
    <row r="12" customFormat="false" ht="90" hidden="false" customHeight="true" outlineLevel="0" collapsed="false">
      <c r="A12" s="9" t="s">
        <v>211</v>
      </c>
      <c r="B12" s="9" t="s">
        <v>212</v>
      </c>
      <c r="C12" s="9" t="s">
        <v>213</v>
      </c>
      <c r="D12" s="9" t="s">
        <v>167</v>
      </c>
      <c r="E12" s="9" t="s">
        <v>214</v>
      </c>
      <c r="F12" s="9" t="s">
        <v>215</v>
      </c>
      <c r="G12" s="13" t="s">
        <v>178</v>
      </c>
      <c r="H12" s="9" t="s">
        <v>192</v>
      </c>
    </row>
    <row r="13" customFormat="false" ht="90" hidden="false" customHeight="true" outlineLevel="0" collapsed="false">
      <c r="A13" s="9" t="s">
        <v>216</v>
      </c>
      <c r="B13" s="9" t="s">
        <v>217</v>
      </c>
      <c r="C13" s="9" t="s">
        <v>218</v>
      </c>
      <c r="D13" s="9" t="s">
        <v>219</v>
      </c>
      <c r="E13" s="9" t="s">
        <v>220</v>
      </c>
      <c r="F13" s="9" t="s">
        <v>221</v>
      </c>
      <c r="G13" s="11" t="s">
        <v>222</v>
      </c>
      <c r="H13" s="9" t="s">
        <v>223</v>
      </c>
    </row>
    <row r="14" customFormat="false" ht="90" hidden="false" customHeight="true" outlineLevel="0" collapsed="false">
      <c r="A14" s="9" t="s">
        <v>224</v>
      </c>
      <c r="B14" s="9" t="s">
        <v>225</v>
      </c>
      <c r="C14" s="9" t="s">
        <v>226</v>
      </c>
      <c r="D14" s="9" t="s">
        <v>227</v>
      </c>
      <c r="E14" s="9" t="s">
        <v>228</v>
      </c>
      <c r="F14" s="9" t="s">
        <v>229</v>
      </c>
      <c r="G14" s="10" t="s">
        <v>230</v>
      </c>
      <c r="H14" s="9" t="s">
        <v>231</v>
      </c>
    </row>
    <row r="15" customFormat="false" ht="90" hidden="false" customHeight="true" outlineLevel="0" collapsed="false">
      <c r="A15" s="9" t="s">
        <v>232</v>
      </c>
      <c r="B15" s="9" t="s">
        <v>233</v>
      </c>
      <c r="C15" s="9" t="s">
        <v>234</v>
      </c>
      <c r="D15" s="9" t="s">
        <v>167</v>
      </c>
      <c r="E15" s="9" t="s">
        <v>235</v>
      </c>
      <c r="F15" s="9" t="s">
        <v>236</v>
      </c>
      <c r="G15" s="11" t="s">
        <v>237</v>
      </c>
      <c r="H15" s="9" t="s">
        <v>238</v>
      </c>
    </row>
    <row r="16" customFormat="false" ht="90" hidden="false" customHeight="true" outlineLevel="0" collapsed="false">
      <c r="A16" s="9" t="s">
        <v>239</v>
      </c>
      <c r="B16" s="9" t="s">
        <v>240</v>
      </c>
      <c r="C16" s="9" t="s">
        <v>241</v>
      </c>
      <c r="D16" s="9" t="s">
        <v>242</v>
      </c>
      <c r="E16" s="9" t="s">
        <v>243</v>
      </c>
      <c r="F16" s="9" t="s">
        <v>244</v>
      </c>
      <c r="G16" s="13" t="s">
        <v>178</v>
      </c>
      <c r="H16" s="9" t="s">
        <v>192</v>
      </c>
    </row>
    <row r="17" customFormat="false" ht="90" hidden="false" customHeight="true" outlineLevel="0" collapsed="false">
      <c r="A17" s="9" t="s">
        <v>245</v>
      </c>
      <c r="B17" s="9" t="s">
        <v>246</v>
      </c>
      <c r="C17" s="9" t="s">
        <v>247</v>
      </c>
      <c r="D17" s="9" t="s">
        <v>167</v>
      </c>
      <c r="E17" s="9" t="s">
        <v>248</v>
      </c>
      <c r="F17" s="9" t="s">
        <v>249</v>
      </c>
      <c r="G17" s="11" t="s">
        <v>250</v>
      </c>
      <c r="H17" s="9" t="s">
        <v>251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0"/>
    <col collapsed="false" customWidth="true" hidden="false" outlineLevel="0" max="3" min="3" style="1" width="60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6" t="s">
        <v>252</v>
      </c>
      <c r="B1" s="6"/>
      <c r="C1" s="6"/>
      <c r="D1" s="6"/>
    </row>
    <row r="3" customFormat="false" ht="27.75" hidden="false" customHeight="true" outlineLevel="0" collapsed="false">
      <c r="A3" s="8" t="s">
        <v>253</v>
      </c>
      <c r="B3" s="8" t="s">
        <v>254</v>
      </c>
      <c r="C3" s="8" t="s">
        <v>255</v>
      </c>
      <c r="D3" s="8" t="s">
        <v>256</v>
      </c>
    </row>
    <row r="4" customFormat="false" ht="75" hidden="false" customHeight="true" outlineLevel="0" collapsed="false">
      <c r="A4" s="9" t="s">
        <v>257</v>
      </c>
      <c r="B4" s="9" t="s">
        <v>258</v>
      </c>
      <c r="C4" s="9" t="s">
        <v>259</v>
      </c>
      <c r="D4" s="9" t="s">
        <v>260</v>
      </c>
    </row>
    <row r="5" customFormat="false" ht="75" hidden="false" customHeight="true" outlineLevel="0" collapsed="false">
      <c r="A5" s="9" t="s">
        <v>261</v>
      </c>
      <c r="B5" s="9" t="s">
        <v>262</v>
      </c>
      <c r="C5" s="9" t="s">
        <v>263</v>
      </c>
      <c r="D5" s="9" t="s">
        <v>264</v>
      </c>
    </row>
    <row r="6" customFormat="false" ht="75" hidden="false" customHeight="true" outlineLevel="0" collapsed="false">
      <c r="A6" s="9" t="s">
        <v>265</v>
      </c>
      <c r="B6" s="9" t="s">
        <v>266</v>
      </c>
      <c r="C6" s="9" t="s">
        <v>267</v>
      </c>
      <c r="D6" s="9" t="s">
        <v>268</v>
      </c>
    </row>
    <row r="7" customFormat="false" ht="75" hidden="false" customHeight="true" outlineLevel="0" collapsed="false">
      <c r="A7" s="9" t="s">
        <v>269</v>
      </c>
      <c r="B7" s="9" t="s">
        <v>270</v>
      </c>
      <c r="C7" s="9" t="s">
        <v>271</v>
      </c>
      <c r="D7" s="9" t="s">
        <v>272</v>
      </c>
    </row>
    <row r="8" customFormat="false" ht="75" hidden="false" customHeight="true" outlineLevel="0" collapsed="false">
      <c r="A8" s="9" t="s">
        <v>273</v>
      </c>
      <c r="B8" s="9" t="s">
        <v>274</v>
      </c>
      <c r="C8" s="9" t="s">
        <v>275</v>
      </c>
      <c r="D8" s="9" t="s">
        <v>276</v>
      </c>
    </row>
    <row r="9" customFormat="false" ht="75" hidden="false" customHeight="true" outlineLevel="0" collapsed="false">
      <c r="A9" s="9" t="s">
        <v>277</v>
      </c>
      <c r="B9" s="9" t="s">
        <v>278</v>
      </c>
      <c r="C9" s="9" t="s">
        <v>279</v>
      </c>
      <c r="D9" s="9" t="s">
        <v>280</v>
      </c>
    </row>
    <row r="10" customFormat="false" ht="75" hidden="false" customHeight="true" outlineLevel="0" collapsed="false">
      <c r="A10" s="9" t="s">
        <v>100</v>
      </c>
      <c r="B10" s="9" t="s">
        <v>281</v>
      </c>
      <c r="C10" s="9" t="s">
        <v>282</v>
      </c>
      <c r="D10" s="9" t="s">
        <v>283</v>
      </c>
    </row>
    <row r="11" customFormat="false" ht="75" hidden="false" customHeight="true" outlineLevel="0" collapsed="false">
      <c r="A11" s="9" t="s">
        <v>284</v>
      </c>
      <c r="B11" s="9" t="s">
        <v>285</v>
      </c>
      <c r="C11" s="9" t="s">
        <v>286</v>
      </c>
      <c r="D11" s="9" t="s">
        <v>287</v>
      </c>
    </row>
    <row r="12" customFormat="false" ht="75" hidden="false" customHeight="true" outlineLevel="0" collapsed="false">
      <c r="A12" s="9" t="s">
        <v>115</v>
      </c>
      <c r="B12" s="9" t="s">
        <v>182</v>
      </c>
      <c r="C12" s="9" t="s">
        <v>288</v>
      </c>
      <c r="D12" s="9" t="s">
        <v>289</v>
      </c>
    </row>
    <row r="13" customFormat="false" ht="75" hidden="false" customHeight="true" outlineLevel="0" collapsed="false">
      <c r="A13" s="9" t="s">
        <v>125</v>
      </c>
      <c r="B13" s="9" t="s">
        <v>218</v>
      </c>
      <c r="C13" s="9" t="s">
        <v>290</v>
      </c>
      <c r="D13" s="9" t="s">
        <v>291</v>
      </c>
    </row>
    <row r="14" customFormat="false" ht="75" hidden="false" customHeight="true" outlineLevel="0" collapsed="false">
      <c r="A14" s="9" t="s">
        <v>292</v>
      </c>
      <c r="B14" s="9" t="s">
        <v>293</v>
      </c>
      <c r="C14" s="9" t="s">
        <v>294</v>
      </c>
      <c r="D14" s="9" t="s">
        <v>295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true" showOutlineSymbols="true" defaultGridColor="true" view="normal" topLeftCell="A26" colorId="64" zoomScale="170" zoomScaleNormal="170" zoomScalePageLayoutView="100" workbookViewId="0">
      <selection pane="topLeft" activeCell="B32" activeCellId="0" sqref="B32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60"/>
    <col collapsed="false" customWidth="true" hidden="false" outlineLevel="0" max="7" min="7" style="1" width="11.16"/>
    <col collapsed="false" customWidth="true" hidden="false" outlineLevel="0" max="9" min="9" style="1" width="10.16"/>
  </cols>
  <sheetData>
    <row r="1" customFormat="false" ht="17.25" hidden="false" customHeight="true" outlineLevel="0" collapsed="false">
      <c r="A1" s="14" t="s">
        <v>296</v>
      </c>
      <c r="B1" s="14"/>
      <c r="C1" s="14"/>
      <c r="D1" s="14"/>
    </row>
    <row r="3" customFormat="false" ht="15" hidden="false" customHeight="true" outlineLevel="0" collapsed="false">
      <c r="A3" s="15" t="s">
        <v>297</v>
      </c>
      <c r="B3" s="15" t="s">
        <v>298</v>
      </c>
      <c r="C3" s="15" t="s">
        <v>159</v>
      </c>
      <c r="D3" s="15" t="s">
        <v>299</v>
      </c>
    </row>
    <row r="5" customFormat="false" ht="15" hidden="false" customHeight="true" outlineLevel="0" collapsed="false">
      <c r="A5" s="16" t="s">
        <v>300</v>
      </c>
      <c r="B5" s="16"/>
      <c r="C5" s="16"/>
      <c r="D5" s="16"/>
    </row>
    <row r="6" customFormat="false" ht="15" hidden="false" customHeight="true" outlineLevel="0" collapsed="false">
      <c r="A6" s="17" t="s">
        <v>301</v>
      </c>
      <c r="B6" s="18" t="n">
        <v>6735277</v>
      </c>
      <c r="C6" s="19" t="s">
        <v>302</v>
      </c>
      <c r="D6" s="20" t="s">
        <v>303</v>
      </c>
      <c r="E6" s="1" t="s">
        <v>304</v>
      </c>
    </row>
    <row r="7" customFormat="false" ht="15" hidden="false" customHeight="true" outlineLevel="0" collapsed="false">
      <c r="A7" s="17" t="s">
        <v>305</v>
      </c>
      <c r="B7" s="21" t="n">
        <v>10506952</v>
      </c>
      <c r="C7" s="19" t="s">
        <v>302</v>
      </c>
      <c r="D7" s="20" t="s">
        <v>306</v>
      </c>
      <c r="E7" s="1" t="s">
        <v>304</v>
      </c>
    </row>
    <row r="8" customFormat="false" ht="15" hidden="false" customHeight="true" outlineLevel="0" collapsed="false">
      <c r="A8" s="17" t="s">
        <v>307</v>
      </c>
      <c r="B8" s="22" t="n">
        <v>6357</v>
      </c>
      <c r="C8" s="19" t="s">
        <v>308</v>
      </c>
      <c r="D8" s="20" t="s">
        <v>309</v>
      </c>
      <c r="E8" s="1" t="s">
        <v>304</v>
      </c>
    </row>
    <row r="9" customFormat="false" ht="15" hidden="false" customHeight="true" outlineLevel="0" collapsed="false">
      <c r="A9" s="17" t="s">
        <v>310</v>
      </c>
      <c r="B9" s="23" t="n">
        <v>0.028</v>
      </c>
      <c r="C9" s="19" t="s">
        <v>175</v>
      </c>
      <c r="D9" s="20" t="s">
        <v>306</v>
      </c>
      <c r="E9" s="1" t="s">
        <v>304</v>
      </c>
    </row>
    <row r="11" customFormat="false" ht="15" hidden="false" customHeight="true" outlineLevel="0" collapsed="false">
      <c r="A11" s="16" t="s">
        <v>311</v>
      </c>
      <c r="B11" s="16"/>
      <c r="C11" s="16"/>
      <c r="D11" s="16"/>
    </row>
    <row r="12" customFormat="false" ht="15" hidden="false" customHeight="true" outlineLevel="0" collapsed="false">
      <c r="A12" s="17" t="s">
        <v>312</v>
      </c>
      <c r="B12" s="24" t="n">
        <v>319</v>
      </c>
      <c r="C12" s="19" t="s">
        <v>313</v>
      </c>
      <c r="D12" s="20" t="s">
        <v>314</v>
      </c>
    </row>
    <row r="13" customFormat="false" ht="15" hidden="false" customHeight="true" outlineLevel="0" collapsed="false">
      <c r="A13" s="17" t="s">
        <v>315</v>
      </c>
      <c r="B13" s="22" t="n">
        <v>-0.005</v>
      </c>
      <c r="C13" s="19" t="s">
        <v>175</v>
      </c>
      <c r="D13" s="20" t="s">
        <v>316</v>
      </c>
    </row>
    <row r="14" customFormat="false" ht="15" hidden="false" customHeight="true" outlineLevel="0" collapsed="false">
      <c r="A14" s="17" t="s">
        <v>317</v>
      </c>
      <c r="B14" s="25" t="n">
        <v>9.1</v>
      </c>
      <c r="C14" s="19" t="s">
        <v>318</v>
      </c>
      <c r="D14" s="20" t="s">
        <v>319</v>
      </c>
    </row>
    <row r="15" customFormat="false" ht="15" hidden="false" customHeight="true" outlineLevel="0" collapsed="false">
      <c r="A15" s="17" t="s">
        <v>320</v>
      </c>
      <c r="B15" s="22" t="n">
        <v>-0.01</v>
      </c>
      <c r="C15" s="19" t="s">
        <v>175</v>
      </c>
      <c r="D15" s="20" t="s">
        <v>321</v>
      </c>
    </row>
    <row r="16" customFormat="false" ht="15" hidden="false" customHeight="true" outlineLevel="0" collapsed="false">
      <c r="A16" s="17" t="s">
        <v>322</v>
      </c>
      <c r="B16" s="26" t="n">
        <v>2386</v>
      </c>
      <c r="C16" s="19" t="s">
        <v>313</v>
      </c>
      <c r="D16" s="20" t="s">
        <v>323</v>
      </c>
    </row>
    <row r="17" customFormat="false" ht="15" hidden="false" customHeight="true" outlineLevel="0" collapsed="false">
      <c r="A17" s="17" t="s">
        <v>324</v>
      </c>
      <c r="B17" s="27" t="n">
        <v>-0.008</v>
      </c>
      <c r="C17" s="19" t="s">
        <v>175</v>
      </c>
      <c r="D17" s="20" t="s">
        <v>325</v>
      </c>
    </row>
    <row r="18" customFormat="false" ht="15" hidden="false" customHeight="true" outlineLevel="0" collapsed="false">
      <c r="A18" s="1" t="s">
        <v>326</v>
      </c>
      <c r="B18" s="28" t="n">
        <v>-0.01</v>
      </c>
      <c r="C18" s="1" t="s">
        <v>175</v>
      </c>
      <c r="D18" s="1" t="s">
        <v>327</v>
      </c>
    </row>
    <row r="19" customFormat="false" ht="15" hidden="false" customHeight="true" outlineLevel="0" collapsed="false">
      <c r="A19" s="16" t="s">
        <v>328</v>
      </c>
      <c r="B19" s="16"/>
      <c r="C19" s="16"/>
      <c r="D19" s="16"/>
    </row>
    <row r="20" customFormat="false" ht="24" hidden="false" customHeight="true" outlineLevel="0" collapsed="false">
      <c r="A20" s="17" t="s">
        <v>329</v>
      </c>
      <c r="B20" s="25" t="n">
        <v>6000</v>
      </c>
      <c r="C20" s="19" t="s">
        <v>330</v>
      </c>
      <c r="D20" s="20" t="s">
        <v>331</v>
      </c>
    </row>
    <row r="21" customFormat="false" ht="15" hidden="false" customHeight="true" outlineLevel="0" collapsed="false">
      <c r="A21" s="17" t="s">
        <v>332</v>
      </c>
      <c r="B21" s="27" t="n">
        <v>-0.015</v>
      </c>
      <c r="C21" s="19" t="s">
        <v>175</v>
      </c>
      <c r="D21" s="20" t="s">
        <v>333</v>
      </c>
    </row>
    <row r="22" customFormat="false" ht="15" hidden="false" customHeight="true" outlineLevel="0" collapsed="false">
      <c r="A22" s="17" t="s">
        <v>334</v>
      </c>
      <c r="B22" s="23" t="n">
        <v>912</v>
      </c>
      <c r="C22" s="19" t="s">
        <v>330</v>
      </c>
      <c r="D22" s="20" t="s">
        <v>335</v>
      </c>
      <c r="E22" s="1" t="s">
        <v>336</v>
      </c>
    </row>
    <row r="23" customFormat="false" ht="15" hidden="false" customHeight="true" outlineLevel="0" collapsed="false">
      <c r="A23" s="17" t="s">
        <v>337</v>
      </c>
      <c r="B23" s="23" t="n">
        <v>-0.02</v>
      </c>
      <c r="C23" s="19" t="s">
        <v>175</v>
      </c>
      <c r="D23" s="20" t="s">
        <v>338</v>
      </c>
    </row>
    <row r="24" customFormat="false" ht="15" hidden="false" customHeight="true" outlineLevel="0" collapsed="false">
      <c r="A24" s="1" t="s">
        <v>339</v>
      </c>
      <c r="B24" s="29" t="n">
        <v>60</v>
      </c>
      <c r="C24" s="1" t="s">
        <v>330</v>
      </c>
      <c r="D24" s="1" t="s">
        <v>340</v>
      </c>
    </row>
    <row r="25" customFormat="false" ht="15" hidden="false" customHeight="true" outlineLevel="0" collapsed="false">
      <c r="A25" s="16" t="s">
        <v>341</v>
      </c>
      <c r="B25" s="16"/>
      <c r="C25" s="16"/>
      <c r="D25" s="16"/>
    </row>
    <row r="26" customFormat="false" ht="97.5" hidden="false" customHeight="true" outlineLevel="0" collapsed="false">
      <c r="A26" s="17" t="s">
        <v>342</v>
      </c>
      <c r="B26" s="30" t="n">
        <f aca="false">0.7*0.5</f>
        <v>0.35</v>
      </c>
      <c r="C26" s="19" t="s">
        <v>167</v>
      </c>
      <c r="D26" s="20" t="s">
        <v>343</v>
      </c>
    </row>
    <row r="27" customFormat="false" ht="15" hidden="false" customHeight="true" outlineLevel="0" collapsed="false">
      <c r="A27" s="17" t="s">
        <v>344</v>
      </c>
      <c r="B27" s="23" t="n">
        <v>0.015</v>
      </c>
      <c r="C27" s="19" t="s">
        <v>175</v>
      </c>
      <c r="D27" s="20" t="s">
        <v>345</v>
      </c>
    </row>
    <row r="28" customFormat="false" ht="15" hidden="false" customHeight="true" outlineLevel="0" collapsed="false">
      <c r="A28" s="17" t="s">
        <v>346</v>
      </c>
      <c r="B28" s="27" t="n">
        <v>1.8</v>
      </c>
      <c r="C28" s="19" t="s">
        <v>167</v>
      </c>
      <c r="D28" s="20" t="s">
        <v>347</v>
      </c>
    </row>
    <row r="29" customFormat="false" ht="15" hidden="false" customHeight="true" outlineLevel="0" collapsed="false">
      <c r="A29" s="17" t="s">
        <v>348</v>
      </c>
      <c r="B29" s="23" t="n">
        <v>0.01</v>
      </c>
      <c r="C29" s="19" t="s">
        <v>175</v>
      </c>
      <c r="D29" s="20" t="s">
        <v>349</v>
      </c>
    </row>
    <row r="30" customFormat="false" ht="15" hidden="false" customHeight="true" outlineLevel="0" collapsed="false">
      <c r="A30" s="17" t="s">
        <v>350</v>
      </c>
      <c r="B30" s="30" t="n">
        <v>3.5</v>
      </c>
      <c r="C30" s="19" t="s">
        <v>167</v>
      </c>
      <c r="D30" s="20" t="s">
        <v>351</v>
      </c>
    </row>
    <row r="31" customFormat="false" ht="15" hidden="false" customHeight="true" outlineLevel="0" collapsed="false">
      <c r="A31" s="17" t="s">
        <v>352</v>
      </c>
      <c r="B31" s="23" t="n">
        <v>3</v>
      </c>
      <c r="C31" s="19" t="s">
        <v>167</v>
      </c>
      <c r="D31" s="20" t="s">
        <v>353</v>
      </c>
    </row>
    <row r="32" customFormat="false" ht="15" hidden="false" customHeight="true" outlineLevel="0" collapsed="false">
      <c r="A32" s="1" t="s">
        <v>354</v>
      </c>
      <c r="B32" s="31" t="n">
        <v>20</v>
      </c>
      <c r="C32" s="1" t="s">
        <v>330</v>
      </c>
      <c r="D32" s="1" t="s">
        <v>355</v>
      </c>
    </row>
    <row r="33" customFormat="false" ht="15" hidden="false" customHeight="true" outlineLevel="0" collapsed="false">
      <c r="A33" s="16" t="s">
        <v>356</v>
      </c>
      <c r="B33" s="16"/>
      <c r="C33" s="16"/>
      <c r="D33" s="16"/>
    </row>
    <row r="34" customFormat="false" ht="15" hidden="false" customHeight="true" outlineLevel="0" collapsed="false">
      <c r="A34" s="17" t="s">
        <v>357</v>
      </c>
      <c r="B34" s="22" t="n">
        <v>2026</v>
      </c>
      <c r="C34" s="19" t="s">
        <v>358</v>
      </c>
      <c r="D34" s="20" t="s">
        <v>359</v>
      </c>
    </row>
    <row r="35" customFormat="false" ht="15" hidden="false" customHeight="true" outlineLevel="0" collapsed="false">
      <c r="A35" s="17" t="s">
        <v>360</v>
      </c>
      <c r="B35" s="22" t="n">
        <v>10</v>
      </c>
      <c r="C35" s="19" t="s">
        <v>361</v>
      </c>
      <c r="D35" s="20" t="s">
        <v>362</v>
      </c>
    </row>
    <row r="36" customFormat="false" ht="15" hidden="false" customHeight="true" outlineLevel="0" collapsed="false">
      <c r="A36" s="17" t="s">
        <v>363</v>
      </c>
      <c r="B36" s="32" t="n">
        <v>100000000</v>
      </c>
      <c r="C36" s="19" t="s">
        <v>364</v>
      </c>
      <c r="D36" s="20" t="s">
        <v>365</v>
      </c>
    </row>
    <row r="37" customFormat="false" ht="23.25" hidden="false" customHeight="true" outlineLevel="0" collapsed="false">
      <c r="A37" s="17" t="s">
        <v>366</v>
      </c>
      <c r="B37" s="23" t="n">
        <v>15</v>
      </c>
      <c r="C37" s="19" t="s">
        <v>367</v>
      </c>
      <c r="D37" s="20" t="s">
        <v>368</v>
      </c>
      <c r="G37" s="1" t="n">
        <f aca="false">+B36*B37</f>
        <v>1500000000</v>
      </c>
      <c r="H37" s="1" t="s">
        <v>369</v>
      </c>
      <c r="I37" s="1" t="n">
        <f aca="false">+G37*365/1000</f>
        <v>547500000</v>
      </c>
      <c r="J37" s="1" t="s">
        <v>370</v>
      </c>
      <c r="K37" s="1" t="n">
        <f aca="false">+I37/1000000</f>
        <v>547.5</v>
      </c>
      <c r="L37" s="1" t="s">
        <v>371</v>
      </c>
    </row>
    <row r="38" customFormat="false" ht="15" hidden="false" customHeight="true" outlineLevel="0" collapsed="false">
      <c r="A38" s="1" t="s">
        <v>372</v>
      </c>
      <c r="B38" s="31" t="n">
        <v>750</v>
      </c>
      <c r="C38" s="1" t="s">
        <v>330</v>
      </c>
      <c r="D38" s="1" t="s">
        <v>373</v>
      </c>
    </row>
    <row r="39" customFormat="false" ht="15" hidden="false" customHeight="true" outlineLevel="0" collapsed="false">
      <c r="A39" s="1" t="s">
        <v>374</v>
      </c>
    </row>
    <row r="40" customFormat="false" ht="15" hidden="false" customHeight="true" outlineLevel="0" collapsed="false">
      <c r="A40" s="1" t="s">
        <v>297</v>
      </c>
      <c r="B40" s="1" t="s">
        <v>298</v>
      </c>
      <c r="C40" s="1" t="s">
        <v>159</v>
      </c>
      <c r="D40" s="1" t="s">
        <v>299</v>
      </c>
    </row>
    <row r="41" customFormat="false" ht="15" hidden="false" customHeight="true" outlineLevel="0" collapsed="false">
      <c r="A41" s="1" t="s">
        <v>375</v>
      </c>
      <c r="B41" s="33" t="n">
        <v>0.01</v>
      </c>
      <c r="C41" s="1" t="s">
        <v>376</v>
      </c>
      <c r="D41" s="1" t="s">
        <v>377</v>
      </c>
    </row>
    <row r="42" customFormat="false" ht="15" hidden="false" customHeight="true" outlineLevel="0" collapsed="false">
      <c r="A42" s="1" t="s">
        <v>378</v>
      </c>
      <c r="B42" s="34" t="n">
        <f aca="false">0.35*0.1</f>
        <v>0.035</v>
      </c>
      <c r="C42" s="1" t="s">
        <v>376</v>
      </c>
      <c r="D42" s="1" t="s">
        <v>379</v>
      </c>
    </row>
    <row r="43" customFormat="false" ht="15" hidden="false" customHeight="true" outlineLevel="0" collapsed="false">
      <c r="A43" s="1" t="s">
        <v>380</v>
      </c>
      <c r="B43" s="35" t="n">
        <v>0.5</v>
      </c>
      <c r="C43" s="1" t="s">
        <v>381</v>
      </c>
      <c r="D43" s="1" t="s">
        <v>382</v>
      </c>
    </row>
    <row r="44" customFormat="false" ht="15" hidden="false" customHeight="true" outlineLevel="0" collapsed="false">
      <c r="A44" s="1" t="s">
        <v>383</v>
      </c>
      <c r="B44" s="35" t="n">
        <v>0.3</v>
      </c>
      <c r="C44" s="1" t="s">
        <v>381</v>
      </c>
      <c r="D44" s="1" t="s">
        <v>384</v>
      </c>
    </row>
    <row r="45" customFormat="false" ht="15" hidden="false" customHeight="true" outlineLevel="0" collapsed="false">
      <c r="A45" s="1" t="s">
        <v>385</v>
      </c>
      <c r="B45" s="36" t="n">
        <v>0.8</v>
      </c>
      <c r="C45" s="1" t="s">
        <v>167</v>
      </c>
      <c r="D45" s="1" t="s">
        <v>386</v>
      </c>
    </row>
    <row r="46" customFormat="false" ht="15" hidden="false" customHeight="true" outlineLevel="0" collapsed="false">
      <c r="A46" s="1" t="s">
        <v>387</v>
      </c>
      <c r="B46" s="36" t="n">
        <v>0.65</v>
      </c>
      <c r="C46" s="1" t="s">
        <v>167</v>
      </c>
      <c r="D46" s="1" t="s">
        <v>388</v>
      </c>
    </row>
    <row r="48" customFormat="false" ht="15" hidden="false" customHeight="true" outlineLevel="0" collapsed="false">
      <c r="A48" s="1" t="s">
        <v>389</v>
      </c>
    </row>
    <row r="49" customFormat="false" ht="15" hidden="false" customHeight="true" outlineLevel="0" collapsed="false">
      <c r="A49" s="1" t="s">
        <v>297</v>
      </c>
      <c r="B49" s="1" t="s">
        <v>298</v>
      </c>
      <c r="C49" s="1" t="s">
        <v>159</v>
      </c>
      <c r="D49" s="1" t="s">
        <v>299</v>
      </c>
    </row>
    <row r="50" customFormat="false" ht="15" hidden="false" customHeight="true" outlineLevel="0" collapsed="false">
      <c r="A50" s="1" t="s">
        <v>380</v>
      </c>
      <c r="B50" s="37" t="n">
        <v>0.5</v>
      </c>
      <c r="C50" s="1" t="s">
        <v>381</v>
      </c>
      <c r="D50" s="1" t="s">
        <v>390</v>
      </c>
    </row>
    <row r="51" customFormat="false" ht="15" hidden="false" customHeight="true" outlineLevel="0" collapsed="false">
      <c r="A51" s="1" t="s">
        <v>383</v>
      </c>
      <c r="B51" s="37" t="n">
        <v>0.3</v>
      </c>
      <c r="C51" s="1" t="s">
        <v>381</v>
      </c>
      <c r="D51" s="1" t="s">
        <v>390</v>
      </c>
    </row>
    <row r="52" customFormat="false" ht="15" hidden="false" customHeight="true" outlineLevel="0" collapsed="false">
      <c r="A52" s="1" t="s">
        <v>391</v>
      </c>
      <c r="B52" s="38" t="n">
        <v>1</v>
      </c>
      <c r="C52" s="1" t="s">
        <v>392</v>
      </c>
      <c r="D52" s="1" t="s">
        <v>393</v>
      </c>
    </row>
    <row r="53" customFormat="false" ht="15" hidden="false" customHeight="true" outlineLevel="0" collapsed="false">
      <c r="A53" s="1" t="s">
        <v>394</v>
      </c>
      <c r="B53" s="38" t="n">
        <v>1</v>
      </c>
      <c r="C53" s="1" t="s">
        <v>395</v>
      </c>
      <c r="D53" s="1" t="s">
        <v>393</v>
      </c>
    </row>
    <row r="54" customFormat="false" ht="15" hidden="false" customHeight="true" outlineLevel="0" collapsed="false">
      <c r="A54" s="1" t="s">
        <v>396</v>
      </c>
      <c r="B54" s="38" t="n">
        <v>1</v>
      </c>
      <c r="C54" s="1" t="s">
        <v>397</v>
      </c>
      <c r="D54" s="1" t="s">
        <v>393</v>
      </c>
    </row>
    <row r="55" customFormat="false" ht="15" hidden="false" customHeight="true" outlineLevel="0" collapsed="false">
      <c r="A55" s="1" t="s">
        <v>398</v>
      </c>
      <c r="B55" s="37" t="n">
        <v>1</v>
      </c>
      <c r="C55" s="1" t="s">
        <v>399</v>
      </c>
      <c r="D55" s="1" t="s">
        <v>393</v>
      </c>
    </row>
    <row r="56" customFormat="false" ht="15" hidden="false" customHeight="true" outlineLevel="0" collapsed="false">
      <c r="A56" s="1" t="s">
        <v>400</v>
      </c>
      <c r="B56" s="36" t="n">
        <v>1</v>
      </c>
      <c r="C56" s="1" t="s">
        <v>401</v>
      </c>
      <c r="D56" s="1" t="s">
        <v>393</v>
      </c>
    </row>
    <row r="57" customFormat="false" ht="15" hidden="false" customHeight="true" outlineLevel="0" collapsed="false">
      <c r="A57" s="1" t="s">
        <v>402</v>
      </c>
      <c r="B57" s="37" t="n">
        <v>1</v>
      </c>
      <c r="C57" s="1" t="s">
        <v>403</v>
      </c>
      <c r="D57" s="1" t="s">
        <v>393</v>
      </c>
    </row>
    <row r="58" customFormat="false" ht="15" hidden="true" customHeight="true" outlineLevel="0" collapsed="false"/>
    <row r="59" customFormat="false" ht="15" hidden="true" customHeight="true" outlineLevel="0" collapsed="false">
      <c r="A59" s="39" t="s">
        <v>404</v>
      </c>
    </row>
    <row r="60" customFormat="false" ht="15" hidden="true" customHeight="true" outlineLevel="0" collapsed="false">
      <c r="A60" s="40" t="s">
        <v>405</v>
      </c>
      <c r="B60" s="41" t="n">
        <v>0.53</v>
      </c>
      <c r="C60" s="40" t="s">
        <v>406</v>
      </c>
      <c r="D60" s="42" t="s">
        <v>407</v>
      </c>
    </row>
    <row r="61" customFormat="false" ht="15" hidden="true" customHeight="true" outlineLevel="0" collapsed="false">
      <c r="A61" s="40" t="s">
        <v>408</v>
      </c>
      <c r="B61" s="41" t="n">
        <v>0.95</v>
      </c>
      <c r="C61" s="40" t="s">
        <v>409</v>
      </c>
      <c r="D61" s="42" t="s">
        <v>410</v>
      </c>
    </row>
    <row r="62" customFormat="false" ht="15" hidden="true" customHeight="true" outlineLevel="0" collapsed="false">
      <c r="A62" s="40" t="s">
        <v>411</v>
      </c>
      <c r="B62" s="41" t="n">
        <v>0.1</v>
      </c>
      <c r="C62" s="40" t="s">
        <v>409</v>
      </c>
      <c r="D62" s="42" t="s">
        <v>412</v>
      </c>
    </row>
    <row r="63" customFormat="false" ht="15" hidden="true" customHeight="true" outlineLevel="0" collapsed="false">
      <c r="A63" s="40" t="s">
        <v>413</v>
      </c>
      <c r="B63" s="41" t="n">
        <v>15</v>
      </c>
      <c r="C63" s="40" t="s">
        <v>219</v>
      </c>
      <c r="D63" s="42" t="s">
        <v>414</v>
      </c>
    </row>
    <row r="64" customFormat="false" ht="15" hidden="true" customHeight="true" outlineLevel="0" collapsed="false">
      <c r="A64" s="40" t="s">
        <v>415</v>
      </c>
      <c r="B64" s="43" t="n">
        <v>0.0036</v>
      </c>
      <c r="C64" s="40" t="s">
        <v>242</v>
      </c>
      <c r="D64" s="42" t="s">
        <v>416</v>
      </c>
    </row>
    <row r="65" customFormat="false" ht="15" hidden="true" customHeight="true" outlineLevel="0" collapsed="false">
      <c r="A65" s="40" t="s">
        <v>417</v>
      </c>
      <c r="B65" s="44" t="n">
        <v>35000</v>
      </c>
      <c r="C65" s="40" t="s">
        <v>418</v>
      </c>
      <c r="D65" s="42" t="s">
        <v>419</v>
      </c>
    </row>
    <row r="67" customFormat="false" ht="15" hidden="false" customHeight="true" outlineLevel="0" collapsed="false">
      <c r="A67" s="45" t="s">
        <v>420</v>
      </c>
    </row>
    <row r="68" customFormat="false" ht="15" hidden="false" customHeight="true" outlineLevel="0" collapsed="false">
      <c r="A68" s="46" t="s">
        <v>297</v>
      </c>
      <c r="B68" s="46" t="s">
        <v>298</v>
      </c>
      <c r="C68" s="46" t="s">
        <v>159</v>
      </c>
    </row>
    <row r="69" customFormat="false" ht="15" hidden="false" customHeight="true" outlineLevel="0" collapsed="false">
      <c r="A69" s="1" t="s">
        <v>421</v>
      </c>
      <c r="B69" s="37" t="n">
        <v>0.01</v>
      </c>
      <c r="C69" s="1" t="s">
        <v>376</v>
      </c>
      <c r="D69" s="1" t="s">
        <v>422</v>
      </c>
    </row>
    <row r="70" customFormat="false" ht="15" hidden="false" customHeight="true" outlineLevel="0" collapsed="false">
      <c r="A70" s="1" t="s">
        <v>423</v>
      </c>
      <c r="B70" s="37" t="n">
        <v>0.35</v>
      </c>
      <c r="C70" s="1" t="s">
        <v>376</v>
      </c>
    </row>
    <row r="71" customFormat="false" ht="15" hidden="false" customHeight="true" outlineLevel="0" collapsed="false">
      <c r="A71" s="1" t="s">
        <v>424</v>
      </c>
      <c r="B71" s="1" t="n">
        <v>0.5</v>
      </c>
      <c r="C71" s="1" t="s">
        <v>381</v>
      </c>
    </row>
    <row r="72" customFormat="false" ht="15" hidden="false" customHeight="true" outlineLevel="0" collapsed="false">
      <c r="A72" s="1" t="s">
        <v>425</v>
      </c>
      <c r="B72" s="1" t="n">
        <v>0.6</v>
      </c>
      <c r="C72" s="1" t="s">
        <v>381</v>
      </c>
    </row>
  </sheetData>
  <mergeCells count="6">
    <mergeCell ref="A1:D1"/>
    <mergeCell ref="A5:D5"/>
    <mergeCell ref="A11:D11"/>
    <mergeCell ref="A19:D19"/>
    <mergeCell ref="A25:D25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65" zoomScaleNormal="165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19" activeCellId="0" sqref="D19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35.83"/>
    <col collapsed="false" customWidth="true" hidden="false" outlineLevel="0" max="16" min="4" style="1" width="10"/>
    <col collapsed="false" customWidth="true" hidden="false" outlineLevel="0" max="34" min="17" style="1" width="11.33"/>
  </cols>
  <sheetData>
    <row r="1" customFormat="false" ht="17.25" hidden="false" customHeight="true" outlineLevel="0" collapsed="false">
      <c r="A1" s="47" t="s">
        <v>426</v>
      </c>
    </row>
    <row r="3" customFormat="false" ht="15" hidden="false" customHeight="true" outlineLevel="0" collapsed="false">
      <c r="A3" s="48" t="s">
        <v>427</v>
      </c>
      <c r="B3" s="48" t="s">
        <v>159</v>
      </c>
      <c r="C3" s="48" t="s">
        <v>428</v>
      </c>
      <c r="D3" s="49" t="n">
        <v>2020</v>
      </c>
      <c r="E3" s="49" t="n">
        <v>2021</v>
      </c>
      <c r="F3" s="49" t="n">
        <v>2022</v>
      </c>
      <c r="G3" s="49" t="n">
        <v>2023</v>
      </c>
      <c r="H3" s="49" t="n">
        <v>2024</v>
      </c>
      <c r="I3" s="49" t="n">
        <v>2025</v>
      </c>
      <c r="J3" s="49" t="n">
        <v>2026</v>
      </c>
      <c r="K3" s="49" t="n">
        <v>2027</v>
      </c>
      <c r="L3" s="49" t="n">
        <v>2028</v>
      </c>
      <c r="M3" s="49" t="n">
        <v>2029</v>
      </c>
      <c r="N3" s="49" t="n">
        <v>2030</v>
      </c>
      <c r="O3" s="49" t="n">
        <v>2031</v>
      </c>
      <c r="P3" s="49" t="n">
        <v>2032</v>
      </c>
      <c r="Q3" s="49" t="n">
        <v>2033</v>
      </c>
      <c r="R3" s="49" t="n">
        <v>2034</v>
      </c>
      <c r="S3" s="49" t="n">
        <v>2035</v>
      </c>
      <c r="T3" s="49" t="n">
        <v>2036</v>
      </c>
      <c r="U3" s="49" t="n">
        <v>2037</v>
      </c>
      <c r="V3" s="49" t="n">
        <v>2038</v>
      </c>
      <c r="W3" s="49" t="n">
        <v>2039</v>
      </c>
      <c r="X3" s="49" t="n">
        <v>2040</v>
      </c>
      <c r="Y3" s="49" t="n">
        <v>2041</v>
      </c>
      <c r="Z3" s="49" t="n">
        <v>2042</v>
      </c>
      <c r="AA3" s="49" t="n">
        <v>2043</v>
      </c>
      <c r="AB3" s="49" t="n">
        <v>2044</v>
      </c>
      <c r="AC3" s="49" t="n">
        <v>2045</v>
      </c>
      <c r="AD3" s="49" t="n">
        <v>2046</v>
      </c>
      <c r="AE3" s="49" t="n">
        <v>2047</v>
      </c>
      <c r="AF3" s="49" t="n">
        <v>2048</v>
      </c>
      <c r="AG3" s="49" t="n">
        <v>2049</v>
      </c>
      <c r="AH3" s="49" t="n">
        <v>2050</v>
      </c>
    </row>
    <row r="5" customFormat="false" ht="15" hidden="false" customHeight="true" outlineLevel="0" collapsed="false">
      <c r="A5" s="50" t="s">
        <v>429</v>
      </c>
      <c r="B5" s="51" t="s">
        <v>302</v>
      </c>
      <c r="C5" s="52" t="s">
        <v>430</v>
      </c>
      <c r="D5" s="53" t="n">
        <f aca="false">Inputs!$B$6+(Inputs!$B$7-Inputs!$B$6)*(D$3-2020)/30</f>
        <v>6735277</v>
      </c>
      <c r="E5" s="53" t="n">
        <f aca="false">Inputs!$B$6+(Inputs!$B$7-Inputs!$B$6)*(E$3-2020)/30</f>
        <v>6860999.5</v>
      </c>
      <c r="F5" s="53" t="n">
        <f aca="false">Inputs!$B$6+(Inputs!$B$7-Inputs!$B$6)*(F$3-2020)/30</f>
        <v>6986722</v>
      </c>
      <c r="G5" s="53" t="n">
        <f aca="false">Inputs!$B$6+(Inputs!$B$7-Inputs!$B$6)*(G$3-2020)/30</f>
        <v>7112444.5</v>
      </c>
      <c r="H5" s="53" t="n">
        <f aca="false">Inputs!$B$6+(Inputs!$B$7-Inputs!$B$6)*(H$3-2020)/30</f>
        <v>7238167</v>
      </c>
      <c r="I5" s="53" t="n">
        <f aca="false">Inputs!$B$6+(Inputs!$B$7-Inputs!$B$6)*(I$3-2020)/30</f>
        <v>7363889.5</v>
      </c>
      <c r="J5" s="53" t="n">
        <f aca="false">Inputs!$B$6+(Inputs!$B$7-Inputs!$B$6)*(J$3-2020)/30</f>
        <v>7489612</v>
      </c>
      <c r="K5" s="53" t="n">
        <f aca="false">Inputs!$B$6+(Inputs!$B$7-Inputs!$B$6)*(K$3-2020)/30</f>
        <v>7615334.5</v>
      </c>
      <c r="L5" s="53" t="n">
        <f aca="false">Inputs!$B$6+(Inputs!$B$7-Inputs!$B$6)*(L$3-2020)/30</f>
        <v>7741057</v>
      </c>
      <c r="M5" s="53" t="n">
        <f aca="false">Inputs!$B$6+(Inputs!$B$7-Inputs!$B$6)*(M$3-2020)/30</f>
        <v>7866779.5</v>
      </c>
      <c r="N5" s="53" t="n">
        <f aca="false">Inputs!$B$6+(Inputs!$B$7-Inputs!$B$6)*(N$3-2020)/30</f>
        <v>7992502</v>
      </c>
      <c r="O5" s="53" t="n">
        <f aca="false">Inputs!$B$6+(Inputs!$B$7-Inputs!$B$6)*(O$3-2020)/30</f>
        <v>8118224.5</v>
      </c>
      <c r="P5" s="53" t="n">
        <f aca="false">Inputs!$B$6+(Inputs!$B$7-Inputs!$B$6)*(P$3-2020)/30</f>
        <v>8243947</v>
      </c>
      <c r="Q5" s="53" t="n">
        <f aca="false">Inputs!$B$6+(Inputs!$B$7-Inputs!$B$6)*(Q$3-2020)/30</f>
        <v>8369669.5</v>
      </c>
      <c r="R5" s="53" t="n">
        <f aca="false">Inputs!$B$6+(Inputs!$B$7-Inputs!$B$6)*(R$3-2020)/30</f>
        <v>8495392</v>
      </c>
      <c r="S5" s="53" t="n">
        <f aca="false">Inputs!$B$6+(Inputs!$B$7-Inputs!$B$6)*(S$3-2020)/30</f>
        <v>8621114.5</v>
      </c>
      <c r="T5" s="53" t="n">
        <f aca="false">Inputs!$B$6+(Inputs!$B$7-Inputs!$B$6)*(T$3-2020)/30</f>
        <v>8746837</v>
      </c>
      <c r="U5" s="53" t="n">
        <f aca="false">Inputs!$B$6+(Inputs!$B$7-Inputs!$B$6)*(U$3-2020)/30</f>
        <v>8872559.5</v>
      </c>
      <c r="V5" s="53" t="n">
        <f aca="false">Inputs!$B$6+(Inputs!$B$7-Inputs!$B$6)*(V$3-2020)/30</f>
        <v>8998282</v>
      </c>
      <c r="W5" s="53" t="n">
        <f aca="false">Inputs!$B$6+(Inputs!$B$7-Inputs!$B$6)*(W$3-2020)/30</f>
        <v>9124004.5</v>
      </c>
      <c r="X5" s="53" t="n">
        <f aca="false">Inputs!$B$6+(Inputs!$B$7-Inputs!$B$6)*(X$3-2020)/30</f>
        <v>9249727</v>
      </c>
      <c r="Y5" s="53" t="n">
        <f aca="false">Inputs!$B$6+(Inputs!$B$7-Inputs!$B$6)*(Y$3-2020)/30</f>
        <v>9375449.5</v>
      </c>
      <c r="Z5" s="53" t="n">
        <f aca="false">Inputs!$B$6+(Inputs!$B$7-Inputs!$B$6)*(Z$3-2020)/30</f>
        <v>9501172</v>
      </c>
      <c r="AA5" s="53" t="n">
        <f aca="false">Inputs!$B$6+(Inputs!$B$7-Inputs!$B$6)*(AA$3-2020)/30</f>
        <v>9626894.5</v>
      </c>
      <c r="AB5" s="53" t="n">
        <f aca="false">Inputs!$B$6+(Inputs!$B$7-Inputs!$B$6)*(AB$3-2020)/30</f>
        <v>9752617</v>
      </c>
      <c r="AC5" s="53" t="n">
        <f aca="false">Inputs!$B$6+(Inputs!$B$7-Inputs!$B$6)*(AC$3-2020)/30</f>
        <v>9878339.5</v>
      </c>
      <c r="AD5" s="53" t="n">
        <f aca="false">Inputs!$B$6+(Inputs!$B$7-Inputs!$B$6)*(AD$3-2020)/30</f>
        <v>10004062</v>
      </c>
      <c r="AE5" s="53" t="n">
        <f aca="false">Inputs!$B$6+(Inputs!$B$7-Inputs!$B$6)*(AE$3-2020)/30</f>
        <v>10129784.5</v>
      </c>
      <c r="AF5" s="53" t="n">
        <f aca="false">Inputs!$B$6+(Inputs!$B$7-Inputs!$B$6)*(AF$3-2020)/30</f>
        <v>10255507</v>
      </c>
      <c r="AG5" s="53" t="n">
        <f aca="false">Inputs!$B$6+(Inputs!$B$7-Inputs!$B$6)*(AG$3-2020)/30</f>
        <v>10381229.5</v>
      </c>
      <c r="AH5" s="53" t="n">
        <f aca="false">Inputs!$B$6+(Inputs!$B$7-Inputs!$B$6)*(AH$3-2020)/30</f>
        <v>10506952</v>
      </c>
    </row>
    <row r="6" customFormat="false" ht="15" hidden="false" customHeight="true" outlineLevel="0" collapsed="false">
      <c r="A6" s="50" t="s">
        <v>431</v>
      </c>
      <c r="B6" s="51" t="s">
        <v>432</v>
      </c>
      <c r="C6" s="52" t="s">
        <v>433</v>
      </c>
      <c r="D6" s="53" t="n">
        <f aca="false">Inputs!$B$8*(1+Inputs!$B$9)^(D$3-2020)</f>
        <v>6357</v>
      </c>
      <c r="E6" s="53" t="n">
        <f aca="false">Inputs!$B$8*(1+Inputs!$B$9)^(E$3-2020)</f>
        <v>6534.996</v>
      </c>
      <c r="F6" s="53" t="n">
        <f aca="false">Inputs!$B$8*(1+Inputs!$B$9)^(F$3-2020)</f>
        <v>6717.975888</v>
      </c>
      <c r="G6" s="53" t="n">
        <f aca="false">Inputs!$B$8*(1+Inputs!$B$9)^(G$3-2020)</f>
        <v>6906.079212864</v>
      </c>
      <c r="H6" s="53" t="n">
        <f aca="false">Inputs!$B$8*(1+Inputs!$B$9)^(H$3-2020)</f>
        <v>7099.44943082419</v>
      </c>
      <c r="I6" s="53" t="n">
        <f aca="false">Inputs!$B$8*(1+Inputs!$B$9)^(I$3-2020)</f>
        <v>7298.23401488727</v>
      </c>
      <c r="J6" s="53" t="n">
        <f aca="false">Inputs!$B$8*(1+Inputs!$B$9)^(J$3-2020)</f>
        <v>7502.58456730411</v>
      </c>
      <c r="K6" s="53" t="n">
        <f aca="false">Inputs!$B$8*(1+Inputs!$B$9)^(K$3-2020)</f>
        <v>7712.65693518863</v>
      </c>
      <c r="L6" s="53" t="n">
        <f aca="false">Inputs!$B$8*(1+Inputs!$B$9)^(L$3-2020)</f>
        <v>7928.61132937391</v>
      </c>
      <c r="M6" s="53" t="n">
        <f aca="false">Inputs!$B$8*(1+Inputs!$B$9)^(M$3-2020)</f>
        <v>8150.61244659638</v>
      </c>
      <c r="N6" s="53" t="n">
        <f aca="false">Inputs!$B$8*(1+Inputs!$B$9)^(N$3-2020)</f>
        <v>8378.82959510108</v>
      </c>
      <c r="O6" s="53" t="n">
        <f aca="false">Inputs!$B$8*(1+Inputs!$B$9)^(O$3-2020)</f>
        <v>8613.43682376391</v>
      </c>
      <c r="P6" s="53" t="n">
        <f aca="false">Inputs!$B$8*(1+Inputs!$B$9)^(P$3-2020)</f>
        <v>8854.6130548293</v>
      </c>
      <c r="Q6" s="53" t="n">
        <f aca="false">Inputs!$B$8*(1+Inputs!$B$9)^(Q$3-2020)</f>
        <v>9102.54222036452</v>
      </c>
      <c r="R6" s="53" t="n">
        <f aca="false">Inputs!$B$8*(1+Inputs!$B$9)^(R$3-2020)</f>
        <v>9357.41340253473</v>
      </c>
      <c r="S6" s="53" t="n">
        <f aca="false">Inputs!$B$8*(1+Inputs!$B$9)^(S$3-2020)</f>
        <v>9619.4209778057</v>
      </c>
      <c r="T6" s="53" t="n">
        <f aca="false">Inputs!$B$8*(1+Inputs!$B$9)^(T$3-2020)</f>
        <v>9888.76476518426</v>
      </c>
      <c r="U6" s="53" t="n">
        <f aca="false">Inputs!$B$8*(1+Inputs!$B$9)^(U$3-2020)</f>
        <v>10165.6501786094</v>
      </c>
      <c r="V6" s="53" t="n">
        <f aca="false">Inputs!$B$8*(1+Inputs!$B$9)^(V$3-2020)</f>
        <v>10450.2883836105</v>
      </c>
      <c r="W6" s="53" t="n">
        <f aca="false">Inputs!$B$8*(1+Inputs!$B$9)^(W$3-2020)</f>
        <v>10742.8964583516</v>
      </c>
      <c r="X6" s="53" t="n">
        <f aca="false">Inputs!$B$8*(1+Inputs!$B$9)^(X$3-2020)</f>
        <v>11043.6975591854</v>
      </c>
      <c r="Y6" s="53" t="n">
        <f aca="false">Inputs!$B$8*(1+Inputs!$B$9)^(Y$3-2020)</f>
        <v>11352.9210908426</v>
      </c>
      <c r="Z6" s="53" t="n">
        <f aca="false">Inputs!$B$8*(1+Inputs!$B$9)^(Z$3-2020)</f>
        <v>11670.8028813862</v>
      </c>
      <c r="AA6" s="53" t="n">
        <f aca="false">Inputs!$B$8*(1+Inputs!$B$9)^(AA$3-2020)</f>
        <v>11997.585362065</v>
      </c>
      <c r="AB6" s="53" t="n">
        <f aca="false">Inputs!$B$8*(1+Inputs!$B$9)^(AB$3-2020)</f>
        <v>12333.5177522028</v>
      </c>
      <c r="AC6" s="53" t="n">
        <f aca="false">Inputs!$B$8*(1+Inputs!$B$9)^(AC$3-2020)</f>
        <v>12678.8562492645</v>
      </c>
      <c r="AD6" s="53" t="n">
        <f aca="false">Inputs!$B$8*(1+Inputs!$B$9)^(AD$3-2020)</f>
        <v>13033.8642242439</v>
      </c>
      <c r="AE6" s="53" t="n">
        <f aca="false">Inputs!$B$8*(1+Inputs!$B$9)^(AE$3-2020)</f>
        <v>13398.8124225228</v>
      </c>
      <c r="AF6" s="53" t="n">
        <f aca="false">Inputs!$B$8*(1+Inputs!$B$9)^(AF$3-2020)</f>
        <v>13773.9791703534</v>
      </c>
      <c r="AG6" s="53" t="n">
        <f aca="false">Inputs!$B$8*(1+Inputs!$B$9)^(AG$3-2020)</f>
        <v>14159.6505871233</v>
      </c>
      <c r="AH6" s="53" t="n">
        <f aca="false">Inputs!$B$8*(1+Inputs!$B$9)^(AH$3-2020)</f>
        <v>14556.1208035627</v>
      </c>
    </row>
    <row r="7" customFormat="false" ht="15" hidden="false" customHeight="true" outlineLevel="0" collapsed="false">
      <c r="A7" s="50" t="s">
        <v>434</v>
      </c>
      <c r="B7" s="51" t="s">
        <v>435</v>
      </c>
      <c r="C7" s="52" t="s">
        <v>436</v>
      </c>
      <c r="D7" s="54" t="n">
        <f aca="false">D5*D6/1000000</f>
        <v>42816.155889</v>
      </c>
      <c r="E7" s="54" t="n">
        <f aca="false">E5*E6/1000000</f>
        <v>44836.604288502</v>
      </c>
      <c r="F7" s="54" t="n">
        <f aca="false">F5*F6/1000000</f>
        <v>46936.6299321591</v>
      </c>
      <c r="G7" s="54" t="n">
        <f aca="false">G5*G6/1000000</f>
        <v>49119.1051140989</v>
      </c>
      <c r="H7" s="54" t="n">
        <f aca="false">H5*H6/1000000</f>
        <v>51387.0005883605</v>
      </c>
      <c r="I7" s="54" t="n">
        <f aca="false">I5*I6/1000000</f>
        <v>53743.3888307712</v>
      </c>
      <c r="J7" s="54" t="n">
        <f aca="false">J5*J6/1000000</f>
        <v>56191.4474062957</v>
      </c>
      <c r="K7" s="54" t="n">
        <f aca="false">K5*K6/1000000</f>
        <v>58734.4624452062</v>
      </c>
      <c r="L7" s="54" t="n">
        <f aca="false">L5*L6/1000000</f>
        <v>61375.8322315292</v>
      </c>
      <c r="M7" s="54" t="n">
        <f aca="false">M5*M6/1000000</f>
        <v>64119.0709073293</v>
      </c>
      <c r="N7" s="54" t="n">
        <f aca="false">N5*N6/1000000</f>
        <v>66967.8122965046</v>
      </c>
      <c r="O7" s="54" t="n">
        <f aca="false">O5*O6/1000000</f>
        <v>69925.8138518824</v>
      </c>
      <c r="P7" s="54" t="n">
        <f aca="false">P5*P6/1000000</f>
        <v>72996.9607295208</v>
      </c>
      <c r="Q7" s="54" t="n">
        <f aca="false">Q5*Q6/1000000</f>
        <v>76185.2699942472</v>
      </c>
      <c r="R7" s="54" t="n">
        <f aca="false">R5*R6/1000000</f>
        <v>79494.8949605863</v>
      </c>
      <c r="S7" s="54" t="n">
        <f aca="false">S5*S6/1000000</f>
        <v>82930.1296733649</v>
      </c>
      <c r="T7" s="54" t="n">
        <f aca="false">T5*T6/1000000</f>
        <v>86495.41353241</v>
      </c>
      <c r="U7" s="54" t="n">
        <f aca="false">U5*U6/1000000</f>
        <v>90195.3360658977</v>
      </c>
      <c r="V7" s="54" t="n">
        <f aca="false">V5*V6/1000000</f>
        <v>94034.6418570513</v>
      </c>
      <c r="W7" s="54" t="n">
        <f aca="false">W5*W6/1000000</f>
        <v>98018.2356290339</v>
      </c>
      <c r="X7" s="54" t="n">
        <f aca="false">X5*X6/1000000</f>
        <v>102151.187493032</v>
      </c>
      <c r="Y7" s="54" t="n">
        <f aca="false">Y5*Y6/1000000</f>
        <v>106438.73836468</v>
      </c>
      <c r="Z7" s="54" t="n">
        <f aca="false">Z5*Z6/1000000</f>
        <v>110886.305554146</v>
      </c>
      <c r="AA7" s="54" t="n">
        <f aca="false">AA5*AA6/1000000</f>
        <v>115499.488535344</v>
      </c>
      <c r="AB7" s="54" t="n">
        <f aca="false">AB5*AB6/1000000</f>
        <v>120284.074899935</v>
      </c>
      <c r="AC7" s="54" t="n">
        <f aca="false">AC5*AC6/1000000</f>
        <v>125246.046501932</v>
      </c>
      <c r="AD7" s="54" t="n">
        <f aca="false">AD5*AD6/1000000</f>
        <v>130391.585798918</v>
      </c>
      <c r="AE7" s="54" t="n">
        <f aca="false">AE5*AE6/1000000</f>
        <v>135727.082396079</v>
      </c>
      <c r="AF7" s="54" t="n">
        <f aca="false">AF5*AF6/1000000</f>
        <v>141259.139799413</v>
      </c>
      <c r="AG7" s="54" t="n">
        <f aca="false">AG5*AG6/1000000</f>
        <v>146994.582384737</v>
      </c>
      <c r="AH7" s="54" t="n">
        <f aca="false">AH5*AH6/1000000</f>
        <v>152940.462589235</v>
      </c>
    </row>
    <row r="9" customFormat="false" ht="15" hidden="false" customHeight="true" outlineLevel="0" collapsed="false">
      <c r="A9" s="50" t="s">
        <v>437</v>
      </c>
      <c r="B9" s="51" t="s">
        <v>313</v>
      </c>
      <c r="C9" s="52" t="s">
        <v>438</v>
      </c>
      <c r="D9" s="55" t="n">
        <f aca="false">Inputs!$B$12*(1+Inputs!$B$13)^(D$3-2020)</f>
        <v>319</v>
      </c>
      <c r="E9" s="55" t="n">
        <f aca="false">Inputs!$B$12*(1+Inputs!$B$13)^(E$3-2020)</f>
        <v>317.405</v>
      </c>
      <c r="F9" s="55" t="n">
        <f aca="false">Inputs!$B$12*(1+Inputs!$B$13)^(F$3-2020)</f>
        <v>315.817975</v>
      </c>
      <c r="G9" s="55" t="n">
        <f aca="false">Inputs!$B$12*(1+Inputs!$B$13)^(G$3-2020)</f>
        <v>314.238885125</v>
      </c>
      <c r="H9" s="55" t="n">
        <f aca="false">Inputs!$B$12*(1+Inputs!$B$13)^(H$3-2020)</f>
        <v>312.667690699375</v>
      </c>
      <c r="I9" s="55" t="n">
        <f aca="false">Inputs!$B$12*(1+Inputs!$B$13)^(I$3-2020)</f>
        <v>311.104352245878</v>
      </c>
      <c r="J9" s="55" t="n">
        <f aca="false">Inputs!$B$12*(1+Inputs!$B$13)^(J$3-2020)</f>
        <v>309.548830484649</v>
      </c>
      <c r="K9" s="55" t="n">
        <f aca="false">Inputs!$B$12*(1+Inputs!$B$13)^(K$3-2020)</f>
        <v>308.001086332226</v>
      </c>
      <c r="L9" s="55" t="n">
        <f aca="false">Inputs!$B$12*(1+Inputs!$B$13)^(L$3-2020)</f>
        <v>306.461080900564</v>
      </c>
      <c r="M9" s="55" t="n">
        <f aca="false">Inputs!$B$12*(1+Inputs!$B$13)^(M$3-2020)</f>
        <v>304.928775496062</v>
      </c>
      <c r="N9" s="55" t="n">
        <f aca="false">Inputs!$B$12*(1+Inputs!$B$13)^(N$3-2020)</f>
        <v>303.404131618581</v>
      </c>
      <c r="O9" s="55" t="n">
        <f aca="false">Inputs!$B$12*(1+Inputs!$B$13)^(O$3-2020)</f>
        <v>301.887110960488</v>
      </c>
      <c r="P9" s="55" t="n">
        <f aca="false">Inputs!$B$12*(1+Inputs!$B$13)^(P$3-2020)</f>
        <v>300.377675405686</v>
      </c>
      <c r="Q9" s="55" t="n">
        <f aca="false">Inputs!$B$12*(1+Inputs!$B$13)^(Q$3-2020)</f>
        <v>298.875787028657</v>
      </c>
      <c r="R9" s="55" t="n">
        <f aca="false">Inputs!$B$12*(1+Inputs!$B$13)^(R$3-2020)</f>
        <v>297.381408093514</v>
      </c>
      <c r="S9" s="55" t="n">
        <f aca="false">Inputs!$B$12*(1+Inputs!$B$13)^(S$3-2020)</f>
        <v>295.894501053047</v>
      </c>
      <c r="T9" s="55" t="n">
        <f aca="false">Inputs!$B$12*(1+Inputs!$B$13)^(T$3-2020)</f>
        <v>294.415028547781</v>
      </c>
      <c r="U9" s="55" t="n">
        <f aca="false">Inputs!$B$12*(1+Inputs!$B$13)^(U$3-2020)</f>
        <v>292.942953405042</v>
      </c>
      <c r="V9" s="55" t="n">
        <f aca="false">Inputs!$B$12*(1+Inputs!$B$13)^(V$3-2020)</f>
        <v>291.478238638017</v>
      </c>
      <c r="W9" s="55" t="n">
        <f aca="false">Inputs!$B$12*(1+Inputs!$B$13)^(W$3-2020)</f>
        <v>290.020847444827</v>
      </c>
      <c r="X9" s="55" t="n">
        <f aca="false">Inputs!$B$12*(1+Inputs!$B$13)^(X$3-2020)</f>
        <v>288.570743207603</v>
      </c>
      <c r="Y9" s="55" t="n">
        <f aca="false">Inputs!$B$12*(1+Inputs!$B$13)^(Y$3-2020)</f>
        <v>287.127889491565</v>
      </c>
      <c r="Z9" s="55" t="n">
        <f aca="false">Inputs!$B$12*(1+Inputs!$B$13)^(Z$3-2020)</f>
        <v>285.692250044107</v>
      </c>
      <c r="AA9" s="55" t="n">
        <f aca="false">Inputs!$B$12*(1+Inputs!$B$13)^(AA$3-2020)</f>
        <v>284.263788793887</v>
      </c>
      <c r="AB9" s="55" t="n">
        <f aca="false">Inputs!$B$12*(1+Inputs!$B$13)^(AB$3-2020)</f>
        <v>282.842469849917</v>
      </c>
      <c r="AC9" s="55" t="n">
        <f aca="false">Inputs!$B$12*(1+Inputs!$B$13)^(AC$3-2020)</f>
        <v>281.428257500668</v>
      </c>
      <c r="AD9" s="55" t="n">
        <f aca="false">Inputs!$B$12*(1+Inputs!$B$13)^(AD$3-2020)</f>
        <v>280.021116213164</v>
      </c>
      <c r="AE9" s="55" t="n">
        <f aca="false">Inputs!$B$12*(1+Inputs!$B$13)^(AE$3-2020)</f>
        <v>278.621010632098</v>
      </c>
      <c r="AF9" s="55" t="n">
        <f aca="false">Inputs!$B$12*(1+Inputs!$B$13)^(AF$3-2020)</f>
        <v>277.227905578938</v>
      </c>
      <c r="AG9" s="55" t="n">
        <f aca="false">Inputs!$B$12*(1+Inputs!$B$13)^(AG$3-2020)</f>
        <v>275.841766051043</v>
      </c>
      <c r="AH9" s="55" t="n">
        <f aca="false">Inputs!$B$12*(1+Inputs!$B$13)^(AH$3-2020)</f>
        <v>274.462557220788</v>
      </c>
    </row>
    <row r="10" customFormat="false" ht="15" hidden="false" customHeight="true" outlineLevel="0" collapsed="false">
      <c r="A10" s="50" t="s">
        <v>439</v>
      </c>
      <c r="B10" s="51" t="s">
        <v>440</v>
      </c>
      <c r="C10" s="52" t="s">
        <v>438</v>
      </c>
      <c r="D10" s="56" t="n">
        <f aca="false">Inputs!$B$14*(1+Inputs!$B$15)^(D$3-2020)</f>
        <v>9.1</v>
      </c>
      <c r="E10" s="56" t="n">
        <f aca="false">Inputs!$B$14*(1+Inputs!$B$15)^(E$3-2020)</f>
        <v>9.009</v>
      </c>
      <c r="F10" s="56" t="n">
        <f aca="false">Inputs!$B$14*(1+Inputs!$B$15)^(F$3-2020)</f>
        <v>8.91891</v>
      </c>
      <c r="G10" s="56" t="n">
        <f aca="false">Inputs!$B$14*(1+Inputs!$B$15)^(G$3-2020)</f>
        <v>8.8297209</v>
      </c>
      <c r="H10" s="56" t="n">
        <f aca="false">Inputs!$B$14*(1+Inputs!$B$15)^(H$3-2020)</f>
        <v>8.741423691</v>
      </c>
      <c r="I10" s="56" t="n">
        <f aca="false">Inputs!$B$14*(1+Inputs!$B$15)^(I$3-2020)</f>
        <v>8.65400945409</v>
      </c>
      <c r="J10" s="56" t="n">
        <f aca="false">Inputs!$B$14*(1+Inputs!$B$15)^(J$3-2020)</f>
        <v>8.5674693595491</v>
      </c>
      <c r="K10" s="56" t="n">
        <f aca="false">Inputs!$B$14*(1+Inputs!$B$15)^(K$3-2020)</f>
        <v>8.48179466595361</v>
      </c>
      <c r="L10" s="56" t="n">
        <f aca="false">Inputs!$B$14*(1+Inputs!$B$15)^(L$3-2020)</f>
        <v>8.39697671929407</v>
      </c>
      <c r="M10" s="56" t="n">
        <f aca="false">Inputs!$B$14*(1+Inputs!$B$15)^(M$3-2020)</f>
        <v>8.31300695210113</v>
      </c>
      <c r="N10" s="56" t="n">
        <f aca="false">Inputs!$B$14*(1+Inputs!$B$15)^(N$3-2020)</f>
        <v>8.22987688258012</v>
      </c>
      <c r="O10" s="56" t="n">
        <f aca="false">Inputs!$B$14*(1+Inputs!$B$15)^(O$3-2020)</f>
        <v>8.14757811375432</v>
      </c>
      <c r="P10" s="56" t="n">
        <f aca="false">Inputs!$B$14*(1+Inputs!$B$15)^(P$3-2020)</f>
        <v>8.06610233261678</v>
      </c>
      <c r="Q10" s="56" t="n">
        <f aca="false">Inputs!$B$14*(1+Inputs!$B$15)^(Q$3-2020)</f>
        <v>7.98544130929061</v>
      </c>
      <c r="R10" s="56" t="n">
        <f aca="false">Inputs!$B$14*(1+Inputs!$B$15)^(R$3-2020)</f>
        <v>7.9055868961977</v>
      </c>
      <c r="S10" s="56" t="n">
        <f aca="false">Inputs!$B$14*(1+Inputs!$B$15)^(S$3-2020)</f>
        <v>7.82653102723572</v>
      </c>
      <c r="T10" s="56" t="n">
        <f aca="false">Inputs!$B$14*(1+Inputs!$B$15)^(T$3-2020)</f>
        <v>7.74826571696337</v>
      </c>
      <c r="U10" s="56" t="n">
        <f aca="false">Inputs!$B$14*(1+Inputs!$B$15)^(U$3-2020)</f>
        <v>7.67078305979373</v>
      </c>
      <c r="V10" s="56" t="n">
        <f aca="false">Inputs!$B$14*(1+Inputs!$B$15)^(V$3-2020)</f>
        <v>7.5940752291958</v>
      </c>
      <c r="W10" s="56" t="n">
        <f aca="false">Inputs!$B$14*(1+Inputs!$B$15)^(W$3-2020)</f>
        <v>7.51813447690384</v>
      </c>
      <c r="X10" s="56" t="n">
        <f aca="false">Inputs!$B$14*(1+Inputs!$B$15)^(X$3-2020)</f>
        <v>7.4429531321348</v>
      </c>
      <c r="Y10" s="56" t="n">
        <f aca="false">Inputs!$B$14*(1+Inputs!$B$15)^(Y$3-2020)</f>
        <v>7.36852360081345</v>
      </c>
      <c r="Z10" s="56" t="n">
        <f aca="false">Inputs!$B$14*(1+Inputs!$B$15)^(Z$3-2020)</f>
        <v>7.29483836480532</v>
      </c>
      <c r="AA10" s="56" t="n">
        <f aca="false">Inputs!$B$14*(1+Inputs!$B$15)^(AA$3-2020)</f>
        <v>7.22188998115726</v>
      </c>
      <c r="AB10" s="56" t="n">
        <f aca="false">Inputs!$B$14*(1+Inputs!$B$15)^(AB$3-2020)</f>
        <v>7.14967108134569</v>
      </c>
      <c r="AC10" s="56" t="n">
        <f aca="false">Inputs!$B$14*(1+Inputs!$B$15)^(AC$3-2020)</f>
        <v>7.07817437053223</v>
      </c>
      <c r="AD10" s="56" t="n">
        <f aca="false">Inputs!$B$14*(1+Inputs!$B$15)^(AD$3-2020)</f>
        <v>7.00739262682691</v>
      </c>
      <c r="AE10" s="56" t="n">
        <f aca="false">Inputs!$B$14*(1+Inputs!$B$15)^(AE$3-2020)</f>
        <v>6.93731870055864</v>
      </c>
      <c r="AF10" s="56" t="n">
        <f aca="false">Inputs!$B$14*(1+Inputs!$B$15)^(AF$3-2020)</f>
        <v>6.86794551355306</v>
      </c>
      <c r="AG10" s="56" t="n">
        <f aca="false">Inputs!$B$14*(1+Inputs!$B$15)^(AG$3-2020)</f>
        <v>6.79926605841752</v>
      </c>
      <c r="AH10" s="56" t="n">
        <f aca="false">Inputs!$B$14*(1+Inputs!$B$15)^(AH$3-2020)</f>
        <v>6.73127339783335</v>
      </c>
    </row>
    <row r="11" customFormat="false" ht="15" hidden="false" customHeight="true" outlineLevel="0" collapsed="false">
      <c r="A11" s="50" t="s">
        <v>441</v>
      </c>
      <c r="B11" s="51" t="s">
        <v>313</v>
      </c>
      <c r="C11" s="52" t="s">
        <v>438</v>
      </c>
      <c r="D11" s="55" t="n">
        <f aca="false">Inputs!$B$16*(1+Inputs!$B$17)^(D$3-2020)</f>
        <v>2386</v>
      </c>
      <c r="E11" s="55" t="n">
        <f aca="false">Inputs!$B$16*(1+Inputs!$B$17)^(E$3-2020)</f>
        <v>2366.912</v>
      </c>
      <c r="F11" s="55" t="n">
        <f aca="false">Inputs!$B$16*(1+Inputs!$B$17)^(F$3-2020)</f>
        <v>2347.976704</v>
      </c>
      <c r="G11" s="55" t="n">
        <f aca="false">Inputs!$B$16*(1+Inputs!$B$17)^(G$3-2020)</f>
        <v>2329.192890368</v>
      </c>
      <c r="H11" s="55" t="n">
        <f aca="false">Inputs!$B$16*(1+Inputs!$B$17)^(H$3-2020)</f>
        <v>2310.55934724506</v>
      </c>
      <c r="I11" s="55" t="n">
        <f aca="false">Inputs!$B$16*(1+Inputs!$B$17)^(I$3-2020)</f>
        <v>2292.0748724671</v>
      </c>
      <c r="J11" s="55" t="n">
        <f aca="false">Inputs!$B$16*(1+Inputs!$B$17)^(J$3-2020)</f>
        <v>2273.73827348736</v>
      </c>
      <c r="K11" s="55" t="n">
        <f aca="false">Inputs!$B$16*(1+Inputs!$B$17)^(K$3-2020)</f>
        <v>2255.54836729946</v>
      </c>
      <c r="L11" s="55" t="n">
        <f aca="false">Inputs!$B$16*(1+Inputs!$B$17)^(L$3-2020)</f>
        <v>2237.50398036106</v>
      </c>
      <c r="M11" s="55" t="n">
        <f aca="false">Inputs!$B$16*(1+Inputs!$B$17)^(M$3-2020)</f>
        <v>2219.60394851818</v>
      </c>
      <c r="N11" s="55" t="n">
        <f aca="false">Inputs!$B$16*(1+Inputs!$B$17)^(N$3-2020)</f>
        <v>2201.84711693003</v>
      </c>
      <c r="O11" s="55" t="n">
        <f aca="false">Inputs!$B$16*(1+Inputs!$B$17)^(O$3-2020)</f>
        <v>2184.23233999459</v>
      </c>
      <c r="P11" s="55" t="n">
        <f aca="false">Inputs!$B$16*(1+Inputs!$B$17)^(P$3-2020)</f>
        <v>2166.75848127463</v>
      </c>
      <c r="Q11" s="55" t="n">
        <f aca="false">Inputs!$B$16*(1+Inputs!$B$17)^(Q$3-2020)</f>
        <v>2149.42441342444</v>
      </c>
      <c r="R11" s="55" t="n">
        <f aca="false">Inputs!$B$16*(1+Inputs!$B$17)^(R$3-2020)</f>
        <v>2132.22901811704</v>
      </c>
      <c r="S11" s="55" t="n">
        <f aca="false">Inputs!$B$16*(1+Inputs!$B$17)^(S$3-2020)</f>
        <v>2115.1711859721</v>
      </c>
      <c r="T11" s="55" t="n">
        <f aca="false">Inputs!$B$16*(1+Inputs!$B$17)^(T$3-2020)</f>
        <v>2098.24981648433</v>
      </c>
      <c r="U11" s="55" t="n">
        <f aca="false">Inputs!$B$16*(1+Inputs!$B$17)^(U$3-2020)</f>
        <v>2081.46381795245</v>
      </c>
      <c r="V11" s="55" t="n">
        <f aca="false">Inputs!$B$16*(1+Inputs!$B$17)^(V$3-2020)</f>
        <v>2064.81210740883</v>
      </c>
      <c r="W11" s="55" t="n">
        <f aca="false">Inputs!$B$16*(1+Inputs!$B$17)^(W$3-2020)</f>
        <v>2048.29361054956</v>
      </c>
      <c r="X11" s="55" t="n">
        <f aca="false">Inputs!$B$16*(1+Inputs!$B$17)^(X$3-2020)</f>
        <v>2031.90726166517</v>
      </c>
      <c r="Y11" s="55" t="n">
        <f aca="false">Inputs!$B$16*(1+Inputs!$B$17)^(Y$3-2020)</f>
        <v>2015.65200357184</v>
      </c>
      <c r="Z11" s="55" t="n">
        <f aca="false">Inputs!$B$16*(1+Inputs!$B$17)^(Z$3-2020)</f>
        <v>1999.52678754327</v>
      </c>
      <c r="AA11" s="55" t="n">
        <f aca="false">Inputs!$B$16*(1+Inputs!$B$17)^(AA$3-2020)</f>
        <v>1983.53057324292</v>
      </c>
      <c r="AB11" s="55" t="n">
        <f aca="false">Inputs!$B$16*(1+Inputs!$B$17)^(AB$3-2020)</f>
        <v>1967.66232865698</v>
      </c>
      <c r="AC11" s="55" t="n">
        <f aca="false">Inputs!$B$16*(1+Inputs!$B$17)^(AC$3-2020)</f>
        <v>1951.92103002772</v>
      </c>
      <c r="AD11" s="55" t="n">
        <f aca="false">Inputs!$B$16*(1+Inputs!$B$17)^(AD$3-2020)</f>
        <v>1936.3056617875</v>
      </c>
      <c r="AE11" s="55" t="n">
        <f aca="false">Inputs!$B$16*(1+Inputs!$B$17)^(AE$3-2020)</f>
        <v>1920.8152164932</v>
      </c>
      <c r="AF11" s="55" t="n">
        <f aca="false">Inputs!$B$16*(1+Inputs!$B$17)^(AF$3-2020)</f>
        <v>1905.44869476126</v>
      </c>
      <c r="AG11" s="55" t="n">
        <f aca="false">Inputs!$B$16*(1+Inputs!$B$17)^(AG$3-2020)</f>
        <v>1890.20510520317</v>
      </c>
      <c r="AH11" s="55" t="n">
        <f aca="false">Inputs!$B$16*(1+Inputs!$B$17)^(AH$3-2020)</f>
        <v>1875.08346436154</v>
      </c>
    </row>
    <row r="13" customFormat="false" ht="15" hidden="false" customHeight="true" outlineLevel="0" collapsed="false">
      <c r="A13" s="50" t="s">
        <v>442</v>
      </c>
      <c r="B13" s="51" t="s">
        <v>330</v>
      </c>
      <c r="C13" s="52" t="s">
        <v>443</v>
      </c>
      <c r="D13" s="57" t="n">
        <f aca="false">D5*D9*365/1000000000</f>
        <v>784.221977495</v>
      </c>
      <c r="E13" s="57" t="n">
        <f aca="false">E5*E9*365/1000000000</f>
        <v>794.866174398587</v>
      </c>
      <c r="F13" s="57" t="n">
        <f aca="false">F5*F9*365/1000000000</f>
        <v>805.384323783702</v>
      </c>
      <c r="G13" s="57" t="n">
        <f aca="false">G5*G9*365/1000000000</f>
        <v>815.777420020605</v>
      </c>
      <c r="H13" s="57" t="n">
        <f aca="false">H5*H9*365/1000000000</f>
        <v>826.046450687044</v>
      </c>
      <c r="I13" s="57" t="n">
        <f aca="false">I5*I9*365/1000000000</f>
        <v>836.192396611319</v>
      </c>
      <c r="J13" s="57" t="n">
        <f aca="false">J5*J9*365/1000000000</f>
        <v>846.216231915084</v>
      </c>
      <c r="K13" s="57" t="n">
        <f aca="false">K5*K9*365/1000000000</f>
        <v>856.118924055895</v>
      </c>
      <c r="L13" s="57" t="n">
        <f aca="false">L5*L9*365/1000000000</f>
        <v>865.901433869501</v>
      </c>
      <c r="M13" s="57" t="n">
        <f aca="false">M5*M9*365/1000000000</f>
        <v>875.564715611869</v>
      </c>
      <c r="N13" s="57" t="n">
        <f aca="false">N5*N9*365/1000000000</f>
        <v>885.109717000968</v>
      </c>
      <c r="O13" s="57" t="n">
        <f aca="false">O5*O9*365/1000000000</f>
        <v>894.537379258284</v>
      </c>
      <c r="P13" s="57" t="n">
        <f aca="false">P5*P9*365/1000000000</f>
        <v>903.848637150102</v>
      </c>
      <c r="Q13" s="57" t="n">
        <f aca="false">Q5*Q9*365/1000000000</f>
        <v>913.044419028521</v>
      </c>
      <c r="R13" s="57" t="n">
        <f aca="false">R5*R9*365/1000000000</f>
        <v>922.125646872227</v>
      </c>
      <c r="S13" s="57" t="n">
        <f aca="false">S5*S9*365/1000000000</f>
        <v>931.09323632702</v>
      </c>
      <c r="T13" s="57" t="n">
        <f aca="false">T5*T9*365/1000000000</f>
        <v>939.948096746093</v>
      </c>
      <c r="U13" s="57" t="n">
        <f aca="false">U5*U9*365/1000000000</f>
        <v>948.691131230068</v>
      </c>
      <c r="V13" s="57" t="n">
        <f aca="false">V5*V9*365/1000000000</f>
        <v>957.323236666784</v>
      </c>
      <c r="W13" s="57" t="n">
        <f aca="false">W5*W9*365/1000000000</f>
        <v>965.845303770852</v>
      </c>
      <c r="X13" s="57" t="n">
        <f aca="false">X5*X9*365/1000000000</f>
        <v>974.258217122963</v>
      </c>
      <c r="Y13" s="57" t="n">
        <f aca="false">Y5*Y9*365/1000000000</f>
        <v>982.562855208958</v>
      </c>
      <c r="Z13" s="57" t="n">
        <f aca="false">Z5*Z9*365/1000000000</f>
        <v>990.760090458665</v>
      </c>
      <c r="AA13" s="57" t="n">
        <f aca="false">AA5*AA9*365/1000000000</f>
        <v>998.850789284495</v>
      </c>
      <c r="AB13" s="57" t="n">
        <f aca="false">AB5*AB9*365/1000000000</f>
        <v>1006.83581211981</v>
      </c>
      <c r="AC13" s="57" t="n">
        <f aca="false">AC5*AC9*365/1000000000</f>
        <v>1014.71601345703</v>
      </c>
      <c r="AD13" s="57" t="n">
        <f aca="false">AD5*AD9*365/1000000000</f>
        <v>1022.49224188558</v>
      </c>
      <c r="AE13" s="57" t="n">
        <f aca="false">AE5*AE9*365/1000000000</f>
        <v>1030.16534012951</v>
      </c>
      <c r="AF13" s="57" t="n">
        <f aca="false">AF5*AF9*365/1000000000</f>
        <v>1037.73614508495</v>
      </c>
      <c r="AG13" s="57" t="n">
        <f aca="false">AG5*AG9*365/1000000000</f>
        <v>1045.20548785733</v>
      </c>
      <c r="AH13" s="57" t="n">
        <f aca="false">AH5*AH9*365/1000000000</f>
        <v>1052.57419379837</v>
      </c>
    </row>
    <row r="14" customFormat="false" ht="15" hidden="false" customHeight="true" outlineLevel="0" collapsed="false">
      <c r="A14" s="50" t="s">
        <v>444</v>
      </c>
      <c r="B14" s="51" t="s">
        <v>330</v>
      </c>
      <c r="C14" s="52" t="s">
        <v>445</v>
      </c>
      <c r="D14" s="57" t="n">
        <f aca="false">D7*D10/1000</f>
        <v>389.6270185899</v>
      </c>
      <c r="E14" s="57" t="n">
        <f aca="false">E7*E10/1000</f>
        <v>403.932968035115</v>
      </c>
      <c r="F14" s="57" t="n">
        <f aca="false">F7*F10/1000</f>
        <v>418.623578068233</v>
      </c>
      <c r="G14" s="57" t="n">
        <f aca="false">G7*G10/1000</f>
        <v>433.707989015256</v>
      </c>
      <c r="H14" s="57" t="n">
        <f aca="false">H7*H10/1000</f>
        <v>449.195544352525</v>
      </c>
      <c r="I14" s="57" t="n">
        <f aca="false">I7*I10/1000</f>
        <v>465.095795036329</v>
      </c>
      <c r="J14" s="57" t="n">
        <f aca="false">J7*J10/1000</f>
        <v>481.418503922153</v>
      </c>
      <c r="K14" s="57" t="n">
        <f aca="false">K7*K10/1000</f>
        <v>498.173650275403</v>
      </c>
      <c r="L14" s="57" t="n">
        <f aca="false">L7*L10/1000</f>
        <v>515.37143437545</v>
      </c>
      <c r="M14" s="57" t="n">
        <f aca="false">M7*M10/1000</f>
        <v>533.022282214894</v>
      </c>
      <c r="N14" s="57" t="n">
        <f aca="false">N7*N10/1000</f>
        <v>551.136850295968</v>
      </c>
      <c r="O14" s="57" t="n">
        <f aca="false">O7*O10/1000</f>
        <v>569.726030526055</v>
      </c>
      <c r="P14" s="57" t="n">
        <f aca="false">P7*P10/1000</f>
        <v>588.800955214323</v>
      </c>
      <c r="Q14" s="57" t="n">
        <f aca="false">Q7*Q10/1000</f>
        <v>608.37300217152</v>
      </c>
      <c r="R14" s="57" t="n">
        <f aca="false">R7*R10/1000</f>
        <v>628.453799915024</v>
      </c>
      <c r="S14" s="57" t="n">
        <f aca="false">S7*S10/1000</f>
        <v>649.055232981272</v>
      </c>
      <c r="T14" s="57" t="n">
        <f aca="false">T7*T10/1000</f>
        <v>670.189447347742</v>
      </c>
      <c r="U14" s="57" t="n">
        <f aca="false">U7*U10/1000</f>
        <v>691.868855966691</v>
      </c>
      <c r="V14" s="57" t="n">
        <f aca="false">V7*V10/1000</f>
        <v>714.106144412932</v>
      </c>
      <c r="W14" s="57" t="n">
        <f aca="false">W7*W10/1000</f>
        <v>736.914276647924</v>
      </c>
      <c r="X14" s="57" t="n">
        <f aca="false">X7*X10/1000</f>
        <v>760.306500902548</v>
      </c>
      <c r="Y14" s="57" t="n">
        <f aca="false">Y7*Y10/1000</f>
        <v>784.296355680951</v>
      </c>
      <c r="Z14" s="57" t="n">
        <f aca="false">Z7*Z10/1000</f>
        <v>808.897675887909</v>
      </c>
      <c r="AA14" s="57" t="n">
        <f aca="false">AA7*AA10/1000</f>
        <v>834.124599082191</v>
      </c>
      <c r="AB14" s="57" t="n">
        <f aca="false">AB7*AB10/1000</f>
        <v>859.991571858486</v>
      </c>
      <c r="AC14" s="57" t="n">
        <f aca="false">AC7*AC10/1000</f>
        <v>886.51335636046</v>
      </c>
      <c r="AD14" s="57" t="n">
        <f aca="false">AD7*AD10/1000</f>
        <v>913.705036927608</v>
      </c>
      <c r="AE14" s="57" t="n">
        <f aca="false">AE7*AE10/1000</f>
        <v>941.582026878579</v>
      </c>
      <c r="AF14" s="57" t="n">
        <f aca="false">AF7*AF10/1000</f>
        <v>970.160075433746</v>
      </c>
      <c r="AG14" s="57" t="n">
        <f aca="false">AG7*AG10/1000</f>
        <v>999.455274779798</v>
      </c>
      <c r="AH14" s="57" t="n">
        <f aca="false">AH7*AH10/1000</f>
        <v>1029.48406727925</v>
      </c>
    </row>
    <row r="15" customFormat="false" ht="15" hidden="false" customHeight="true" outlineLevel="0" collapsed="false">
      <c r="A15" s="50" t="s">
        <v>446</v>
      </c>
      <c r="B15" s="51" t="s">
        <v>330</v>
      </c>
      <c r="C15" s="52" t="s">
        <v>443</v>
      </c>
      <c r="D15" s="57" t="n">
        <f aca="false">D5*D11*365/1000000000</f>
        <v>5865.68538653</v>
      </c>
      <c r="E15" s="57" t="n">
        <f aca="false">E5*E11*365/1000000000</f>
        <v>5927.37444771856</v>
      </c>
      <c r="F15" s="57" t="n">
        <f aca="false">F5*F11*365/1000000000</f>
        <v>5987.70108006336</v>
      </c>
      <c r="G15" s="57" t="n">
        <f aca="false">G5*G11*365/1000000000</f>
        <v>6046.683134326</v>
      </c>
      <c r="H15" s="57" t="n">
        <f aca="false">H5*H11*365/1000000000</f>
        <v>6104.33826285131</v>
      </c>
      <c r="I15" s="57" t="n">
        <f aca="false">I5*I11*365/1000000000</f>
        <v>6160.68392159961</v>
      </c>
      <c r="J15" s="57" t="n">
        <f aca="false">J5*J11*365/1000000000</f>
        <v>6215.73737215912</v>
      </c>
      <c r="K15" s="57" t="n">
        <f aca="false">K5*K11*365/1000000000</f>
        <v>6269.5156837387</v>
      </c>
      <c r="L15" s="57" t="n">
        <f aca="false">L5*L11*365/1000000000</f>
        <v>6322.03573514119</v>
      </c>
      <c r="M15" s="57" t="n">
        <f aca="false">M5*M11*365/1000000000</f>
        <v>6373.31421671747</v>
      </c>
      <c r="N15" s="57" t="n">
        <f aca="false">N5*N11*365/1000000000</f>
        <v>6423.36763230149</v>
      </c>
      <c r="O15" s="57" t="n">
        <f aca="false">O5*O11*365/1000000000</f>
        <v>6472.21230112629</v>
      </c>
      <c r="P15" s="57" t="n">
        <f aca="false">P5*P11*365/1000000000</f>
        <v>6519.86435972143</v>
      </c>
      <c r="Q15" s="57" t="n">
        <f aca="false">Q5*Q11*365/1000000000</f>
        <v>6566.33976379177</v>
      </c>
      <c r="R15" s="57" t="n">
        <f aca="false">R5*R11*365/1000000000</f>
        <v>6611.65429007797</v>
      </c>
      <c r="S15" s="57" t="n">
        <f aca="false">S5*S11*365/1000000000</f>
        <v>6655.8235381987</v>
      </c>
      <c r="T15" s="57" t="n">
        <f aca="false">T5*T11*365/1000000000</f>
        <v>6698.86293247494</v>
      </c>
      <c r="U15" s="57" t="n">
        <f aca="false">U5*U11*365/1000000000</f>
        <v>6740.78772373631</v>
      </c>
      <c r="V15" s="57" t="n">
        <f aca="false">V5*V11*365/1000000000</f>
        <v>6781.61299110982</v>
      </c>
      <c r="W15" s="57" t="n">
        <f aca="false">W5*W11*365/1000000000</f>
        <v>6821.35364379104</v>
      </c>
      <c r="X15" s="57" t="n">
        <f aca="false">X5*X11*365/1000000000</f>
        <v>6860.02442279793</v>
      </c>
      <c r="Y15" s="57" t="n">
        <f aca="false">Y5*Y11*365/1000000000</f>
        <v>6897.6399027075</v>
      </c>
      <c r="Z15" s="57" t="n">
        <f aca="false">Z5*Z11*365/1000000000</f>
        <v>6934.21449337546</v>
      </c>
      <c r="AA15" s="57" t="n">
        <f aca="false">AA5*AA11*365/1000000000</f>
        <v>6969.76244163896</v>
      </c>
      <c r="AB15" s="57" t="n">
        <f aca="false">AB5*AB11*365/1000000000</f>
        <v>7004.29783300267</v>
      </c>
      <c r="AC15" s="57" t="n">
        <f aca="false">AC5*AC11*365/1000000000</f>
        <v>7037.8345933083</v>
      </c>
      <c r="AD15" s="57" t="n">
        <f aca="false">AD5*AD11*365/1000000000</f>
        <v>7070.38649038772</v>
      </c>
      <c r="AE15" s="57" t="n">
        <f aca="false">AE5*AE11*365/1000000000</f>
        <v>7101.9671356999</v>
      </c>
      <c r="AF15" s="57" t="n">
        <f aca="false">AF5*AF11*365/1000000000</f>
        <v>7132.5899859517</v>
      </c>
      <c r="AG15" s="57" t="n">
        <f aca="false">AG5*AG11*365/1000000000</f>
        <v>7162.26834470279</v>
      </c>
      <c r="AH15" s="57" t="n">
        <f aca="false">AH5*AH11*365/1000000000</f>
        <v>7191.01536395476</v>
      </c>
    </row>
    <row r="16" customFormat="false" ht="15" hidden="false" customHeight="true" outlineLevel="0" collapsed="false">
      <c r="A16" s="50" t="s">
        <v>447</v>
      </c>
      <c r="B16" s="51" t="s">
        <v>364</v>
      </c>
      <c r="C16" s="52" t="s">
        <v>448</v>
      </c>
      <c r="D16" s="58" t="n">
        <f aca="false">Inputs!$B$36*MIN(1,MAX(0,(D$3-Inputs!$B$34)/Inputs!$B$35))</f>
        <v>0</v>
      </c>
      <c r="E16" s="58" t="n">
        <f aca="false">Inputs!$B$36*MIN(1,MAX(0,(E$3-Inputs!$B$34)/Inputs!$B$35))</f>
        <v>0</v>
      </c>
      <c r="F16" s="58" t="n">
        <f aca="false">Inputs!$B$36*MIN(1,MAX(0,(F$3-Inputs!$B$34)/Inputs!$B$35))</f>
        <v>0</v>
      </c>
      <c r="G16" s="58" t="n">
        <f aca="false">Inputs!$B$36*MIN(1,MAX(0,(G$3-Inputs!$B$34)/Inputs!$B$35))</f>
        <v>0</v>
      </c>
      <c r="H16" s="58" t="n">
        <f aca="false">Inputs!$B$36*MIN(1,MAX(0,(H$3-Inputs!$B$34)/Inputs!$B$35))</f>
        <v>0</v>
      </c>
      <c r="I16" s="58" t="n">
        <f aca="false">Inputs!$B$36*MIN(1,MAX(0,(I$3-Inputs!$B$34)/Inputs!$B$35))</f>
        <v>0</v>
      </c>
      <c r="J16" s="58" t="n">
        <f aca="false">Inputs!$B$36*MIN(1,MAX(0,(J$3-Inputs!$B$34)/Inputs!$B$35))</f>
        <v>0</v>
      </c>
      <c r="K16" s="58" t="n">
        <f aca="false">Inputs!$B$36*MIN(1,MAX(0,(K$3-Inputs!$B$34)/Inputs!$B$35))</f>
        <v>10000000</v>
      </c>
      <c r="L16" s="58" t="n">
        <f aca="false">Inputs!$B$36*MIN(1,MAX(0,(L$3-Inputs!$B$34)/Inputs!$B$35))</f>
        <v>20000000</v>
      </c>
      <c r="M16" s="58" t="n">
        <f aca="false">Inputs!$B$36*MIN(1,MAX(0,(M$3-Inputs!$B$34)/Inputs!$B$35))</f>
        <v>30000000</v>
      </c>
      <c r="N16" s="58" t="n">
        <f aca="false">Inputs!$B$36*MIN(1,MAX(0,(N$3-Inputs!$B$34)/Inputs!$B$35))</f>
        <v>40000000</v>
      </c>
      <c r="O16" s="58" t="n">
        <f aca="false">Inputs!$B$36*MIN(1,MAX(0,(O$3-Inputs!$B$34)/Inputs!$B$35))</f>
        <v>50000000</v>
      </c>
      <c r="P16" s="58" t="n">
        <f aca="false">Inputs!$B$36*MIN(1,MAX(0,(P$3-Inputs!$B$34)/Inputs!$B$35))</f>
        <v>60000000</v>
      </c>
      <c r="Q16" s="58" t="n">
        <f aca="false">Inputs!$B$36*MIN(1,MAX(0,(Q$3-Inputs!$B$34)/Inputs!$B$35))</f>
        <v>70000000</v>
      </c>
      <c r="R16" s="58" t="n">
        <f aca="false">Inputs!$B$36*MIN(1,MAX(0,(R$3-Inputs!$B$34)/Inputs!$B$35))</f>
        <v>80000000</v>
      </c>
      <c r="S16" s="58" t="n">
        <f aca="false">Inputs!$B$36*MIN(1,MAX(0,(S$3-Inputs!$B$34)/Inputs!$B$35))</f>
        <v>90000000</v>
      </c>
      <c r="T16" s="58" t="n">
        <f aca="false">Inputs!$B$36*MIN(1,MAX(0,(T$3-Inputs!$B$34)/Inputs!$B$35))</f>
        <v>100000000</v>
      </c>
      <c r="U16" s="58" t="n">
        <f aca="false">Inputs!$B$36*MIN(1,MAX(0,(U$3-Inputs!$B$34)/Inputs!$B$35))</f>
        <v>100000000</v>
      </c>
      <c r="V16" s="58" t="n">
        <f aca="false">Inputs!$B$36*MIN(1,MAX(0,(V$3-Inputs!$B$34)/Inputs!$B$35))</f>
        <v>100000000</v>
      </c>
      <c r="W16" s="58" t="n">
        <f aca="false">Inputs!$B$36*MIN(1,MAX(0,(W$3-Inputs!$B$34)/Inputs!$B$35))</f>
        <v>100000000</v>
      </c>
      <c r="X16" s="58" t="n">
        <f aca="false">Inputs!$B$36*MIN(1,MAX(0,(X$3-Inputs!$B$34)/Inputs!$B$35))</f>
        <v>100000000</v>
      </c>
      <c r="Y16" s="58" t="n">
        <f aca="false">Inputs!$B$36*MIN(1,MAX(0,(Y$3-Inputs!$B$34)/Inputs!$B$35))</f>
        <v>100000000</v>
      </c>
      <c r="Z16" s="58" t="n">
        <f aca="false">Inputs!$B$36*MIN(1,MAX(0,(Z$3-Inputs!$B$34)/Inputs!$B$35))</f>
        <v>100000000</v>
      </c>
      <c r="AA16" s="58" t="n">
        <f aca="false">Inputs!$B$36*MIN(1,MAX(0,(AA$3-Inputs!$B$34)/Inputs!$B$35))</f>
        <v>100000000</v>
      </c>
      <c r="AB16" s="58" t="n">
        <f aca="false">Inputs!$B$36*MIN(1,MAX(0,(AB$3-Inputs!$B$34)/Inputs!$B$35))</f>
        <v>100000000</v>
      </c>
      <c r="AC16" s="58" t="n">
        <f aca="false">Inputs!$B$36*MIN(1,MAX(0,(AC$3-Inputs!$B$34)/Inputs!$B$35))</f>
        <v>100000000</v>
      </c>
      <c r="AD16" s="58" t="n">
        <f aca="false">Inputs!$B$36*MIN(1,MAX(0,(AD$3-Inputs!$B$34)/Inputs!$B$35))</f>
        <v>100000000</v>
      </c>
      <c r="AE16" s="58" t="n">
        <f aca="false">Inputs!$B$36*MIN(1,MAX(0,(AE$3-Inputs!$B$34)/Inputs!$B$35))</f>
        <v>100000000</v>
      </c>
      <c r="AF16" s="58" t="n">
        <f aca="false">Inputs!$B$36*MIN(1,MAX(0,(AF$3-Inputs!$B$34)/Inputs!$B$35))</f>
        <v>100000000</v>
      </c>
      <c r="AG16" s="58" t="n">
        <f aca="false">Inputs!$B$36*MIN(1,MAX(0,(AG$3-Inputs!$B$34)/Inputs!$B$35))</f>
        <v>100000000</v>
      </c>
      <c r="AH16" s="58" t="n">
        <f aca="false">Inputs!$B$36*MIN(1,MAX(0,(AH$3-Inputs!$B$34)/Inputs!$B$35))</f>
        <v>100000000</v>
      </c>
    </row>
    <row r="17" customFormat="false" ht="15" hidden="false" customHeight="true" outlineLevel="0" collapsed="false">
      <c r="A17" s="50" t="s">
        <v>449</v>
      </c>
      <c r="B17" s="51" t="s">
        <v>330</v>
      </c>
      <c r="C17" s="52" t="s">
        <v>450</v>
      </c>
      <c r="D17" s="59" t="n">
        <f aca="false">D16*Inputs!$B$37*365/1000000000</f>
        <v>0</v>
      </c>
      <c r="E17" s="59" t="n">
        <f aca="false">E16*Inputs!$B$37*365/1000000000</f>
        <v>0</v>
      </c>
      <c r="F17" s="59" t="n">
        <f aca="false">F16*Inputs!$B$37*365/1000000000</f>
        <v>0</v>
      </c>
      <c r="G17" s="59" t="n">
        <f aca="false">G16*Inputs!$B$37*365/1000000000</f>
        <v>0</v>
      </c>
      <c r="H17" s="59" t="n">
        <f aca="false">H16*Inputs!$B$37*365/1000000000</f>
        <v>0</v>
      </c>
      <c r="I17" s="59" t="n">
        <f aca="false">I16*Inputs!$B$37*365/1000000000</f>
        <v>0</v>
      </c>
      <c r="J17" s="59" t="n">
        <f aca="false">J16*Inputs!$B$37*365/1000000000</f>
        <v>0</v>
      </c>
      <c r="K17" s="59" t="n">
        <f aca="false">K16*Inputs!$B$37*365/1000000000</f>
        <v>54.75</v>
      </c>
      <c r="L17" s="59" t="n">
        <f aca="false">L16*Inputs!$B$37*365/1000000000</f>
        <v>109.5</v>
      </c>
      <c r="M17" s="59" t="n">
        <f aca="false">M16*Inputs!$B$37*365/1000000000</f>
        <v>164.25</v>
      </c>
      <c r="N17" s="59" t="n">
        <f aca="false">N16*Inputs!$B$37*365/1000000000</f>
        <v>219</v>
      </c>
      <c r="O17" s="59" t="n">
        <f aca="false">O16*Inputs!$B$37*365/1000000000</f>
        <v>273.75</v>
      </c>
      <c r="P17" s="59" t="n">
        <f aca="false">P16*Inputs!$B$37*365/1000000000</f>
        <v>328.5</v>
      </c>
      <c r="Q17" s="59" t="n">
        <f aca="false">Q16*Inputs!$B$37*365/1000000000</f>
        <v>383.25</v>
      </c>
      <c r="R17" s="59" t="n">
        <f aca="false">R16*Inputs!$B$37*365/1000000000</f>
        <v>438</v>
      </c>
      <c r="S17" s="59" t="n">
        <f aca="false">S16*Inputs!$B$37*365/1000000000</f>
        <v>492.75</v>
      </c>
      <c r="T17" s="59" t="n">
        <f aca="false">T16*Inputs!$B$37*365/1000000000</f>
        <v>547.5</v>
      </c>
      <c r="U17" s="59" t="n">
        <f aca="false">U16*Inputs!$B$37*365/1000000000</f>
        <v>547.5</v>
      </c>
      <c r="V17" s="59" t="n">
        <f aca="false">V16*Inputs!$B$37*365/1000000000</f>
        <v>547.5</v>
      </c>
      <c r="W17" s="59" t="n">
        <f aca="false">W16*Inputs!$B$37*365/1000000000</f>
        <v>547.5</v>
      </c>
      <c r="X17" s="59" t="n">
        <f aca="false">X16*Inputs!$B$37*365/1000000000</f>
        <v>547.5</v>
      </c>
      <c r="Y17" s="59" t="n">
        <f aca="false">Y16*Inputs!$B$37*365/1000000000</f>
        <v>547.5</v>
      </c>
      <c r="Z17" s="59" t="n">
        <f aca="false">Z16*Inputs!$B$37*365/1000000000</f>
        <v>547.5</v>
      </c>
      <c r="AA17" s="59" t="n">
        <f aca="false">AA16*Inputs!$B$37*365/1000000000</f>
        <v>547.5</v>
      </c>
      <c r="AB17" s="59" t="n">
        <f aca="false">AB16*Inputs!$B$37*365/1000000000</f>
        <v>547.5</v>
      </c>
      <c r="AC17" s="59" t="n">
        <f aca="false">AC16*Inputs!$B$37*365/1000000000</f>
        <v>547.5</v>
      </c>
      <c r="AD17" s="59" t="n">
        <f aca="false">AD16*Inputs!$B$37*365/1000000000</f>
        <v>547.5</v>
      </c>
      <c r="AE17" s="59" t="n">
        <f aca="false">AE16*Inputs!$B$37*365/1000000000</f>
        <v>547.5</v>
      </c>
      <c r="AF17" s="59" t="n">
        <f aca="false">AF16*Inputs!$B$37*365/1000000000</f>
        <v>547.5</v>
      </c>
      <c r="AG17" s="59" t="n">
        <f aca="false">AG16*Inputs!$B$37*365/1000000000</f>
        <v>547.5</v>
      </c>
      <c r="AH17" s="59" t="n">
        <f aca="false">AH16*Inputs!$B$37*365/1000000000</f>
        <v>547.5</v>
      </c>
    </row>
    <row r="19" customFormat="false" ht="15" hidden="false" customHeight="true" outlineLevel="0" collapsed="false">
      <c r="A19" s="60" t="s">
        <v>451</v>
      </c>
      <c r="B19" s="51" t="s">
        <v>330</v>
      </c>
      <c r="C19" s="52" t="s">
        <v>452</v>
      </c>
      <c r="D19" s="61" t="n">
        <f aca="false">D13+D14+D15+D17</f>
        <v>7039.5343826149</v>
      </c>
      <c r="E19" s="61" t="n">
        <f aca="false">E13+E14+E15+E17</f>
        <v>7126.17359015226</v>
      </c>
      <c r="F19" s="61" t="n">
        <f aca="false">F13+F14+F15+F17</f>
        <v>7211.7089819153</v>
      </c>
      <c r="G19" s="61" t="n">
        <f aca="false">G13+G14+G15+G17</f>
        <v>7296.16854336186</v>
      </c>
      <c r="H19" s="61" t="n">
        <f aca="false">H13+H14+H15+H17</f>
        <v>7379.58025789088</v>
      </c>
      <c r="I19" s="61" t="n">
        <f aca="false">I13+I14+I15+I17</f>
        <v>7461.97211324726</v>
      </c>
      <c r="J19" s="61" t="n">
        <f aca="false">J13+J14+J15+J17</f>
        <v>7543.37210799636</v>
      </c>
      <c r="K19" s="61" t="n">
        <f aca="false">K13+K14+K15+K17</f>
        <v>7678.55825807</v>
      </c>
      <c r="L19" s="61" t="n">
        <f aca="false">L13+L14+L15+L17</f>
        <v>7812.80860338614</v>
      </c>
      <c r="M19" s="61" t="n">
        <f aca="false">M13+M14+M15+M17</f>
        <v>7946.15121454423</v>
      </c>
      <c r="N19" s="61" t="n">
        <f aca="false">N13+N14+N15+N17</f>
        <v>8078.61419959842</v>
      </c>
      <c r="O19" s="61" t="n">
        <f aca="false">O13+O14+O15+O17</f>
        <v>8210.22571091063</v>
      </c>
      <c r="P19" s="61" t="n">
        <f aca="false">P13+P14+P15+P17</f>
        <v>8341.01395208585</v>
      </c>
      <c r="Q19" s="61" t="n">
        <f aca="false">Q13+Q14+Q15+Q17</f>
        <v>8471.00718499181</v>
      </c>
      <c r="R19" s="61" t="n">
        <f aca="false">R13+R14+R15+R17</f>
        <v>8600.23373686522</v>
      </c>
      <c r="S19" s="61" t="n">
        <f aca="false">S13+S14+S15+S17</f>
        <v>8728.72200750699</v>
      </c>
      <c r="T19" s="61" t="n">
        <f aca="false">T13+T14+T15+T17</f>
        <v>8856.50047656877</v>
      </c>
      <c r="U19" s="61" t="n">
        <f aca="false">U13+U14+U15+U17</f>
        <v>8928.84771093307</v>
      </c>
      <c r="V19" s="61" t="n">
        <f aca="false">V13+V14+V15+V17</f>
        <v>9000.54237218954</v>
      </c>
      <c r="W19" s="61" t="n">
        <f aca="false">W13+W14+W15+W17</f>
        <v>9071.61322420982</v>
      </c>
      <c r="X19" s="61" t="n">
        <f aca="false">X13+X14+X15+X17</f>
        <v>9142.08914082344</v>
      </c>
      <c r="Y19" s="61" t="n">
        <f aca="false">Y13+Y14+Y15+Y17</f>
        <v>9211.99911359741</v>
      </c>
      <c r="Z19" s="61" t="n">
        <f aca="false">Z13+Z14+Z15+Z17</f>
        <v>9281.37225972204</v>
      </c>
      <c r="AA19" s="61" t="n">
        <f aca="false">AA13+AA14+AA15+AA17</f>
        <v>9350.23783000565</v>
      </c>
      <c r="AB19" s="61" t="n">
        <f aca="false">AB13+AB14+AB15+AB17</f>
        <v>9418.62521698097</v>
      </c>
      <c r="AC19" s="61" t="n">
        <f aca="false">AC13+AC14+AC15+AC17</f>
        <v>9486.56396312579</v>
      </c>
      <c r="AD19" s="61" t="n">
        <f aca="false">AD13+AD14+AD15+AD17</f>
        <v>9554.08376920091</v>
      </c>
      <c r="AE19" s="61" t="n">
        <f aca="false">AE13+AE14+AE15+AE17</f>
        <v>9621.21450270799</v>
      </c>
      <c r="AF19" s="61" t="n">
        <f aca="false">AF13+AF14+AF15+AF17</f>
        <v>9687.9862064704</v>
      </c>
      <c r="AG19" s="61" t="n">
        <f aca="false">AG13+AG14+AG15+AG17</f>
        <v>9754.42910733992</v>
      </c>
      <c r="AH19" s="61" t="n">
        <f aca="false">AH13+AH14+AH15+AH17</f>
        <v>9820.57362503237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3" topLeftCell="A51" activePane="bottomLeft" state="frozen"/>
      <selection pane="topLeft" activeCell="A1" activeCellId="0" sqref="A1"/>
      <selection pane="bottomLeft" activeCell="H33" activeCellId="0" sqref="H3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34" min="4" style="1" width="10"/>
  </cols>
  <sheetData>
    <row r="1" customFormat="false" ht="17.25" hidden="false" customHeight="true" outlineLevel="0" collapsed="false">
      <c r="A1" s="47" t="s">
        <v>453</v>
      </c>
    </row>
    <row r="3" customFormat="false" ht="15" hidden="false" customHeight="true" outlineLevel="0" collapsed="false">
      <c r="A3" s="48" t="s">
        <v>427</v>
      </c>
      <c r="B3" s="48" t="s">
        <v>159</v>
      </c>
      <c r="C3" s="48" t="s">
        <v>428</v>
      </c>
      <c r="D3" s="49" t="n">
        <v>2020</v>
      </c>
      <c r="E3" s="49" t="n">
        <v>2021</v>
      </c>
      <c r="F3" s="49" t="n">
        <v>2022</v>
      </c>
      <c r="G3" s="49" t="n">
        <v>2023</v>
      </c>
      <c r="H3" s="49" t="n">
        <v>2024</v>
      </c>
      <c r="I3" s="49" t="n">
        <v>2025</v>
      </c>
      <c r="J3" s="49" t="n">
        <v>2026</v>
      </c>
      <c r="K3" s="49" t="n">
        <v>2027</v>
      </c>
      <c r="L3" s="49" t="n">
        <v>2028</v>
      </c>
      <c r="M3" s="49" t="n">
        <v>2029</v>
      </c>
      <c r="N3" s="49" t="n">
        <v>2030</v>
      </c>
      <c r="O3" s="49" t="n">
        <v>2031</v>
      </c>
      <c r="P3" s="49" t="n">
        <v>2032</v>
      </c>
      <c r="Q3" s="49" t="n">
        <v>2033</v>
      </c>
      <c r="R3" s="49" t="n">
        <v>2034</v>
      </c>
      <c r="S3" s="49" t="n">
        <v>2035</v>
      </c>
      <c r="T3" s="49" t="n">
        <v>2036</v>
      </c>
      <c r="U3" s="49" t="n">
        <v>2037</v>
      </c>
      <c r="V3" s="49" t="n">
        <v>2038</v>
      </c>
      <c r="W3" s="49" t="n">
        <v>2039</v>
      </c>
      <c r="X3" s="49" t="n">
        <v>2040</v>
      </c>
      <c r="Y3" s="49" t="n">
        <v>2041</v>
      </c>
      <c r="Z3" s="49" t="n">
        <v>2042</v>
      </c>
      <c r="AA3" s="49" t="n">
        <v>2043</v>
      </c>
      <c r="AB3" s="49" t="n">
        <v>2044</v>
      </c>
      <c r="AC3" s="49" t="n">
        <v>2045</v>
      </c>
      <c r="AD3" s="49" t="n">
        <v>2046</v>
      </c>
      <c r="AE3" s="49" t="n">
        <v>2047</v>
      </c>
      <c r="AF3" s="49" t="n">
        <v>2048</v>
      </c>
      <c r="AG3" s="49" t="n">
        <v>2049</v>
      </c>
      <c r="AH3" s="49" t="n">
        <v>2050</v>
      </c>
    </row>
    <row r="5" customFormat="false" ht="15" hidden="false" customHeight="true" outlineLevel="0" collapsed="false">
      <c r="A5" s="50" t="s">
        <v>454</v>
      </c>
      <c r="B5" s="51" t="s">
        <v>330</v>
      </c>
      <c r="C5" s="52" t="s">
        <v>455</v>
      </c>
      <c r="D5" s="62" t="n">
        <f aca="false">Demand!D19</f>
        <v>7039.5343826149</v>
      </c>
      <c r="E5" s="62" t="n">
        <f aca="false">Demand!E19</f>
        <v>7126.17359015226</v>
      </c>
      <c r="F5" s="62" t="n">
        <f aca="false">Demand!F19</f>
        <v>7211.7089819153</v>
      </c>
      <c r="G5" s="62" t="n">
        <f aca="false">Demand!G19</f>
        <v>7296.16854336186</v>
      </c>
      <c r="H5" s="62" t="n">
        <f aca="false">Demand!H19</f>
        <v>7379.58025789088</v>
      </c>
      <c r="I5" s="62" t="n">
        <f aca="false">Demand!I19</f>
        <v>7461.97211324726</v>
      </c>
      <c r="J5" s="62" t="n">
        <f aca="false">Demand!J19</f>
        <v>7543.37210799636</v>
      </c>
      <c r="K5" s="62" t="n">
        <f aca="false">Demand!K19</f>
        <v>7678.55825807</v>
      </c>
      <c r="L5" s="62" t="n">
        <f aca="false">Demand!L19</f>
        <v>7812.80860338614</v>
      </c>
      <c r="M5" s="62" t="n">
        <f aca="false">Demand!M19</f>
        <v>7946.15121454423</v>
      </c>
      <c r="N5" s="62" t="n">
        <f aca="false">Demand!N19</f>
        <v>8078.61419959842</v>
      </c>
      <c r="O5" s="62" t="n">
        <f aca="false">Demand!O19</f>
        <v>8210.22571091063</v>
      </c>
      <c r="P5" s="62" t="n">
        <f aca="false">Demand!P19</f>
        <v>8341.01395208585</v>
      </c>
      <c r="Q5" s="62" t="n">
        <f aca="false">Demand!Q19</f>
        <v>8471.00718499181</v>
      </c>
      <c r="R5" s="62" t="n">
        <f aca="false">Demand!R19</f>
        <v>8600.23373686522</v>
      </c>
      <c r="S5" s="62" t="n">
        <f aca="false">Demand!S19</f>
        <v>8728.72200750699</v>
      </c>
      <c r="T5" s="62" t="n">
        <f aca="false">Demand!T19</f>
        <v>8856.50047656877</v>
      </c>
      <c r="U5" s="62" t="n">
        <f aca="false">Demand!U19</f>
        <v>8928.84771093307</v>
      </c>
      <c r="V5" s="62" t="n">
        <f aca="false">Demand!V19</f>
        <v>9000.54237218954</v>
      </c>
      <c r="W5" s="62" t="n">
        <f aca="false">Demand!W19</f>
        <v>9071.61322420982</v>
      </c>
      <c r="X5" s="62" t="n">
        <f aca="false">Demand!X19</f>
        <v>9142.08914082344</v>
      </c>
      <c r="Y5" s="62" t="n">
        <f aca="false">Demand!Y19</f>
        <v>9211.99911359741</v>
      </c>
      <c r="Z5" s="62" t="n">
        <f aca="false">Demand!Z19</f>
        <v>9281.37225972204</v>
      </c>
      <c r="AA5" s="62" t="n">
        <f aca="false">Demand!AA19</f>
        <v>9350.23783000565</v>
      </c>
      <c r="AB5" s="62" t="n">
        <f aca="false">Demand!AB19</f>
        <v>9418.62521698097</v>
      </c>
      <c r="AC5" s="62" t="n">
        <f aca="false">Demand!AC19</f>
        <v>9486.56396312579</v>
      </c>
      <c r="AD5" s="62" t="n">
        <f aca="false">Demand!AD19</f>
        <v>9554.08376920091</v>
      </c>
      <c r="AE5" s="62" t="n">
        <f aca="false">Demand!AE19</f>
        <v>9621.21450270799</v>
      </c>
      <c r="AF5" s="62" t="n">
        <f aca="false">Demand!AF19</f>
        <v>9687.9862064704</v>
      </c>
      <c r="AG5" s="62" t="n">
        <f aca="false">Demand!AG19</f>
        <v>9754.42910733992</v>
      </c>
      <c r="AH5" s="62" t="n">
        <f aca="false">Demand!AH19</f>
        <v>9820.57362503237</v>
      </c>
    </row>
    <row r="6" customFormat="false" ht="15" hidden="false" customHeight="true" outlineLevel="0" collapsed="false">
      <c r="A6" s="50" t="s">
        <v>456</v>
      </c>
      <c r="B6" s="51" t="s">
        <v>330</v>
      </c>
      <c r="C6" s="52" t="s">
        <v>457</v>
      </c>
      <c r="D6" s="63" t="n">
        <f aca="false">Demand!D17</f>
        <v>0</v>
      </c>
      <c r="E6" s="63" t="n">
        <f aca="false">Demand!E17</f>
        <v>0</v>
      </c>
      <c r="F6" s="63" t="n">
        <f aca="false">Demand!F17</f>
        <v>0</v>
      </c>
      <c r="G6" s="63" t="n">
        <f aca="false">Demand!G17</f>
        <v>0</v>
      </c>
      <c r="H6" s="63" t="n">
        <f aca="false">Demand!H17</f>
        <v>0</v>
      </c>
      <c r="I6" s="63" t="n">
        <f aca="false">Demand!I17</f>
        <v>0</v>
      </c>
      <c r="J6" s="63" t="n">
        <f aca="false">Demand!J17</f>
        <v>0</v>
      </c>
      <c r="K6" s="63" t="n">
        <f aca="false">Demand!K17</f>
        <v>54.75</v>
      </c>
      <c r="L6" s="63" t="n">
        <f aca="false">Demand!L17</f>
        <v>109.5</v>
      </c>
      <c r="M6" s="63" t="n">
        <f aca="false">Demand!M17</f>
        <v>164.25</v>
      </c>
      <c r="N6" s="63" t="n">
        <f aca="false">Demand!N17</f>
        <v>219</v>
      </c>
      <c r="O6" s="63" t="n">
        <f aca="false">Demand!O17</f>
        <v>273.75</v>
      </c>
      <c r="P6" s="63" t="n">
        <f aca="false">Demand!P17</f>
        <v>328.5</v>
      </c>
      <c r="Q6" s="63" t="n">
        <f aca="false">Demand!Q17</f>
        <v>383.25</v>
      </c>
      <c r="R6" s="63" t="n">
        <f aca="false">Demand!R17</f>
        <v>438</v>
      </c>
      <c r="S6" s="63" t="n">
        <f aca="false">Demand!S17</f>
        <v>492.75</v>
      </c>
      <c r="T6" s="63" t="n">
        <f aca="false">Demand!T17</f>
        <v>547.5</v>
      </c>
      <c r="U6" s="63" t="n">
        <f aca="false">Demand!U17</f>
        <v>547.5</v>
      </c>
      <c r="V6" s="63" t="n">
        <f aca="false">Demand!V17</f>
        <v>547.5</v>
      </c>
      <c r="W6" s="63" t="n">
        <f aca="false">Demand!W17</f>
        <v>547.5</v>
      </c>
      <c r="X6" s="63" t="n">
        <f aca="false">Demand!X17</f>
        <v>547.5</v>
      </c>
      <c r="Y6" s="63" t="n">
        <f aca="false">Demand!Y17</f>
        <v>547.5</v>
      </c>
      <c r="Z6" s="63" t="n">
        <f aca="false">Demand!Z17</f>
        <v>547.5</v>
      </c>
      <c r="AA6" s="63" t="n">
        <f aca="false">Demand!AA17</f>
        <v>547.5</v>
      </c>
      <c r="AB6" s="63" t="n">
        <f aca="false">Demand!AB17</f>
        <v>547.5</v>
      </c>
      <c r="AC6" s="63" t="n">
        <f aca="false">Demand!AC17</f>
        <v>547.5</v>
      </c>
      <c r="AD6" s="63" t="n">
        <f aca="false">Demand!AD17</f>
        <v>547.5</v>
      </c>
      <c r="AE6" s="63" t="n">
        <f aca="false">Demand!AE17</f>
        <v>547.5</v>
      </c>
      <c r="AF6" s="63" t="n">
        <f aca="false">Demand!AF17</f>
        <v>547.5</v>
      </c>
      <c r="AG6" s="63" t="n">
        <f aca="false">Demand!AG17</f>
        <v>547.5</v>
      </c>
      <c r="AH6" s="63" t="n">
        <f aca="false">Demand!AH17</f>
        <v>547.5</v>
      </c>
    </row>
    <row r="7" customFormat="false" ht="15" hidden="false" customHeight="true" outlineLevel="0" collapsed="false">
      <c r="A7" s="1" t="s">
        <v>458</v>
      </c>
      <c r="B7" s="1" t="s">
        <v>330</v>
      </c>
      <c r="C7" s="1" t="s">
        <v>459</v>
      </c>
      <c r="D7" s="62" t="n">
        <f aca="false">MIN(D11,MAX(D14-D17,0))</f>
        <v>60</v>
      </c>
      <c r="E7" s="62" t="n">
        <f aca="false">MIN(E11,MAX(E14-E17,0))</f>
        <v>59.4</v>
      </c>
      <c r="F7" s="62" t="n">
        <f aca="false">MIN(F11,MAX(F14-F17,0))</f>
        <v>58.806</v>
      </c>
      <c r="G7" s="62" t="n">
        <f aca="false">MIN(G11,MAX(G14-G17,0))</f>
        <v>58.21794</v>
      </c>
      <c r="H7" s="62" t="n">
        <f aca="false">MIN(H11,MAX(H14-H17,0))</f>
        <v>57.6357606</v>
      </c>
      <c r="I7" s="62" t="n">
        <f aca="false">MIN(I11,MAX(I14-I17,0))</f>
        <v>57.059402994</v>
      </c>
      <c r="J7" s="62" t="n">
        <f aca="false">MIN(J11,MAX(J14-J17,0))</f>
        <v>56.48880896406</v>
      </c>
      <c r="K7" s="62" t="n">
        <f aca="false">MIN(K11,MAX(K14-K17,0))</f>
        <v>55.9239208744194</v>
      </c>
      <c r="L7" s="62" t="n">
        <f aca="false">MIN(L11,MAX(L14-L17,0))</f>
        <v>55.3646816656752</v>
      </c>
      <c r="M7" s="62" t="n">
        <f aca="false">MIN(M11,MAX(M14-M17,0))</f>
        <v>54.8110348490185</v>
      </c>
      <c r="N7" s="62" t="n">
        <f aca="false">MIN(N11,MAX(N14-N17,0))</f>
        <v>54.2629245005283</v>
      </c>
      <c r="O7" s="62" t="n">
        <f aca="false">MIN(O11,MAX(O14-O17,0))</f>
        <v>53.720295255523</v>
      </c>
      <c r="P7" s="62" t="n">
        <f aca="false">MIN(P11,MAX(P14-P17,0))</f>
        <v>53.1830923029678</v>
      </c>
      <c r="Q7" s="62" t="n">
        <f aca="false">MIN(Q11,MAX(Q14-Q17,0))</f>
        <v>52.6512613799381</v>
      </c>
      <c r="R7" s="62" t="n">
        <f aca="false">MIN(R11,MAX(R14-R17,0))</f>
        <v>52.1247487661387</v>
      </c>
      <c r="S7" s="62" t="n">
        <f aca="false">MIN(S11,MAX(S14-S17,0))</f>
        <v>51.6035012784773</v>
      </c>
      <c r="T7" s="62" t="n">
        <f aca="false">MIN(T11,MAX(T14-T17,0))</f>
        <v>51.0874662656925</v>
      </c>
      <c r="U7" s="62" t="n">
        <f aca="false">MIN(U11,MAX(U14-U17,0))</f>
        <v>50.5765916030356</v>
      </c>
      <c r="V7" s="62" t="n">
        <f aca="false">MIN(V11,MAX(V14-V17,0))</f>
        <v>50.0708256870053</v>
      </c>
      <c r="W7" s="62" t="n">
        <f aca="false">MIN(W11,MAX(W14-W17,0))</f>
        <v>49.5701174301352</v>
      </c>
      <c r="X7" s="62" t="n">
        <f aca="false">MIN(X11,MAX(X14-X17,0))</f>
        <v>49.0744162558338</v>
      </c>
      <c r="Y7" s="62" t="n">
        <f aca="false">MIN(Y11,MAX(Y14-Y17,0))</f>
        <v>48.5836720932755</v>
      </c>
      <c r="Z7" s="62" t="n">
        <f aca="false">MIN(Z11,MAX(Z14-Z17,0))</f>
        <v>48.0978353723428</v>
      </c>
      <c r="AA7" s="62" t="n">
        <f aca="false">MIN(AA11,MAX(AA14-AA17,0))</f>
        <v>47.6168570186193</v>
      </c>
      <c r="AB7" s="62" t="n">
        <f aca="false">MIN(AB11,MAX(AB14-AB17,0))</f>
        <v>47.1406884484331</v>
      </c>
      <c r="AC7" s="62" t="n">
        <f aca="false">MIN(AC11,MAX(AC14-AC17,0))</f>
        <v>46.6692815639488</v>
      </c>
      <c r="AD7" s="62" t="n">
        <f aca="false">MIN(AD11,MAX(AD14-AD17,0))</f>
        <v>46.2025887483093</v>
      </c>
      <c r="AE7" s="62" t="n">
        <f aca="false">MIN(AE11,MAX(AE14-AE17,0))</f>
        <v>45.7405628608262</v>
      </c>
      <c r="AF7" s="62" t="n">
        <f aca="false">MIN(AF11,MAX(AF14-AF17,0))</f>
        <v>45.283157232218</v>
      </c>
      <c r="AG7" s="62" t="n">
        <f aca="false">MIN(AG11,MAX(AG14-AG17,0))</f>
        <v>44.8303256598958</v>
      </c>
      <c r="AH7" s="62" t="n">
        <f aca="false">MIN(AH11,MAX(AH14-AH17,0))</f>
        <v>44.3820224032968</v>
      </c>
    </row>
    <row r="8" customFormat="false" ht="15" hidden="false" customHeight="true" outlineLevel="0" collapsed="false">
      <c r="A8" s="50" t="s">
        <v>460</v>
      </c>
      <c r="B8" s="51" t="s">
        <v>330</v>
      </c>
      <c r="C8" s="52" t="s">
        <v>461</v>
      </c>
      <c r="D8" s="62" t="n">
        <f aca="false">Inputs!$B$20*(1+Inputs!$B$21)^(D$3-2020)</f>
        <v>6000</v>
      </c>
      <c r="E8" s="62" t="n">
        <f aca="false">Inputs!$B$20*(1+Inputs!$B$21)^(E$3-2020)</f>
        <v>5910</v>
      </c>
      <c r="F8" s="62" t="n">
        <f aca="false">Inputs!$B$20*(1+Inputs!$B$21)^(F$3-2020)</f>
        <v>5821.35</v>
      </c>
      <c r="G8" s="62" t="n">
        <f aca="false">Inputs!$B$20*(1+Inputs!$B$21)^(G$3-2020)</f>
        <v>5734.02975</v>
      </c>
      <c r="H8" s="62" t="n">
        <f aca="false">Inputs!$B$20*(1+Inputs!$B$21)^(H$3-2020)</f>
        <v>5648.01930375</v>
      </c>
      <c r="I8" s="62" t="n">
        <f aca="false">Inputs!$B$20*(1+Inputs!$B$21)^(I$3-2020)</f>
        <v>5563.29901419375</v>
      </c>
      <c r="J8" s="62" t="n">
        <f aca="false">Inputs!$B$20*(1+Inputs!$B$21)^(J$3-2020)</f>
        <v>5479.84952898084</v>
      </c>
      <c r="K8" s="62" t="n">
        <f aca="false">Inputs!$B$20*(1+Inputs!$B$21)^(K$3-2020)</f>
        <v>5397.65178604613</v>
      </c>
      <c r="L8" s="62" t="n">
        <f aca="false">Inputs!$B$20*(1+Inputs!$B$21)^(L$3-2020)</f>
        <v>5316.68700925544</v>
      </c>
      <c r="M8" s="62" t="n">
        <f aca="false">Inputs!$B$20*(1+Inputs!$B$21)^(M$3-2020)</f>
        <v>5236.93670411661</v>
      </c>
      <c r="N8" s="62" t="n">
        <f aca="false">Inputs!$B$20*(1+Inputs!$B$21)^(N$3-2020)</f>
        <v>5158.38265355486</v>
      </c>
      <c r="O8" s="62" t="n">
        <f aca="false">Inputs!$B$20*(1+Inputs!$B$21)^(O$3-2020)</f>
        <v>5081.00691375154</v>
      </c>
      <c r="P8" s="62" t="n">
        <f aca="false">Inputs!$B$20*(1+Inputs!$B$21)^(P$3-2020)</f>
        <v>5004.79181004526</v>
      </c>
      <c r="Q8" s="62" t="n">
        <f aca="false">Inputs!$B$20*(1+Inputs!$B$21)^(Q$3-2020)</f>
        <v>4929.71993289458</v>
      </c>
      <c r="R8" s="62" t="n">
        <f aca="false">Inputs!$B$20*(1+Inputs!$B$21)^(R$3-2020)</f>
        <v>4855.77413390116</v>
      </c>
      <c r="S8" s="62" t="n">
        <f aca="false">Inputs!$B$20*(1+Inputs!$B$21)^(S$3-2020)</f>
        <v>4782.93752189265</v>
      </c>
      <c r="T8" s="62" t="n">
        <f aca="false">Inputs!$B$20*(1+Inputs!$B$21)^(T$3-2020)</f>
        <v>4711.19345906426</v>
      </c>
      <c r="U8" s="62" t="n">
        <f aca="false">Inputs!$B$20*(1+Inputs!$B$21)^(U$3-2020)</f>
        <v>4640.52555717829</v>
      </c>
      <c r="V8" s="62" t="n">
        <f aca="false">Inputs!$B$20*(1+Inputs!$B$21)^(V$3-2020)</f>
        <v>4570.91767382062</v>
      </c>
      <c r="W8" s="62" t="n">
        <f aca="false">Inputs!$B$20*(1+Inputs!$B$21)^(W$3-2020)</f>
        <v>4502.35390871331</v>
      </c>
      <c r="X8" s="62" t="n">
        <f aca="false">Inputs!$B$20*(1+Inputs!$B$21)^(X$3-2020)</f>
        <v>4434.81860008261</v>
      </c>
      <c r="Y8" s="62" t="n">
        <f aca="false">Inputs!$B$20*(1+Inputs!$B$21)^(Y$3-2020)</f>
        <v>4368.29632108137</v>
      </c>
      <c r="Z8" s="62" t="n">
        <f aca="false">Inputs!$B$20*(1+Inputs!$B$21)^(Z$3-2020)</f>
        <v>4302.77187626515</v>
      </c>
      <c r="AA8" s="62" t="n">
        <f aca="false">Inputs!$B$20*(1+Inputs!$B$21)^(AA$3-2020)</f>
        <v>4238.23029812117</v>
      </c>
      <c r="AB8" s="62" t="n">
        <f aca="false">Inputs!$B$20*(1+Inputs!$B$21)^(AB$3-2020)</f>
        <v>4174.65684364935</v>
      </c>
      <c r="AC8" s="62" t="n">
        <f aca="false">Inputs!$B$20*(1+Inputs!$B$21)^(AC$3-2020)</f>
        <v>4112.03699099461</v>
      </c>
      <c r="AD8" s="62" t="n">
        <f aca="false">Inputs!$B$20*(1+Inputs!$B$21)^(AD$3-2020)</f>
        <v>4050.3564361297</v>
      </c>
      <c r="AE8" s="62" t="n">
        <f aca="false">Inputs!$B$20*(1+Inputs!$B$21)^(AE$3-2020)</f>
        <v>3989.60108958775</v>
      </c>
      <c r="AF8" s="62" t="n">
        <f aca="false">Inputs!$B$20*(1+Inputs!$B$21)^(AF$3-2020)</f>
        <v>3929.75707324393</v>
      </c>
      <c r="AG8" s="62" t="n">
        <f aca="false">Inputs!$B$20*(1+Inputs!$B$21)^(AG$3-2020)</f>
        <v>3870.81071714527</v>
      </c>
      <c r="AH8" s="62" t="n">
        <f aca="false">Inputs!$B$20*(1+Inputs!$B$21)^(AH$3-2020)</f>
        <v>3812.74855638809</v>
      </c>
    </row>
    <row r="9" customFormat="false" ht="15" hidden="false" customHeight="true" outlineLevel="0" collapsed="false">
      <c r="A9" s="50" t="s">
        <v>462</v>
      </c>
      <c r="B9" s="51" t="s">
        <v>330</v>
      </c>
      <c r="C9" s="52" t="s">
        <v>463</v>
      </c>
      <c r="D9" s="62" t="n">
        <f aca="false">Inputs!$B$22*(1+Inputs!$B$23)^(D$3-2020)</f>
        <v>912</v>
      </c>
      <c r="E9" s="62" t="n">
        <f aca="false">Inputs!$B$22*(1+Inputs!$B$23)^(E$3-2020)</f>
        <v>893.76</v>
      </c>
      <c r="F9" s="62" t="n">
        <f aca="false">Inputs!$B$22*(1+Inputs!$B$23)^(F$3-2020)</f>
        <v>875.8848</v>
      </c>
      <c r="G9" s="62" t="n">
        <f aca="false">Inputs!$B$22*(1+Inputs!$B$23)^(G$3-2020)</f>
        <v>858.367104</v>
      </c>
      <c r="H9" s="62" t="n">
        <f aca="false">Inputs!$B$22*(1+Inputs!$B$23)^(H$3-2020)</f>
        <v>841.19976192</v>
      </c>
      <c r="I9" s="62" t="n">
        <f aca="false">Inputs!$B$22*(1+Inputs!$B$23)^(I$3-2020)</f>
        <v>824.3757666816</v>
      </c>
      <c r="J9" s="62" t="n">
        <f aca="false">Inputs!$B$22*(1+Inputs!$B$23)^(J$3-2020)</f>
        <v>807.888251347968</v>
      </c>
      <c r="K9" s="62" t="n">
        <f aca="false">Inputs!$B$22*(1+Inputs!$B$23)^(K$3-2020)</f>
        <v>791.730486321009</v>
      </c>
      <c r="L9" s="62" t="n">
        <f aca="false">Inputs!$B$22*(1+Inputs!$B$23)^(L$3-2020)</f>
        <v>775.895876594588</v>
      </c>
      <c r="M9" s="62" t="n">
        <f aca="false">Inputs!$B$22*(1+Inputs!$B$23)^(M$3-2020)</f>
        <v>760.377959062697</v>
      </c>
      <c r="N9" s="62" t="n">
        <f aca="false">Inputs!$B$22*(1+Inputs!$B$23)^(N$3-2020)</f>
        <v>745.170399881443</v>
      </c>
      <c r="O9" s="62" t="n">
        <f aca="false">Inputs!$B$22*(1+Inputs!$B$23)^(O$3-2020)</f>
        <v>730.266991883814</v>
      </c>
      <c r="P9" s="62" t="n">
        <f aca="false">Inputs!$B$22*(1+Inputs!$B$23)^(P$3-2020)</f>
        <v>715.661652046137</v>
      </c>
      <c r="Q9" s="62" t="n">
        <f aca="false">Inputs!$B$22*(1+Inputs!$B$23)^(Q$3-2020)</f>
        <v>701.348419005215</v>
      </c>
      <c r="R9" s="62" t="n">
        <f aca="false">Inputs!$B$22*(1+Inputs!$B$23)^(R$3-2020)</f>
        <v>687.32145062511</v>
      </c>
      <c r="S9" s="62" t="n">
        <f aca="false">Inputs!$B$22*(1+Inputs!$B$23)^(S$3-2020)</f>
        <v>673.575021612608</v>
      </c>
      <c r="T9" s="62" t="n">
        <f aca="false">Inputs!$B$22*(1+Inputs!$B$23)^(T$3-2020)</f>
        <v>660.103521180356</v>
      </c>
      <c r="U9" s="62" t="n">
        <f aca="false">Inputs!$B$22*(1+Inputs!$B$23)^(U$3-2020)</f>
        <v>646.901450756749</v>
      </c>
      <c r="V9" s="62" t="n">
        <f aca="false">Inputs!$B$22*(1+Inputs!$B$23)^(V$3-2020)</f>
        <v>633.963421741614</v>
      </c>
      <c r="W9" s="62" t="n">
        <f aca="false">Inputs!$B$22*(1+Inputs!$B$23)^(W$3-2020)</f>
        <v>621.284153306782</v>
      </c>
      <c r="X9" s="62" t="n">
        <f aca="false">Inputs!$B$22*(1+Inputs!$B$23)^(X$3-2020)</f>
        <v>608.858470240646</v>
      </c>
      <c r="Y9" s="62" t="n">
        <f aca="false">Inputs!$B$22*(1+Inputs!$B$23)^(Y$3-2020)</f>
        <v>596.681300835833</v>
      </c>
      <c r="Z9" s="62" t="n">
        <f aca="false">Inputs!$B$22*(1+Inputs!$B$23)^(Z$3-2020)</f>
        <v>584.747674819116</v>
      </c>
      <c r="AA9" s="62" t="n">
        <f aca="false">Inputs!$B$22*(1+Inputs!$B$23)^(AA$3-2020)</f>
        <v>573.052721322734</v>
      </c>
      <c r="AB9" s="62" t="n">
        <f aca="false">Inputs!$B$22*(1+Inputs!$B$23)^(AB$3-2020)</f>
        <v>561.591666896279</v>
      </c>
      <c r="AC9" s="62" t="n">
        <f aca="false">Inputs!$B$22*(1+Inputs!$B$23)^(AC$3-2020)</f>
        <v>550.359833558354</v>
      </c>
      <c r="AD9" s="62" t="n">
        <f aca="false">Inputs!$B$22*(1+Inputs!$B$23)^(AD$3-2020)</f>
        <v>539.352636887187</v>
      </c>
      <c r="AE9" s="62" t="n">
        <f aca="false">Inputs!$B$22*(1+Inputs!$B$23)^(AE$3-2020)</f>
        <v>528.565584149443</v>
      </c>
      <c r="AF9" s="62" t="n">
        <f aca="false">Inputs!$B$22*(1+Inputs!$B$23)^(AF$3-2020)</f>
        <v>517.994272466454</v>
      </c>
      <c r="AG9" s="62" t="n">
        <f aca="false">Inputs!$B$22*(1+Inputs!$B$23)^(AG$3-2020)</f>
        <v>507.634387017125</v>
      </c>
      <c r="AH9" s="62" t="n">
        <f aca="false">Inputs!$B$22*(1+Inputs!$B$23)^(AH$3-2020)</f>
        <v>497.481699276783</v>
      </c>
    </row>
    <row r="10" customFormat="false" ht="15" hidden="false" customHeight="true" outlineLevel="0" collapsed="false">
      <c r="A10" s="50" t="s">
        <v>464</v>
      </c>
      <c r="B10" s="51" t="s">
        <v>330</v>
      </c>
      <c r="C10" s="52" t="s">
        <v>465</v>
      </c>
      <c r="D10" s="57" t="n">
        <f aca="false">D8+D9+D11</f>
        <v>6972</v>
      </c>
      <c r="E10" s="57" t="n">
        <f aca="false">E8+E9+E11</f>
        <v>6863.16</v>
      </c>
      <c r="F10" s="57" t="n">
        <f aca="false">F8+F9+F11</f>
        <v>6756.0408</v>
      </c>
      <c r="G10" s="57" t="n">
        <f aca="false">G8+G9+G11</f>
        <v>6650.614794</v>
      </c>
      <c r="H10" s="57" t="n">
        <f aca="false">H8+H9+H11</f>
        <v>6546.85482627</v>
      </c>
      <c r="I10" s="57" t="n">
        <f aca="false">I8+I9+I11</f>
        <v>6444.73418386935</v>
      </c>
      <c r="J10" s="57" t="n">
        <f aca="false">J8+J9+J11</f>
        <v>6344.22658929287</v>
      </c>
      <c r="K10" s="57" t="n">
        <f aca="false">K8+K9+K11</f>
        <v>6245.30619324156</v>
      </c>
      <c r="L10" s="57" t="n">
        <f aca="false">L8+L9+L11</f>
        <v>6147.9475675157</v>
      </c>
      <c r="M10" s="57" t="n">
        <f aca="false">M8+M9+M11</f>
        <v>6052.12569802832</v>
      </c>
      <c r="N10" s="57" t="n">
        <f aca="false">N8+N9+N11</f>
        <v>5957.81597793683</v>
      </c>
      <c r="O10" s="57" t="n">
        <f aca="false">O8+O9+O11</f>
        <v>5864.99420089087</v>
      </c>
      <c r="P10" s="57" t="n">
        <f aca="false">P8+P9+P11</f>
        <v>5773.63655439437</v>
      </c>
      <c r="Q10" s="57" t="n">
        <f aca="false">Q8+Q9+Q11</f>
        <v>5683.71961327974</v>
      </c>
      <c r="R10" s="57" t="n">
        <f aca="false">R8+R9+R11</f>
        <v>5595.22033329241</v>
      </c>
      <c r="S10" s="57" t="n">
        <f aca="false">S8+S9+S11</f>
        <v>5508.11604478373</v>
      </c>
      <c r="T10" s="57" t="n">
        <f aca="false">T8+T9+T11</f>
        <v>5422.38444651031</v>
      </c>
      <c r="U10" s="57" t="n">
        <f aca="false">U8+U9+U11</f>
        <v>5338.00359953808</v>
      </c>
      <c r="V10" s="57" t="n">
        <f aca="false">V8+V9+V11</f>
        <v>5254.95192124924</v>
      </c>
      <c r="W10" s="57" t="n">
        <f aca="false">W8+W9+W11</f>
        <v>5173.20817945023</v>
      </c>
      <c r="X10" s="57" t="n">
        <f aca="false">X8+X9+X11</f>
        <v>5092.75148657909</v>
      </c>
      <c r="Y10" s="57" t="n">
        <f aca="false">Y8+Y9+Y11</f>
        <v>5013.56129401048</v>
      </c>
      <c r="Z10" s="57" t="n">
        <f aca="false">Z8+Z9+Z11</f>
        <v>4935.61738645661</v>
      </c>
      <c r="AA10" s="57" t="n">
        <f aca="false">AA8+AA9+AA11</f>
        <v>4858.89987646253</v>
      </c>
      <c r="AB10" s="57" t="n">
        <f aca="false">AB8+AB9+AB11</f>
        <v>4783.38919899407</v>
      </c>
      <c r="AC10" s="57" t="n">
        <f aca="false">AC8+AC9+AC11</f>
        <v>4709.06610611692</v>
      </c>
      <c r="AD10" s="57" t="n">
        <f aca="false">AD8+AD9+AD11</f>
        <v>4635.91166176519</v>
      </c>
      <c r="AE10" s="57" t="n">
        <f aca="false">AE8+AE9+AE11</f>
        <v>4563.90723659802</v>
      </c>
      <c r="AF10" s="57" t="n">
        <f aca="false">AF8+AF9+AF11</f>
        <v>4493.03450294261</v>
      </c>
      <c r="AG10" s="57" t="n">
        <f aca="false">AG8+AG9+AG11</f>
        <v>4423.27542982229</v>
      </c>
      <c r="AH10" s="57" t="n">
        <f aca="false">AH8+AH9+AH11</f>
        <v>4354.61227806817</v>
      </c>
    </row>
    <row r="11" customFormat="false" ht="15" hidden="false" customHeight="true" outlineLevel="0" collapsed="false">
      <c r="A11" s="50" t="s">
        <v>466</v>
      </c>
      <c r="B11" s="1" t="s">
        <v>330</v>
      </c>
      <c r="C11" s="1" t="s">
        <v>467</v>
      </c>
      <c r="D11" s="62" t="n">
        <f aca="false">Inputs!$B$24*(1+Inputs!$B$18)^(D$3-2020)</f>
        <v>60</v>
      </c>
      <c r="E11" s="62" t="n">
        <f aca="false">Inputs!$B$24*(1+Inputs!$B$18)^(E$3-2020)</f>
        <v>59.4</v>
      </c>
      <c r="F11" s="62" t="n">
        <f aca="false">Inputs!$B$24*(1+Inputs!$B$18)^(F$3-2020)</f>
        <v>58.806</v>
      </c>
      <c r="G11" s="62" t="n">
        <f aca="false">Inputs!$B$24*(1+Inputs!$B$18)^(G$3-2020)</f>
        <v>58.21794</v>
      </c>
      <c r="H11" s="62" t="n">
        <f aca="false">Inputs!$B$24*(1+Inputs!$B$18)^(H$3-2020)</f>
        <v>57.6357606</v>
      </c>
      <c r="I11" s="62" t="n">
        <f aca="false">Inputs!$B$24*(1+Inputs!$B$18)^(I$3-2020)</f>
        <v>57.059402994</v>
      </c>
      <c r="J11" s="62" t="n">
        <f aca="false">Inputs!$B$24*(1+Inputs!$B$18)^(J$3-2020)</f>
        <v>56.48880896406</v>
      </c>
      <c r="K11" s="62" t="n">
        <f aca="false">Inputs!$B$24*(1+Inputs!$B$18)^(K$3-2020)</f>
        <v>55.9239208744194</v>
      </c>
      <c r="L11" s="62" t="n">
        <f aca="false">Inputs!$B$24*(1+Inputs!$B$18)^(L$3-2020)</f>
        <v>55.3646816656752</v>
      </c>
      <c r="M11" s="62" t="n">
        <f aca="false">Inputs!$B$24*(1+Inputs!$B$18)^(M$3-2020)</f>
        <v>54.8110348490185</v>
      </c>
      <c r="N11" s="62" t="n">
        <f aca="false">Inputs!$B$24*(1+Inputs!$B$18)^(N$3-2020)</f>
        <v>54.2629245005283</v>
      </c>
      <c r="O11" s="62" t="n">
        <f aca="false">Inputs!$B$24*(1+Inputs!$B$18)^(O$3-2020)</f>
        <v>53.720295255523</v>
      </c>
      <c r="P11" s="62" t="n">
        <f aca="false">Inputs!$B$24*(1+Inputs!$B$18)^(P$3-2020)</f>
        <v>53.1830923029678</v>
      </c>
      <c r="Q11" s="62" t="n">
        <f aca="false">Inputs!$B$24*(1+Inputs!$B$18)^(Q$3-2020)</f>
        <v>52.6512613799381</v>
      </c>
      <c r="R11" s="62" t="n">
        <f aca="false">Inputs!$B$24*(1+Inputs!$B$18)^(R$3-2020)</f>
        <v>52.1247487661387</v>
      </c>
      <c r="S11" s="62" t="n">
        <f aca="false">Inputs!$B$24*(1+Inputs!$B$18)^(S$3-2020)</f>
        <v>51.6035012784773</v>
      </c>
      <c r="T11" s="62" t="n">
        <f aca="false">Inputs!$B$24*(1+Inputs!$B$18)^(T$3-2020)</f>
        <v>51.0874662656925</v>
      </c>
      <c r="U11" s="62" t="n">
        <f aca="false">Inputs!$B$24*(1+Inputs!$B$18)^(U$3-2020)</f>
        <v>50.5765916030356</v>
      </c>
      <c r="V11" s="62" t="n">
        <f aca="false">Inputs!$B$24*(1+Inputs!$B$18)^(V$3-2020)</f>
        <v>50.0708256870053</v>
      </c>
      <c r="W11" s="62" t="n">
        <f aca="false">Inputs!$B$24*(1+Inputs!$B$18)^(W$3-2020)</f>
        <v>49.5701174301352</v>
      </c>
      <c r="X11" s="62" t="n">
        <f aca="false">Inputs!$B$24*(1+Inputs!$B$18)^(X$3-2020)</f>
        <v>49.0744162558338</v>
      </c>
      <c r="Y11" s="62" t="n">
        <f aca="false">Inputs!$B$24*(1+Inputs!$B$18)^(Y$3-2020)</f>
        <v>48.5836720932755</v>
      </c>
      <c r="Z11" s="62" t="n">
        <f aca="false">Inputs!$B$24*(1+Inputs!$B$18)^(Z$3-2020)</f>
        <v>48.0978353723428</v>
      </c>
      <c r="AA11" s="62" t="n">
        <f aca="false">Inputs!$B$24*(1+Inputs!$B$18)^(AA$3-2020)</f>
        <v>47.6168570186193</v>
      </c>
      <c r="AB11" s="62" t="n">
        <f aca="false">Inputs!$B$24*(1+Inputs!$B$18)^(AB$3-2020)</f>
        <v>47.1406884484331</v>
      </c>
      <c r="AC11" s="62" t="n">
        <f aca="false">Inputs!$B$24*(1+Inputs!$B$18)^(AC$3-2020)</f>
        <v>46.6692815639488</v>
      </c>
      <c r="AD11" s="62" t="n">
        <f aca="false">Inputs!$B$24*(1+Inputs!$B$18)^(AD$3-2020)</f>
        <v>46.2025887483093</v>
      </c>
      <c r="AE11" s="62" t="n">
        <f aca="false">Inputs!$B$24*(1+Inputs!$B$18)^(AE$3-2020)</f>
        <v>45.7405628608262</v>
      </c>
      <c r="AF11" s="62" t="n">
        <f aca="false">Inputs!$B$24*(1+Inputs!$B$18)^(AF$3-2020)</f>
        <v>45.283157232218</v>
      </c>
      <c r="AG11" s="62" t="n">
        <f aca="false">Inputs!$B$24*(1+Inputs!$B$18)^(AG$3-2020)</f>
        <v>44.8303256598958</v>
      </c>
      <c r="AH11" s="62" t="n">
        <f aca="false">Inputs!$B$24*(1+Inputs!$B$18)^(AH$3-2020)</f>
        <v>44.3820224032968</v>
      </c>
    </row>
    <row r="12" customFormat="false" ht="15" hidden="false" customHeight="true" outlineLevel="0" collapsed="false">
      <c r="A12" s="1" t="s">
        <v>442</v>
      </c>
      <c r="B12" s="1" t="s">
        <v>330</v>
      </c>
      <c r="C12" s="1" t="s">
        <v>468</v>
      </c>
      <c r="D12" s="64" t="n">
        <f aca="false">Demand!D13</f>
        <v>784.221977495</v>
      </c>
      <c r="E12" s="64" t="n">
        <f aca="false">Demand!E13</f>
        <v>794.866174398587</v>
      </c>
      <c r="F12" s="64" t="n">
        <f aca="false">Demand!F13</f>
        <v>805.384323783702</v>
      </c>
      <c r="G12" s="64" t="n">
        <f aca="false">Demand!G13</f>
        <v>815.777420020605</v>
      </c>
      <c r="H12" s="64" t="n">
        <f aca="false">Demand!H13</f>
        <v>826.046450687044</v>
      </c>
      <c r="I12" s="64" t="n">
        <f aca="false">Demand!I13</f>
        <v>836.192396611319</v>
      </c>
      <c r="J12" s="64" t="n">
        <f aca="false">Demand!J13</f>
        <v>846.216231915084</v>
      </c>
      <c r="K12" s="64" t="n">
        <f aca="false">Demand!K13</f>
        <v>856.118924055895</v>
      </c>
      <c r="L12" s="64" t="n">
        <f aca="false">Demand!L13</f>
        <v>865.901433869501</v>
      </c>
      <c r="M12" s="64" t="n">
        <f aca="false">Demand!M13</f>
        <v>875.564715611869</v>
      </c>
      <c r="N12" s="64" t="n">
        <f aca="false">Demand!N13</f>
        <v>885.109717000968</v>
      </c>
      <c r="O12" s="64" t="n">
        <f aca="false">Demand!O13</f>
        <v>894.537379258284</v>
      </c>
      <c r="P12" s="64" t="n">
        <f aca="false">Demand!P13</f>
        <v>903.848637150102</v>
      </c>
      <c r="Q12" s="64" t="n">
        <f aca="false">Demand!Q13</f>
        <v>913.044419028521</v>
      </c>
      <c r="R12" s="64" t="n">
        <f aca="false">Demand!R13</f>
        <v>922.125646872227</v>
      </c>
      <c r="S12" s="64" t="n">
        <f aca="false">Demand!S13</f>
        <v>931.09323632702</v>
      </c>
      <c r="T12" s="64" t="n">
        <f aca="false">Demand!T13</f>
        <v>939.948096746093</v>
      </c>
      <c r="U12" s="64" t="n">
        <f aca="false">Demand!U13</f>
        <v>948.691131230068</v>
      </c>
      <c r="V12" s="64" t="n">
        <f aca="false">Demand!V13</f>
        <v>957.323236666784</v>
      </c>
      <c r="W12" s="64" t="n">
        <f aca="false">Demand!W13</f>
        <v>965.845303770852</v>
      </c>
      <c r="X12" s="64" t="n">
        <f aca="false">Demand!X13</f>
        <v>974.258217122963</v>
      </c>
      <c r="Y12" s="64" t="n">
        <f aca="false">Demand!Y13</f>
        <v>982.562855208958</v>
      </c>
      <c r="Z12" s="64" t="n">
        <f aca="false">Demand!Z13</f>
        <v>990.760090458665</v>
      </c>
      <c r="AA12" s="64" t="n">
        <f aca="false">Demand!AA13</f>
        <v>998.850789284495</v>
      </c>
      <c r="AB12" s="64" t="n">
        <f aca="false">Demand!AB13</f>
        <v>1006.83581211981</v>
      </c>
      <c r="AC12" s="64" t="n">
        <f aca="false">Demand!AC13</f>
        <v>1014.71601345703</v>
      </c>
      <c r="AD12" s="64" t="n">
        <f aca="false">Demand!AD13</f>
        <v>1022.49224188558</v>
      </c>
      <c r="AE12" s="64" t="n">
        <f aca="false">Demand!AE13</f>
        <v>1030.16534012951</v>
      </c>
      <c r="AF12" s="64" t="n">
        <f aca="false">Demand!AF13</f>
        <v>1037.73614508495</v>
      </c>
      <c r="AG12" s="64" t="n">
        <f aca="false">Demand!AG13</f>
        <v>1045.20548785733</v>
      </c>
      <c r="AH12" s="64" t="n">
        <f aca="false">Demand!AH13</f>
        <v>1052.57419379837</v>
      </c>
    </row>
    <row r="13" customFormat="false" ht="15" hidden="false" customHeight="true" outlineLevel="0" collapsed="false">
      <c r="A13" s="1" t="s">
        <v>444</v>
      </c>
      <c r="B13" s="1" t="s">
        <v>330</v>
      </c>
      <c r="C13" s="1" t="s">
        <v>469</v>
      </c>
      <c r="D13" s="64" t="n">
        <f aca="false">Demand!D14</f>
        <v>389.6270185899</v>
      </c>
      <c r="E13" s="64" t="n">
        <f aca="false">Demand!E14</f>
        <v>403.932968035115</v>
      </c>
      <c r="F13" s="64" t="n">
        <f aca="false">Demand!F14</f>
        <v>418.623578068233</v>
      </c>
      <c r="G13" s="64" t="n">
        <f aca="false">Demand!G14</f>
        <v>433.707989015256</v>
      </c>
      <c r="H13" s="64" t="n">
        <f aca="false">Demand!H14</f>
        <v>449.195544352525</v>
      </c>
      <c r="I13" s="64" t="n">
        <f aca="false">Demand!I14</f>
        <v>465.095795036329</v>
      </c>
      <c r="J13" s="64" t="n">
        <f aca="false">Demand!J14</f>
        <v>481.418503922153</v>
      </c>
      <c r="K13" s="64" t="n">
        <f aca="false">Demand!K14</f>
        <v>498.173650275403</v>
      </c>
      <c r="L13" s="64" t="n">
        <f aca="false">Demand!L14</f>
        <v>515.37143437545</v>
      </c>
      <c r="M13" s="64" t="n">
        <f aca="false">Demand!M14</f>
        <v>533.022282214894</v>
      </c>
      <c r="N13" s="64" t="n">
        <f aca="false">Demand!N14</f>
        <v>551.136850295968</v>
      </c>
      <c r="O13" s="64" t="n">
        <f aca="false">Demand!O14</f>
        <v>569.726030526055</v>
      </c>
      <c r="P13" s="64" t="n">
        <f aca="false">Demand!P14</f>
        <v>588.800955214323</v>
      </c>
      <c r="Q13" s="64" t="n">
        <f aca="false">Demand!Q14</f>
        <v>608.37300217152</v>
      </c>
      <c r="R13" s="64" t="n">
        <f aca="false">Demand!R14</f>
        <v>628.453799915024</v>
      </c>
      <c r="S13" s="64" t="n">
        <f aca="false">Demand!S14</f>
        <v>649.055232981272</v>
      </c>
      <c r="T13" s="64" t="n">
        <f aca="false">Demand!T14</f>
        <v>670.189447347742</v>
      </c>
      <c r="U13" s="64" t="n">
        <f aca="false">Demand!U14</f>
        <v>691.868855966691</v>
      </c>
      <c r="V13" s="64" t="n">
        <f aca="false">Demand!V14</f>
        <v>714.106144412932</v>
      </c>
      <c r="W13" s="64" t="n">
        <f aca="false">Demand!W14</f>
        <v>736.914276647924</v>
      </c>
      <c r="X13" s="64" t="n">
        <f aca="false">Demand!X14</f>
        <v>760.306500902548</v>
      </c>
      <c r="Y13" s="64" t="n">
        <f aca="false">Demand!Y14</f>
        <v>784.296355680951</v>
      </c>
      <c r="Z13" s="64" t="n">
        <f aca="false">Demand!Z14</f>
        <v>808.897675887909</v>
      </c>
      <c r="AA13" s="64" t="n">
        <f aca="false">Demand!AA14</f>
        <v>834.124599082191</v>
      </c>
      <c r="AB13" s="64" t="n">
        <f aca="false">Demand!AB14</f>
        <v>859.991571858486</v>
      </c>
      <c r="AC13" s="64" t="n">
        <f aca="false">Demand!AC14</f>
        <v>886.51335636046</v>
      </c>
      <c r="AD13" s="64" t="n">
        <f aca="false">Demand!AD14</f>
        <v>913.705036927608</v>
      </c>
      <c r="AE13" s="64" t="n">
        <f aca="false">Demand!AE14</f>
        <v>941.582026878579</v>
      </c>
      <c r="AF13" s="64" t="n">
        <f aca="false">Demand!AF14</f>
        <v>970.160075433746</v>
      </c>
      <c r="AG13" s="64" t="n">
        <f aca="false">Demand!AG14</f>
        <v>999.455274779798</v>
      </c>
      <c r="AH13" s="64" t="n">
        <f aca="false">Demand!AH14</f>
        <v>1029.48406727925</v>
      </c>
    </row>
    <row r="14" customFormat="false" ht="15" hidden="false" customHeight="true" outlineLevel="0" collapsed="false">
      <c r="A14" s="1" t="s">
        <v>446</v>
      </c>
      <c r="B14" s="1" t="s">
        <v>330</v>
      </c>
      <c r="C14" s="1" t="s">
        <v>470</v>
      </c>
      <c r="D14" s="65" t="n">
        <f aca="false">Demand!D15</f>
        <v>5865.68538653</v>
      </c>
      <c r="E14" s="65" t="n">
        <f aca="false">Demand!E15</f>
        <v>5927.37444771856</v>
      </c>
      <c r="F14" s="65" t="n">
        <f aca="false">Demand!F15</f>
        <v>5987.70108006336</v>
      </c>
      <c r="G14" s="65" t="n">
        <f aca="false">Demand!G15</f>
        <v>6046.683134326</v>
      </c>
      <c r="H14" s="65" t="n">
        <f aca="false">Demand!H15</f>
        <v>6104.33826285131</v>
      </c>
      <c r="I14" s="65" t="n">
        <f aca="false">Demand!I15</f>
        <v>6160.68392159961</v>
      </c>
      <c r="J14" s="65" t="n">
        <f aca="false">Demand!J15</f>
        <v>6215.73737215912</v>
      </c>
      <c r="K14" s="65" t="n">
        <f aca="false">Demand!K15</f>
        <v>6269.5156837387</v>
      </c>
      <c r="L14" s="65" t="n">
        <f aca="false">Demand!L15</f>
        <v>6322.03573514119</v>
      </c>
      <c r="M14" s="65" t="n">
        <f aca="false">Demand!M15</f>
        <v>6373.31421671747</v>
      </c>
      <c r="N14" s="65" t="n">
        <f aca="false">Demand!N15</f>
        <v>6423.36763230149</v>
      </c>
      <c r="O14" s="65" t="n">
        <f aca="false">Demand!O15</f>
        <v>6472.21230112629</v>
      </c>
      <c r="P14" s="65" t="n">
        <f aca="false">Demand!P15</f>
        <v>6519.86435972143</v>
      </c>
      <c r="Q14" s="65" t="n">
        <f aca="false">Demand!Q15</f>
        <v>6566.33976379177</v>
      </c>
      <c r="R14" s="65" t="n">
        <f aca="false">Demand!R15</f>
        <v>6611.65429007797</v>
      </c>
      <c r="S14" s="65" t="n">
        <f aca="false">Demand!S15</f>
        <v>6655.8235381987</v>
      </c>
      <c r="T14" s="65" t="n">
        <f aca="false">Demand!T15</f>
        <v>6698.86293247494</v>
      </c>
      <c r="U14" s="65" t="n">
        <f aca="false">Demand!U15</f>
        <v>6740.78772373631</v>
      </c>
      <c r="V14" s="65" t="n">
        <f aca="false">Demand!V15</f>
        <v>6781.61299110982</v>
      </c>
      <c r="W14" s="65" t="n">
        <f aca="false">Demand!W15</f>
        <v>6821.35364379104</v>
      </c>
      <c r="X14" s="65" t="n">
        <f aca="false">Demand!X15</f>
        <v>6860.02442279793</v>
      </c>
      <c r="Y14" s="65" t="n">
        <f aca="false">Demand!Y15</f>
        <v>6897.6399027075</v>
      </c>
      <c r="Z14" s="65" t="n">
        <f aca="false">Demand!Z15</f>
        <v>6934.21449337546</v>
      </c>
      <c r="AA14" s="65" t="n">
        <f aca="false">Demand!AA15</f>
        <v>6969.76244163896</v>
      </c>
      <c r="AB14" s="65" t="n">
        <f aca="false">Demand!AB15</f>
        <v>7004.29783300267</v>
      </c>
      <c r="AC14" s="65" t="n">
        <f aca="false">Demand!AC15</f>
        <v>7037.8345933083</v>
      </c>
      <c r="AD14" s="65" t="n">
        <f aca="false">Demand!AD15</f>
        <v>7070.38649038772</v>
      </c>
      <c r="AE14" s="65" t="n">
        <f aca="false">Demand!AE15</f>
        <v>7101.9671356999</v>
      </c>
      <c r="AF14" s="65" t="n">
        <f aca="false">Demand!AF15</f>
        <v>7132.5899859517</v>
      </c>
      <c r="AG14" s="65" t="n">
        <f aca="false">Demand!AG15</f>
        <v>7162.26834470279</v>
      </c>
      <c r="AH14" s="65" t="n">
        <f aca="false">Demand!AH15</f>
        <v>7191.01536395476</v>
      </c>
    </row>
    <row r="15" customFormat="false" ht="15" hidden="false" customHeight="true" outlineLevel="0" collapsed="false">
      <c r="A15" s="1" t="s">
        <v>471</v>
      </c>
      <c r="B15" s="1" t="s">
        <v>330</v>
      </c>
      <c r="C15" s="1" t="s">
        <v>472</v>
      </c>
      <c r="D15" s="64" t="n">
        <f aca="false">Demand!D13*(Inputs!B41+(Inputs!B42-Inputs!B41)*(D3-2020)/30)</f>
        <v>7.84221977495</v>
      </c>
      <c r="E15" s="64" t="n">
        <f aca="false">Demand!E13*(Inputs!B41+(Inputs!B42-Inputs!B41)*(E3-2020)/30)</f>
        <v>8.61105022265137</v>
      </c>
      <c r="F15" s="64" t="n">
        <f aca="false">Demand!F13*(Inputs!B41+(Inputs!B42-Inputs!B41)*(F3-2020)/30)</f>
        <v>9.39615044414319</v>
      </c>
      <c r="G15" s="64" t="n">
        <f aca="false">Demand!G13*(Inputs!B41+(Inputs!B42-Inputs!B41)*(G3-2020)/30)</f>
        <v>10.1972177502576</v>
      </c>
      <c r="H15" s="64" t="n">
        <f aca="false">Demand!H13*(Inputs!B41+(Inputs!B42-Inputs!B41)*(H3-2020)/30)</f>
        <v>11.0139526758273</v>
      </c>
      <c r="I15" s="64" t="n">
        <f aca="false">Demand!I13*(Inputs!B41+(Inputs!B42-Inputs!B41)*(I3-2020)/30)</f>
        <v>11.8460589519937</v>
      </c>
      <c r="J15" s="64" t="n">
        <f aca="false">Demand!J13*(Inputs!B41+(Inputs!B42-Inputs!B41)*(J3-2020)/30)</f>
        <v>12.6932434787263</v>
      </c>
      <c r="K15" s="64" t="n">
        <f aca="false">Demand!K13*(Inputs!B41+(Inputs!B42-Inputs!B41)*(K3-2020)/30)</f>
        <v>13.5552162975517</v>
      </c>
      <c r="L15" s="64" t="n">
        <f aca="false">Demand!L13*(Inputs!B41+(Inputs!B42-Inputs!B41)*(L3-2020)/30)</f>
        <v>14.4316905644917</v>
      </c>
      <c r="M15" s="64" t="n">
        <f aca="false">Demand!M13*(Inputs!B41+(Inputs!B42-Inputs!B41)*(M3-2020)/30)</f>
        <v>15.3223825232077</v>
      </c>
      <c r="N15" s="64" t="n">
        <f aca="false">Demand!N13*(Inputs!B41+(Inputs!B42-Inputs!B41)*(N3-2020)/30)</f>
        <v>16.2270114783511</v>
      </c>
      <c r="O15" s="64" t="n">
        <f aca="false">Demand!O13*(Inputs!B41+(Inputs!B42-Inputs!B41)*(O3-2020)/30)</f>
        <v>17.1452997691171</v>
      </c>
      <c r="P15" s="64" t="n">
        <f aca="false">Demand!P13*(Inputs!B41+(Inputs!B42-Inputs!B41)*(P3-2020)/30)</f>
        <v>18.076972743002</v>
      </c>
      <c r="Q15" s="64" t="n">
        <f aca="false">Demand!Q13*(Inputs!B41+(Inputs!B42-Inputs!B41)*(Q3-2020)/30)</f>
        <v>19.0217587297609</v>
      </c>
      <c r="R15" s="64" t="n">
        <f aca="false">Demand!R13*(Inputs!B41+(Inputs!B42-Inputs!B41)*(R3-2020)/30)</f>
        <v>19.9793890155649</v>
      </c>
      <c r="S15" s="64" t="n">
        <f aca="false">Demand!S13*(Inputs!B41+(Inputs!B42-Inputs!B41)*(S3-2020)/30)</f>
        <v>20.9495978173579</v>
      </c>
      <c r="T15" s="64" t="n">
        <f aca="false">Demand!T13*(Inputs!B41+(Inputs!B42-Inputs!B41)*(T3-2020)/30)</f>
        <v>21.9321222574088</v>
      </c>
      <c r="U15" s="64" t="n">
        <f aca="false">Demand!U13*(Inputs!B41+(Inputs!B42-Inputs!B41)*(U3-2020)/30)</f>
        <v>22.92670233806</v>
      </c>
      <c r="V15" s="64" t="n">
        <f aca="false">Demand!V13*(Inputs!B41+(Inputs!B42-Inputs!B41)*(V3-2020)/30)</f>
        <v>23.9330809166696</v>
      </c>
      <c r="W15" s="64" t="n">
        <f aca="false">Demand!W13*(Inputs!B41+(Inputs!B42-Inputs!B41)*(W3-2020)/30)</f>
        <v>24.951003680747</v>
      </c>
      <c r="X15" s="64" t="n">
        <f aca="false">Demand!X13*(Inputs!B41+(Inputs!B42-Inputs!B41)*(X3-2020)/30)</f>
        <v>25.980219123279</v>
      </c>
      <c r="Y15" s="64" t="n">
        <f aca="false">Demand!Y13*(Inputs!B41+(Inputs!B42-Inputs!B41)*(Y3-2020)/30)</f>
        <v>27.0204785182463</v>
      </c>
      <c r="Z15" s="64" t="n">
        <f aca="false">Demand!Z13*(Inputs!B41+(Inputs!B42-Inputs!B41)*(Z3-2020)/30)</f>
        <v>28.0715358963289</v>
      </c>
      <c r="AA15" s="64" t="n">
        <f aca="false">Demand!AA13*(Inputs!B41+(Inputs!B42-Inputs!B41)*(AA3-2020)/30)</f>
        <v>29.1331480207978</v>
      </c>
      <c r="AB15" s="64" t="n">
        <f aca="false">Demand!AB13*(Inputs!B41+(Inputs!B42-Inputs!B41)*(AB3-2020)/30)</f>
        <v>30.2050743635942</v>
      </c>
      <c r="AC15" s="64" t="n">
        <f aca="false">Demand!AC13*(Inputs!B41+(Inputs!B42-Inputs!B41)*(AC3-2020)/30)</f>
        <v>31.2870770815918</v>
      </c>
      <c r="AD15" s="64" t="n">
        <f aca="false">Demand!AD13*(Inputs!B41+(Inputs!B42-Inputs!B41)*(AD3-2020)/30)</f>
        <v>32.3789209930434</v>
      </c>
      <c r="AE15" s="64" t="n">
        <f aca="false">Demand!AE13*(Inputs!B41+(Inputs!B42-Inputs!B41)*(AE3-2020)/30)</f>
        <v>33.480373554209</v>
      </c>
      <c r="AF15" s="64" t="n">
        <f aca="false">Demand!AF13*(Inputs!B41+(Inputs!B42-Inputs!B41)*(AF3-2020)/30)</f>
        <v>34.591204836165</v>
      </c>
      <c r="AG15" s="64" t="n">
        <f aca="false">Demand!AG13*(Inputs!B41+(Inputs!B42-Inputs!B41)*(AG3-2020)/30)</f>
        <v>35.7111875017922</v>
      </c>
      <c r="AH15" s="64" t="n">
        <f aca="false">Demand!AH13*(Inputs!B41+(Inputs!B42-Inputs!B41)*(AH3-2020)/30)</f>
        <v>36.8400967829428</v>
      </c>
    </row>
    <row r="16" customFormat="false" ht="15" hidden="false" customHeight="true" outlineLevel="0" collapsed="false">
      <c r="A16" s="1" t="s">
        <v>473</v>
      </c>
      <c r="B16" s="1" t="s">
        <v>330</v>
      </c>
      <c r="C16" s="1" t="s">
        <v>474</v>
      </c>
      <c r="D16" s="64" t="n">
        <f aca="false">MIN(Supply!D6,Supply!D15*(Inputs!B50+(Inputs!B51-Inputs!B50)*(D3-2020)/30))</f>
        <v>0</v>
      </c>
      <c r="E16" s="64" t="n">
        <f aca="false">MIN(Supply!E6,Supply!E15*(Inputs!B50+(Inputs!B51-Inputs!B50)*(E3-2020)/30))</f>
        <v>0</v>
      </c>
      <c r="F16" s="64" t="n">
        <f aca="false">MIN(Supply!F6,Supply!F15*(Inputs!B50+(Inputs!B51-Inputs!B50)*(F3-2020)/30))</f>
        <v>0</v>
      </c>
      <c r="G16" s="64" t="n">
        <f aca="false">MIN(Supply!G6,Supply!G15*(Inputs!B50+(Inputs!B51-Inputs!B50)*(G3-2020)/30))</f>
        <v>0</v>
      </c>
      <c r="H16" s="64" t="n">
        <f aca="false">MIN(Supply!H6,Supply!H15*(Inputs!B50+(Inputs!B51-Inputs!B50)*(H3-2020)/30))</f>
        <v>0</v>
      </c>
      <c r="I16" s="64" t="n">
        <f aca="false">MIN(Supply!I6,Supply!I15*(Inputs!B50+(Inputs!B51-Inputs!B50)*(I3-2020)/30))</f>
        <v>0</v>
      </c>
      <c r="J16" s="64" t="n">
        <f aca="false">MIN(Supply!J6,Supply!J15*(Inputs!B50+(Inputs!B51-Inputs!B50)*(J3-2020)/30))</f>
        <v>0</v>
      </c>
      <c r="K16" s="64" t="n">
        <f aca="false">MIN(Supply!K6,Supply!K15*(Inputs!B50+(Inputs!B51-Inputs!B50)*(K3-2020)/30))</f>
        <v>6.14503138822343</v>
      </c>
      <c r="L16" s="64" t="n">
        <f aca="false">MIN(Supply!L6,Supply!L15*(Inputs!B50+(Inputs!B51-Inputs!B50)*(L3-2020)/30))</f>
        <v>6.44615511880629</v>
      </c>
      <c r="M16" s="64" t="n">
        <f aca="false">MIN(Supply!M6,Supply!M15*(Inputs!B50+(Inputs!B51-Inputs!B50)*(M3-2020)/30))</f>
        <v>6.74184831021139</v>
      </c>
      <c r="N16" s="64" t="n">
        <f aca="false">MIN(Supply!N6,Supply!N15*(Inputs!B50+(Inputs!B51-Inputs!B50)*(N3-2020)/30))</f>
        <v>7.03170497395213</v>
      </c>
      <c r="O16" s="64" t="n">
        <f aca="false">MIN(Supply!O6,Supply!O15*(Inputs!B50+(Inputs!B51-Inputs!B50)*(O3-2020)/30))</f>
        <v>7.31532790148997</v>
      </c>
      <c r="P16" s="64" t="n">
        <f aca="false">MIN(Supply!P6,Supply!P15*(Inputs!B50+(Inputs!B51-Inputs!B50)*(P3-2020)/30))</f>
        <v>7.59232855206086</v>
      </c>
      <c r="Q16" s="64" t="n">
        <f aca="false">MIN(Supply!Q6,Supply!Q15*(Inputs!B50+(Inputs!B51-Inputs!B50)*(Q3-2020)/30))</f>
        <v>7.86232694163449</v>
      </c>
      <c r="R16" s="64" t="n">
        <f aca="false">MIN(Supply!R6,Supply!R15*(Inputs!B50+(Inputs!B51-Inputs!B50)*(R3-2020)/30))</f>
        <v>8.1249515329964</v>
      </c>
      <c r="S16" s="64" t="n">
        <f aca="false">MIN(Supply!S6,Supply!S15*(Inputs!B50+(Inputs!B51-Inputs!B50)*(S3-2020)/30))</f>
        <v>8.37983912694318</v>
      </c>
      <c r="T16" s="64" t="n">
        <f aca="false">MIN(Supply!T6,Supply!T15*(Inputs!B50+(Inputs!B51-Inputs!B50)*(T3-2020)/30))</f>
        <v>8.62663475458081</v>
      </c>
      <c r="U16" s="64" t="n">
        <f aca="false">MIN(Supply!U6,Supply!U15*(Inputs!B50+(Inputs!B51-Inputs!B50)*(U3-2020)/30))</f>
        <v>8.86499157071652</v>
      </c>
      <c r="V16" s="64" t="n">
        <f aca="false">MIN(Supply!V6,Supply!V15*(Inputs!B50+(Inputs!B51-Inputs!B50)*(V3-2020)/30))</f>
        <v>9.09457074833444</v>
      </c>
      <c r="W16" s="64" t="n">
        <f aca="false">MIN(Supply!W6,Supply!W15*(Inputs!B50+(Inputs!B51-Inputs!B50)*(W3-2020)/30))</f>
        <v>9.31504137414555</v>
      </c>
      <c r="X16" s="64" t="n">
        <f aca="false">MIN(Supply!X6,Supply!X15*(Inputs!B50+(Inputs!B51-Inputs!B50)*(X3-2020)/30))</f>
        <v>9.5260803452023</v>
      </c>
      <c r="Y16" s="64" t="n">
        <f aca="false">MIN(Supply!Y6,Supply!Y15*(Inputs!B50+(Inputs!B51-Inputs!B50)*(Y3-2020)/30))</f>
        <v>9.72737226656868</v>
      </c>
      <c r="Z16" s="64" t="n">
        <f aca="false">MIN(Supply!Z6,Supply!Z15*(Inputs!B50+(Inputs!B51-Inputs!B50)*(Z3-2020)/30))</f>
        <v>9.91860935003619</v>
      </c>
      <c r="AA16" s="64" t="n">
        <f aca="false">MIN(Supply!AA6,Supply!AA15*(Inputs!B50+(Inputs!B51-Inputs!B50)*(AA3-2020)/30))</f>
        <v>10.0994913138766</v>
      </c>
      <c r="AB16" s="64" t="n">
        <f aca="false">MIN(Supply!AB6,Supply!AB15*(Inputs!B50+(Inputs!B51-Inputs!B50)*(AB3-2020)/30))</f>
        <v>10.269725283622</v>
      </c>
      <c r="AC16" s="64" t="n">
        <f aca="false">MIN(Supply!AC6,Supply!AC15*(Inputs!B50+(Inputs!B51-Inputs!B50)*(AC3-2020)/30))</f>
        <v>10.4290256938639</v>
      </c>
      <c r="AD16" s="64" t="n">
        <f aca="false">MIN(Supply!AD6,Supply!AD15*(Inputs!B50+(Inputs!B51-Inputs!B50)*(AD3-2020)/30))</f>
        <v>10.5771141910608</v>
      </c>
      <c r="AE16" s="64" t="n">
        <f aca="false">MIN(Supply!AE6,Supply!AE15*(Inputs!B50+(Inputs!B51-Inputs!B50)*(AE3-2020)/30))</f>
        <v>10.7137195373469</v>
      </c>
      <c r="AF16" s="64" t="n">
        <f aca="false">MIN(Supply!AF6,Supply!AF15*(Inputs!B50+(Inputs!B51-Inputs!B50)*(AF3-2020)/30))</f>
        <v>10.8385775153317</v>
      </c>
      <c r="AG16" s="64" t="n">
        <f aca="false">MIN(Supply!AG6,Supply!AG15*(Inputs!B50+(Inputs!B51-Inputs!B50)*(AG3-2020)/30))</f>
        <v>10.951430833883</v>
      </c>
      <c r="AH16" s="64" t="n">
        <f aca="false">MIN(Supply!AH6,Supply!AH15*(Inputs!B50+(Inputs!B51-Inputs!B50)*(AH3-2020)/30))</f>
        <v>11.0520290348828</v>
      </c>
    </row>
    <row r="17" customFormat="false" ht="15" hidden="false" customHeight="true" outlineLevel="0" collapsed="false">
      <c r="A17" s="1" t="s">
        <v>475</v>
      </c>
      <c r="B17" s="1" t="s">
        <v>330</v>
      </c>
      <c r="C17" s="1" t="s">
        <v>476</v>
      </c>
      <c r="D17" s="65" t="n">
        <f aca="false">MIN(Supply!D14,MAX(Supply!D15-Supply!D16,0))</f>
        <v>7.84221977495</v>
      </c>
      <c r="E17" s="64" t="n">
        <f aca="false">MIN(Supply!E14,MAX(Supply!E15-Supply!E16,0))</f>
        <v>8.61105022265137</v>
      </c>
      <c r="F17" s="64" t="n">
        <f aca="false">MIN(Supply!F14,MAX(Supply!F15-Supply!F16,0))</f>
        <v>9.39615044414319</v>
      </c>
      <c r="G17" s="64" t="n">
        <f aca="false">MIN(Supply!G14,MAX(Supply!G15-Supply!G16,0))</f>
        <v>10.1972177502576</v>
      </c>
      <c r="H17" s="64" t="n">
        <f aca="false">MIN(Supply!H14,MAX(Supply!H15-Supply!H16,0))</f>
        <v>11.0139526758273</v>
      </c>
      <c r="I17" s="64" t="n">
        <f aca="false">MIN(Supply!I14,MAX(Supply!I15-Supply!I16,0))</f>
        <v>11.8460589519937</v>
      </c>
      <c r="J17" s="64" t="n">
        <f aca="false">MIN(Supply!J14,MAX(Supply!J15-Supply!J16,0))</f>
        <v>12.6932434787263</v>
      </c>
      <c r="K17" s="64" t="n">
        <f aca="false">MIN(Supply!K14,MAX(Supply!K15-Supply!K16,0))</f>
        <v>7.41018490932825</v>
      </c>
      <c r="L17" s="64" t="n">
        <f aca="false">MIN(Supply!L14,MAX(Supply!L15-Supply!L16,0))</f>
        <v>7.9855354456854</v>
      </c>
      <c r="M17" s="64" t="n">
        <f aca="false">MIN(Supply!M14,MAX(Supply!M15-Supply!M16,0))</f>
        <v>8.58053421299632</v>
      </c>
      <c r="N17" s="64" t="n">
        <f aca="false">MIN(Supply!N14,MAX(Supply!N15-Supply!N16,0))</f>
        <v>9.19530650439894</v>
      </c>
      <c r="O17" s="64" t="n">
        <f aca="false">MIN(Supply!O14,MAX(Supply!O15-Supply!O16,0))</f>
        <v>9.82997186762714</v>
      </c>
      <c r="P17" s="64" t="n">
        <f aca="false">MIN(Supply!P14,MAX(Supply!P15-Supply!P16,0))</f>
        <v>10.4846441909412</v>
      </c>
      <c r="Q17" s="64" t="n">
        <f aca="false">MIN(Supply!Q14,MAX(Supply!Q15-Supply!Q16,0))</f>
        <v>11.1594317881264</v>
      </c>
      <c r="R17" s="64" t="n">
        <f aca="false">MIN(Supply!R14,MAX(Supply!R15-Supply!R16,0))</f>
        <v>11.8544374825685</v>
      </c>
      <c r="S17" s="64" t="n">
        <f aca="false">MIN(Supply!S14,MAX(Supply!S15-Supply!S16,0))</f>
        <v>12.5697586904148</v>
      </c>
      <c r="T17" s="64" t="n">
        <f aca="false">MIN(Supply!T14,MAX(Supply!T15-Supply!T16,0))</f>
        <v>13.305487502828</v>
      </c>
      <c r="U17" s="64" t="n">
        <f aca="false">MIN(Supply!U14,MAX(Supply!U15-Supply!U16,0))</f>
        <v>14.0617107673434</v>
      </c>
      <c r="V17" s="64" t="n">
        <f aca="false">MIN(Supply!V14,MAX(Supply!V15-Supply!V16,0))</f>
        <v>14.8385101683351</v>
      </c>
      <c r="W17" s="64" t="n">
        <f aca="false">MIN(Supply!W14,MAX(Supply!W15-Supply!W16,0))</f>
        <v>15.6359623066015</v>
      </c>
      <c r="X17" s="64" t="n">
        <f aca="false">MIN(Supply!X14,MAX(Supply!X15-Supply!X16,0))</f>
        <v>16.4541387780767</v>
      </c>
      <c r="Y17" s="64" t="n">
        <f aca="false">MIN(Supply!Y14,MAX(Supply!Y15-Supply!Y16,0))</f>
        <v>17.2931062516777</v>
      </c>
      <c r="Z17" s="64" t="n">
        <f aca="false">MIN(Supply!Z14,MAX(Supply!Z15-Supply!Z16,0))</f>
        <v>18.1529265462927</v>
      </c>
      <c r="AA17" s="64" t="n">
        <f aca="false">MIN(Supply!AA14,MAX(Supply!AA15-Supply!AA16,0))</f>
        <v>19.0336567069212</v>
      </c>
      <c r="AB17" s="64" t="n">
        <f aca="false">MIN(Supply!AB14,MAX(Supply!AB15-Supply!AB16,0))</f>
        <v>19.9353490799722</v>
      </c>
      <c r="AC17" s="64" t="n">
        <f aca="false">MIN(Supply!AC14,MAX(Supply!AC15-Supply!AC16,0))</f>
        <v>20.8580513877279</v>
      </c>
      <c r="AD17" s="64" t="n">
        <f aca="false">MIN(Supply!AD14,MAX(Supply!AD15-Supply!AD16,0))</f>
        <v>21.8018068019825</v>
      </c>
      <c r="AE17" s="64" t="n">
        <f aca="false">MIN(Supply!AE14,MAX(Supply!AE15-Supply!AE16,0))</f>
        <v>22.7666540168621</v>
      </c>
      <c r="AF17" s="64" t="n">
        <f aca="false">MIN(Supply!AF14,MAX(Supply!AF15-Supply!AF16,0))</f>
        <v>23.7526273208333</v>
      </c>
      <c r="AG17" s="64" t="n">
        <f aca="false">MIN(Supply!AG14,MAX(Supply!AG15-Supply!AG16,0))</f>
        <v>24.7597566679093</v>
      </c>
      <c r="AH17" s="64" t="n">
        <f aca="false">MIN(Supply!AH14,MAX(Supply!AH15-Supply!AH16,0))</f>
        <v>25.78806774806</v>
      </c>
    </row>
    <row r="18" customFormat="false" ht="15" hidden="false" customHeight="true" outlineLevel="0" collapsed="false">
      <c r="A18" s="1" t="s">
        <v>477</v>
      </c>
      <c r="B18" s="1" t="s">
        <v>330</v>
      </c>
      <c r="C18" s="1" t="s">
        <v>478</v>
      </c>
      <c r="D18" s="64" t="n">
        <f aca="false">MIN(Supply!D12*Inputs!B52,Supply!D8)</f>
        <v>784.221977495</v>
      </c>
      <c r="E18" s="64" t="n">
        <f aca="false">MIN(Supply!E12*Inputs!B52,Supply!E8)</f>
        <v>794.866174398587</v>
      </c>
      <c r="F18" s="64" t="n">
        <f aca="false">MIN(Supply!F12*Inputs!B52,Supply!F8)</f>
        <v>805.384323783702</v>
      </c>
      <c r="G18" s="64" t="n">
        <f aca="false">MIN(Supply!G12*Inputs!B52,Supply!G8)</f>
        <v>815.777420020605</v>
      </c>
      <c r="H18" s="64" t="n">
        <f aca="false">MIN(Supply!H12*Inputs!B52,Supply!H8)</f>
        <v>826.046450687044</v>
      </c>
      <c r="I18" s="64" t="n">
        <f aca="false">MIN(Supply!I12*Inputs!B52,Supply!I8)</f>
        <v>836.192396611319</v>
      </c>
      <c r="J18" s="64" t="n">
        <f aca="false">MIN(Supply!J12*Inputs!B52,Supply!J8)</f>
        <v>846.216231915084</v>
      </c>
      <c r="K18" s="64" t="n">
        <f aca="false">MIN(Supply!K12*Inputs!B52,Supply!K8)</f>
        <v>856.118924055895</v>
      </c>
      <c r="L18" s="64" t="n">
        <f aca="false">MIN(Supply!L12*Inputs!B52,Supply!L8)</f>
        <v>865.901433869501</v>
      </c>
      <c r="M18" s="64" t="n">
        <f aca="false">MIN(Supply!M12*Inputs!B52,Supply!M8)</f>
        <v>875.564715611869</v>
      </c>
      <c r="N18" s="64" t="n">
        <f aca="false">MIN(Supply!N12*Inputs!B52,Supply!N8)</f>
        <v>885.109717000968</v>
      </c>
      <c r="O18" s="64" t="n">
        <f aca="false">MIN(Supply!O12*Inputs!B52,Supply!O8)</f>
        <v>894.537379258284</v>
      </c>
      <c r="P18" s="64" t="n">
        <f aca="false">MIN(Supply!P12*Inputs!B52,Supply!P8)</f>
        <v>903.848637150102</v>
      </c>
      <c r="Q18" s="64" t="n">
        <f aca="false">MIN(Supply!Q12*Inputs!B52,Supply!Q8)</f>
        <v>913.044419028521</v>
      </c>
      <c r="R18" s="64" t="n">
        <f aca="false">MIN(Supply!R12*Inputs!B52,Supply!R8)</f>
        <v>922.125646872227</v>
      </c>
      <c r="S18" s="64" t="n">
        <f aca="false">MIN(Supply!S12*Inputs!B52,Supply!S8)</f>
        <v>931.09323632702</v>
      </c>
      <c r="T18" s="64" t="n">
        <f aca="false">MIN(Supply!T12*Inputs!B52,Supply!T8)</f>
        <v>939.948096746093</v>
      </c>
      <c r="U18" s="64" t="n">
        <f aca="false">MIN(Supply!U12*Inputs!B52,Supply!U8)</f>
        <v>948.691131230068</v>
      </c>
      <c r="V18" s="64" t="n">
        <f aca="false">MIN(Supply!V12*Inputs!B52,Supply!V8)</f>
        <v>957.323236666784</v>
      </c>
      <c r="W18" s="64" t="n">
        <f aca="false">MIN(Supply!W12*Inputs!B52,Supply!W8)</f>
        <v>965.845303770852</v>
      </c>
      <c r="X18" s="64" t="n">
        <f aca="false">MIN(Supply!X12*Inputs!B52,Supply!X8)</f>
        <v>974.258217122963</v>
      </c>
      <c r="Y18" s="64" t="n">
        <f aca="false">MIN(Supply!Y12*Inputs!B52,Supply!Y8)</f>
        <v>982.562855208958</v>
      </c>
      <c r="Z18" s="64" t="n">
        <f aca="false">MIN(Supply!Z12*Inputs!B52,Supply!Z8)</f>
        <v>990.760090458665</v>
      </c>
      <c r="AA18" s="64" t="n">
        <f aca="false">MIN(Supply!AA12*Inputs!B52,Supply!AA8)</f>
        <v>998.850789284495</v>
      </c>
      <c r="AB18" s="64" t="n">
        <f aca="false">MIN(Supply!AB12*Inputs!B52,Supply!AB8)</f>
        <v>1006.83581211981</v>
      </c>
      <c r="AC18" s="64" t="n">
        <f aca="false">MIN(Supply!AC12*Inputs!B52,Supply!AC8)</f>
        <v>1014.71601345703</v>
      </c>
      <c r="AD18" s="64" t="n">
        <f aca="false">MIN(Supply!AD12*Inputs!B52,Supply!AD8)</f>
        <v>1022.49224188558</v>
      </c>
      <c r="AE18" s="64" t="n">
        <f aca="false">MIN(Supply!AE12*Inputs!B52,Supply!AE8)</f>
        <v>1030.16534012951</v>
      </c>
      <c r="AF18" s="64" t="n">
        <f aca="false">MIN(Supply!AF12*Inputs!B52,Supply!AF8)</f>
        <v>1037.73614508495</v>
      </c>
      <c r="AG18" s="64" t="n">
        <f aca="false">MIN(Supply!AG12*Inputs!B52,Supply!AG8)</f>
        <v>1045.20548785733</v>
      </c>
      <c r="AH18" s="64" t="n">
        <f aca="false">MIN(Supply!AH12*Inputs!B52,Supply!AH8)</f>
        <v>1052.57419379837</v>
      </c>
    </row>
    <row r="19" customFormat="false" ht="15" hidden="false" customHeight="true" outlineLevel="0" collapsed="false">
      <c r="A19" s="1" t="s">
        <v>479</v>
      </c>
      <c r="B19" s="1" t="s">
        <v>330</v>
      </c>
      <c r="C19" s="1" t="s">
        <v>480</v>
      </c>
      <c r="D19" s="64" t="n">
        <f aca="false">MIN(MAX(Supply!D12-D18,0)*Inputs!B53,MAX(Supply!D9,0))</f>
        <v>0</v>
      </c>
      <c r="E19" s="64" t="n">
        <f aca="false">MIN(MAX(Supply!E12-E18,0)*Inputs!B53,MAX(Supply!E9,0))</f>
        <v>0</v>
      </c>
      <c r="F19" s="64" t="n">
        <f aca="false">MIN(MAX(Supply!F12-F18,0)*Inputs!B53,MAX(Supply!F9,0))</f>
        <v>0</v>
      </c>
      <c r="G19" s="64" t="n">
        <f aca="false">MIN(MAX(Supply!G12-G18,0)*Inputs!B53,MAX(Supply!G9,0))</f>
        <v>0</v>
      </c>
      <c r="H19" s="64" t="n">
        <f aca="false">MIN(MAX(Supply!H12-H18,0)*Inputs!B53,MAX(Supply!H9,0))</f>
        <v>0</v>
      </c>
      <c r="I19" s="64" t="n">
        <f aca="false">MIN(MAX(Supply!I12-I18,0)*Inputs!B53,MAX(Supply!I9,0))</f>
        <v>0</v>
      </c>
      <c r="J19" s="64" t="n">
        <f aca="false">MIN(MAX(Supply!J12-J18,0)*Inputs!B53,MAX(Supply!J9,0))</f>
        <v>0</v>
      </c>
      <c r="K19" s="64" t="n">
        <f aca="false">MIN(MAX(Supply!K12-K18,0)*Inputs!B53,MAX(Supply!K9,0))</f>
        <v>0</v>
      </c>
      <c r="L19" s="64" t="n">
        <f aca="false">MIN(MAX(Supply!L12-L18,0)*Inputs!B53,MAX(Supply!L9,0))</f>
        <v>0</v>
      </c>
      <c r="M19" s="64" t="n">
        <f aca="false">MIN(MAX(Supply!M12-M18,0)*Inputs!B53,MAX(Supply!M9,0))</f>
        <v>0</v>
      </c>
      <c r="N19" s="64" t="n">
        <f aca="false">MIN(MAX(Supply!N12-N18,0)*Inputs!B53,MAX(Supply!N9,0))</f>
        <v>0</v>
      </c>
      <c r="O19" s="64" t="n">
        <f aca="false">MIN(MAX(Supply!O12-O18,0)*Inputs!B53,MAX(Supply!O9,0))</f>
        <v>0</v>
      </c>
      <c r="P19" s="64" t="n">
        <f aca="false">MIN(MAX(Supply!P12-P18,0)*Inputs!B53,MAX(Supply!P9,0))</f>
        <v>0</v>
      </c>
      <c r="Q19" s="64" t="n">
        <f aca="false">MIN(MAX(Supply!Q12-Q18,0)*Inputs!B53,MAX(Supply!Q9,0))</f>
        <v>0</v>
      </c>
      <c r="R19" s="64" t="n">
        <f aca="false">MIN(MAX(Supply!R12-R18,0)*Inputs!B53,MAX(Supply!R9,0))</f>
        <v>0</v>
      </c>
      <c r="S19" s="64" t="n">
        <f aca="false">MIN(MAX(Supply!S12-S18,0)*Inputs!B53,MAX(Supply!S9,0))</f>
        <v>0</v>
      </c>
      <c r="T19" s="64" t="n">
        <f aca="false">MIN(MAX(Supply!T12-T18,0)*Inputs!B53,MAX(Supply!T9,0))</f>
        <v>0</v>
      </c>
      <c r="U19" s="64" t="n">
        <f aca="false">MIN(MAX(Supply!U12-U18,0)*Inputs!B53,MAX(Supply!U9,0))</f>
        <v>0</v>
      </c>
      <c r="V19" s="64" t="n">
        <f aca="false">MIN(MAX(Supply!V12-V18,0)*Inputs!B53,MAX(Supply!V9,0))</f>
        <v>0</v>
      </c>
      <c r="W19" s="64" t="n">
        <f aca="false">MIN(MAX(Supply!W12-W18,0)*Inputs!B53,MAX(Supply!W9,0))</f>
        <v>0</v>
      </c>
      <c r="X19" s="64" t="n">
        <f aca="false">MIN(MAX(Supply!X12-X18,0)*Inputs!B53,MAX(Supply!X9,0))</f>
        <v>0</v>
      </c>
      <c r="Y19" s="64" t="n">
        <f aca="false">MIN(MAX(Supply!Y12-Y18,0)*Inputs!B53,MAX(Supply!Y9,0))</f>
        <v>0</v>
      </c>
      <c r="Z19" s="64" t="n">
        <f aca="false">MIN(MAX(Supply!Z12-Z18,0)*Inputs!B53,MAX(Supply!Z9,0))</f>
        <v>0</v>
      </c>
      <c r="AA19" s="64" t="n">
        <f aca="false">MIN(MAX(Supply!AA12-AA18,0)*Inputs!B53,MAX(Supply!AA9,0))</f>
        <v>0</v>
      </c>
      <c r="AB19" s="64" t="n">
        <f aca="false">MIN(MAX(Supply!AB12-AB18,0)*Inputs!B53,MAX(Supply!AB9,0))</f>
        <v>0</v>
      </c>
      <c r="AC19" s="64" t="n">
        <f aca="false">MIN(MAX(Supply!AC12-AC18,0)*Inputs!B53,MAX(Supply!AC9,0))</f>
        <v>0</v>
      </c>
      <c r="AD19" s="64" t="n">
        <f aca="false">MIN(MAX(Supply!AD12-AD18,0)*Inputs!B53,MAX(Supply!AD9,0))</f>
        <v>0</v>
      </c>
      <c r="AE19" s="64" t="n">
        <f aca="false">MIN(MAX(Supply!AE12-AE18,0)*Inputs!B53,MAX(Supply!AE9,0))</f>
        <v>0</v>
      </c>
      <c r="AF19" s="64" t="n">
        <f aca="false">MIN(MAX(Supply!AF12-AF18,0)*Inputs!B53,MAX(Supply!AF9,0))</f>
        <v>0</v>
      </c>
      <c r="AG19" s="64" t="n">
        <f aca="false">MIN(MAX(Supply!AG12-AG18,0)*Inputs!B53,MAX(Supply!AG9,0))</f>
        <v>0</v>
      </c>
      <c r="AH19" s="64" t="n">
        <f aca="false">MIN(MAX(Supply!AH12-AH18,0)*Inputs!B53,MAX(Supply!AH9,0))</f>
        <v>0</v>
      </c>
    </row>
    <row r="20" customFormat="false" ht="15" hidden="false" customHeight="true" outlineLevel="0" collapsed="false">
      <c r="A20" s="1" t="s">
        <v>481</v>
      </c>
      <c r="B20" s="1" t="s">
        <v>330</v>
      </c>
      <c r="C20" s="1" t="s">
        <v>482</v>
      </c>
      <c r="D20" s="64" t="n">
        <f aca="false">MAX(Supply!D12-D18-D19,0)</f>
        <v>0</v>
      </c>
      <c r="E20" s="64" t="n">
        <f aca="false">MAX(Supply!E12-E18-E19,0)</f>
        <v>0</v>
      </c>
      <c r="F20" s="64" t="n">
        <f aca="false">MAX(Supply!F12-F18-F19,0)</f>
        <v>0</v>
      </c>
      <c r="G20" s="64" t="n">
        <f aca="false">MAX(Supply!G12-G18-G19,0)</f>
        <v>0</v>
      </c>
      <c r="H20" s="64" t="n">
        <f aca="false">MAX(Supply!H12-H18-H19,0)</f>
        <v>0</v>
      </c>
      <c r="I20" s="64" t="n">
        <f aca="false">MAX(Supply!I12-I18-I19,0)</f>
        <v>0</v>
      </c>
      <c r="J20" s="64" t="n">
        <f aca="false">MAX(Supply!J12-J18-J19,0)</f>
        <v>0</v>
      </c>
      <c r="K20" s="64" t="n">
        <f aca="false">MAX(Supply!K12-K18-K19,0)</f>
        <v>0</v>
      </c>
      <c r="L20" s="64" t="n">
        <f aca="false">MAX(Supply!L12-L18-L19,0)</f>
        <v>0</v>
      </c>
      <c r="M20" s="64" t="n">
        <f aca="false">MAX(Supply!M12-M18-M19,0)</f>
        <v>0</v>
      </c>
      <c r="N20" s="64" t="n">
        <f aca="false">MAX(Supply!N12-N18-N19,0)</f>
        <v>0</v>
      </c>
      <c r="O20" s="64" t="n">
        <f aca="false">MAX(Supply!O12-O18-O19,0)</f>
        <v>0</v>
      </c>
      <c r="P20" s="64" t="n">
        <f aca="false">MAX(Supply!P12-P18-P19,0)</f>
        <v>0</v>
      </c>
      <c r="Q20" s="64" t="n">
        <f aca="false">MAX(Supply!Q12-Q18-Q19,0)</f>
        <v>0</v>
      </c>
      <c r="R20" s="64" t="n">
        <f aca="false">MAX(Supply!R12-R18-R19,0)</f>
        <v>0</v>
      </c>
      <c r="S20" s="64" t="n">
        <f aca="false">MAX(Supply!S12-S18-S19,0)</f>
        <v>0</v>
      </c>
      <c r="T20" s="64" t="n">
        <f aca="false">MAX(Supply!T12-T18-T19,0)</f>
        <v>0</v>
      </c>
      <c r="U20" s="64" t="n">
        <f aca="false">MAX(Supply!U12-U18-U19,0)</f>
        <v>0</v>
      </c>
      <c r="V20" s="64" t="n">
        <f aca="false">MAX(Supply!V12-V18-V19,0)</f>
        <v>0</v>
      </c>
      <c r="W20" s="64" t="n">
        <f aca="false">MAX(Supply!W12-W18-W19,0)</f>
        <v>0</v>
      </c>
      <c r="X20" s="64" t="n">
        <f aca="false">MAX(Supply!X12-X18-X19,0)</f>
        <v>0</v>
      </c>
      <c r="Y20" s="64" t="n">
        <f aca="false">MAX(Supply!Y12-Y18-Y19,0)</f>
        <v>0</v>
      </c>
      <c r="Z20" s="64" t="n">
        <f aca="false">MAX(Supply!Z12-Z18-Z19,0)</f>
        <v>0</v>
      </c>
      <c r="AA20" s="64" t="n">
        <f aca="false">MAX(Supply!AA12-AA18-AA19,0)</f>
        <v>0</v>
      </c>
      <c r="AB20" s="64" t="n">
        <f aca="false">MAX(Supply!AB12-AB18-AB19,0)</f>
        <v>0</v>
      </c>
      <c r="AC20" s="64" t="n">
        <f aca="false">MAX(Supply!AC12-AC18-AC19,0)</f>
        <v>0</v>
      </c>
      <c r="AD20" s="64" t="n">
        <f aca="false">MAX(Supply!AD12-AD18-AD19,0)</f>
        <v>0</v>
      </c>
      <c r="AE20" s="64" t="n">
        <f aca="false">MAX(Supply!AE12-AE18-AE19,0)</f>
        <v>0</v>
      </c>
      <c r="AF20" s="64" t="n">
        <f aca="false">MAX(Supply!AF12-AF18-AF19,0)</f>
        <v>0</v>
      </c>
      <c r="AG20" s="64" t="n">
        <f aca="false">MAX(Supply!AG12-AG18-AG19,0)</f>
        <v>0</v>
      </c>
      <c r="AH20" s="64" t="n">
        <f aca="false">MAX(Supply!AH12-AH18-AH19,0)</f>
        <v>0</v>
      </c>
    </row>
    <row r="21" customFormat="false" ht="15" hidden="false" customHeight="true" outlineLevel="0" collapsed="false">
      <c r="A21" s="1" t="s">
        <v>483</v>
      </c>
      <c r="B21" s="1" t="s">
        <v>330</v>
      </c>
      <c r="C21" s="1" t="s">
        <v>484</v>
      </c>
      <c r="D21" s="64" t="n">
        <f aca="false">MIN(Supply!D13*Inputs!B54,MAX(Supply!D8-D18,0))</f>
        <v>389.6270185899</v>
      </c>
      <c r="E21" s="64" t="n">
        <f aca="false">MIN(Supply!E13*Inputs!B54,MAX(Supply!E8-E18,0))</f>
        <v>403.932968035115</v>
      </c>
      <c r="F21" s="64" t="n">
        <f aca="false">MIN(Supply!F13*Inputs!B54,MAX(Supply!F8-F18,0))</f>
        <v>418.623578068233</v>
      </c>
      <c r="G21" s="64" t="n">
        <f aca="false">MIN(Supply!G13*Inputs!B54,MAX(Supply!G8-G18,0))</f>
        <v>433.707989015256</v>
      </c>
      <c r="H21" s="64" t="n">
        <f aca="false">MIN(Supply!H13*Inputs!B54,MAX(Supply!H8-H18,0))</f>
        <v>449.195544352525</v>
      </c>
      <c r="I21" s="64" t="n">
        <f aca="false">MIN(Supply!I13*Inputs!B54,MAX(Supply!I8-I18,0))</f>
        <v>465.095795036329</v>
      </c>
      <c r="J21" s="64" t="n">
        <f aca="false">MIN(Supply!J13*Inputs!B54,MAX(Supply!J8-J18,0))</f>
        <v>481.418503922153</v>
      </c>
      <c r="K21" s="64" t="n">
        <f aca="false">MIN(Supply!K13*Inputs!B54,MAX(Supply!K8-K18,0))</f>
        <v>498.173650275403</v>
      </c>
      <c r="L21" s="64" t="n">
        <f aca="false">MIN(Supply!L13*Inputs!B54,MAX(Supply!L8-L18,0))</f>
        <v>515.37143437545</v>
      </c>
      <c r="M21" s="64" t="n">
        <f aca="false">MIN(Supply!M13*Inputs!B54,MAX(Supply!M8-M18,0))</f>
        <v>533.022282214894</v>
      </c>
      <c r="N21" s="64" t="n">
        <f aca="false">MIN(Supply!N13*Inputs!B54,MAX(Supply!N8-N18,0))</f>
        <v>551.136850295968</v>
      </c>
      <c r="O21" s="64" t="n">
        <f aca="false">MIN(Supply!O13*Inputs!B54,MAX(Supply!O8-O18,0))</f>
        <v>569.726030526055</v>
      </c>
      <c r="P21" s="64" t="n">
        <f aca="false">MIN(Supply!P13*Inputs!B54,MAX(Supply!P8-P18,0))</f>
        <v>588.800955214323</v>
      </c>
      <c r="Q21" s="64" t="n">
        <f aca="false">MIN(Supply!Q13*Inputs!B54,MAX(Supply!Q8-Q18,0))</f>
        <v>608.37300217152</v>
      </c>
      <c r="R21" s="64" t="n">
        <f aca="false">MIN(Supply!R13*Inputs!B54,MAX(Supply!R8-R18,0))</f>
        <v>628.453799915024</v>
      </c>
      <c r="S21" s="64" t="n">
        <f aca="false">MIN(Supply!S13*Inputs!B54,MAX(Supply!S8-S18,0))</f>
        <v>649.055232981272</v>
      </c>
      <c r="T21" s="64" t="n">
        <f aca="false">MIN(Supply!T13*Inputs!B54,MAX(Supply!T8-T18,0))</f>
        <v>670.189447347742</v>
      </c>
      <c r="U21" s="64" t="n">
        <f aca="false">MIN(Supply!U13*Inputs!B54,MAX(Supply!U8-U18,0))</f>
        <v>691.868855966691</v>
      </c>
      <c r="V21" s="64" t="n">
        <f aca="false">MIN(Supply!V13*Inputs!B54,MAX(Supply!V8-V18,0))</f>
        <v>714.106144412932</v>
      </c>
      <c r="W21" s="64" t="n">
        <f aca="false">MIN(Supply!W13*Inputs!B54,MAX(Supply!W8-W18,0))</f>
        <v>736.914276647924</v>
      </c>
      <c r="X21" s="64" t="n">
        <f aca="false">MIN(Supply!X13*Inputs!B54,MAX(Supply!X8-X18,0))</f>
        <v>760.306500902548</v>
      </c>
      <c r="Y21" s="64" t="n">
        <f aca="false">MIN(Supply!Y13*Inputs!B54,MAX(Supply!Y8-Y18,0))</f>
        <v>784.296355680951</v>
      </c>
      <c r="Z21" s="64" t="n">
        <f aca="false">MIN(Supply!Z13*Inputs!B54,MAX(Supply!Z8-Z18,0))</f>
        <v>808.897675887909</v>
      </c>
      <c r="AA21" s="64" t="n">
        <f aca="false">MIN(Supply!AA13*Inputs!B54,MAX(Supply!AA8-AA18,0))</f>
        <v>834.124599082191</v>
      </c>
      <c r="AB21" s="64" t="n">
        <f aca="false">MIN(Supply!AB13*Inputs!B54,MAX(Supply!AB8-AB18,0))</f>
        <v>859.991571858486</v>
      </c>
      <c r="AC21" s="64" t="n">
        <f aca="false">MIN(Supply!AC13*Inputs!B54,MAX(Supply!AC8-AC18,0))</f>
        <v>886.51335636046</v>
      </c>
      <c r="AD21" s="64" t="n">
        <f aca="false">MIN(Supply!AD13*Inputs!B54,MAX(Supply!AD8-AD18,0))</f>
        <v>913.705036927608</v>
      </c>
      <c r="AE21" s="64" t="n">
        <f aca="false">MIN(Supply!AE13*Inputs!B54,MAX(Supply!AE8-AE18,0))</f>
        <v>941.582026878579</v>
      </c>
      <c r="AF21" s="64" t="n">
        <f aca="false">MIN(Supply!AF13*Inputs!B54,MAX(Supply!AF8-AF18,0))</f>
        <v>970.160075433746</v>
      </c>
      <c r="AG21" s="64" t="n">
        <f aca="false">MIN(Supply!AG13*Inputs!B54,MAX(Supply!AG8-AG18,0))</f>
        <v>999.455274779798</v>
      </c>
      <c r="AH21" s="64" t="n">
        <f aca="false">MIN(Supply!AH13*Inputs!B54,MAX(Supply!AH8-AH18,0))</f>
        <v>1029.48406727925</v>
      </c>
    </row>
    <row r="22" customFormat="false" ht="15" hidden="false" customHeight="true" outlineLevel="0" collapsed="false">
      <c r="A22" s="1" t="s">
        <v>485</v>
      </c>
      <c r="B22" s="1" t="s">
        <v>330</v>
      </c>
      <c r="C22" s="1" t="s">
        <v>486</v>
      </c>
      <c r="D22" s="64" t="n">
        <f aca="false">MIN(MAX(Supply!D13-D21,0)*Inputs!B55,MAX(Supply!D9-D19,0))</f>
        <v>0</v>
      </c>
      <c r="E22" s="64" t="n">
        <f aca="false">MIN(MAX(Supply!E13-E21,0)*Inputs!B55,MAX(Supply!E9-E19,0))</f>
        <v>0</v>
      </c>
      <c r="F22" s="64" t="n">
        <f aca="false">MIN(MAX(Supply!F13-F21,0)*Inputs!B55,MAX(Supply!F9-F19,0))</f>
        <v>0</v>
      </c>
      <c r="G22" s="64" t="n">
        <f aca="false">MIN(MAX(Supply!G13-G21,0)*Inputs!B55,MAX(Supply!G9-G19,0))</f>
        <v>0</v>
      </c>
      <c r="H22" s="64" t="n">
        <f aca="false">MIN(MAX(Supply!H13-H21,0)*Inputs!B55,MAX(Supply!H9-H19,0))</f>
        <v>0</v>
      </c>
      <c r="I22" s="64" t="n">
        <f aca="false">MIN(MAX(Supply!I13-I21,0)*Inputs!B55,MAX(Supply!I9-I19,0))</f>
        <v>0</v>
      </c>
      <c r="J22" s="64" t="n">
        <f aca="false">MIN(MAX(Supply!J13-J21,0)*Inputs!B55,MAX(Supply!J9-J19,0))</f>
        <v>0</v>
      </c>
      <c r="K22" s="64" t="n">
        <f aca="false">MIN(MAX(Supply!K13-K21,0)*Inputs!B55,MAX(Supply!K9-K19,0))</f>
        <v>0</v>
      </c>
      <c r="L22" s="64" t="n">
        <f aca="false">MIN(MAX(Supply!L13-L21,0)*Inputs!B55,MAX(Supply!L9-L19,0))</f>
        <v>0</v>
      </c>
      <c r="M22" s="64" t="n">
        <f aca="false">MIN(MAX(Supply!M13-M21,0)*Inputs!B55,MAX(Supply!M9-M19,0))</f>
        <v>0</v>
      </c>
      <c r="N22" s="64" t="n">
        <f aca="false">MIN(MAX(Supply!N13-N21,0)*Inputs!B55,MAX(Supply!N9-N19,0))</f>
        <v>0</v>
      </c>
      <c r="O22" s="64" t="n">
        <f aca="false">MIN(MAX(Supply!O13-O21,0)*Inputs!B55,MAX(Supply!O9-O19,0))</f>
        <v>0</v>
      </c>
      <c r="P22" s="64" t="n">
        <f aca="false">MIN(MAX(Supply!P13-P21,0)*Inputs!B55,MAX(Supply!P9-P19,0))</f>
        <v>0</v>
      </c>
      <c r="Q22" s="64" t="n">
        <f aca="false">MIN(MAX(Supply!Q13-Q21,0)*Inputs!B55,MAX(Supply!Q9-Q19,0))</f>
        <v>0</v>
      </c>
      <c r="R22" s="64" t="n">
        <f aca="false">MIN(MAX(Supply!R13-R21,0)*Inputs!B55,MAX(Supply!R9-R19,0))</f>
        <v>0</v>
      </c>
      <c r="S22" s="64" t="n">
        <f aca="false">MIN(MAX(Supply!S13-S21,0)*Inputs!B55,MAX(Supply!S9-S19,0))</f>
        <v>0</v>
      </c>
      <c r="T22" s="64" t="n">
        <f aca="false">MIN(MAX(Supply!T13-T21,0)*Inputs!B55,MAX(Supply!T9-T19,0))</f>
        <v>0</v>
      </c>
      <c r="U22" s="64" t="n">
        <f aca="false">MIN(MAX(Supply!U13-U21,0)*Inputs!B55,MAX(Supply!U9-U19,0))</f>
        <v>0</v>
      </c>
      <c r="V22" s="64" t="n">
        <f aca="false">MIN(MAX(Supply!V13-V21,0)*Inputs!B55,MAX(Supply!V9-V19,0))</f>
        <v>0</v>
      </c>
      <c r="W22" s="64" t="n">
        <f aca="false">MIN(MAX(Supply!W13-W21,0)*Inputs!B55,MAX(Supply!W9-W19,0))</f>
        <v>0</v>
      </c>
      <c r="X22" s="64" t="n">
        <f aca="false">MIN(MAX(Supply!X13-X21,0)*Inputs!B55,MAX(Supply!X9-X19,0))</f>
        <v>0</v>
      </c>
      <c r="Y22" s="64" t="n">
        <f aca="false">MIN(MAX(Supply!Y13-Y21,0)*Inputs!B55,MAX(Supply!Y9-Y19,0))</f>
        <v>0</v>
      </c>
      <c r="Z22" s="64" t="n">
        <f aca="false">MIN(MAX(Supply!Z13-Z21,0)*Inputs!B55,MAX(Supply!Z9-Z19,0))</f>
        <v>0</v>
      </c>
      <c r="AA22" s="64" t="n">
        <f aca="false">MIN(MAX(Supply!AA13-AA21,0)*Inputs!B55,MAX(Supply!AA9-AA19,0))</f>
        <v>0</v>
      </c>
      <c r="AB22" s="64" t="n">
        <f aca="false">MIN(MAX(Supply!AB13-AB21,0)*Inputs!B55,MAX(Supply!AB9-AB19,0))</f>
        <v>0</v>
      </c>
      <c r="AC22" s="64" t="n">
        <f aca="false">MIN(MAX(Supply!AC13-AC21,0)*Inputs!B55,MAX(Supply!AC9-AC19,0))</f>
        <v>0</v>
      </c>
      <c r="AD22" s="64" t="n">
        <f aca="false">MIN(MAX(Supply!AD13-AD21,0)*Inputs!B55,MAX(Supply!AD9-AD19,0))</f>
        <v>0</v>
      </c>
      <c r="AE22" s="64" t="n">
        <f aca="false">MIN(MAX(Supply!AE13-AE21,0)*Inputs!B55,MAX(Supply!AE9-AE19,0))</f>
        <v>0</v>
      </c>
      <c r="AF22" s="64" t="n">
        <f aca="false">MIN(MAX(Supply!AF13-AF21,0)*Inputs!B55,MAX(Supply!AF9-AF19,0))</f>
        <v>0</v>
      </c>
      <c r="AG22" s="64" t="n">
        <f aca="false">MIN(MAX(Supply!AG13-AG21,0)*Inputs!B55,MAX(Supply!AG9-AG19,0))</f>
        <v>0</v>
      </c>
      <c r="AH22" s="64" t="n">
        <f aca="false">MIN(MAX(Supply!AH13-AH21,0)*Inputs!B55,MAX(Supply!AH9-AH19,0))</f>
        <v>0</v>
      </c>
    </row>
    <row r="23" customFormat="false" ht="15" hidden="false" customHeight="true" outlineLevel="0" collapsed="false">
      <c r="A23" s="1" t="s">
        <v>487</v>
      </c>
      <c r="B23" s="1" t="s">
        <v>330</v>
      </c>
      <c r="C23" s="1" t="s">
        <v>488</v>
      </c>
      <c r="D23" s="64" t="n">
        <f aca="false">MAX(Supply!D13-D21-D22,0)</f>
        <v>0</v>
      </c>
      <c r="E23" s="64" t="n">
        <f aca="false">MAX(Supply!E13-E21-E22,0)</f>
        <v>0</v>
      </c>
      <c r="F23" s="64" t="n">
        <f aca="false">MAX(Supply!F13-F21-F22,0)</f>
        <v>0</v>
      </c>
      <c r="G23" s="64" t="n">
        <f aca="false">MAX(Supply!G13-G21-G22,0)</f>
        <v>0</v>
      </c>
      <c r="H23" s="64" t="n">
        <f aca="false">MAX(Supply!H13-H21-H22,0)</f>
        <v>0</v>
      </c>
      <c r="I23" s="64" t="n">
        <f aca="false">MAX(Supply!I13-I21-I22,0)</f>
        <v>0</v>
      </c>
      <c r="J23" s="64" t="n">
        <f aca="false">MAX(Supply!J13-J21-J22,0)</f>
        <v>0</v>
      </c>
      <c r="K23" s="64" t="n">
        <f aca="false">MAX(Supply!K13-K21-K22,0)</f>
        <v>0</v>
      </c>
      <c r="L23" s="64" t="n">
        <f aca="false">MAX(Supply!L13-L21-L22,0)</f>
        <v>0</v>
      </c>
      <c r="M23" s="64" t="n">
        <f aca="false">MAX(Supply!M13-M21-M22,0)</f>
        <v>0</v>
      </c>
      <c r="N23" s="64" t="n">
        <f aca="false">MAX(Supply!N13-N21-N22,0)</f>
        <v>0</v>
      </c>
      <c r="O23" s="64" t="n">
        <f aca="false">MAX(Supply!O13-O21-O22,0)</f>
        <v>0</v>
      </c>
      <c r="P23" s="64" t="n">
        <f aca="false">MAX(Supply!P13-P21-P22,0)</f>
        <v>0</v>
      </c>
      <c r="Q23" s="64" t="n">
        <f aca="false">MAX(Supply!Q13-Q21-Q22,0)</f>
        <v>0</v>
      </c>
      <c r="R23" s="64" t="n">
        <f aca="false">MAX(Supply!R13-R21-R22,0)</f>
        <v>0</v>
      </c>
      <c r="S23" s="64" t="n">
        <f aca="false">MAX(Supply!S13-S21-S22,0)</f>
        <v>0</v>
      </c>
      <c r="T23" s="64" t="n">
        <f aca="false">MAX(Supply!T13-T21-T22,0)</f>
        <v>0</v>
      </c>
      <c r="U23" s="64" t="n">
        <f aca="false">MAX(Supply!U13-U21-U22,0)</f>
        <v>0</v>
      </c>
      <c r="V23" s="64" t="n">
        <f aca="false">MAX(Supply!V13-V21-V22,0)</f>
        <v>0</v>
      </c>
      <c r="W23" s="64" t="n">
        <f aca="false">MAX(Supply!W13-W21-W22,0)</f>
        <v>0</v>
      </c>
      <c r="X23" s="64" t="n">
        <f aca="false">MAX(Supply!X13-X21-X22,0)</f>
        <v>0</v>
      </c>
      <c r="Y23" s="64" t="n">
        <f aca="false">MAX(Supply!Y13-Y21-Y22,0)</f>
        <v>0</v>
      </c>
      <c r="Z23" s="64" t="n">
        <f aca="false">MAX(Supply!Z13-Z21-Z22,0)</f>
        <v>0</v>
      </c>
      <c r="AA23" s="64" t="n">
        <f aca="false">MAX(Supply!AA13-AA21-AA22,0)</f>
        <v>0</v>
      </c>
      <c r="AB23" s="64" t="n">
        <f aca="false">MAX(Supply!AB13-AB21-AB22,0)</f>
        <v>0</v>
      </c>
      <c r="AC23" s="64" t="n">
        <f aca="false">MAX(Supply!AC13-AC21-AC22,0)</f>
        <v>0</v>
      </c>
      <c r="AD23" s="64" t="n">
        <f aca="false">MAX(Supply!AD13-AD21-AD22,0)</f>
        <v>0</v>
      </c>
      <c r="AE23" s="64" t="n">
        <f aca="false">MAX(Supply!AE13-AE21-AE22,0)</f>
        <v>0</v>
      </c>
      <c r="AF23" s="64" t="n">
        <f aca="false">MAX(Supply!AF13-AF21-AF22,0)</f>
        <v>0</v>
      </c>
      <c r="AG23" s="64" t="n">
        <f aca="false">MAX(Supply!AG13-AG21-AG22,0)</f>
        <v>0</v>
      </c>
      <c r="AH23" s="64" t="n">
        <f aca="false">MAX(Supply!AH13-AH21-AH22,0)</f>
        <v>0</v>
      </c>
    </row>
    <row r="24" customFormat="false" ht="15" hidden="false" customHeight="true" outlineLevel="0" collapsed="false">
      <c r="A24" s="1" t="s">
        <v>489</v>
      </c>
      <c r="B24" s="1" t="s">
        <v>330</v>
      </c>
      <c r="C24" s="1" t="s">
        <v>490</v>
      </c>
      <c r="D24" s="65" t="n">
        <f aca="false">MIN(MAX(D14-D17-D7,0)*Inputs!$B$56,MAX(D8-D18-D21,0))</f>
        <v>4826.1510039151</v>
      </c>
      <c r="E24" s="64" t="n">
        <f aca="false">MIN(MAX(E14-E17-E7,0)*Inputs!$B$56,MAX(E8-E18-E21,0))</f>
        <v>4711.2008575663</v>
      </c>
      <c r="F24" s="64" t="n">
        <f aca="false">MIN(MAX(F14-F17-F7,0)*Inputs!$B$56,MAX(F8-F18-F21,0))</f>
        <v>4597.34209814807</v>
      </c>
      <c r="G24" s="64" t="n">
        <f aca="false">MIN(MAX(G14-G17-G7,0)*Inputs!$B$56,MAX(G8-G18-G21,0))</f>
        <v>4484.54434096414</v>
      </c>
      <c r="H24" s="64" t="n">
        <f aca="false">MIN(MAX(H14-H17-H7,0)*Inputs!$B$56,MAX(H8-H18-H21,0))</f>
        <v>4372.77730871043</v>
      </c>
      <c r="I24" s="64" t="n">
        <f aca="false">MIN(MAX(I14-I17-I7,0)*Inputs!$B$56,MAX(I8-I18-I21,0))</f>
        <v>4262.0108225461</v>
      </c>
      <c r="J24" s="64" t="n">
        <f aca="false">MIN(MAX(J14-J17-J7,0)*Inputs!$B$56,MAX(J8-J18-J21,0))</f>
        <v>4152.21479314361</v>
      </c>
      <c r="K24" s="64" t="n">
        <f aca="false">MIN(MAX(K14-K17-K7,0)*Inputs!$B$56,MAX(K8-K18-K21,0))</f>
        <v>4043.35921171483</v>
      </c>
      <c r="L24" s="64" t="n">
        <f aca="false">MIN(MAX(L14-L17-L7,0)*Inputs!$B$56,MAX(L8-L18-L21,0))</f>
        <v>3935.41414101049</v>
      </c>
      <c r="M24" s="64" t="n">
        <f aca="false">MIN(MAX(M14-M17-M7,0)*Inputs!$B$56,MAX(M8-M18-M21,0))</f>
        <v>3828.34970628984</v>
      </c>
      <c r="N24" s="64" t="n">
        <f aca="false">MIN(MAX(N14-N17-N7,0)*Inputs!$B$56,MAX(N8-N18-N21,0))</f>
        <v>3722.13608625792</v>
      </c>
      <c r="O24" s="64" t="n">
        <f aca="false">MIN(MAX(O14-O17-O7,0)*Inputs!$B$56,MAX(O8-O18-O21,0))</f>
        <v>3616.7435039672</v>
      </c>
      <c r="P24" s="64" t="n">
        <f aca="false">MIN(MAX(P14-P17-P7,0)*Inputs!$B$56,MAX(P8-P18-P21,0))</f>
        <v>3512.14221768084</v>
      </c>
      <c r="Q24" s="64" t="n">
        <f aca="false">MIN(MAX(Q14-Q17-Q7,0)*Inputs!$B$56,MAX(Q8-Q18-Q21,0))</f>
        <v>3408.30251169454</v>
      </c>
      <c r="R24" s="64" t="n">
        <f aca="false">MIN(MAX(R14-R17-R7,0)*Inputs!$B$56,MAX(R8-R18-R21,0))</f>
        <v>3305.19468711391</v>
      </c>
      <c r="S24" s="64" t="n">
        <f aca="false">MIN(MAX(S14-S17-S7,0)*Inputs!$B$56,MAX(S8-S18-S21,0))</f>
        <v>3202.78905258435</v>
      </c>
      <c r="T24" s="64" t="n">
        <f aca="false">MIN(MAX(T14-T17-T7,0)*Inputs!$B$56,MAX(T8-T18-T21,0))</f>
        <v>3101.05591497042</v>
      </c>
      <c r="U24" s="64" t="n">
        <f aca="false">MIN(MAX(U14-U17-U7,0)*Inputs!$B$56,MAX(U8-U18-U21,0))</f>
        <v>2999.96556998153</v>
      </c>
      <c r="V24" s="64" t="n">
        <f aca="false">MIN(MAX(V14-V17-V7,0)*Inputs!$B$56,MAX(V8-V18-V21,0))</f>
        <v>2899.4882927409</v>
      </c>
      <c r="W24" s="64" t="n">
        <f aca="false">MIN(MAX(W14-W17-W7,0)*Inputs!$B$56,MAX(W8-W18-W21,0))</f>
        <v>2799.59432829453</v>
      </c>
      <c r="X24" s="64" t="n">
        <f aca="false">MIN(MAX(X14-X17-X7,0)*Inputs!$B$56,MAX(X8-X18-X21,0))</f>
        <v>2700.2538820571</v>
      </c>
      <c r="Y24" s="64" t="n">
        <f aca="false">MIN(MAX(Y14-Y17-Y7,0)*Inputs!$B$56,MAX(Y8-Y18-Y21,0))</f>
        <v>2601.43711019146</v>
      </c>
      <c r="Z24" s="64" t="n">
        <f aca="false">MIN(MAX(Z14-Z17-Z7,0)*Inputs!$B$56,MAX(Z8-Z18-Z21,0))</f>
        <v>2503.11410991858</v>
      </c>
      <c r="AA24" s="64" t="n">
        <f aca="false">MIN(MAX(AA14-AA17-AA7,0)*Inputs!$B$56,MAX(AA8-AA18-AA21,0))</f>
        <v>2405.25490975449</v>
      </c>
      <c r="AB24" s="64" t="n">
        <f aca="false">MIN(MAX(AB14-AB17-AB7,0)*Inputs!$B$56,MAX(AB8-AB18-AB21,0))</f>
        <v>2307.82945967106</v>
      </c>
      <c r="AC24" s="64" t="n">
        <f aca="false">MIN(MAX(AC14-AC17-AC7,0)*Inputs!$B$56,MAX(AC8-AC18-AC21,0))</f>
        <v>2210.80762117712</v>
      </c>
      <c r="AD24" s="64" t="n">
        <f aca="false">MIN(MAX(AD14-AD17-AD7,0)*Inputs!$B$56,MAX(AD8-AD18-AD21,0))</f>
        <v>2114.15915731651</v>
      </c>
      <c r="AE24" s="64" t="n">
        <f aca="false">MIN(MAX(AE14-AE17-AE7,0)*Inputs!$B$56,MAX(AE8-AE18-AE21,0))</f>
        <v>2017.85372257966</v>
      </c>
      <c r="AF24" s="64" t="n">
        <f aca="false">MIN(MAX(AF14-AF17-AF7,0)*Inputs!$B$56,MAX(AF8-AF18-AF21,0))</f>
        <v>1921.86085272524</v>
      </c>
      <c r="AG24" s="64" t="n">
        <f aca="false">MIN(MAX(AG14-AG17-AG7,0)*Inputs!$B$56,MAX(AG8-AG18-AG21,0))</f>
        <v>1826.14995450814</v>
      </c>
      <c r="AH24" s="64" t="n">
        <f aca="false">MIN(MAX(AH14-AH17-AH7,0)*Inputs!$B$56,MAX(AH8-AH18-AH21,0))</f>
        <v>1730.69029531048</v>
      </c>
    </row>
    <row r="25" customFormat="false" ht="15" hidden="false" customHeight="true" outlineLevel="0" collapsed="false">
      <c r="A25" s="1" t="s">
        <v>491</v>
      </c>
      <c r="B25" s="1" t="s">
        <v>330</v>
      </c>
      <c r="C25" s="1" t="s">
        <v>492</v>
      </c>
      <c r="D25" s="65" t="n">
        <f aca="false">MIN(MAX(MAX(D14-D17-D7,0)-D24,0)*Inputs!$B$57,MAX(D9-D19-D22,0))</f>
        <v>912</v>
      </c>
      <c r="E25" s="64" t="n">
        <f aca="false">MIN(MAX(MAX(E14-E17-E7,0)-E24,0)*Inputs!$B$57,MAX(E9-E19-E22,0))</f>
        <v>893.76</v>
      </c>
      <c r="F25" s="64" t="n">
        <f aca="false">MIN(MAX(MAX(F14-F17-F7,0)-F24,0)*Inputs!$B$57,MAX(F9-F19-F22,0))</f>
        <v>875.8848</v>
      </c>
      <c r="G25" s="64" t="n">
        <f aca="false">MIN(MAX(MAX(G14-G17-G7,0)-G24,0)*Inputs!$B$57,MAX(G9-G19-G22,0))</f>
        <v>858.367104</v>
      </c>
      <c r="H25" s="64" t="n">
        <f aca="false">MIN(MAX(MAX(H14-H17-H7,0)-H24,0)*Inputs!$B$57,MAX(H9-H19-H22,0))</f>
        <v>841.19976192</v>
      </c>
      <c r="I25" s="64" t="n">
        <f aca="false">MIN(MAX(MAX(I14-I17-I7,0)-I24,0)*Inputs!$B$57,MAX(I9-I19-I22,0))</f>
        <v>824.3757666816</v>
      </c>
      <c r="J25" s="64" t="n">
        <f aca="false">MIN(MAX(MAX(J14-J17-J7,0)-J24,0)*Inputs!$B$57,MAX(J9-J19-J22,0))</f>
        <v>807.888251347968</v>
      </c>
      <c r="K25" s="64" t="n">
        <f aca="false">MIN(MAX(MAX(K14-K17-K7,0)-K24,0)*Inputs!$B$57,MAX(K9-K19-K22,0))</f>
        <v>791.730486321009</v>
      </c>
      <c r="L25" s="64" t="n">
        <f aca="false">MIN(MAX(MAX(L14-L17-L7,0)-L24,0)*Inputs!$B$57,MAX(L9-L19-L22,0))</f>
        <v>775.895876594588</v>
      </c>
      <c r="M25" s="64" t="n">
        <f aca="false">MIN(MAX(MAX(M14-M17-M7,0)-M24,0)*Inputs!$B$57,MAX(M9-M19-M22,0))</f>
        <v>760.377959062697</v>
      </c>
      <c r="N25" s="64" t="n">
        <f aca="false">MIN(MAX(MAX(N14-N17-N7,0)-N24,0)*Inputs!$B$57,MAX(N9-N19-N22,0))</f>
        <v>745.170399881443</v>
      </c>
      <c r="O25" s="64" t="n">
        <f aca="false">MIN(MAX(MAX(O14-O17-O7,0)-O24,0)*Inputs!$B$57,MAX(O9-O19-O22,0))</f>
        <v>730.266991883814</v>
      </c>
      <c r="P25" s="64" t="n">
        <f aca="false">MIN(MAX(MAX(P14-P17-P7,0)-P24,0)*Inputs!$B$57,MAX(P9-P19-P22,0))</f>
        <v>715.661652046137</v>
      </c>
      <c r="Q25" s="64" t="n">
        <f aca="false">MIN(MAX(MAX(Q14-Q17-Q7,0)-Q24,0)*Inputs!$B$57,MAX(Q9-Q19-Q22,0))</f>
        <v>701.348419005215</v>
      </c>
      <c r="R25" s="64" t="n">
        <f aca="false">MIN(MAX(MAX(R14-R17-R7,0)-R24,0)*Inputs!$B$57,MAX(R9-R19-R22,0))</f>
        <v>687.32145062511</v>
      </c>
      <c r="S25" s="64" t="n">
        <f aca="false">MIN(MAX(MAX(S14-S17-S7,0)-S24,0)*Inputs!$B$57,MAX(S9-S19-S22,0))</f>
        <v>673.575021612608</v>
      </c>
      <c r="T25" s="64" t="n">
        <f aca="false">MIN(MAX(MAX(T14-T17-T7,0)-T24,0)*Inputs!$B$57,MAX(T9-T19-T22,0))</f>
        <v>660.103521180356</v>
      </c>
      <c r="U25" s="64" t="n">
        <f aca="false">MIN(MAX(MAX(U14-U17-U7,0)-U24,0)*Inputs!$B$57,MAX(U9-U19-U22,0))</f>
        <v>646.901450756749</v>
      </c>
      <c r="V25" s="64" t="n">
        <f aca="false">MIN(MAX(MAX(V14-V17-V7,0)-V24,0)*Inputs!$B$57,MAX(V9-V19-V22,0))</f>
        <v>633.963421741614</v>
      </c>
      <c r="W25" s="64" t="n">
        <f aca="false">MIN(MAX(MAX(W14-W17-W7,0)-W24,0)*Inputs!$B$57,MAX(W9-W19-W22,0))</f>
        <v>621.284153306782</v>
      </c>
      <c r="X25" s="64" t="n">
        <f aca="false">MIN(MAX(MAX(X14-X17-X7,0)-X24,0)*Inputs!$B$57,MAX(X9-X19-X22,0))</f>
        <v>608.858470240646</v>
      </c>
      <c r="Y25" s="64" t="n">
        <f aca="false">MIN(MAX(MAX(Y14-Y17-Y7,0)-Y24,0)*Inputs!$B$57,MAX(Y9-Y19-Y22,0))</f>
        <v>596.681300835833</v>
      </c>
      <c r="Z25" s="64" t="n">
        <f aca="false">MIN(MAX(MAX(Z14-Z17-Z7,0)-Z24,0)*Inputs!$B$57,MAX(Z9-Z19-Z22,0))</f>
        <v>584.747674819116</v>
      </c>
      <c r="AA25" s="64" t="n">
        <f aca="false">MIN(MAX(MAX(AA14-AA17-AA7,0)-AA24,0)*Inputs!$B$57,MAX(AA9-AA19-AA22,0))</f>
        <v>573.052721322734</v>
      </c>
      <c r="AB25" s="64" t="n">
        <f aca="false">MIN(MAX(MAX(AB14-AB17-AB7,0)-AB24,0)*Inputs!$B$57,MAX(AB9-AB19-AB22,0))</f>
        <v>561.591666896279</v>
      </c>
      <c r="AC25" s="64" t="n">
        <f aca="false">MIN(MAX(MAX(AC14-AC17-AC7,0)-AC24,0)*Inputs!$B$57,MAX(AC9-AC19-AC22,0))</f>
        <v>550.359833558354</v>
      </c>
      <c r="AD25" s="64" t="n">
        <f aca="false">MIN(MAX(MAX(AD14-AD17-AD7,0)-AD24,0)*Inputs!$B$57,MAX(AD9-AD19-AD22,0))</f>
        <v>539.352636887187</v>
      </c>
      <c r="AE25" s="64" t="n">
        <f aca="false">MIN(MAX(MAX(AE14-AE17-AE7,0)-AE24,0)*Inputs!$B$57,MAX(AE9-AE19-AE22,0))</f>
        <v>528.565584149443</v>
      </c>
      <c r="AF25" s="64" t="n">
        <f aca="false">MIN(MAX(MAX(AF14-AF17-AF7,0)-AF24,0)*Inputs!$B$57,MAX(AF9-AF19-AF22,0))</f>
        <v>517.994272466454</v>
      </c>
      <c r="AG25" s="64" t="n">
        <f aca="false">MIN(MAX(MAX(AG14-AG17-AG7,0)-AG24,0)*Inputs!$B$57,MAX(AG9-AG19-AG22,0))</f>
        <v>507.634387017125</v>
      </c>
      <c r="AH25" s="64" t="n">
        <f aca="false">MIN(MAX(MAX(AH14-AH17-AH7,0)-AH24,0)*Inputs!$B$57,MAX(AH9-AH19-AH22,0))</f>
        <v>497.481699276783</v>
      </c>
    </row>
    <row r="26" customFormat="false" ht="15" hidden="false" customHeight="true" outlineLevel="0" collapsed="false">
      <c r="A26" s="1" t="s">
        <v>493</v>
      </c>
      <c r="B26" s="1" t="s">
        <v>330</v>
      </c>
      <c r="C26" s="1" t="s">
        <v>494</v>
      </c>
      <c r="D26" s="57" t="n">
        <f aca="false">MIN(MAX(D33-D20-D23-D27,0),MAX(MAX(D14-D17-D7,0)-D24-D25,0))</f>
        <v>20</v>
      </c>
      <c r="E26" s="64" t="n">
        <f aca="false">MIN(MAX(E33-E20-E23-E27,0),MAX(MAX(E14-E17-E7,0)-E24-E25,0))</f>
        <v>44.3333333333333</v>
      </c>
      <c r="F26" s="64" t="n">
        <f aca="false">MIN(MAX(F33-F20-F23-F27,0),MAX(MAX(F14-F17-F7,0)-F24-F25,0))</f>
        <v>68.6666666666667</v>
      </c>
      <c r="G26" s="64" t="n">
        <f aca="false">MIN(MAX(G33-G20-G23-G27,0),MAX(MAX(G14-G17-G7,0)-G24-G25,0))</f>
        <v>93</v>
      </c>
      <c r="H26" s="64" t="n">
        <f aca="false">MIN(MAX(H33-H20-H23-H27,0),MAX(MAX(H14-H17-H7,0)-H24-H25,0))</f>
        <v>117.333333333333</v>
      </c>
      <c r="I26" s="64" t="n">
        <f aca="false">MIN(MAX(I33-I20-I23-I27,0),MAX(MAX(I14-I17-I7,0)-I24-I25,0))</f>
        <v>141.666666666667</v>
      </c>
      <c r="J26" s="64" t="n">
        <f aca="false">MIN(MAX(J33-J20-J23-J27,0),MAX(MAX(J14-J17-J7,0)-J24-J25,0))</f>
        <v>166</v>
      </c>
      <c r="K26" s="64" t="n">
        <f aca="false">MIN(MAX(K33-K20-K23-K27,0),MAX(MAX(K14-K17-K7,0)-K24-K25,0))</f>
        <v>141.728364721557</v>
      </c>
      <c r="L26" s="64" t="n">
        <f aca="false">MIN(MAX(L33-L20-L23-L27,0),MAX(MAX(L14-L17-L7,0)-L24-L25,0))</f>
        <v>111.612821785473</v>
      </c>
      <c r="M26" s="64" t="n">
        <f aca="false">MIN(MAX(M33-M20-M23-M27,0),MAX(MAX(M14-M17-M7,0)-M24-M25,0))</f>
        <v>81.4918483102114</v>
      </c>
      <c r="N26" s="64" t="n">
        <f aca="false">MIN(MAX(N33-N20-N23-N27,0),MAX(MAX(N14-N17-N7,0)-N24-N25,0))</f>
        <v>51.3650383072855</v>
      </c>
      <c r="O26" s="64" t="n">
        <f aca="false">MIN(MAX(O33-O20-O23-O27,0),MAX(MAX(O14-O17-O7,0)-O24-O25,0))</f>
        <v>21.2319945681567</v>
      </c>
      <c r="P26" s="64" t="n">
        <f aca="false">MIN(MAX(P33-P20-P23-P27,0),MAX(MAX(P14-P17-P7,0)-P24-P25,0))</f>
        <v>0</v>
      </c>
      <c r="Q26" s="64" t="n">
        <f aca="false">MIN(MAX(Q33-Q20-Q23-Q27,0),MAX(MAX(Q14-Q17-Q7,0)-Q24-Q25,0))</f>
        <v>0</v>
      </c>
      <c r="R26" s="64" t="n">
        <f aca="false">MIN(MAX(R33-R20-R23-R27,0),MAX(MAX(R14-R17-R7,0)-R24-R25,0))</f>
        <v>0</v>
      </c>
      <c r="S26" s="64" t="n">
        <f aca="false">MIN(MAX(S33-S20-S23-S27,0),MAX(MAX(S14-S17-S7,0)-S24-S25,0))</f>
        <v>0</v>
      </c>
      <c r="T26" s="64" t="n">
        <f aca="false">MIN(MAX(T33-T20-T23-T27,0),MAX(MAX(T14-T17-T7,0)-T24-T25,0))</f>
        <v>0</v>
      </c>
      <c r="U26" s="64" t="n">
        <f aca="false">MIN(MAX(U33-U20-U23-U27,0),MAX(MAX(U14-U17-U7,0)-U24-U25,0))</f>
        <v>0</v>
      </c>
      <c r="V26" s="64" t="n">
        <f aca="false">MIN(MAX(V33-V20-V23-V27,0),MAX(MAX(V14-V17-V7,0)-V24-V25,0))</f>
        <v>0</v>
      </c>
      <c r="W26" s="64" t="n">
        <f aca="false">MIN(MAX(W33-W20-W23-W27,0),MAX(MAX(W14-W17-W7,0)-W24-W25,0))</f>
        <v>0</v>
      </c>
      <c r="X26" s="64" t="n">
        <f aca="false">MIN(MAX(X33-X20-X23-X27,0),MAX(MAX(X14-X17-X7,0)-X24-X25,0))</f>
        <v>0</v>
      </c>
      <c r="Y26" s="64" t="n">
        <f aca="false">MIN(MAX(Y33-Y20-Y23-Y27,0),MAX(MAX(Y14-Y17-Y7,0)-Y24-Y25,0))</f>
        <v>0</v>
      </c>
      <c r="Z26" s="64" t="n">
        <f aca="false">MIN(MAX(Z33-Z20-Z23-Z27,0),MAX(MAX(Z14-Z17-Z7,0)-Z24-Z25,0))</f>
        <v>17.7519426833695</v>
      </c>
      <c r="AA26" s="64" t="n">
        <f aca="false">MIN(MAX(AA33-AA20-AA23-AA27,0),MAX(MAX(AA14-AA17-AA7,0)-AA24-AA25,0))</f>
        <v>42.2661579805432</v>
      </c>
      <c r="AB26" s="64" t="n">
        <f aca="false">MIN(MAX(AB33-AB20-AB23-AB27,0),MAX(MAX(AB14-AB17-AB7,0)-AB24-AB25,0))</f>
        <v>66.7697252836221</v>
      </c>
      <c r="AC26" s="64" t="n">
        <f aca="false">MIN(MAX(AC33-AC20-AC23-AC27,0),MAX(MAX(AC14-AC17-AC7,0)-AC24-AC25,0))</f>
        <v>91.2623590271973</v>
      </c>
      <c r="AD26" s="64" t="n">
        <f aca="false">MIN(MAX(AD33-AD20-AD23-AD27,0),MAX(MAX(AD14-AD17-AD7,0)-AD24-AD25,0))</f>
        <v>115.743780857727</v>
      </c>
      <c r="AE26" s="64" t="n">
        <f aca="false">MIN(MAX(AE33-AE20-AE23-AE27,0),MAX(MAX(AE14-AE17-AE7,0)-AE24-AE25,0))</f>
        <v>140.213719537347</v>
      </c>
      <c r="AF26" s="64" t="n">
        <f aca="false">MIN(MAX(AF33-AF20-AF23-AF27,0),MAX(MAX(AF14-AF17-AF7,0)-AF24-AF25,0))</f>
        <v>164.671910848665</v>
      </c>
      <c r="AG26" s="64" t="n">
        <f aca="false">MIN(MAX(AG33-AG20-AG23-AG27,0),MAX(MAX(AG14-AG17-AG7,0)-AG24-AG25,0))</f>
        <v>189.11809750055</v>
      </c>
      <c r="AH26" s="64" t="n">
        <f aca="false">MIN(MAX(AH33-AH20-AH23-AH27,0),MAX(MAX(AH14-AH17-AH7,0)-AH24-AH25,0))</f>
        <v>213.552029034883</v>
      </c>
    </row>
    <row r="27" customFormat="false" ht="15" hidden="false" customHeight="true" outlineLevel="0" collapsed="false">
      <c r="A27" s="1" t="s">
        <v>495</v>
      </c>
      <c r="B27" s="1" t="s">
        <v>330</v>
      </c>
      <c r="C27" s="1" t="s">
        <v>496</v>
      </c>
      <c r="D27" s="64" t="n">
        <f aca="false">MAX(Supply!D6-Supply!D16,0)</f>
        <v>0</v>
      </c>
      <c r="E27" s="64" t="n">
        <f aca="false">MAX(Supply!E6-Supply!E16,0)</f>
        <v>0</v>
      </c>
      <c r="F27" s="64" t="n">
        <f aca="false">MAX(Supply!F6-Supply!F16,0)</f>
        <v>0</v>
      </c>
      <c r="G27" s="64" t="n">
        <f aca="false">MAX(Supply!G6-Supply!G16,0)</f>
        <v>0</v>
      </c>
      <c r="H27" s="64" t="n">
        <f aca="false">MAX(Supply!H6-Supply!H16,0)</f>
        <v>0</v>
      </c>
      <c r="I27" s="64" t="n">
        <f aca="false">MAX(Supply!I6-Supply!I16,0)</f>
        <v>0</v>
      </c>
      <c r="J27" s="64" t="n">
        <f aca="false">MAX(Supply!J6-Supply!J16,0)</f>
        <v>0</v>
      </c>
      <c r="K27" s="64" t="n">
        <f aca="false">MAX(Supply!K6-Supply!K16,0)</f>
        <v>48.6049686117766</v>
      </c>
      <c r="L27" s="64" t="n">
        <f aca="false">MAX(Supply!L6-Supply!L16,0)</f>
        <v>103.053844881194</v>
      </c>
      <c r="M27" s="64" t="n">
        <f aca="false">MAX(Supply!M6-Supply!M16,0)</f>
        <v>157.508151689789</v>
      </c>
      <c r="N27" s="64" t="n">
        <f aca="false">MAX(Supply!N6-Supply!N16,0)</f>
        <v>211.968295026048</v>
      </c>
      <c r="O27" s="64" t="n">
        <f aca="false">MAX(Supply!O6-Supply!O16,0)</f>
        <v>266.43467209851</v>
      </c>
      <c r="P27" s="64" t="n">
        <f aca="false">MAX(Supply!P6-Supply!P16,0)</f>
        <v>320.907671447939</v>
      </c>
      <c r="Q27" s="64" t="n">
        <f aca="false">MAX(Supply!Q6-Supply!Q16,0)</f>
        <v>375.387673058366</v>
      </c>
      <c r="R27" s="64" t="n">
        <f aca="false">MAX(Supply!R6-Supply!R16,0)</f>
        <v>429.875048467004</v>
      </c>
      <c r="S27" s="64" t="n">
        <f aca="false">MAX(Supply!S6-Supply!S16,0)</f>
        <v>484.370160873057</v>
      </c>
      <c r="T27" s="64" t="n">
        <f aca="false">MAX(Supply!T6-Supply!T16,0)</f>
        <v>538.873365245419</v>
      </c>
      <c r="U27" s="64" t="n">
        <f aca="false">MAX(Supply!U6-Supply!U16,0)</f>
        <v>538.635008429284</v>
      </c>
      <c r="V27" s="64" t="n">
        <f aca="false">MAX(Supply!V6-Supply!V16,0)</f>
        <v>538.405429251666</v>
      </c>
      <c r="W27" s="64" t="n">
        <f aca="false">MAX(Supply!W6-Supply!W16,0)</f>
        <v>538.184958625855</v>
      </c>
      <c r="X27" s="64" t="n">
        <f aca="false">MAX(Supply!X6-Supply!X16,0)</f>
        <v>537.973919654798</v>
      </c>
      <c r="Y27" s="64" t="n">
        <f aca="false">MAX(Supply!Y6-Supply!Y16,0)</f>
        <v>537.772627733431</v>
      </c>
      <c r="Z27" s="64" t="n">
        <f aca="false">MAX(Supply!Z6-Supply!Z16,0)</f>
        <v>537.581390649964</v>
      </c>
      <c r="AA27" s="64" t="n">
        <f aca="false">MAX(Supply!AA6-Supply!AA16,0)</f>
        <v>537.400508686123</v>
      </c>
      <c r="AB27" s="64" t="n">
        <f aca="false">MAX(Supply!AB6-Supply!AB16,0)</f>
        <v>537.230274716378</v>
      </c>
      <c r="AC27" s="64" t="n">
        <f aca="false">MAX(Supply!AC6-Supply!AC16,0)</f>
        <v>537.070974306136</v>
      </c>
      <c r="AD27" s="64" t="n">
        <f aca="false">MAX(Supply!AD6-Supply!AD16,0)</f>
        <v>536.922885808939</v>
      </c>
      <c r="AE27" s="64" t="n">
        <f aca="false">MAX(Supply!AE6-Supply!AE16,0)</f>
        <v>536.786280462653</v>
      </c>
      <c r="AF27" s="64" t="n">
        <f aca="false">MAX(Supply!AF6-Supply!AF16,0)</f>
        <v>536.661422484668</v>
      </c>
      <c r="AG27" s="64" t="n">
        <f aca="false">MAX(Supply!AG6-Supply!AG16,0)</f>
        <v>536.548569166117</v>
      </c>
      <c r="AH27" s="64" t="n">
        <f aca="false">MAX(Supply!AH6-Supply!AH16,0)</f>
        <v>536.447970965117</v>
      </c>
    </row>
    <row r="28" customFormat="false" ht="15" hidden="false" customHeight="true" outlineLevel="0" collapsed="false">
      <c r="A28" s="1" t="s">
        <v>497</v>
      </c>
      <c r="B28" s="1" t="s">
        <v>330</v>
      </c>
      <c r="C28" s="1" t="s">
        <v>498</v>
      </c>
      <c r="D28" s="64" t="n">
        <f aca="false">D18+D19+D20+D21+D22+D23+D17+D24+D25+D26+D16+D27+D7+D39</f>
        <v>7039.5343826149</v>
      </c>
      <c r="E28" s="64" t="n">
        <f aca="false">E18+E19+E20+E21+E22+E23+E17+E24+E25+E26+E16+E27+E7+E39</f>
        <v>7126.17359015226</v>
      </c>
      <c r="F28" s="64" t="n">
        <f aca="false">F18+F19+F20+F21+F22+F23+F17+F24+F25+F26+F16+F27+F7+F39</f>
        <v>7211.7089819153</v>
      </c>
      <c r="G28" s="64" t="n">
        <f aca="false">G18+G19+G20+G21+G22+G23+G17+G24+G25+G26+G16+G27+G7+G39</f>
        <v>7296.16854336186</v>
      </c>
      <c r="H28" s="64" t="n">
        <f aca="false">H18+H19+H20+H21+H22+H23+H17+H24+H25+H26+H16+H27+H7+H39</f>
        <v>7379.58025789088</v>
      </c>
      <c r="I28" s="64" t="n">
        <f aca="false">I18+I19+I20+I21+I22+I23+I17+I24+I25+I26+I16+I27+I7+I39</f>
        <v>7461.97211324726</v>
      </c>
      <c r="J28" s="64" t="n">
        <f aca="false">J18+J19+J20+J21+J22+J23+J17+J24+J25+J26+J16+J27+J7+J39</f>
        <v>7543.37210799636</v>
      </c>
      <c r="K28" s="64" t="n">
        <f aca="false">K18+K19+K20+K21+K22+K23+K17+K24+K25+K26+K16+K27+K7+K39</f>
        <v>7678.55825807</v>
      </c>
      <c r="L28" s="64" t="n">
        <f aca="false">L18+L19+L20+L21+L22+L23+L17+L24+L25+L26+L16+L27+L7+L39</f>
        <v>7812.80860338614</v>
      </c>
      <c r="M28" s="64" t="n">
        <f aca="false">M18+M19+M20+M21+M22+M23+M17+M24+M25+M26+M16+M27+M7+M39</f>
        <v>7946.15121454423</v>
      </c>
      <c r="N28" s="64" t="n">
        <f aca="false">N18+N19+N20+N21+N22+N23+N17+N24+N25+N26+N16+N27+N7+N39</f>
        <v>8078.61419959842</v>
      </c>
      <c r="O28" s="64" t="n">
        <f aca="false">O18+O19+O20+O21+O22+O23+O17+O24+O25+O26+O16+O27+O7+O39</f>
        <v>8210.22571091063</v>
      </c>
      <c r="P28" s="64" t="n">
        <f aca="false">P18+P19+P20+P21+P22+P23+P17+P24+P25+P26+P16+P27+P7+P39</f>
        <v>8341.01395208585</v>
      </c>
      <c r="Q28" s="64" t="n">
        <f aca="false">Q18+Q19+Q20+Q21+Q22+Q23+Q17+Q24+Q25+Q26+Q16+Q27+Q7+Q39</f>
        <v>8471.00718499181</v>
      </c>
      <c r="R28" s="64" t="n">
        <f aca="false">R18+R19+R20+R21+R22+R23+R17+R24+R25+R26+R16+R27+R7+R39</f>
        <v>8600.23373686522</v>
      </c>
      <c r="S28" s="64" t="n">
        <f aca="false">S18+S19+S20+S21+S22+S23+S17+S24+S25+S26+S16+S27+S7+S39</f>
        <v>8728.722007507</v>
      </c>
      <c r="T28" s="64" t="n">
        <f aca="false">T18+T19+T20+T21+T22+T23+T17+T24+T25+T26+T16+T27+T7+T39</f>
        <v>8856.50047656877</v>
      </c>
      <c r="U28" s="64" t="n">
        <f aca="false">U18+U19+U20+U21+U22+U23+U17+U24+U25+U26+U16+U27+U7+U39</f>
        <v>8928.84771093307</v>
      </c>
      <c r="V28" s="64" t="n">
        <f aca="false">V18+V19+V20+V21+V22+V23+V17+V24+V25+V26+V16+V27+V7+V39</f>
        <v>9000.54237218954</v>
      </c>
      <c r="W28" s="64" t="n">
        <f aca="false">W18+W19+W20+W21+W22+W23+W17+W24+W25+W26+W16+W27+W7+W39</f>
        <v>9071.61322420981</v>
      </c>
      <c r="X28" s="64" t="n">
        <f aca="false">X18+X19+X20+X21+X22+X23+X17+X24+X25+X26+X16+X27+X7+X39</f>
        <v>9142.08914082344</v>
      </c>
      <c r="Y28" s="64" t="n">
        <f aca="false">Y18+Y19+Y20+Y21+Y22+Y23+Y17+Y24+Y25+Y26+Y16+Y27+Y7+Y39</f>
        <v>9211.99911359741</v>
      </c>
      <c r="Z28" s="64" t="n">
        <f aca="false">Z18+Z19+Z20+Z21+Z22+Z23+Z17+Z24+Z25+Z26+Z16+Z27+Z7+Z39</f>
        <v>9281.37225972204</v>
      </c>
      <c r="AA28" s="64" t="n">
        <f aca="false">AA18+AA19+AA20+AA21+AA22+AA23+AA17+AA24+AA25+AA26+AA16+AA27+AA7+AA39</f>
        <v>9350.23783000565</v>
      </c>
      <c r="AB28" s="64" t="n">
        <f aca="false">AB18+AB19+AB20+AB21+AB22+AB23+AB17+AB24+AB25+AB26+AB16+AB27+AB7+AB39</f>
        <v>9418.62521698097</v>
      </c>
      <c r="AC28" s="64" t="n">
        <f aca="false">AC18+AC19+AC20+AC21+AC22+AC23+AC17+AC24+AC25+AC26+AC16+AC27+AC7+AC39</f>
        <v>9486.56396312579</v>
      </c>
      <c r="AD28" s="64" t="n">
        <f aca="false">AD18+AD19+AD20+AD21+AD22+AD23+AD17+AD24+AD25+AD26+AD16+AD27+AD7+AD39</f>
        <v>9554.08376920091</v>
      </c>
      <c r="AE28" s="64" t="n">
        <f aca="false">AE18+AE19+AE20+AE21+AE22+AE23+AE17+AE24+AE25+AE26+AE16+AE27+AE7+AE39</f>
        <v>9621.21450270799</v>
      </c>
      <c r="AF28" s="64" t="n">
        <f aca="false">AF18+AF19+AF20+AF21+AF22+AF23+AF17+AF24+AF25+AF26+AF16+AF27+AF7+AF39</f>
        <v>9687.9862064704</v>
      </c>
      <c r="AG28" s="64" t="n">
        <f aca="false">AG18+AG19+AG20+AG21+AG22+AG23+AG17+AG24+AG25+AG26+AG16+AG27+AG7+AG39</f>
        <v>9754.42910733992</v>
      </c>
      <c r="AH28" s="64" t="n">
        <f aca="false">AH18+AH19+AH20+AH21+AH22+AH23+AH17+AH24+AH25+AH26+AH16+AH27+AH7+AH39</f>
        <v>9820.57362503237</v>
      </c>
    </row>
    <row r="29" customFormat="false" ht="15" hidden="false" customHeight="true" outlineLevel="0" collapsed="false">
      <c r="A29" s="66" t="s">
        <v>499</v>
      </c>
      <c r="B29" s="67" t="s">
        <v>330</v>
      </c>
      <c r="C29" s="68" t="s">
        <v>500</v>
      </c>
      <c r="D29" s="57" t="n">
        <f aca="false">D20+D23+D26+D27</f>
        <v>20</v>
      </c>
      <c r="E29" s="57" t="n">
        <f aca="false">Supply!E20+Supply!E23+Supply!E26+Supply!E27</f>
        <v>44.3333333333333</v>
      </c>
      <c r="F29" s="57" t="n">
        <f aca="false">Supply!F20+Supply!F23+Supply!F26+Supply!F27</f>
        <v>68.6666666666667</v>
      </c>
      <c r="G29" s="57" t="n">
        <f aca="false">Supply!G20+Supply!G23+Supply!G26+Supply!G27</f>
        <v>93</v>
      </c>
      <c r="H29" s="57" t="n">
        <f aca="false">Supply!H20+Supply!H23+Supply!H26+Supply!H27</f>
        <v>117.333333333333</v>
      </c>
      <c r="I29" s="57" t="n">
        <f aca="false">Supply!I20+Supply!I23+Supply!I26+Supply!I27</f>
        <v>141.666666666667</v>
      </c>
      <c r="J29" s="57" t="n">
        <f aca="false">Supply!J20+Supply!J23+Supply!J26+Supply!J27</f>
        <v>166</v>
      </c>
      <c r="K29" s="57" t="n">
        <f aca="false">Supply!K20+Supply!K23+Supply!K26+Supply!K27</f>
        <v>190.333333333333</v>
      </c>
      <c r="L29" s="57" t="n">
        <f aca="false">Supply!L20+Supply!L23+Supply!L26+Supply!L27</f>
        <v>214.666666666667</v>
      </c>
      <c r="M29" s="57" t="n">
        <f aca="false">Supply!M20+Supply!M23+Supply!M26+Supply!M27</f>
        <v>239</v>
      </c>
      <c r="N29" s="57" t="n">
        <f aca="false">Supply!N20+Supply!N23+Supply!N26+Supply!N27</f>
        <v>263.333333333333</v>
      </c>
      <c r="O29" s="57" t="n">
        <f aca="false">Supply!O20+Supply!O23+Supply!O26+Supply!O27</f>
        <v>287.666666666667</v>
      </c>
      <c r="P29" s="57" t="n">
        <f aca="false">Supply!P20+Supply!P23+Supply!P26+Supply!P27</f>
        <v>320.907671447939</v>
      </c>
      <c r="Q29" s="57" t="n">
        <f aca="false">Supply!Q20+Supply!Q23+Supply!Q26+Supply!Q27</f>
        <v>375.387673058366</v>
      </c>
      <c r="R29" s="57" t="n">
        <f aca="false">Supply!R20+Supply!R23+Supply!R26+Supply!R27</f>
        <v>429.875048467004</v>
      </c>
      <c r="S29" s="57" t="n">
        <f aca="false">Supply!S20+Supply!S23+Supply!S26+Supply!S27</f>
        <v>484.370160873057</v>
      </c>
      <c r="T29" s="57" t="n">
        <f aca="false">Supply!T20+Supply!T23+Supply!T26+Supply!T27</f>
        <v>538.873365245419</v>
      </c>
      <c r="U29" s="57" t="n">
        <f aca="false">Supply!U20+Supply!U23+Supply!U26+Supply!U27</f>
        <v>538.635008429284</v>
      </c>
      <c r="V29" s="57" t="n">
        <f aca="false">Supply!V20+Supply!V23+Supply!V26+Supply!V27</f>
        <v>538.405429251666</v>
      </c>
      <c r="W29" s="57" t="n">
        <f aca="false">Supply!W20+Supply!W23+Supply!W26+Supply!W27</f>
        <v>538.184958625855</v>
      </c>
      <c r="X29" s="57" t="n">
        <f aca="false">Supply!X20+Supply!X23+Supply!X26+Supply!X27</f>
        <v>537.973919654798</v>
      </c>
      <c r="Y29" s="57" t="n">
        <f aca="false">Supply!Y20+Supply!Y23+Supply!Y26+Supply!Y27</f>
        <v>537.772627733431</v>
      </c>
      <c r="Z29" s="57" t="n">
        <f aca="false">Supply!Z20+Supply!Z23+Supply!Z26+Supply!Z27</f>
        <v>555.333333333333</v>
      </c>
      <c r="AA29" s="57" t="n">
        <f aca="false">Supply!AA20+Supply!AA23+Supply!AA26+Supply!AA27</f>
        <v>579.666666666667</v>
      </c>
      <c r="AB29" s="57" t="n">
        <f aca="false">Supply!AB20+Supply!AB23+Supply!AB26+Supply!AB27</f>
        <v>604</v>
      </c>
      <c r="AC29" s="57" t="n">
        <f aca="false">Supply!AC20+Supply!AC23+Supply!AC26+Supply!AC27</f>
        <v>628.333333333333</v>
      </c>
      <c r="AD29" s="57" t="n">
        <f aca="false">Supply!AD20+Supply!AD23+Supply!AD26+Supply!AD27</f>
        <v>652.666666666667</v>
      </c>
      <c r="AE29" s="57" t="n">
        <f aca="false">Supply!AE20+Supply!AE23+Supply!AE26+Supply!AE27</f>
        <v>677</v>
      </c>
      <c r="AF29" s="57" t="n">
        <f aca="false">Supply!AF20+Supply!AF23+Supply!AF26+Supply!AF27</f>
        <v>701.333333333333</v>
      </c>
      <c r="AG29" s="57" t="n">
        <f aca="false">Supply!AG20+Supply!AG23+Supply!AG26+Supply!AG27</f>
        <v>725.666666666667</v>
      </c>
      <c r="AH29" s="57" t="n">
        <f aca="false">Supply!AH20+Supply!AH23+Supply!AH26+Supply!AH27</f>
        <v>750</v>
      </c>
    </row>
    <row r="30" customFormat="false" ht="15" hidden="false" customHeight="true" outlineLevel="0" collapsed="false">
      <c r="A30" s="50" t="s">
        <v>501</v>
      </c>
      <c r="B30" s="51" t="s">
        <v>330</v>
      </c>
      <c r="C30" s="52" t="s">
        <v>502</v>
      </c>
      <c r="D30" s="57" t="n">
        <f aca="false">D20+D23+MIN(MAX(D33-D20-D23,0),D26+D39)</f>
        <v>20</v>
      </c>
      <c r="E30" s="57" t="n">
        <f aca="false">E20+E23+MIN(MAX(E33-E20-E23,0),E26+E39)</f>
        <v>44.3333333333333</v>
      </c>
      <c r="F30" s="57" t="n">
        <f aca="false">F20+F23+MIN(MAX(F33-F20-F23,0),F26+F39)</f>
        <v>68.6666666666667</v>
      </c>
      <c r="G30" s="57" t="n">
        <f aca="false">G20+G23+MIN(MAX(G33-G20-G23,0),G26+G39)</f>
        <v>93</v>
      </c>
      <c r="H30" s="57" t="n">
        <f aca="false">H20+H23+MIN(MAX(H33-H20-H23,0),H26+H39)</f>
        <v>117.333333333333</v>
      </c>
      <c r="I30" s="57" t="n">
        <f aca="false">I20+I23+MIN(MAX(I33-I20-I23,0),I26+I39)</f>
        <v>141.666666666667</v>
      </c>
      <c r="J30" s="57" t="n">
        <f aca="false">J20+J23+MIN(MAX(J33-J20-J23,0),J26+J39)</f>
        <v>166</v>
      </c>
      <c r="K30" s="57" t="n">
        <f aca="false">K20+K23+MIN(MAX(K33-K20-K23,0),K26+K39)</f>
        <v>190.333333333333</v>
      </c>
      <c r="L30" s="57" t="n">
        <f aca="false">L20+L23+MIN(MAX(L33-L20-L23,0),L26+L39)</f>
        <v>214.666666666667</v>
      </c>
      <c r="M30" s="57" t="n">
        <f aca="false">M20+M23+MIN(MAX(M33-M20-M23,0),M26+M39)</f>
        <v>239</v>
      </c>
      <c r="N30" s="57" t="n">
        <f aca="false">N20+N23+MIN(MAX(N33-N20-N23,0),N26+N39)</f>
        <v>263.333333333333</v>
      </c>
      <c r="O30" s="57" t="n">
        <f aca="false">O20+O23+MIN(MAX(O33-O20-O23,0),O26+O39)</f>
        <v>287.666666666667</v>
      </c>
      <c r="P30" s="57" t="n">
        <f aca="false">P20+P23+MIN(MAX(P33-P20-P23,0),P26+P39)</f>
        <v>312</v>
      </c>
      <c r="Q30" s="57" t="n">
        <f aca="false">Q20+Q23+MIN(MAX(Q33-Q20-Q23,0),Q26+Q39)</f>
        <v>336.333333333333</v>
      </c>
      <c r="R30" s="57" t="n">
        <f aca="false">R20+R23+MIN(MAX(R33-R20-R23,0),R26+R39)</f>
        <v>360.666666666667</v>
      </c>
      <c r="S30" s="57" t="n">
        <f aca="false">S20+S23+MIN(MAX(S33-S20-S23,0),S26+S39)</f>
        <v>385</v>
      </c>
      <c r="T30" s="57" t="n">
        <f aca="false">T20+T23+MIN(MAX(T33-T20-T23,0),T26+T39)</f>
        <v>409.333333333333</v>
      </c>
      <c r="U30" s="57" t="n">
        <f aca="false">U20+U23+MIN(MAX(U33-U20-U23,0),U26+U39)</f>
        <v>433.666666666667</v>
      </c>
      <c r="V30" s="57" t="n">
        <f aca="false">V20+V23+MIN(MAX(V33-V20-V23,0),V26+V39)</f>
        <v>458</v>
      </c>
      <c r="W30" s="57" t="n">
        <f aca="false">W20+W23+MIN(MAX(W33-W20-W23,0),W26+W39)</f>
        <v>482.333333333333</v>
      </c>
      <c r="X30" s="57" t="n">
        <f aca="false">X20+X23+MIN(MAX(X33-X20-X23,0),X26+X39)</f>
        <v>506.666666666667</v>
      </c>
      <c r="Y30" s="57" t="n">
        <f aca="false">Y20+Y23+MIN(MAX(Y33-Y20-Y23,0),Y26+Y39)</f>
        <v>531</v>
      </c>
      <c r="Z30" s="57" t="n">
        <f aca="false">Z20+Z23+MIN(MAX(Z33-Z20-Z23,0),Z26+Z39)</f>
        <v>555.333333333333</v>
      </c>
      <c r="AA30" s="57" t="n">
        <f aca="false">AA20+AA23+MIN(MAX(AA33-AA20-AA23,0),AA26+AA39)</f>
        <v>579.666666666667</v>
      </c>
      <c r="AB30" s="57" t="n">
        <f aca="false">AB20+AB23+MIN(MAX(AB33-AB20-AB23,0),AB26+AB39)</f>
        <v>604</v>
      </c>
      <c r="AC30" s="57" t="n">
        <f aca="false">AC20+AC23+MIN(MAX(AC33-AC20-AC23,0),AC26+AC39)</f>
        <v>628.333333333333</v>
      </c>
      <c r="AD30" s="57" t="n">
        <f aca="false">AD20+AD23+MIN(MAX(AD33-AD20-AD23,0),AD26+AD39)</f>
        <v>652.666666666667</v>
      </c>
      <c r="AE30" s="57" t="n">
        <f aca="false">AE20+AE23+MIN(MAX(AE33-AE20-AE23,0),AE26+AE39)</f>
        <v>677</v>
      </c>
      <c r="AF30" s="57" t="n">
        <f aca="false">AF20+AF23+MIN(MAX(AF33-AF20-AF23,0),AF26+AF39)</f>
        <v>701.333333333333</v>
      </c>
      <c r="AG30" s="57" t="n">
        <f aca="false">AG20+AG23+MIN(MAX(AG33-AG20-AG23,0),AG26+AG39)</f>
        <v>725.666666666667</v>
      </c>
      <c r="AH30" s="57" t="n">
        <f aca="false">AH20+AH23+MIN(MAX(AH33-AH20-AH23,0),AH26+AH39)</f>
        <v>750</v>
      </c>
    </row>
    <row r="31" customFormat="false" ht="15" hidden="false" customHeight="true" outlineLevel="0" collapsed="false">
      <c r="A31" s="60" t="s">
        <v>503</v>
      </c>
      <c r="B31" s="51" t="s">
        <v>330</v>
      </c>
      <c r="C31" s="52" t="s">
        <v>504</v>
      </c>
      <c r="D31" s="69" t="n">
        <f aca="false">D29-D30</f>
        <v>0</v>
      </c>
      <c r="E31" s="69" t="n">
        <f aca="false">Supply!E29-Supply!E30</f>
        <v>0</v>
      </c>
      <c r="F31" s="69" t="n">
        <f aca="false">Supply!F29-Supply!F30</f>
        <v>0</v>
      </c>
      <c r="G31" s="69" t="n">
        <f aca="false">Supply!G29-Supply!G30</f>
        <v>0</v>
      </c>
      <c r="H31" s="69" t="n">
        <f aca="false">Supply!H29-Supply!H30</f>
        <v>0</v>
      </c>
      <c r="I31" s="69" t="n">
        <f aca="false">Supply!I29-Supply!I30</f>
        <v>0</v>
      </c>
      <c r="J31" s="69" t="n">
        <f aca="false">Supply!J29-Supply!J30</f>
        <v>0</v>
      </c>
      <c r="K31" s="69" t="n">
        <f aca="false">Supply!K29-Supply!K30</f>
        <v>0</v>
      </c>
      <c r="L31" s="69" t="n">
        <f aca="false">Supply!L29-Supply!L30</f>
        <v>0</v>
      </c>
      <c r="M31" s="69" t="n">
        <f aca="false">Supply!M29-Supply!M30</f>
        <v>0</v>
      </c>
      <c r="N31" s="69" t="n">
        <f aca="false">Supply!N29-Supply!N30</f>
        <v>0</v>
      </c>
      <c r="O31" s="69" t="n">
        <f aca="false">Supply!O29-Supply!O30</f>
        <v>0</v>
      </c>
      <c r="P31" s="69" t="n">
        <f aca="false">Supply!P29-Supply!P30</f>
        <v>8.90767144793915</v>
      </c>
      <c r="Q31" s="69" t="n">
        <f aca="false">Supply!Q29-Supply!Q30</f>
        <v>39.0543397250322</v>
      </c>
      <c r="R31" s="69" t="n">
        <f aca="false">Supply!R29-Supply!R30</f>
        <v>69.2083818003369</v>
      </c>
      <c r="S31" s="69" t="n">
        <f aca="false">Supply!S29-Supply!S30</f>
        <v>99.3701608730568</v>
      </c>
      <c r="T31" s="69" t="n">
        <f aca="false">Supply!T29-Supply!T30</f>
        <v>129.540031912086</v>
      </c>
      <c r="U31" s="69" t="n">
        <f aca="false">Supply!U29-Supply!U30</f>
        <v>104.968341762617</v>
      </c>
      <c r="V31" s="69" t="n">
        <f aca="false">Supply!V29-Supply!V30</f>
        <v>80.4054292516655</v>
      </c>
      <c r="W31" s="69" t="n">
        <f aca="false">Supply!W29-Supply!W30</f>
        <v>55.8516252925212</v>
      </c>
      <c r="X31" s="69" t="n">
        <f aca="false">Supply!X29-Supply!X30</f>
        <v>31.307252988131</v>
      </c>
      <c r="Y31" s="69" t="n">
        <f aca="false">Supply!Y29-Supply!Y30</f>
        <v>6.77262773343136</v>
      </c>
      <c r="Z31" s="69" t="n">
        <f aca="false">Supply!Z29-Supply!Z30</f>
        <v>0</v>
      </c>
      <c r="AA31" s="69" t="n">
        <f aca="false">Supply!AA29-Supply!AA30</f>
        <v>0</v>
      </c>
      <c r="AB31" s="69" t="n">
        <f aca="false">Supply!AB29-Supply!AB30</f>
        <v>0</v>
      </c>
      <c r="AC31" s="69" t="n">
        <f aca="false">Supply!AC29-Supply!AC30</f>
        <v>0</v>
      </c>
      <c r="AD31" s="69" t="n">
        <f aca="false">Supply!AD29-Supply!AD30</f>
        <v>0</v>
      </c>
      <c r="AE31" s="69" t="n">
        <f aca="false">Supply!AE29-Supply!AE30</f>
        <v>0</v>
      </c>
      <c r="AF31" s="69" t="n">
        <f aca="false">Supply!AF29-Supply!AF30</f>
        <v>0</v>
      </c>
      <c r="AG31" s="69" t="n">
        <f aca="false">Supply!AG29-Supply!AG30</f>
        <v>0</v>
      </c>
      <c r="AH31" s="69" t="n">
        <f aca="false">Supply!AH29-Supply!AH30</f>
        <v>0</v>
      </c>
    </row>
    <row r="32" customFormat="false" ht="15" hidden="false" customHeight="true" outlineLevel="0" collapsed="false">
      <c r="A32" s="50" t="s">
        <v>505</v>
      </c>
      <c r="B32" s="51" t="s">
        <v>506</v>
      </c>
      <c r="C32" s="52" t="s">
        <v>507</v>
      </c>
      <c r="D32" s="59" t="n">
        <f aca="false">D31*1000000/365</f>
        <v>0</v>
      </c>
      <c r="E32" s="59" t="n">
        <f aca="false">Supply!E31*1000000/365</f>
        <v>0</v>
      </c>
      <c r="F32" s="59" t="n">
        <f aca="false">Supply!F31*1000000/365</f>
        <v>0</v>
      </c>
      <c r="G32" s="59" t="n">
        <f aca="false">Supply!G31*1000000/365</f>
        <v>0</v>
      </c>
      <c r="H32" s="59" t="n">
        <f aca="false">Supply!H31*1000000/365</f>
        <v>0</v>
      </c>
      <c r="I32" s="59" t="n">
        <f aca="false">Supply!I31*1000000/365</f>
        <v>0</v>
      </c>
      <c r="J32" s="59" t="n">
        <f aca="false">Supply!J31*1000000/365</f>
        <v>0</v>
      </c>
      <c r="K32" s="59" t="n">
        <f aca="false">Supply!K31*1000000/365</f>
        <v>0</v>
      </c>
      <c r="L32" s="59" t="n">
        <f aca="false">Supply!L31*1000000/365</f>
        <v>0</v>
      </c>
      <c r="M32" s="59" t="n">
        <f aca="false">Supply!M31*1000000/365</f>
        <v>0</v>
      </c>
      <c r="N32" s="59" t="n">
        <f aca="false">Supply!N31*1000000/365</f>
        <v>0</v>
      </c>
      <c r="O32" s="59" t="n">
        <f aca="false">Supply!O31*1000000/365</f>
        <v>0</v>
      </c>
      <c r="P32" s="59" t="n">
        <f aca="false">Supply!P31*1000000/365</f>
        <v>24404.5793094223</v>
      </c>
      <c r="Q32" s="59" t="n">
        <f aca="false">Supply!Q31*1000000/365</f>
        <v>106998.191027486</v>
      </c>
      <c r="R32" s="59" t="n">
        <f aca="false">Supply!R31*1000000/365</f>
        <v>189612.00493243</v>
      </c>
      <c r="S32" s="59" t="n">
        <f aca="false">Supply!S31*1000000/365</f>
        <v>272247.016090567</v>
      </c>
      <c r="T32" s="59" t="n">
        <f aca="false">Supply!T31*1000000/365</f>
        <v>354904.197019413</v>
      </c>
      <c r="U32" s="59" t="n">
        <f aca="false">Supply!U31*1000000/365</f>
        <v>287584.497979772</v>
      </c>
      <c r="V32" s="59" t="n">
        <f aca="false">Supply!V31*1000000/365</f>
        <v>220288.847264837</v>
      </c>
      <c r="W32" s="59" t="n">
        <f aca="false">Supply!W31*1000000/365</f>
        <v>153018.151486359</v>
      </c>
      <c r="X32" s="59" t="n">
        <f aca="false">Supply!X31*1000000/365</f>
        <v>85773.2958578931</v>
      </c>
      <c r="Y32" s="59" t="n">
        <f aca="false">Supply!Y31*1000000/365</f>
        <v>18555.1444751544</v>
      </c>
      <c r="Z32" s="59" t="n">
        <f aca="false">Supply!Z31*1000000/365</f>
        <v>0</v>
      </c>
      <c r="AA32" s="59" t="n">
        <f aca="false">Supply!AA31*1000000/365</f>
        <v>0</v>
      </c>
      <c r="AB32" s="59" t="n">
        <f aca="false">Supply!AB31*1000000/365</f>
        <v>0</v>
      </c>
      <c r="AC32" s="59" t="n">
        <f aca="false">Supply!AC31*1000000/365</f>
        <v>0</v>
      </c>
      <c r="AD32" s="59" t="n">
        <f aca="false">Supply!AD31*1000000/365</f>
        <v>0</v>
      </c>
      <c r="AE32" s="59" t="n">
        <f aca="false">Supply!AE31*1000000/365</f>
        <v>0</v>
      </c>
      <c r="AF32" s="59" t="n">
        <f aca="false">Supply!AF31*1000000/365</f>
        <v>0</v>
      </c>
      <c r="AG32" s="59" t="n">
        <f aca="false">Supply!AG31*1000000/365</f>
        <v>0</v>
      </c>
      <c r="AH32" s="59" t="n">
        <f aca="false">Supply!AH31*1000000/365</f>
        <v>0</v>
      </c>
    </row>
    <row r="33" customFormat="false" ht="15" hidden="false" customHeight="true" outlineLevel="0" collapsed="false">
      <c r="A33" s="1" t="s">
        <v>508</v>
      </c>
      <c r="B33" s="1" t="s">
        <v>330</v>
      </c>
      <c r="C33" s="1" t="s">
        <v>509</v>
      </c>
      <c r="D33" s="62" t="n">
        <f aca="false">Inputs!$B$32+(Inputs!$B$38-Inputs!$B$32)*(D$3-2020)/30</f>
        <v>20</v>
      </c>
      <c r="E33" s="62" t="n">
        <f aca="false">Inputs!$B$32+(Inputs!$B$38-Inputs!$B$32)*(E$3-2020)/30</f>
        <v>44.3333333333333</v>
      </c>
      <c r="F33" s="62" t="n">
        <f aca="false">Inputs!$B$32+(Inputs!$B$38-Inputs!$B$32)*(F$3-2020)/30</f>
        <v>68.6666666666667</v>
      </c>
      <c r="G33" s="62" t="n">
        <f aca="false">Inputs!$B$32+(Inputs!$B$38-Inputs!$B$32)*(G$3-2020)/30</f>
        <v>93</v>
      </c>
      <c r="H33" s="62" t="n">
        <f aca="false">Inputs!$B$32+(Inputs!$B$38-Inputs!$B$32)*(H$3-2020)/30</f>
        <v>117.333333333333</v>
      </c>
      <c r="I33" s="62" t="n">
        <f aca="false">Inputs!$B$32+(Inputs!$B$38-Inputs!$B$32)*(I$3-2020)/30</f>
        <v>141.666666666667</v>
      </c>
      <c r="J33" s="62" t="n">
        <f aca="false">Inputs!$B$32+(Inputs!$B$38-Inputs!$B$32)*(J$3-2020)/30</f>
        <v>166</v>
      </c>
      <c r="K33" s="62" t="n">
        <f aca="false">Inputs!$B$32+(Inputs!$B$38-Inputs!$B$32)*(K$3-2020)/30</f>
        <v>190.333333333333</v>
      </c>
      <c r="L33" s="62" t="n">
        <f aca="false">Inputs!$B$32+(Inputs!$B$38-Inputs!$B$32)*(L$3-2020)/30</f>
        <v>214.666666666667</v>
      </c>
      <c r="M33" s="62" t="n">
        <f aca="false">Inputs!$B$32+(Inputs!$B$38-Inputs!$B$32)*(M$3-2020)/30</f>
        <v>239</v>
      </c>
      <c r="N33" s="62" t="n">
        <f aca="false">Inputs!$B$32+(Inputs!$B$38-Inputs!$B$32)*(N$3-2020)/30</f>
        <v>263.333333333333</v>
      </c>
      <c r="O33" s="62" t="n">
        <f aca="false">Inputs!$B$32+(Inputs!$B$38-Inputs!$B$32)*(O$3-2020)/30</f>
        <v>287.666666666667</v>
      </c>
      <c r="P33" s="62" t="n">
        <f aca="false">Inputs!$B$32+(Inputs!$B$38-Inputs!$B$32)*(P$3-2020)/30</f>
        <v>312</v>
      </c>
      <c r="Q33" s="62" t="n">
        <f aca="false">Inputs!$B$32+(Inputs!$B$38-Inputs!$B$32)*(Q$3-2020)/30</f>
        <v>336.333333333333</v>
      </c>
      <c r="R33" s="62" t="n">
        <f aca="false">Inputs!$B$32+(Inputs!$B$38-Inputs!$B$32)*(R$3-2020)/30</f>
        <v>360.666666666667</v>
      </c>
      <c r="S33" s="62" t="n">
        <f aca="false">Inputs!$B$32+(Inputs!$B$38-Inputs!$B$32)*(S$3-2020)/30</f>
        <v>385</v>
      </c>
      <c r="T33" s="62" t="n">
        <f aca="false">Inputs!$B$32+(Inputs!$B$38-Inputs!$B$32)*(T$3-2020)/30</f>
        <v>409.333333333333</v>
      </c>
      <c r="U33" s="62" t="n">
        <f aca="false">Inputs!$B$32+(Inputs!$B$38-Inputs!$B$32)*(U$3-2020)/30</f>
        <v>433.666666666667</v>
      </c>
      <c r="V33" s="62" t="n">
        <f aca="false">Inputs!$B$32+(Inputs!$B$38-Inputs!$B$32)*(V$3-2020)/30</f>
        <v>458</v>
      </c>
      <c r="W33" s="62" t="n">
        <f aca="false">Inputs!$B$32+(Inputs!$B$38-Inputs!$B$32)*(W$3-2020)/30</f>
        <v>482.333333333333</v>
      </c>
      <c r="X33" s="62" t="n">
        <f aca="false">Inputs!$B$32+(Inputs!$B$38-Inputs!$B$32)*(X$3-2020)/30</f>
        <v>506.666666666667</v>
      </c>
      <c r="Y33" s="62" t="n">
        <f aca="false">Inputs!$B$32+(Inputs!$B$38-Inputs!$B$32)*(Y$3-2020)/30</f>
        <v>531</v>
      </c>
      <c r="Z33" s="62" t="n">
        <f aca="false">Inputs!$B$32+(Inputs!$B$38-Inputs!$B$32)*(Z$3-2020)/30</f>
        <v>555.333333333333</v>
      </c>
      <c r="AA33" s="62" t="n">
        <f aca="false">Inputs!$B$32+(Inputs!$B$38-Inputs!$B$32)*(AA$3-2020)/30</f>
        <v>579.666666666667</v>
      </c>
      <c r="AB33" s="62" t="n">
        <f aca="false">Inputs!$B$32+(Inputs!$B$38-Inputs!$B$32)*(AB$3-2020)/30</f>
        <v>604</v>
      </c>
      <c r="AC33" s="62" t="n">
        <f aca="false">Inputs!$B$32+(Inputs!$B$38-Inputs!$B$32)*(AC$3-2020)/30</f>
        <v>628.333333333333</v>
      </c>
      <c r="AD33" s="62" t="n">
        <f aca="false">Inputs!$B$32+(Inputs!$B$38-Inputs!$B$32)*(AD$3-2020)/30</f>
        <v>652.666666666667</v>
      </c>
      <c r="AE33" s="62" t="n">
        <f aca="false">Inputs!$B$32+(Inputs!$B$38-Inputs!$B$32)*(AE$3-2020)/30</f>
        <v>677</v>
      </c>
      <c r="AF33" s="62" t="n">
        <f aca="false">Inputs!$B$32+(Inputs!$B$38-Inputs!$B$32)*(AF$3-2020)/30</f>
        <v>701.333333333333</v>
      </c>
      <c r="AG33" s="62" t="n">
        <f aca="false">Inputs!$B$32+(Inputs!$B$38-Inputs!$B$32)*(AG$3-2020)/30</f>
        <v>725.666666666667</v>
      </c>
      <c r="AH33" s="62" t="n">
        <f aca="false">Inputs!$B$32+(Inputs!$B$38-Inputs!$B$32)*(AH$3-2020)/30</f>
        <v>750</v>
      </c>
    </row>
    <row r="34" customFormat="false" ht="15" hidden="false" customHeight="true" outlineLevel="0" collapsed="false">
      <c r="A34" s="1" t="s">
        <v>510</v>
      </c>
      <c r="B34" s="1" t="s">
        <v>330</v>
      </c>
      <c r="C34" s="1" t="s">
        <v>511</v>
      </c>
      <c r="D34" s="64" t="n">
        <f aca="false">Supply!D16+Supply!D17</f>
        <v>7.84221977495</v>
      </c>
      <c r="E34" s="64" t="n">
        <f aca="false">Supply!E16+Supply!E17</f>
        <v>8.61105022265137</v>
      </c>
      <c r="F34" s="64" t="n">
        <f aca="false">Supply!F16+Supply!F17</f>
        <v>9.39615044414319</v>
      </c>
      <c r="G34" s="64" t="n">
        <f aca="false">Supply!G16+Supply!G17</f>
        <v>10.1972177502576</v>
      </c>
      <c r="H34" s="64" t="n">
        <f aca="false">Supply!H16+Supply!H17</f>
        <v>11.0139526758273</v>
      </c>
      <c r="I34" s="64" t="n">
        <f aca="false">Supply!I16+Supply!I17</f>
        <v>11.8460589519937</v>
      </c>
      <c r="J34" s="64" t="n">
        <f aca="false">Supply!J16+Supply!J17</f>
        <v>12.6932434787263</v>
      </c>
      <c r="K34" s="64" t="n">
        <f aca="false">Supply!K16+Supply!K17</f>
        <v>13.5552162975517</v>
      </c>
      <c r="L34" s="64" t="n">
        <f aca="false">Supply!L16+Supply!L17</f>
        <v>14.4316905644917</v>
      </c>
      <c r="M34" s="64" t="n">
        <f aca="false">Supply!M16+Supply!M17</f>
        <v>15.3223825232077</v>
      </c>
      <c r="N34" s="64" t="n">
        <f aca="false">Supply!N16+Supply!N17</f>
        <v>16.2270114783511</v>
      </c>
      <c r="O34" s="64" t="n">
        <f aca="false">Supply!O16+Supply!O17</f>
        <v>17.1452997691171</v>
      </c>
      <c r="P34" s="64" t="n">
        <f aca="false">Supply!P16+Supply!P17</f>
        <v>18.076972743002</v>
      </c>
      <c r="Q34" s="64" t="n">
        <f aca="false">Supply!Q16+Supply!Q17</f>
        <v>19.0217587297609</v>
      </c>
      <c r="R34" s="64" t="n">
        <f aca="false">Supply!R16+Supply!R17</f>
        <v>19.9793890155649</v>
      </c>
      <c r="S34" s="64" t="n">
        <f aca="false">Supply!S16+Supply!S17</f>
        <v>20.9495978173579</v>
      </c>
      <c r="T34" s="64" t="n">
        <f aca="false">Supply!T16+Supply!T17</f>
        <v>21.9321222574088</v>
      </c>
      <c r="U34" s="64" t="n">
        <f aca="false">Supply!U16+Supply!U17</f>
        <v>22.92670233806</v>
      </c>
      <c r="V34" s="64" t="n">
        <f aca="false">Supply!V16+Supply!V17</f>
        <v>23.9330809166696</v>
      </c>
      <c r="W34" s="64" t="n">
        <f aca="false">Supply!W16+Supply!W17</f>
        <v>24.951003680747</v>
      </c>
      <c r="X34" s="64" t="n">
        <f aca="false">Supply!X16+Supply!X17</f>
        <v>25.980219123279</v>
      </c>
      <c r="Y34" s="64" t="n">
        <f aca="false">Supply!Y16+Supply!Y17</f>
        <v>27.0204785182463</v>
      </c>
      <c r="Z34" s="64" t="n">
        <f aca="false">Supply!Z16+Supply!Z17</f>
        <v>28.0715358963288</v>
      </c>
      <c r="AA34" s="64" t="n">
        <f aca="false">Supply!AA16+Supply!AA17</f>
        <v>29.1331480207978</v>
      </c>
      <c r="AB34" s="64" t="n">
        <f aca="false">Supply!AB16+Supply!AB17</f>
        <v>30.2050743635942</v>
      </c>
      <c r="AC34" s="64" t="n">
        <f aca="false">Supply!AC16+Supply!AC17</f>
        <v>31.2870770815918</v>
      </c>
      <c r="AD34" s="64" t="n">
        <f aca="false">Supply!AD16+Supply!AD17</f>
        <v>32.3789209930434</v>
      </c>
      <c r="AE34" s="64" t="n">
        <f aca="false">Supply!AE16+Supply!AE17</f>
        <v>33.480373554209</v>
      </c>
      <c r="AF34" s="64" t="n">
        <f aca="false">Supply!AF16+Supply!AF17</f>
        <v>34.591204836165</v>
      </c>
      <c r="AG34" s="64" t="n">
        <f aca="false">Supply!AG16+Supply!AG17</f>
        <v>35.7111875017922</v>
      </c>
      <c r="AH34" s="64" t="n">
        <f aca="false">Supply!AH16+Supply!AH17</f>
        <v>36.8400967829428</v>
      </c>
    </row>
    <row r="35" customFormat="false" ht="15" hidden="false" customHeight="true" outlineLevel="0" collapsed="false">
      <c r="A35" s="1" t="s">
        <v>512</v>
      </c>
      <c r="B35" s="1" t="s">
        <v>330</v>
      </c>
      <c r="C35" s="1" t="s">
        <v>513</v>
      </c>
      <c r="D35" s="64" t="n">
        <f aca="false">D18+D21+D24+D39+D19+D22+D25+D7+D29+D34</f>
        <v>7039.5343826149</v>
      </c>
      <c r="E35" s="64" t="n">
        <f aca="false">E18+E21+E24+E39+E19+E22+E25+E7+E29+E34</f>
        <v>7126.17359015226</v>
      </c>
      <c r="F35" s="64" t="n">
        <f aca="false">F18+F21+F24+F39+F19+F22+F25+F7+F29+F34</f>
        <v>7211.7089819153</v>
      </c>
      <c r="G35" s="64" t="n">
        <f aca="false">G18+G21+G24+G39+G19+G22+G25+G7+G29+G34</f>
        <v>7296.16854336186</v>
      </c>
      <c r="H35" s="64" t="n">
        <f aca="false">H18+H21+H24+H39+H19+H22+H25+H7+H29+H34</f>
        <v>7379.58025789088</v>
      </c>
      <c r="I35" s="64" t="n">
        <f aca="false">I18+I21+I24+I39+I19+I22+I25+I7+I29+I34</f>
        <v>7461.97211324726</v>
      </c>
      <c r="J35" s="64" t="n">
        <f aca="false">J18+J21+J24+J39+J19+J22+J25+J7+J29+J34</f>
        <v>7543.37210799636</v>
      </c>
      <c r="K35" s="64" t="n">
        <f aca="false">K18+K21+K24+K39+K19+K22+K25+K7+K29+K34</f>
        <v>7678.55825807</v>
      </c>
      <c r="L35" s="64" t="n">
        <f aca="false">L18+L21+L24+L39+L19+L22+L25+L7+L29+L34</f>
        <v>7812.80860338614</v>
      </c>
      <c r="M35" s="64" t="n">
        <f aca="false">M18+M21+M24+M39+M19+M22+M25+M7+M29+M34</f>
        <v>7946.15121454423</v>
      </c>
      <c r="N35" s="64" t="n">
        <f aca="false">N18+N21+N24+N39+N19+N22+N25+N7+N29+N34</f>
        <v>8078.61419959842</v>
      </c>
      <c r="O35" s="64" t="n">
        <f aca="false">O18+O21+O24+O39+O19+O22+O25+O7+O29+O34</f>
        <v>8210.22571091063</v>
      </c>
      <c r="P35" s="64" t="n">
        <f aca="false">P18+P21+P24+P39+P19+P22+P25+P7+P29+P34</f>
        <v>8341.01395208585</v>
      </c>
      <c r="Q35" s="64" t="n">
        <f aca="false">Q18+Q21+Q24+Q39+Q19+Q22+Q25+Q7+Q29+Q34</f>
        <v>8471.00718499181</v>
      </c>
      <c r="R35" s="64" t="n">
        <f aca="false">R18+R21+R24+R39+R19+R22+R25+R7+R29+R34</f>
        <v>8600.23373686522</v>
      </c>
      <c r="S35" s="64" t="n">
        <f aca="false">S18+S21+S24+S39+S19+S22+S25+S7+S29+S34</f>
        <v>8728.722007507</v>
      </c>
      <c r="T35" s="64" t="n">
        <f aca="false">T18+T21+T24+T39+T19+T22+T25+T7+T29+T34</f>
        <v>8856.50047656877</v>
      </c>
      <c r="U35" s="64" t="n">
        <f aca="false">U18+U21+U24+U39+U19+U22+U25+U7+U29+U34</f>
        <v>8928.84771093307</v>
      </c>
      <c r="V35" s="64" t="n">
        <f aca="false">V18+V21+V24+V39+V19+V22+V25+V7+V29+V34</f>
        <v>9000.54237218954</v>
      </c>
      <c r="W35" s="64" t="n">
        <f aca="false">W18+W21+W24+W39+W19+W22+W25+W7+W29+W34</f>
        <v>9071.61322420982</v>
      </c>
      <c r="X35" s="64" t="n">
        <f aca="false">X18+X21+X24+X39+X19+X22+X25+X7+X29+X34</f>
        <v>9142.08914082344</v>
      </c>
      <c r="Y35" s="64" t="n">
        <f aca="false">Y18+Y21+Y24+Y39+Y19+Y22+Y25+Y7+Y29+Y34</f>
        <v>9211.99911359741</v>
      </c>
      <c r="Z35" s="64" t="n">
        <f aca="false">Z18+Z21+Z24+Z39+Z19+Z22+Z25+Z7+Z29+Z34</f>
        <v>9281.37225972204</v>
      </c>
      <c r="AA35" s="64" t="n">
        <f aca="false">AA18+AA21+AA24+AA39+AA19+AA22+AA25+AA7+AA29+AA34</f>
        <v>9350.23783000565</v>
      </c>
      <c r="AB35" s="64" t="n">
        <f aca="false">AB18+AB21+AB24+AB39+AB19+AB22+AB25+AB7+AB29+AB34</f>
        <v>9418.62521698097</v>
      </c>
      <c r="AC35" s="64" t="n">
        <f aca="false">AC18+AC21+AC24+AC39+AC19+AC22+AC25+AC7+AC29+AC34</f>
        <v>9486.56396312579</v>
      </c>
      <c r="AD35" s="64" t="n">
        <f aca="false">AD18+AD21+AD24+AD39+AD19+AD22+AD25+AD7+AD29+AD34</f>
        <v>9554.08376920091</v>
      </c>
      <c r="AE35" s="64" t="n">
        <f aca="false">AE18+AE21+AE24+AE39+AE19+AE22+AE25+AE7+AE29+AE34</f>
        <v>9621.21450270799</v>
      </c>
      <c r="AF35" s="64" t="n">
        <f aca="false">AF18+AF21+AF24+AF39+AF19+AF22+AF25+AF7+AF29+AF34</f>
        <v>9687.9862064704</v>
      </c>
      <c r="AG35" s="64" t="n">
        <f aca="false">AG18+AG21+AG24+AG39+AG19+AG22+AG25+AG7+AG29+AG34</f>
        <v>9754.42910733992</v>
      </c>
      <c r="AH35" s="64" t="n">
        <f aca="false">AH18+AH21+AH24+AH39+AH19+AH22+AH25+AH7+AH29+AH34</f>
        <v>9820.57362503237</v>
      </c>
    </row>
    <row r="36" customFormat="false" ht="15" hidden="false" customHeight="true" outlineLevel="0" collapsed="false">
      <c r="A36" s="50" t="s">
        <v>514</v>
      </c>
      <c r="B36" s="51" t="s">
        <v>515</v>
      </c>
      <c r="C36" s="52"/>
      <c r="D36" s="70" t="n">
        <f aca="false">(D18+D21+D24+D39)/D5</f>
        <v>0.857967563558721</v>
      </c>
      <c r="E36" s="70" t="n">
        <f aca="false">(E18+E21+E24+E39)/E5</f>
        <v>0.858815622321307</v>
      </c>
      <c r="F36" s="70" t="n">
        <f aca="false">(F18+F21+F24+F39)/F5</f>
        <v>0.859568152340801</v>
      </c>
      <c r="G36" s="70" t="n">
        <f aca="false">(G18+G21+G24+G39)/G5</f>
        <v>0.860230440718359</v>
      </c>
      <c r="H36" s="70" t="n">
        <f aca="false">(H18+H21+H24+H39)/H5</f>
        <v>0.860807420932809</v>
      </c>
      <c r="I36" s="70" t="n">
        <f aca="false">(I18+I21+I24+I39)/I5</f>
        <v>0.861303703687539</v>
      </c>
      <c r="J36" s="70" t="n">
        <f aca="false">(J18+J21+J24+J39)/J5</f>
        <v>0.861723604661495</v>
      </c>
      <c r="K36" s="70" t="n">
        <f aca="false">(K18+K21+K24+K39)/K5</f>
        <v>0.863054635846363</v>
      </c>
      <c r="L36" s="70" t="n">
        <f aca="false">(L18+L21+L24+L39)/L5</f>
        <v>0.864279419947411</v>
      </c>
      <c r="M36" s="70" t="n">
        <f aca="false">(M18+M21+M24+M39)/M5</f>
        <v>0.865405106502713</v>
      </c>
      <c r="N36" s="70" t="n">
        <f aca="false">(N18+N21+N24+N39)/N5</f>
        <v>0.866438272389924</v>
      </c>
      <c r="O36" s="70" t="n">
        <f aca="false">(O18+O21+O24+O39)/O5</f>
        <v>0.867384979181729</v>
      </c>
      <c r="P36" s="70" t="n">
        <f aca="false">(P18+P21+P24+P39)/P5</f>
        <v>0.867182887487796</v>
      </c>
      <c r="Q36" s="70" t="n">
        <f aca="false">(Q18+Q21+Q24+Q39)/Q5</f>
        <v>0.864430629428821</v>
      </c>
      <c r="R36" s="70" t="n">
        <f aca="false">(R18+R21+R24+R39)/R5</f>
        <v>0.861712986732461</v>
      </c>
      <c r="S36" s="70" t="n">
        <f aca="false">(S18+S21+S24+S39)/S5</f>
        <v>0.859028815384059</v>
      </c>
      <c r="T36" s="70" t="n">
        <f aca="false">(T18+T21+T24+T39)/T5</f>
        <v>0.856377078247313</v>
      </c>
      <c r="U36" s="70" t="n">
        <f aca="false">(U18+U21+U24+U39)/U5</f>
        <v>0.858991910951121</v>
      </c>
      <c r="V36" s="70" t="n">
        <f aca="false">(V18+V21+V24+V39)/V5</f>
        <v>0.861522483195226</v>
      </c>
      <c r="W36" s="70" t="n">
        <f aca="false">(W18+W21+W24+W39)/W5</f>
        <v>0.863972349509973</v>
      </c>
      <c r="X36" s="70" t="n">
        <f aca="false">(X18+X21+X24+X39)/X5</f>
        <v>0.866344879550748</v>
      </c>
      <c r="Y36" s="70" t="n">
        <f aca="false">(Y18+Y21+Y24+Y39)/Y5</f>
        <v>0.868643270124215</v>
      </c>
      <c r="Z36" s="70" t="n">
        <f aca="false">(Z18+Z21+Z24+Z39)/Z5</f>
        <v>0.868957914262395</v>
      </c>
      <c r="AA36" s="70" t="n">
        <f aca="false">(AA18+AA21+AA24+AA39)/AA5</f>
        <v>0.86850929191519</v>
      </c>
      <c r="AB36" s="70" t="n">
        <f aca="false">(AB18+AB21+AB24+AB39)/AB5</f>
        <v>0.868034091911057</v>
      </c>
      <c r="AC36" s="70" t="n">
        <f aca="false">(AC18+AC21+AC24+AC39)/AC5</f>
        <v>0.867533752956095</v>
      </c>
      <c r="AD36" s="70" t="n">
        <f aca="false">(AD18+AD21+AD24+AD39)/AD5</f>
        <v>0.867009663721896</v>
      </c>
      <c r="AE36" s="70" t="n">
        <f aca="false">(AE18+AE21+AE24+AE39)/AE5</f>
        <v>0.866463166349439</v>
      </c>
      <c r="AF36" s="70" t="n">
        <f aca="false">(AF18+AF21+AF24+AF39)/AF5</f>
        <v>0.865895559698417</v>
      </c>
      <c r="AG36" s="70" t="n">
        <f aca="false">(AG18+AG21+AG24+AG39)/AG5</f>
        <v>0.865308102361741</v>
      </c>
      <c r="AH36" s="70" t="n">
        <f aca="false">(AH18+AH21+AH24+AH39)/AH5</f>
        <v>0.86470201546311</v>
      </c>
    </row>
    <row r="37" customFormat="false" ht="15" hidden="false" customHeight="true" outlineLevel="0" collapsed="false">
      <c r="A37" s="50" t="s">
        <v>516</v>
      </c>
      <c r="B37" s="51" t="s">
        <v>515</v>
      </c>
      <c r="C37" s="52"/>
      <c r="D37" s="70" t="n">
        <f aca="false">(D19+D22+D25)/D5</f>
        <v>0.129554023097367</v>
      </c>
      <c r="E37" s="70" t="n">
        <f aca="false">(E19+E22+E25)/E5</f>
        <v>0.125419341627476</v>
      </c>
      <c r="F37" s="70" t="n">
        <f aca="false">(F19+F22+F25)/F5</f>
        <v>0.121453153780393</v>
      </c>
      <c r="G37" s="70" t="n">
        <f aca="false">(G19+G22+G25)/G5</f>
        <v>0.117646282277971</v>
      </c>
      <c r="H37" s="70" t="n">
        <f aca="false">(H19+H22+H25)/H5</f>
        <v>0.113990190840532</v>
      </c>
      <c r="I37" s="70" t="n">
        <f aca="false">(I19+I22+I25)/I5</f>
        <v>0.110476929445781</v>
      </c>
      <c r="J37" s="70" t="n">
        <f aca="false">(J19+J22+J25)/J5</f>
        <v>0.107099085101683</v>
      </c>
      <c r="K37" s="70" t="n">
        <f aca="false">(K19+K22+K25)/K5</f>
        <v>0.103109263446548</v>
      </c>
      <c r="L37" s="70" t="n">
        <f aca="false">(L19+L22+L25)/L5</f>
        <v>0.0993107493070173</v>
      </c>
      <c r="M37" s="70" t="n">
        <f aca="false">(M19+M22+M25)/M5</f>
        <v>0.0956913527735213</v>
      </c>
      <c r="N37" s="70" t="n">
        <f aca="false">(N19+N22+N25)/N5</f>
        <v>0.0922398794484435</v>
      </c>
      <c r="O37" s="70" t="n">
        <f aca="false">(O19+O22+O25)/O5</f>
        <v>0.0889460311564098</v>
      </c>
      <c r="P37" s="70" t="n">
        <f aca="false">(P19+P22+P25)/P5</f>
        <v>0.0858003183014903</v>
      </c>
      <c r="Q37" s="70" t="n">
        <f aca="false">(Q19+Q22+Q25)/Q5</f>
        <v>0.0827939823080073</v>
      </c>
      <c r="R37" s="70" t="n">
        <f aca="false">(R19+R22+R25)/R5</f>
        <v>0.0799189268169401</v>
      </c>
      <c r="S37" s="70" t="n">
        <f aca="false">(S19+S22+S25)/S5</f>
        <v>0.0771676565061084</v>
      </c>
      <c r="T37" s="70" t="n">
        <f aca="false">(T19+T22+T25)/T5</f>
        <v>0.0745332225664935</v>
      </c>
      <c r="U37" s="70" t="n">
        <f aca="false">(U19+U22+U25)/U5</f>
        <v>0.0724507205968627</v>
      </c>
      <c r="V37" s="70" t="n">
        <f aca="false">(V19+V22+V25)/V5</f>
        <v>0.0704361354600669</v>
      </c>
      <c r="W37" s="70" t="n">
        <f aca="false">(W19+W22+W25)/W5</f>
        <v>0.068486622825666</v>
      </c>
      <c r="X37" s="70" t="n">
        <f aca="false">(X19+X22+X25)/X5</f>
        <v>0.0665994895545074</v>
      </c>
      <c r="Y37" s="70" t="n">
        <f aca="false">(Y19+Y22+Y25)/Y5</f>
        <v>0.064772183917723</v>
      </c>
      <c r="Z37" s="70" t="n">
        <f aca="false">(Z19+Z22+Z25)/Z5</f>
        <v>0.0630022865645332</v>
      </c>
      <c r="AA37" s="70" t="n">
        <f aca="false">(AA19+AA22+AA25)/AA5</f>
        <v>0.061287502172807</v>
      </c>
      <c r="AB37" s="70" t="n">
        <f aca="false">(AB19+AB22+AB25)/AB5</f>
        <v>0.0596256517229052</v>
      </c>
      <c r="AC37" s="70" t="n">
        <f aca="false">(AC19+AC22+AC25)/AC5</f>
        <v>0.0580146653411708</v>
      </c>
      <c r="AD37" s="70" t="n">
        <f aca="false">(AD19+AD22+AD25)/AD5</f>
        <v>0.0564525756646466</v>
      </c>
      <c r="AE37" s="70" t="n">
        <f aca="false">(AE19+AE22+AE25)/AE5</f>
        <v>0.0549375116832363</v>
      </c>
      <c r="AF37" s="70" t="n">
        <f aca="false">(AF19+AF22+AF25)/AF5</f>
        <v>0.0534676930196801</v>
      </c>
      <c r="AG37" s="70" t="n">
        <f aca="false">(AG19+AG22+AG25)/AG5</f>
        <v>0.0520414246114255</v>
      </c>
      <c r="AH37" s="70" t="n">
        <f aca="false">(AH19+AH22+AH25)/AH5</f>
        <v>0.0506570917618005</v>
      </c>
    </row>
    <row r="38" customFormat="false" ht="15" hidden="false" customHeight="true" outlineLevel="0" collapsed="false">
      <c r="A38" s="50" t="s">
        <v>517</v>
      </c>
      <c r="B38" s="51" t="s">
        <v>515</v>
      </c>
      <c r="C38" s="52"/>
      <c r="D38" s="70" t="n">
        <f aca="false">Supply!D29/Supply!D5</f>
        <v>0.00284109699774928</v>
      </c>
      <c r="E38" s="70" t="n">
        <f aca="false">Supply!E29/Supply!E5</f>
        <v>0.00622119750136287</v>
      </c>
      <c r="F38" s="70" t="n">
        <f aca="false">Supply!F29/Supply!F5</f>
        <v>0.00952155263597867</v>
      </c>
      <c r="G38" s="70" t="n">
        <f aca="false">Supply!G29/Supply!G5</f>
        <v>0.0127464160740383</v>
      </c>
      <c r="H38" s="70" t="n">
        <f aca="false">Supply!H29/Supply!H5</f>
        <v>0.0158997299619949</v>
      </c>
      <c r="I38" s="70" t="n">
        <f aca="false">Supply!I29/Supply!I5</f>
        <v>0.0189851509114012</v>
      </c>
      <c r="J38" s="70" t="n">
        <f aca="false">Supply!J29/Supply!J5</f>
        <v>0.0220060733612798</v>
      </c>
      <c r="K38" s="70" t="n">
        <f aca="false">Supply!K29/Supply!K5</f>
        <v>0.0247876394156803</v>
      </c>
      <c r="L38" s="70" t="n">
        <f aca="false">Supply!L29/Supply!L5</f>
        <v>0.0274762479876479</v>
      </c>
      <c r="M38" s="70" t="n">
        <f aca="false">Supply!M29/Supply!M5</f>
        <v>0.0300774542979432</v>
      </c>
      <c r="N38" s="70" t="n">
        <f aca="false">Supply!N29/Supply!N5</f>
        <v>0.0325963496742329</v>
      </c>
      <c r="O38" s="70" t="n">
        <f aca="false">Supply!O29/Supply!O5</f>
        <v>0.0350376075878626</v>
      </c>
      <c r="P38" s="70" t="n">
        <f aca="false">Supply!P29/Supply!P5</f>
        <v>0.0384734605758199</v>
      </c>
      <c r="Q38" s="70" t="n">
        <f aca="false">Supply!Q29/Supply!Q5</f>
        <v>0.0443144085302447</v>
      </c>
      <c r="R38" s="70" t="n">
        <f aca="false">Supply!R29/Supply!R5</f>
        <v>0.0499841122485228</v>
      </c>
      <c r="S38" s="70" t="n">
        <f aca="false">Supply!S29/Supply!S5</f>
        <v>0.0554915324896912</v>
      </c>
      <c r="T38" s="70" t="n">
        <f aca="false">Supply!T29/Supply!T5</f>
        <v>0.0608449541295787</v>
      </c>
      <c r="U38" s="70" t="n">
        <f aca="false">Supply!U29/Supply!U5</f>
        <v>0.0603252542620638</v>
      </c>
      <c r="V38" s="70" t="n">
        <f aca="false">Supply!V29/Supply!V5</f>
        <v>0.0598192205522265</v>
      </c>
      <c r="W38" s="70" t="n">
        <f aca="false">Supply!W29/Supply!W5</f>
        <v>0.0593262681426471</v>
      </c>
      <c r="X38" s="70" t="n">
        <f aca="false">Supply!X29/Supply!X5</f>
        <v>0.0588458405259371</v>
      </c>
      <c r="Y38" s="70" t="n">
        <f aca="false">Supply!Y29/Supply!Y5</f>
        <v>0.0583774076725268</v>
      </c>
      <c r="Z38" s="70" t="n">
        <f aca="false">Supply!Z29/Supply!Z5</f>
        <v>0.0598331063331323</v>
      </c>
      <c r="AA38" s="70" t="n">
        <f aca="false">Supply!AA29/Supply!AA5</f>
        <v>0.0619948580138219</v>
      </c>
      <c r="AB38" s="70" t="n">
        <f aca="false">Supply!AB29/Supply!AB5</f>
        <v>0.0641282550356755</v>
      </c>
      <c r="AC38" s="70" t="n">
        <f aca="false">Supply!AC29/Supply!AC5</f>
        <v>0.0662340269644163</v>
      </c>
      <c r="AD38" s="70" t="n">
        <f aca="false">Supply!AD29/Supply!AD5</f>
        <v>0.0683128474098835</v>
      </c>
      <c r="AE38" s="70" t="n">
        <f aca="false">Supply!AE29/Supply!AE5</f>
        <v>0.0703653369134896</v>
      </c>
      <c r="AF38" s="70" t="n">
        <f aca="false">Supply!AF29/Supply!AF5</f>
        <v>0.0723920656353668</v>
      </c>
      <c r="AG38" s="70" t="n">
        <f aca="false">Supply!AG29/Supply!AG5</f>
        <v>0.0743935558587046</v>
      </c>
      <c r="AH38" s="70" t="n">
        <f aca="false">Supply!AH29/Supply!AH5</f>
        <v>0.0763702843272078</v>
      </c>
    </row>
    <row r="39" customFormat="false" ht="15" hidden="false" customHeight="true" outlineLevel="0" collapsed="false">
      <c r="A39" s="71" t="s">
        <v>518</v>
      </c>
      <c r="B39" s="1" t="s">
        <v>330</v>
      </c>
      <c r="C39" s="1" t="s">
        <v>519</v>
      </c>
      <c r="D39" s="72" t="n">
        <f aca="false">MAX(MAX(D14-D17-D7,0)-D24-D25-D26,0)</f>
        <v>39.6921628399505</v>
      </c>
      <c r="E39" s="73" t="n">
        <f aca="false">MAX(MAX(E14-E17-E7,0)-E24-E25-E26,0)</f>
        <v>210.069206596278</v>
      </c>
      <c r="F39" s="73" t="n">
        <f aca="false">MAX(MAX(F14-F17-F7,0)-F24-F25-F26,0)</f>
        <v>377.60536480449</v>
      </c>
      <c r="G39" s="73" t="n">
        <f aca="false">MAX(MAX(G14-G17-G7,0)-G24-G25-G26,0)</f>
        <v>542.356531611603</v>
      </c>
      <c r="H39" s="73" t="n">
        <f aca="false">MAX(MAX(H14-H17-H7,0)-H24-H25-H26,0)</f>
        <v>704.378145611714</v>
      </c>
      <c r="I39" s="73" t="n">
        <f aca="false">MAX(MAX(I14-I17-I7,0)-I24-I25-I26,0)</f>
        <v>863.725203759252</v>
      </c>
      <c r="J39" s="73" t="n">
        <f aca="false">MAX(MAX(J14-J17-J7,0)-J24-J25-J26,0)</f>
        <v>1020.45227522476</v>
      </c>
      <c r="K39" s="73" t="n">
        <f aca="false">MAX(MAX(K14-K17-K7,0)-K24-K25-K26,0)</f>
        <v>1229.36351519755</v>
      </c>
      <c r="L39" s="73" t="n">
        <f aca="false">MAX(MAX(L14-L17-L7,0)-L24-L25-L26,0)</f>
        <v>1435.76267863928</v>
      </c>
      <c r="M39" s="73" t="n">
        <f aca="false">MAX(MAX(M14-M17-M7,0)-M24-M25-M26,0)</f>
        <v>1639.7031339927</v>
      </c>
      <c r="N39" s="73" t="n">
        <f aca="false">MAX(MAX(N14-N17-N7,0)-N24-N25-N26,0)</f>
        <v>1841.23787684991</v>
      </c>
      <c r="O39" s="73" t="n">
        <f aca="false">MAX(MAX(O14-O17-O7,0)-O24-O25-O26,0)</f>
        <v>2040.41954358397</v>
      </c>
      <c r="P39" s="73" t="n">
        <f aca="false">MAX(MAX(P14-P17-P7,0)-P24-P25-P26,0)</f>
        <v>2228.39275350055</v>
      </c>
      <c r="Q39" s="73" t="n">
        <f aca="false">MAX(MAX(Q14-Q17-Q7,0)-Q24-Q25-Q26,0)</f>
        <v>2392.87813992395</v>
      </c>
      <c r="R39" s="73" t="n">
        <f aca="false">MAX(MAX(R14-R17-R7,0)-R24-R25-R26,0)</f>
        <v>2555.15896609024</v>
      </c>
      <c r="S39" s="73" t="n">
        <f aca="false">MAX(MAX(S14-S17-S7,0)-S24-S25-S26,0)</f>
        <v>2715.28620403285</v>
      </c>
      <c r="T39" s="73" t="n">
        <f aca="false">MAX(MAX(T14-T17-T7,0)-T24-T25-T26,0)</f>
        <v>2873.31054255564</v>
      </c>
      <c r="U39" s="73" t="n">
        <f aca="false">MAX(MAX(U14-U17-U7,0)-U24-U25-U26,0)</f>
        <v>3029.28240062765</v>
      </c>
      <c r="V39" s="73" t="n">
        <f aca="false">MAX(MAX(V14-V17-V7,0)-V24-V25-V26,0)</f>
        <v>3183.25194077197</v>
      </c>
      <c r="W39" s="73" t="n">
        <f aca="false">MAX(MAX(W14-W17-W7,0)-W24-W25-W26,0)</f>
        <v>3335.26908245299</v>
      </c>
      <c r="X39" s="73" t="n">
        <f aca="false">MAX(MAX(X14-X17-X7,0)-X24-X25-X26,0)</f>
        <v>3485.38351546627</v>
      </c>
      <c r="Y39" s="73" t="n">
        <f aca="false">MAX(MAX(Y14-Y17-Y7,0)-Y24-Y25-Y26,0)</f>
        <v>3633.64471333526</v>
      </c>
      <c r="Z39" s="73" t="n">
        <f aca="false">MAX(MAX(Z14-Z17-Z7,0)-Z24-Z25-Z26,0)</f>
        <v>3762.35000403577</v>
      </c>
      <c r="AA39" s="73" t="n">
        <f aca="false">MAX(MAX(AA14-AA17-AA7,0)-AA24-AA25-AA26,0)</f>
        <v>3882.53813885566</v>
      </c>
      <c r="AB39" s="73" t="n">
        <f aca="false">MAX(MAX(AB14-AB17-AB7,0)-AB24-AB25-AB26,0)</f>
        <v>4001.0309436233</v>
      </c>
      <c r="AC39" s="73" t="n">
        <f aca="false">MAX(MAX(AC14-AC17-AC7,0)-AC24-AC25-AC26,0)</f>
        <v>4117.87744659395</v>
      </c>
      <c r="AD39" s="73" t="n">
        <f aca="false">MAX(MAX(AD14-AD17-AD7,0)-AD24-AD25-AD26,0)</f>
        <v>4233.12651977601</v>
      </c>
      <c r="AE39" s="73" t="n">
        <f aca="false">MAX(MAX(AE14-AE17-AE7,0)-AE24-AE25-AE26,0)</f>
        <v>4346.82689255576</v>
      </c>
      <c r="AF39" s="73" t="n">
        <f aca="false">MAX(MAX(AF14-AF17-AF7,0)-AF24-AF25-AF26,0)</f>
        <v>4459.02716535829</v>
      </c>
      <c r="AG39" s="73" t="n">
        <f aca="false">MAX(MAX(AG14-AG17-AG7,0)-AG24-AG25-AG26,0)</f>
        <v>4569.77582334917</v>
      </c>
      <c r="AH39" s="73" t="n">
        <f aca="false">MAX(MAX(AH14-AH17-AH7,0)-AH24-AH25-AH26,0)</f>
        <v>4679.12125018125</v>
      </c>
    </row>
    <row r="40" customFormat="false" ht="15" hidden="false" customHeight="true" outlineLevel="0" collapsed="false">
      <c r="A40" s="50" t="s">
        <v>520</v>
      </c>
      <c r="B40" s="51" t="s">
        <v>330</v>
      </c>
      <c r="C40" s="52" t="s">
        <v>521</v>
      </c>
      <c r="D40" s="74" t="n">
        <f aca="false">Supply!D35-Supply!D5</f>
        <v>0</v>
      </c>
      <c r="E40" s="74" t="n">
        <f aca="false">Supply!E35-Supply!E5</f>
        <v>0</v>
      </c>
      <c r="F40" s="74" t="n">
        <f aca="false">Supply!F35-Supply!F5</f>
        <v>0</v>
      </c>
      <c r="G40" s="74" t="n">
        <f aca="false">Supply!G35-Supply!G5</f>
        <v>0</v>
      </c>
      <c r="H40" s="74" t="n">
        <f aca="false">Supply!H35-Supply!H5</f>
        <v>0</v>
      </c>
      <c r="I40" s="74" t="n">
        <f aca="false">Supply!I35-Supply!I5</f>
        <v>0</v>
      </c>
      <c r="J40" s="74" t="n">
        <f aca="false">Supply!J35-Supply!J5</f>
        <v>0</v>
      </c>
      <c r="K40" s="74" t="n">
        <f aca="false">Supply!K35-Supply!K5</f>
        <v>0</v>
      </c>
      <c r="L40" s="74" t="n">
        <f aca="false">Supply!L35-Supply!L5</f>
        <v>0</v>
      </c>
      <c r="M40" s="74" t="n">
        <f aca="false">Supply!M35-Supply!M5</f>
        <v>0</v>
      </c>
      <c r="N40" s="74" t="n">
        <f aca="false">Supply!N35-Supply!N5</f>
        <v>0</v>
      </c>
      <c r="O40" s="74" t="n">
        <f aca="false">Supply!O35-Supply!O5</f>
        <v>0</v>
      </c>
      <c r="P40" s="74" t="n">
        <f aca="false">Supply!P35-Supply!P5</f>
        <v>0</v>
      </c>
      <c r="Q40" s="74" t="n">
        <f aca="false">Supply!Q35-Supply!Q5</f>
        <v>0</v>
      </c>
      <c r="R40" s="74" t="n">
        <f aca="false">Supply!R35-Supply!R5</f>
        <v>0</v>
      </c>
      <c r="S40" s="74" t="n">
        <f aca="false">Supply!S35-Supply!S5</f>
        <v>0</v>
      </c>
      <c r="T40" s="74" t="n">
        <f aca="false">Supply!T35-Supply!T5</f>
        <v>0</v>
      </c>
      <c r="U40" s="74" t="n">
        <f aca="false">Supply!U35-Supply!U5</f>
        <v>0</v>
      </c>
      <c r="V40" s="74" t="n">
        <f aca="false">Supply!V35-Supply!V5</f>
        <v>0</v>
      </c>
      <c r="W40" s="74" t="n">
        <f aca="false">Supply!W35-Supply!W5</f>
        <v>0</v>
      </c>
      <c r="X40" s="74" t="n">
        <f aca="false">Supply!X35-Supply!X5</f>
        <v>0</v>
      </c>
      <c r="Y40" s="74" t="n">
        <f aca="false">Supply!Y35-Supply!Y5</f>
        <v>0</v>
      </c>
      <c r="Z40" s="74" t="n">
        <f aca="false">Supply!Z35-Supply!Z5</f>
        <v>0</v>
      </c>
      <c r="AA40" s="74" t="n">
        <f aca="false">Supply!AA35-Supply!AA5</f>
        <v>0</v>
      </c>
      <c r="AB40" s="74" t="n">
        <f aca="false">Supply!AB35-Supply!AB5</f>
        <v>0</v>
      </c>
      <c r="AC40" s="74" t="n">
        <f aca="false">Supply!AC35-Supply!AC5</f>
        <v>0</v>
      </c>
      <c r="AD40" s="74" t="n">
        <f aca="false">Supply!AD35-Supply!AD5</f>
        <v>0</v>
      </c>
      <c r="AE40" s="74" t="n">
        <f aca="false">Supply!AE35-Supply!AE5</f>
        <v>0</v>
      </c>
      <c r="AF40" s="74" t="n">
        <f aca="false">Supply!AF35-Supply!AF5</f>
        <v>0</v>
      </c>
      <c r="AG40" s="74" t="n">
        <f aca="false">Supply!AG35-Supply!AG5</f>
        <v>0</v>
      </c>
      <c r="AH40" s="74" t="n">
        <f aca="false">Supply!AH35-Supply!AH5</f>
        <v>0</v>
      </c>
    </row>
    <row r="41" customFormat="false" ht="15" hidden="false" customHeight="true" outlineLevel="0" collapsed="false">
      <c r="A41" s="1" t="s">
        <v>522</v>
      </c>
      <c r="B41" s="1" t="s">
        <v>515</v>
      </c>
      <c r="C41" s="1" t="s">
        <v>523</v>
      </c>
      <c r="D41" s="70" t="n">
        <f aca="false">D7/D5</f>
        <v>0.00852329099324783</v>
      </c>
      <c r="E41" s="70" t="n">
        <f aca="false">E7/E5</f>
        <v>0.00833546913340499</v>
      </c>
      <c r="F41" s="70" t="n">
        <f aca="false">F7/F5</f>
        <v>0.00815423918900041</v>
      </c>
      <c r="G41" s="70" t="n">
        <f aca="false">G7/G5</f>
        <v>0.00797924823885371</v>
      </c>
      <c r="H41" s="70" t="n">
        <f aca="false">H7/H5</f>
        <v>0.00781016786671179</v>
      </c>
      <c r="I41" s="70" t="n">
        <f aca="false">I7/I5</f>
        <v>0.00764669207121563</v>
      </c>
      <c r="J41" s="70" t="n">
        <f aca="false">J7/J5</f>
        <v>0.00748853538647245</v>
      </c>
      <c r="K41" s="70" t="n">
        <f aca="false">K7/K5</f>
        <v>0.00728312776889393</v>
      </c>
      <c r="L41" s="70" t="n">
        <f aca="false">L7/L5</f>
        <v>0.00708639933169228</v>
      </c>
      <c r="M41" s="70" t="n">
        <f aca="false">M7/M5</f>
        <v>0.00689780918700554</v>
      </c>
      <c r="N41" s="70" t="n">
        <f aca="false">N7/N5</f>
        <v>0.00671686048619893</v>
      </c>
      <c r="O41" s="70" t="n">
        <f aca="false">O7/O5</f>
        <v>0.00654309603012907</v>
      </c>
      <c r="P41" s="70" t="n">
        <f aca="false">P7/P5</f>
        <v>0.00637609439433537</v>
      </c>
      <c r="Q41" s="70" t="n">
        <f aca="false">Q7/Q5</f>
        <v>0.00621546650004275</v>
      </c>
      <c r="R41" s="70" t="n">
        <f aca="false">R7/R5</f>
        <v>0.00606085257226255</v>
      </c>
      <c r="S41" s="70" t="n">
        <f aca="false">S7/S5</f>
        <v>0.0059119194349524</v>
      </c>
      <c r="T41" s="70" t="n">
        <f aca="false">T7/T5</f>
        <v>0.00576835810045426</v>
      </c>
      <c r="U41" s="70" t="n">
        <f aca="false">U7/U5</f>
        <v>0.00566440298238106</v>
      </c>
      <c r="V41" s="70" t="n">
        <f aca="false">V7/V5</f>
        <v>0.00556308982464405</v>
      </c>
      <c r="W41" s="70" t="n">
        <f aca="false">W7/W5</f>
        <v>0.00546431116549868</v>
      </c>
      <c r="X41" s="70" t="n">
        <f aca="false">X7/X5</f>
        <v>0.00536796518825167</v>
      </c>
      <c r="Y41" s="70" t="n">
        <f aca="false">Y7/Y5</f>
        <v>0.0052739553591102</v>
      </c>
      <c r="Z41" s="70" t="n">
        <f aca="false">Z7/Z5</f>
        <v>0.00518219009284552</v>
      </c>
      <c r="AA41" s="70" t="n">
        <f aca="false">AA7/AA5</f>
        <v>0.00509258244381903</v>
      </c>
      <c r="AB41" s="70" t="n">
        <f aca="false">AB7/AB5</f>
        <v>0.00500504982016298</v>
      </c>
      <c r="AC41" s="70" t="n">
        <f aca="false">AC7/AC5</f>
        <v>0.00491951371912444</v>
      </c>
      <c r="AD41" s="70" t="n">
        <f aca="false">AD7/AD5</f>
        <v>0.00483589948177455</v>
      </c>
      <c r="AE41" s="70" t="n">
        <f aca="false">AE7/AE5</f>
        <v>0.00475413606545744</v>
      </c>
      <c r="AF41" s="70" t="n">
        <f aca="false">AF7/AF5</f>
        <v>0.00467415583250669</v>
      </c>
      <c r="AG41" s="70" t="n">
        <f aca="false">AG7/AG5</f>
        <v>0.00459589435389533</v>
      </c>
      <c r="AH41" s="70" t="n">
        <f aca="false">AH7/AH5</f>
        <v>0.00451929022660838</v>
      </c>
    </row>
    <row r="42" customFormat="false" ht="15" hidden="false" customHeight="true" outlineLevel="0" collapsed="false">
      <c r="A42" s="45" t="s">
        <v>524</v>
      </c>
    </row>
    <row r="43" customFormat="false" ht="15" hidden="false" customHeight="true" outlineLevel="0" collapsed="false">
      <c r="A43" s="1" t="s">
        <v>525</v>
      </c>
      <c r="B43" s="1" t="s">
        <v>330</v>
      </c>
      <c r="C43" s="1" t="s">
        <v>526</v>
      </c>
      <c r="D43" s="1" t="n">
        <f aca="false">Demand!D13*(Inputs!$B$69+(Inputs!$B$70-Inputs!$B$69)*(D$3-2020)/30)</f>
        <v>7.84221977495</v>
      </c>
      <c r="E43" s="1" t="n">
        <f aca="false">Demand!E13*(Inputs!$B$69+(Inputs!$B$70-Inputs!$B$69)*(E$3-2020)/30)</f>
        <v>16.9571450538365</v>
      </c>
      <c r="F43" s="1" t="n">
        <f aca="false">Demand!F13*(Inputs!$B$69+(Inputs!$B$70-Inputs!$B$69)*(F$3-2020)/30)</f>
        <v>26.3092212436009</v>
      </c>
      <c r="G43" s="1" t="n">
        <f aca="false">Demand!G13*(Inputs!$B$69+(Inputs!$B$70-Inputs!$B$69)*(G$3-2020)/30)</f>
        <v>35.8942064809066</v>
      </c>
      <c r="H43" s="1" t="n">
        <f aca="false">Demand!H13*(Inputs!$B$69+(Inputs!$B$70-Inputs!$B$69)*(H$3-2020)/30)</f>
        <v>45.7079036046831</v>
      </c>
      <c r="I43" s="1" t="n">
        <f aca="false">Demand!I13*(Inputs!$B$69+(Inputs!$B$70-Inputs!$B$69)*(I$3-2020)/30)</f>
        <v>55.7461597740879</v>
      </c>
      <c r="J43" s="1" t="n">
        <f aca="false">Demand!J13*(Inputs!$B$69+(Inputs!$B$70-Inputs!$B$69)*(J$3-2020)/30)</f>
        <v>66.0048660893765</v>
      </c>
      <c r="K43" s="1" t="n">
        <f aca="false">Demand!K13*(Inputs!$B$69+(Inputs!$B$70-Inputs!$B$69)*(K$3-2020)/30)</f>
        <v>76.47995721566</v>
      </c>
      <c r="L43" s="1" t="n">
        <f aca="false">Demand!L13*(Inputs!$B$69+(Inputs!$B$70-Inputs!$B$69)*(L$3-2020)/30)</f>
        <v>87.1674110095298</v>
      </c>
      <c r="M43" s="1" t="n">
        <f aca="false">Demand!M13*(Inputs!$B$69+(Inputs!$B$70-Inputs!$B$69)*(M$3-2020)/30)</f>
        <v>98.0632481485294</v>
      </c>
      <c r="N43" s="1" t="n">
        <f aca="false">Demand!N13*(Inputs!$B$69+(Inputs!$B$70-Inputs!$B$69)*(N$3-2020)/30)</f>
        <v>109.163531763453</v>
      </c>
      <c r="O43" s="1" t="n">
        <f aca="false">Demand!O13*(Inputs!$B$69+(Inputs!$B$70-Inputs!$B$69)*(O$3-2020)/30)</f>
        <v>120.464367073449</v>
      </c>
      <c r="P43" s="1" t="n">
        <f aca="false">Demand!P13*(Inputs!$B$69+(Inputs!$B$70-Inputs!$B$69)*(P$3-2020)/30)</f>
        <v>131.961901023915</v>
      </c>
      <c r="Q43" s="1" t="n">
        <f aca="false">Demand!Q13*(Inputs!$B$69+(Inputs!$B$70-Inputs!$B$69)*(Q$3-2020)/30)</f>
        <v>143.652321927154</v>
      </c>
      <c r="R43" s="1" t="n">
        <f aca="false">Demand!R13*(Inputs!$B$69+(Inputs!$B$70-Inputs!$B$69)*(R$3-2020)/30)</f>
        <v>155.531859105782</v>
      </c>
      <c r="S43" s="1" t="n">
        <f aca="false">Demand!S13*(Inputs!$B$69+(Inputs!$B$70-Inputs!$B$69)*(S$3-2020)/30)</f>
        <v>167.596782538864</v>
      </c>
      <c r="T43" s="1" t="n">
        <f aca="false">Demand!T13*(Inputs!$B$69+(Inputs!$B$70-Inputs!$B$69)*(T$3-2020)/30)</f>
        <v>179.843402510753</v>
      </c>
      <c r="U43" s="1" t="n">
        <f aca="false">Demand!U13*(Inputs!$B$69+(Inputs!$B$70-Inputs!$B$69)*(U$3-2020)/30)</f>
        <v>192.268069262627</v>
      </c>
      <c r="V43" s="1" t="n">
        <f aca="false">Demand!V13*(Inputs!$B$69+(Inputs!$B$70-Inputs!$B$69)*(V$3-2020)/30)</f>
        <v>204.867172646692</v>
      </c>
      <c r="W43" s="1" t="n">
        <f aca="false">Demand!W13*(Inputs!$B$69+(Inputs!$B$70-Inputs!$B$69)*(W$3-2020)/30)</f>
        <v>217.637141783032</v>
      </c>
      <c r="X43" s="1" t="n">
        <f aca="false">Demand!X13*(Inputs!$B$69+(Inputs!$B$70-Inputs!$B$69)*(X$3-2020)/30)</f>
        <v>230.574444719101</v>
      </c>
      <c r="Y43" s="1" t="n">
        <f aca="false">Demand!Y13*(Inputs!$B$69+(Inputs!$B$70-Inputs!$B$69)*(Y$3-2020)/30)</f>
        <v>243.675588091822</v>
      </c>
      <c r="Z43" s="1" t="n">
        <f aca="false">Demand!Z13*(Inputs!$B$69+(Inputs!$B$70-Inputs!$B$69)*(Z$3-2020)/30)</f>
        <v>256.937116792281</v>
      </c>
      <c r="AA43" s="1" t="n">
        <f aca="false">Demand!AA13*(Inputs!$B$69+(Inputs!$B$70-Inputs!$B$69)*(AA$3-2020)/30)</f>
        <v>270.355613633003</v>
      </c>
      <c r="AB43" s="1" t="n">
        <f aca="false">Demand!AB13*(Inputs!$B$69+(Inputs!$B$70-Inputs!$B$69)*(AB$3-2020)/30)</f>
        <v>283.927699017785</v>
      </c>
      <c r="AC43" s="1" t="n">
        <f aca="false">Demand!AC13*(Inputs!$B$69+(Inputs!$B$70-Inputs!$B$69)*(AC$3-2020)/30)</f>
        <v>297.650030614062</v>
      </c>
      <c r="AD43" s="1" t="n">
        <f aca="false">Demand!AD13*(Inputs!$B$69+(Inputs!$B$70-Inputs!$B$69)*(AD$3-2020)/30)</f>
        <v>311.519303027807</v>
      </c>
      <c r="AE43" s="1" t="n">
        <f aca="false">Demand!AE13*(Inputs!$B$69+(Inputs!$B$70-Inputs!$B$69)*(AE$3-2020)/30)</f>
        <v>325.532247480925</v>
      </c>
      <c r="AF43" s="1" t="n">
        <f aca="false">Demand!AF13*(Inputs!$B$69+(Inputs!$B$70-Inputs!$B$69)*(AF$3-2020)/30)</f>
        <v>339.68563149114</v>
      </c>
      <c r="AG43" s="1" t="n">
        <f aca="false">Demand!AG13*(Inputs!$B$69+(Inputs!$B$70-Inputs!$B$69)*(AG$3-2020)/30)</f>
        <v>353.97625855435</v>
      </c>
      <c r="AH43" s="1" t="n">
        <f aca="false">Demand!AH13*(Inputs!$B$69+(Inputs!$B$70-Inputs!$B$69)*(AH$3-2020)/30)</f>
        <v>368.400967829428</v>
      </c>
    </row>
    <row r="44" customFormat="false" ht="15" hidden="false" customHeight="true" outlineLevel="0" collapsed="false">
      <c r="A44" s="1" t="s">
        <v>527</v>
      </c>
      <c r="B44" s="1" t="s">
        <v>330</v>
      </c>
      <c r="C44" s="1" t="s">
        <v>474</v>
      </c>
      <c r="D44" s="1" t="n">
        <f aca="false">MIN(Supply!D6,Supply!D43*(Inputs!$B$71+(Inputs!$B$72-Inputs!$B$71)*(D$3-2020)/30))</f>
        <v>0</v>
      </c>
      <c r="E44" s="1" t="n">
        <f aca="false">MIN(Supply!E6,Supply!E43*(Inputs!$B$71+(Inputs!$B$72-Inputs!$B$71)*(E$3-2020)/30))</f>
        <v>0</v>
      </c>
      <c r="F44" s="1" t="n">
        <f aca="false">MIN(Supply!F6,Supply!F43*(Inputs!$B$71+(Inputs!$B$72-Inputs!$B$71)*(F$3-2020)/30))</f>
        <v>0</v>
      </c>
      <c r="G44" s="1" t="n">
        <f aca="false">MIN(Supply!G6,Supply!G43*(Inputs!$B$71+(Inputs!$B$72-Inputs!$B$71)*(G$3-2020)/30))</f>
        <v>0</v>
      </c>
      <c r="H44" s="1" t="n">
        <f aca="false">MIN(Supply!H6,Supply!H43*(Inputs!$B$71+(Inputs!$B$72-Inputs!$B$71)*(H$3-2020)/30))</f>
        <v>0</v>
      </c>
      <c r="I44" s="1" t="n">
        <f aca="false">MIN(Supply!I6,Supply!I43*(Inputs!$B$71+(Inputs!$B$72-Inputs!$B$71)*(I$3-2020)/30))</f>
        <v>0</v>
      </c>
      <c r="J44" s="1" t="n">
        <f aca="false">MIN(Supply!J6,Supply!J43*(Inputs!$B$71+(Inputs!$B$72-Inputs!$B$71)*(J$3-2020)/30))</f>
        <v>0</v>
      </c>
      <c r="K44" s="1" t="n">
        <f aca="false">MIN(Supply!K6,Supply!K43*(Inputs!$B$71+(Inputs!$B$72-Inputs!$B$71)*(K$3-2020)/30))</f>
        <v>40.0245109428621</v>
      </c>
      <c r="L44" s="1" t="n">
        <f aca="false">MIN(Supply!L6,Supply!L43*(Inputs!$B$71+(Inputs!$B$72-Inputs!$B$71)*(L$3-2020)/30))</f>
        <v>45.9081697983523</v>
      </c>
      <c r="M44" s="1" t="n">
        <f aca="false">MIN(Supply!M6,Supply!M43*(Inputs!$B$71+(Inputs!$B$72-Inputs!$B$71)*(M$3-2020)/30))</f>
        <v>51.9735215187206</v>
      </c>
      <c r="N44" s="1" t="n">
        <f aca="false">MIN(Supply!N6,Supply!N43*(Inputs!$B$71+(Inputs!$B$72-Inputs!$B$71)*(N$3-2020)/30))</f>
        <v>58.2205502738414</v>
      </c>
      <c r="O44" s="1" t="n">
        <f aca="false">MIN(Supply!O6,Supply!O43*(Inputs!$B$71+(Inputs!$B$72-Inputs!$B$71)*(O$3-2020)/30))</f>
        <v>64.6492103294176</v>
      </c>
      <c r="P44" s="1" t="n">
        <f aca="false">MIN(Supply!P6,Supply!P43*(Inputs!$B$71+(Inputs!$B$72-Inputs!$B$71)*(P$3-2020)/30))</f>
        <v>71.2594265529141</v>
      </c>
      <c r="Q44" s="1" t="n">
        <f aca="false">MIN(Supply!Q6,Supply!Q43*(Inputs!$B$71+(Inputs!$B$72-Inputs!$B$71)*(Q$3-2020)/30))</f>
        <v>78.0510949137537</v>
      </c>
      <c r="R44" s="1" t="n">
        <f aca="false">MIN(Supply!R6,Supply!R43*(Inputs!$B$71+(Inputs!$B$72-Inputs!$B$71)*(R$3-2020)/30))</f>
        <v>85.0240829778277</v>
      </c>
      <c r="S44" s="1" t="n">
        <f aca="false">MIN(Supply!S6,Supply!S43*(Inputs!$B$71+(Inputs!$B$72-Inputs!$B$71)*(S$3-2020)/30))</f>
        <v>92.178230396375</v>
      </c>
      <c r="T44" s="1" t="n">
        <f aca="false">MIN(Supply!T6,Supply!T43*(Inputs!$B$71+(Inputs!$B$72-Inputs!$B$71)*(T$3-2020)/30))</f>
        <v>99.5133493892831</v>
      </c>
      <c r="U44" s="1" t="n">
        <f aca="false">MIN(Supply!U6,Supply!U43*(Inputs!$B$71+(Inputs!$B$72-Inputs!$B$71)*(U$3-2020)/30))</f>
        <v>107.029225222862</v>
      </c>
      <c r="V44" s="1" t="n">
        <f aca="false">MIN(Supply!V6,Supply!V43*(Inputs!$B$71+(Inputs!$B$72-Inputs!$B$71)*(V$3-2020)/30))</f>
        <v>114.725616682147</v>
      </c>
      <c r="W44" s="1" t="n">
        <f aca="false">MIN(Supply!W6,Supply!W43*(Inputs!$B$71+(Inputs!$B$72-Inputs!$B$71)*(W$3-2020)/30))</f>
        <v>122.602256537775</v>
      </c>
      <c r="X44" s="1" t="n">
        <f aca="false">MIN(Supply!X6,Supply!X43*(Inputs!$B$71+(Inputs!$B$72-Inputs!$B$71)*(X$3-2020)/30))</f>
        <v>130.658852007491</v>
      </c>
      <c r="Y44" s="1" t="n">
        <f aca="false">MIN(Supply!Y6,Supply!Y43*(Inputs!$B$71+(Inputs!$B$72-Inputs!$B$71)*(Y$3-2020)/30))</f>
        <v>138.895085212338</v>
      </c>
      <c r="Z44" s="1" t="n">
        <f aca="false">MIN(Supply!Z6,Supply!Z43*(Inputs!$B$71+(Inputs!$B$72-Inputs!$B$71)*(Z$3-2020)/30))</f>
        <v>147.310613627574</v>
      </c>
      <c r="AA44" s="1" t="n">
        <f aca="false">MIN(Supply!AA6,Supply!AA43*(Inputs!$B$71+(Inputs!$B$72-Inputs!$B$71)*(AA$3-2020)/30))</f>
        <v>155.905070528365</v>
      </c>
      <c r="AB44" s="1" t="n">
        <f aca="false">MIN(Supply!AB6,Supply!AB43*(Inputs!$B$71+(Inputs!$B$72-Inputs!$B$71)*(AB$3-2020)/30))</f>
        <v>164.678065430315</v>
      </c>
      <c r="AC44" s="1" t="n">
        <f aca="false">MIN(Supply!AC6,Supply!AC43*(Inputs!$B$71+(Inputs!$B$72-Inputs!$B$71)*(AC$3-2020)/30))</f>
        <v>173.62918452487</v>
      </c>
      <c r="AD44" s="1" t="n">
        <f aca="false">MIN(Supply!AD6,Supply!AD43*(Inputs!$B$71+(Inputs!$B$72-Inputs!$B$71)*(AD$3-2020)/30))</f>
        <v>182.757991109647</v>
      </c>
      <c r="AE44" s="1" t="n">
        <f aca="false">MIN(Supply!AE6,Supply!AE43*(Inputs!$B$71+(Inputs!$B$72-Inputs!$B$71)*(AE$3-2020)/30))</f>
        <v>192.064026013746</v>
      </c>
      <c r="AF44" s="1" t="n">
        <f aca="false">MIN(Supply!AF6,Supply!AF43*(Inputs!$B$71+(Inputs!$B$72-Inputs!$B$71)*(AF$3-2020)/30))</f>
        <v>201.546808018077</v>
      </c>
      <c r="AG44" s="1" t="n">
        <f aca="false">MIN(Supply!AG6,Supply!AG43*(Inputs!$B$71+(Inputs!$B$72-Inputs!$B$71)*(AG$3-2020)/30))</f>
        <v>211.205834270762</v>
      </c>
      <c r="AH44" s="1" t="n">
        <f aca="false">MIN(Supply!AH6,Supply!AH43*(Inputs!$B$71+(Inputs!$B$72-Inputs!$B$71)*(AH$3-2020)/30))</f>
        <v>221.040580697657</v>
      </c>
    </row>
    <row r="45" customFormat="false" ht="15" hidden="false" customHeight="true" outlineLevel="0" collapsed="false">
      <c r="A45" s="1" t="s">
        <v>528</v>
      </c>
      <c r="B45" s="1" t="s">
        <v>330</v>
      </c>
      <c r="C45" s="1" t="s">
        <v>476</v>
      </c>
      <c r="D45" s="64" t="n">
        <f aca="false">MIN(Supply!D14,MAX(Supply!D43-Supply!D44,0))</f>
        <v>7.84221977495</v>
      </c>
      <c r="E45" s="1" t="n">
        <f aca="false">MIN(Supply!E14,MAX(Supply!E43-Supply!E44,0))</f>
        <v>16.9571450538365</v>
      </c>
      <c r="F45" s="1" t="n">
        <f aca="false">MIN(Supply!F14,MAX(Supply!F43-Supply!F44,0))</f>
        <v>26.3092212436009</v>
      </c>
      <c r="G45" s="1" t="n">
        <f aca="false">MIN(Supply!G14,MAX(Supply!G43-Supply!G44,0))</f>
        <v>35.8942064809066</v>
      </c>
      <c r="H45" s="1" t="n">
        <f aca="false">MIN(Supply!H14,MAX(Supply!H43-Supply!H44,0))</f>
        <v>45.7079036046831</v>
      </c>
      <c r="I45" s="1" t="n">
        <f aca="false">MIN(Supply!I14,MAX(Supply!I43-Supply!I44,0))</f>
        <v>55.7461597740879</v>
      </c>
      <c r="J45" s="1" t="n">
        <f aca="false">MIN(Supply!J14,MAX(Supply!J43-Supply!J44,0))</f>
        <v>66.0048660893765</v>
      </c>
      <c r="K45" s="1" t="n">
        <f aca="false">MIN(Supply!K14,MAX(Supply!K43-Supply!K44,0))</f>
        <v>36.4554462727979</v>
      </c>
      <c r="L45" s="1" t="n">
        <f aca="false">MIN(Supply!L14,MAX(Supply!L43-Supply!L44,0))</f>
        <v>41.2592412111774</v>
      </c>
      <c r="M45" s="1" t="n">
        <f aca="false">MIN(Supply!M14,MAX(Supply!M43-Supply!M44,0))</f>
        <v>46.0897266298088</v>
      </c>
      <c r="N45" s="1" t="n">
        <f aca="false">MIN(Supply!N14,MAX(Supply!N43-Supply!N44,0))</f>
        <v>50.9429814896112</v>
      </c>
      <c r="O45" s="1" t="n">
        <f aca="false">MIN(Supply!O14,MAX(Supply!O43-Supply!O44,0))</f>
        <v>55.8151567440313</v>
      </c>
      <c r="P45" s="1" t="n">
        <f aca="false">MIN(Supply!P14,MAX(Supply!P43-Supply!P44,0))</f>
        <v>60.7024744710009</v>
      </c>
      <c r="Q45" s="1" t="n">
        <f aca="false">MIN(Supply!Q14,MAX(Supply!Q43-Supply!Q44,0))</f>
        <v>65.6012270134003</v>
      </c>
      <c r="R45" s="1" t="n">
        <f aca="false">MIN(Supply!R14,MAX(Supply!R43-Supply!R44,0))</f>
        <v>70.5077761279546</v>
      </c>
      <c r="S45" s="1" t="n">
        <f aca="false">MIN(Supply!S14,MAX(Supply!S43-Supply!S44,0))</f>
        <v>75.4185521424886</v>
      </c>
      <c r="T45" s="1" t="n">
        <f aca="false">MIN(Supply!T14,MAX(Supply!T43-Supply!T44,0))</f>
        <v>80.3300531214695</v>
      </c>
      <c r="U45" s="1" t="n">
        <f aca="false">MIN(Supply!U14,MAX(Supply!U43-Supply!U44,0))</f>
        <v>85.2388440397647</v>
      </c>
      <c r="V45" s="1" t="n">
        <f aca="false">MIN(Supply!V14,MAX(Supply!V43-Supply!V44,0))</f>
        <v>90.1415559645444</v>
      </c>
      <c r="W45" s="1" t="n">
        <f aca="false">MIN(Supply!W14,MAX(Supply!W43-Supply!W44,0))</f>
        <v>95.0348852452573</v>
      </c>
      <c r="X45" s="1" t="n">
        <f aca="false">MIN(Supply!X14,MAX(Supply!X43-Supply!X44,0))</f>
        <v>99.9155927116105</v>
      </c>
      <c r="Y45" s="1" t="n">
        <f aca="false">MIN(Supply!Y14,MAX(Supply!Y43-Supply!Y44,0))</f>
        <v>104.780502879483</v>
      </c>
      <c r="Z45" s="1" t="n">
        <f aca="false">MIN(Supply!Z14,MAX(Supply!Z43-Supply!Z44,0))</f>
        <v>109.626503164706</v>
      </c>
      <c r="AA45" s="1" t="n">
        <f aca="false">MIN(Supply!AA14,MAX(Supply!AA43-Supply!AA44,0))</f>
        <v>114.450543104638</v>
      </c>
      <c r="AB45" s="1" t="n">
        <f aca="false">MIN(Supply!AB14,MAX(Supply!AB43-Supply!AB44,0))</f>
        <v>119.24963358747</v>
      </c>
      <c r="AC45" s="1" t="n">
        <f aca="false">MIN(Supply!AC14,MAX(Supply!AC43-Supply!AC44,0))</f>
        <v>124.020846089193</v>
      </c>
      <c r="AD45" s="1" t="n">
        <f aca="false">MIN(Supply!AD14,MAX(Supply!AD43-Supply!AD44,0))</f>
        <v>128.76131191816</v>
      </c>
      <c r="AE45" s="1" t="n">
        <f aca="false">MIN(Supply!AE14,MAX(Supply!AE43-Supply!AE44,0))</f>
        <v>133.468221467179</v>
      </c>
      <c r="AF45" s="1" t="n">
        <f aca="false">MIN(Supply!AF14,MAX(Supply!AF43-Supply!AF44,0))</f>
        <v>138.138823473064</v>
      </c>
      <c r="AG45" s="1" t="n">
        <f aca="false">MIN(Supply!AG14,MAX(Supply!AG43-Supply!AG44,0))</f>
        <v>142.770424283588</v>
      </c>
      <c r="AH45" s="1" t="n">
        <f aca="false">MIN(Supply!AH14,MAX(Supply!AH43-Supply!AH44,0))</f>
        <v>147.360387131771</v>
      </c>
    </row>
    <row r="46" customFormat="false" ht="15" hidden="false" customHeight="true" outlineLevel="0" collapsed="false">
      <c r="A46" s="1" t="s">
        <v>529</v>
      </c>
      <c r="B46" s="1" t="s">
        <v>330</v>
      </c>
      <c r="C46" s="1" t="s">
        <v>478</v>
      </c>
      <c r="D46" s="1" t="n">
        <f aca="false">MIN(Supply!D12*Inputs!$B$52,Supply!D8)</f>
        <v>784.221977495</v>
      </c>
      <c r="E46" s="1" t="n">
        <f aca="false">MIN(Supply!E12*Inputs!$B$52,Supply!E8)</f>
        <v>794.866174398587</v>
      </c>
      <c r="F46" s="1" t="n">
        <f aca="false">MIN(Supply!F12*Inputs!$B$52,Supply!F8)</f>
        <v>805.384323783702</v>
      </c>
      <c r="G46" s="1" t="n">
        <f aca="false">MIN(Supply!G12*Inputs!$B$52,Supply!G8)</f>
        <v>815.777420020605</v>
      </c>
      <c r="H46" s="1" t="n">
        <f aca="false">MIN(Supply!H12*Inputs!$B$52,Supply!H8)</f>
        <v>826.046450687044</v>
      </c>
      <c r="I46" s="1" t="n">
        <f aca="false">MIN(Supply!I12*Inputs!$B$52,Supply!I8)</f>
        <v>836.192396611319</v>
      </c>
      <c r="J46" s="1" t="n">
        <f aca="false">MIN(Supply!J12*Inputs!$B$52,Supply!J8)</f>
        <v>846.216231915084</v>
      </c>
      <c r="K46" s="1" t="n">
        <f aca="false">MIN(Supply!K12*Inputs!$B$52,Supply!K8)</f>
        <v>856.118924055895</v>
      </c>
      <c r="L46" s="1" t="n">
        <f aca="false">MIN(Supply!L12*Inputs!$B$52,Supply!L8)</f>
        <v>865.901433869501</v>
      </c>
      <c r="M46" s="1" t="n">
        <f aca="false">MIN(Supply!M12*Inputs!$B$52,Supply!M8)</f>
        <v>875.564715611869</v>
      </c>
      <c r="N46" s="1" t="n">
        <f aca="false">MIN(Supply!N12*Inputs!$B$52,Supply!N8)</f>
        <v>885.109717000968</v>
      </c>
      <c r="O46" s="1" t="n">
        <f aca="false">MIN(Supply!O12*Inputs!$B$52,Supply!O8)</f>
        <v>894.537379258284</v>
      </c>
      <c r="P46" s="1" t="n">
        <f aca="false">MIN(Supply!P12*Inputs!$B$52,Supply!P8)</f>
        <v>903.848637150102</v>
      </c>
      <c r="Q46" s="1" t="n">
        <f aca="false">MIN(Supply!Q12*Inputs!$B$52,Supply!Q8)</f>
        <v>913.044419028521</v>
      </c>
      <c r="R46" s="1" t="n">
        <f aca="false">MIN(Supply!R12*Inputs!$B$52,Supply!R8)</f>
        <v>922.125646872227</v>
      </c>
      <c r="S46" s="1" t="n">
        <f aca="false">MIN(Supply!S12*Inputs!$B$52,Supply!S8)</f>
        <v>931.09323632702</v>
      </c>
      <c r="T46" s="1" t="n">
        <f aca="false">MIN(Supply!T12*Inputs!$B$52,Supply!T8)</f>
        <v>939.948096746093</v>
      </c>
      <c r="U46" s="1" t="n">
        <f aca="false">MIN(Supply!U12*Inputs!$B$52,Supply!U8)</f>
        <v>948.691131230068</v>
      </c>
      <c r="V46" s="1" t="n">
        <f aca="false">MIN(Supply!V12*Inputs!$B$52,Supply!V8)</f>
        <v>957.323236666784</v>
      </c>
      <c r="W46" s="1" t="n">
        <f aca="false">MIN(Supply!W12*Inputs!$B$52,Supply!W8)</f>
        <v>965.845303770852</v>
      </c>
      <c r="X46" s="1" t="n">
        <f aca="false">MIN(Supply!X12*Inputs!$B$52,Supply!X8)</f>
        <v>974.258217122963</v>
      </c>
      <c r="Y46" s="1" t="n">
        <f aca="false">MIN(Supply!Y12*Inputs!$B$52,Supply!Y8)</f>
        <v>982.562855208958</v>
      </c>
      <c r="Z46" s="1" t="n">
        <f aca="false">MIN(Supply!Z12*Inputs!$B$52,Supply!Z8)</f>
        <v>990.760090458665</v>
      </c>
      <c r="AA46" s="1" t="n">
        <f aca="false">MIN(Supply!AA12*Inputs!$B$52,Supply!AA8)</f>
        <v>998.850789284495</v>
      </c>
      <c r="AB46" s="1" t="n">
        <f aca="false">MIN(Supply!AB12*Inputs!$B$52,Supply!AB8)</f>
        <v>1006.83581211981</v>
      </c>
      <c r="AC46" s="1" t="n">
        <f aca="false">MIN(Supply!AC12*Inputs!$B$52,Supply!AC8)</f>
        <v>1014.71601345703</v>
      </c>
      <c r="AD46" s="1" t="n">
        <f aca="false">MIN(Supply!AD12*Inputs!$B$52,Supply!AD8)</f>
        <v>1022.49224188558</v>
      </c>
      <c r="AE46" s="1" t="n">
        <f aca="false">MIN(Supply!AE12*Inputs!$B$52,Supply!AE8)</f>
        <v>1030.16534012951</v>
      </c>
      <c r="AF46" s="1" t="n">
        <f aca="false">MIN(Supply!AF12*Inputs!$B$52,Supply!AF8)</f>
        <v>1037.73614508495</v>
      </c>
      <c r="AG46" s="1" t="n">
        <f aca="false">MIN(Supply!AG12*Inputs!$B$52,Supply!AG8)</f>
        <v>1045.20548785733</v>
      </c>
      <c r="AH46" s="1" t="n">
        <f aca="false">MIN(Supply!AH12*Inputs!$B$52,Supply!AH8)</f>
        <v>1052.57419379837</v>
      </c>
    </row>
    <row r="47" customFormat="false" ht="15" hidden="false" customHeight="true" outlineLevel="0" collapsed="false">
      <c r="A47" s="1" t="s">
        <v>530</v>
      </c>
      <c r="B47" s="1" t="s">
        <v>330</v>
      </c>
      <c r="C47" s="1" t="s">
        <v>480</v>
      </c>
      <c r="D47" s="1" t="n">
        <f aca="false">MIN(MAX(Supply!D12-D46,0)*Inputs!$B$53,MAX(Supply!D9,0))</f>
        <v>0</v>
      </c>
      <c r="E47" s="1" t="n">
        <f aca="false">MIN(MAX(Supply!E12-E46,0)*Inputs!$B$53,MAX(Supply!E9,0))</f>
        <v>0</v>
      </c>
      <c r="F47" s="1" t="n">
        <f aca="false">MIN(MAX(Supply!F12-F46,0)*Inputs!$B$53,MAX(Supply!F9,0))</f>
        <v>0</v>
      </c>
      <c r="G47" s="1" t="n">
        <f aca="false">MIN(MAX(Supply!G12-G46,0)*Inputs!$B$53,MAX(Supply!G9,0))</f>
        <v>0</v>
      </c>
      <c r="H47" s="1" t="n">
        <f aca="false">MIN(MAX(Supply!H12-H46,0)*Inputs!$B$53,MAX(Supply!H9,0))</f>
        <v>0</v>
      </c>
      <c r="I47" s="1" t="n">
        <f aca="false">MIN(MAX(Supply!I12-I46,0)*Inputs!$B$53,MAX(Supply!I9,0))</f>
        <v>0</v>
      </c>
      <c r="J47" s="1" t="n">
        <f aca="false">MIN(MAX(Supply!J12-J46,0)*Inputs!$B$53,MAX(Supply!J9,0))</f>
        <v>0</v>
      </c>
      <c r="K47" s="1" t="n">
        <f aca="false">MIN(MAX(Supply!K12-K46,0)*Inputs!$B$53,MAX(Supply!K9,0))</f>
        <v>0</v>
      </c>
      <c r="L47" s="1" t="n">
        <f aca="false">MIN(MAX(Supply!L12-L46,0)*Inputs!$B$53,MAX(Supply!L9,0))</f>
        <v>0</v>
      </c>
      <c r="M47" s="1" t="n">
        <f aca="false">MIN(MAX(Supply!M12-M46,0)*Inputs!$B$53,MAX(Supply!M9,0))</f>
        <v>0</v>
      </c>
      <c r="N47" s="1" t="n">
        <f aca="false">MIN(MAX(Supply!N12-N46,0)*Inputs!$B$53,MAX(Supply!N9,0))</f>
        <v>0</v>
      </c>
      <c r="O47" s="1" t="n">
        <f aca="false">MIN(MAX(Supply!O12-O46,0)*Inputs!$B$53,MAX(Supply!O9,0))</f>
        <v>0</v>
      </c>
      <c r="P47" s="1" t="n">
        <f aca="false">MIN(MAX(Supply!P12-P46,0)*Inputs!$B$53,MAX(Supply!P9,0))</f>
        <v>0</v>
      </c>
      <c r="Q47" s="1" t="n">
        <f aca="false">MIN(MAX(Supply!Q12-Q46,0)*Inputs!$B$53,MAX(Supply!Q9,0))</f>
        <v>0</v>
      </c>
      <c r="R47" s="1" t="n">
        <f aca="false">MIN(MAX(Supply!R12-R46,0)*Inputs!$B$53,MAX(Supply!R9,0))</f>
        <v>0</v>
      </c>
      <c r="S47" s="1" t="n">
        <f aca="false">MIN(MAX(Supply!S12-S46,0)*Inputs!$B$53,MAX(Supply!S9,0))</f>
        <v>0</v>
      </c>
      <c r="T47" s="1" t="n">
        <f aca="false">MIN(MAX(Supply!T12-T46,0)*Inputs!$B$53,MAX(Supply!T9,0))</f>
        <v>0</v>
      </c>
      <c r="U47" s="1" t="n">
        <f aca="false">MIN(MAX(Supply!U12-U46,0)*Inputs!$B$53,MAX(Supply!U9,0))</f>
        <v>0</v>
      </c>
      <c r="V47" s="1" t="n">
        <f aca="false">MIN(MAX(Supply!V12-V46,0)*Inputs!$B$53,MAX(Supply!V9,0))</f>
        <v>0</v>
      </c>
      <c r="W47" s="1" t="n">
        <f aca="false">MIN(MAX(Supply!W12-W46,0)*Inputs!$B$53,MAX(Supply!W9,0))</f>
        <v>0</v>
      </c>
      <c r="X47" s="1" t="n">
        <f aca="false">MIN(MAX(Supply!X12-X46,0)*Inputs!$B$53,MAX(Supply!X9,0))</f>
        <v>0</v>
      </c>
      <c r="Y47" s="1" t="n">
        <f aca="false">MIN(MAX(Supply!Y12-Y46,0)*Inputs!$B$53,MAX(Supply!Y9,0))</f>
        <v>0</v>
      </c>
      <c r="Z47" s="1" t="n">
        <f aca="false">MIN(MAX(Supply!Z12-Z46,0)*Inputs!$B$53,MAX(Supply!Z9,0))</f>
        <v>0</v>
      </c>
      <c r="AA47" s="1" t="n">
        <f aca="false">MIN(MAX(Supply!AA12-AA46,0)*Inputs!$B$53,MAX(Supply!AA9,0))</f>
        <v>0</v>
      </c>
      <c r="AB47" s="1" t="n">
        <f aca="false">MIN(MAX(Supply!AB12-AB46,0)*Inputs!$B$53,MAX(Supply!AB9,0))</f>
        <v>0</v>
      </c>
      <c r="AC47" s="1" t="n">
        <f aca="false">MIN(MAX(Supply!AC12-AC46,0)*Inputs!$B$53,MAX(Supply!AC9,0))</f>
        <v>0</v>
      </c>
      <c r="AD47" s="1" t="n">
        <f aca="false">MIN(MAX(Supply!AD12-AD46,0)*Inputs!$B$53,MAX(Supply!AD9,0))</f>
        <v>0</v>
      </c>
      <c r="AE47" s="1" t="n">
        <f aca="false">MIN(MAX(Supply!AE12-AE46,0)*Inputs!$B$53,MAX(Supply!AE9,0))</f>
        <v>0</v>
      </c>
      <c r="AF47" s="1" t="n">
        <f aca="false">MIN(MAX(Supply!AF12-AF46,0)*Inputs!$B$53,MAX(Supply!AF9,0))</f>
        <v>0</v>
      </c>
      <c r="AG47" s="1" t="n">
        <f aca="false">MIN(MAX(Supply!AG12-AG46,0)*Inputs!$B$53,MAX(Supply!AG9,0))</f>
        <v>0</v>
      </c>
      <c r="AH47" s="1" t="n">
        <f aca="false">MIN(MAX(Supply!AH12-AH46,0)*Inputs!$B$53,MAX(Supply!AH9,0))</f>
        <v>0</v>
      </c>
    </row>
    <row r="48" customFormat="false" ht="15" hidden="false" customHeight="true" outlineLevel="0" collapsed="false">
      <c r="A48" s="1" t="s">
        <v>531</v>
      </c>
      <c r="B48" s="1" t="s">
        <v>330</v>
      </c>
      <c r="C48" s="1" t="s">
        <v>482</v>
      </c>
      <c r="D48" s="1" t="n">
        <f aca="false">MAX(Supply!D12-D46-D47,0)</f>
        <v>0</v>
      </c>
      <c r="E48" s="1" t="n">
        <f aca="false">MAX(Supply!E12-E46-E47,0)</f>
        <v>0</v>
      </c>
      <c r="F48" s="1" t="n">
        <f aca="false">MAX(Supply!F12-F46-F47,0)</f>
        <v>0</v>
      </c>
      <c r="G48" s="1" t="n">
        <f aca="false">MAX(Supply!G12-G46-G47,0)</f>
        <v>0</v>
      </c>
      <c r="H48" s="1" t="n">
        <f aca="false">MAX(Supply!H12-H46-H47,0)</f>
        <v>0</v>
      </c>
      <c r="I48" s="1" t="n">
        <f aca="false">MAX(Supply!I12-I46-I47,0)</f>
        <v>0</v>
      </c>
      <c r="J48" s="1" t="n">
        <f aca="false">MAX(Supply!J12-J46-J47,0)</f>
        <v>0</v>
      </c>
      <c r="K48" s="1" t="n">
        <f aca="false">MAX(Supply!K12-K46-K47,0)</f>
        <v>0</v>
      </c>
      <c r="L48" s="1" t="n">
        <f aca="false">MAX(Supply!L12-L46-L47,0)</f>
        <v>0</v>
      </c>
      <c r="M48" s="1" t="n">
        <f aca="false">MAX(Supply!M12-M46-M47,0)</f>
        <v>0</v>
      </c>
      <c r="N48" s="1" t="n">
        <f aca="false">MAX(Supply!N12-N46-N47,0)</f>
        <v>0</v>
      </c>
      <c r="O48" s="1" t="n">
        <f aca="false">MAX(Supply!O12-O46-O47,0)</f>
        <v>0</v>
      </c>
      <c r="P48" s="1" t="n">
        <f aca="false">MAX(Supply!P12-P46-P47,0)</f>
        <v>0</v>
      </c>
      <c r="Q48" s="1" t="n">
        <f aca="false">MAX(Supply!Q12-Q46-Q47,0)</f>
        <v>0</v>
      </c>
      <c r="R48" s="1" t="n">
        <f aca="false">MAX(Supply!R12-R46-R47,0)</f>
        <v>0</v>
      </c>
      <c r="S48" s="1" t="n">
        <f aca="false">MAX(Supply!S12-S46-S47,0)</f>
        <v>0</v>
      </c>
      <c r="T48" s="1" t="n">
        <f aca="false">MAX(Supply!T12-T46-T47,0)</f>
        <v>0</v>
      </c>
      <c r="U48" s="1" t="n">
        <f aca="false">MAX(Supply!U12-U46-U47,0)</f>
        <v>0</v>
      </c>
      <c r="V48" s="1" t="n">
        <f aca="false">MAX(Supply!V12-V46-V47,0)</f>
        <v>0</v>
      </c>
      <c r="W48" s="1" t="n">
        <f aca="false">MAX(Supply!W12-W46-W47,0)</f>
        <v>0</v>
      </c>
      <c r="X48" s="1" t="n">
        <f aca="false">MAX(Supply!X12-X46-X47,0)</f>
        <v>0</v>
      </c>
      <c r="Y48" s="1" t="n">
        <f aca="false">MAX(Supply!Y12-Y46-Y47,0)</f>
        <v>0</v>
      </c>
      <c r="Z48" s="1" t="n">
        <f aca="false">MAX(Supply!Z12-Z46-Z47,0)</f>
        <v>0</v>
      </c>
      <c r="AA48" s="1" t="n">
        <f aca="false">MAX(Supply!AA12-AA46-AA47,0)</f>
        <v>0</v>
      </c>
      <c r="AB48" s="1" t="n">
        <f aca="false">MAX(Supply!AB12-AB46-AB47,0)</f>
        <v>0</v>
      </c>
      <c r="AC48" s="1" t="n">
        <f aca="false">MAX(Supply!AC12-AC46-AC47,0)</f>
        <v>0</v>
      </c>
      <c r="AD48" s="1" t="n">
        <f aca="false">MAX(Supply!AD12-AD46-AD47,0)</f>
        <v>0</v>
      </c>
      <c r="AE48" s="1" t="n">
        <f aca="false">MAX(Supply!AE12-AE46-AE47,0)</f>
        <v>0</v>
      </c>
      <c r="AF48" s="1" t="n">
        <f aca="false">MAX(Supply!AF12-AF46-AF47,0)</f>
        <v>0</v>
      </c>
      <c r="AG48" s="1" t="n">
        <f aca="false">MAX(Supply!AG12-AG46-AG47,0)</f>
        <v>0</v>
      </c>
      <c r="AH48" s="1" t="n">
        <f aca="false">MAX(Supply!AH12-AH46-AH47,0)</f>
        <v>0</v>
      </c>
    </row>
    <row r="49" customFormat="false" ht="15" hidden="false" customHeight="true" outlineLevel="0" collapsed="false">
      <c r="A49" s="1" t="s">
        <v>532</v>
      </c>
      <c r="B49" s="1" t="s">
        <v>330</v>
      </c>
      <c r="C49" s="1" t="s">
        <v>484</v>
      </c>
      <c r="D49" s="1" t="n">
        <f aca="false">MIN(Supply!D13*Inputs!$B$54,MAX(Supply!D8-D46,0))</f>
        <v>389.6270185899</v>
      </c>
      <c r="E49" s="1" t="n">
        <f aca="false">MIN(Supply!E13*Inputs!$B$54,MAX(Supply!E8-E46,0))</f>
        <v>403.932968035115</v>
      </c>
      <c r="F49" s="1" t="n">
        <f aca="false">MIN(Supply!F13*Inputs!$B$54,MAX(Supply!F8-F46,0))</f>
        <v>418.623578068233</v>
      </c>
      <c r="G49" s="1" t="n">
        <f aca="false">MIN(Supply!G13*Inputs!$B$54,MAX(Supply!G8-G46,0))</f>
        <v>433.707989015256</v>
      </c>
      <c r="H49" s="1" t="n">
        <f aca="false">MIN(Supply!H13*Inputs!$B$54,MAX(Supply!H8-H46,0))</f>
        <v>449.195544352525</v>
      </c>
      <c r="I49" s="1" t="n">
        <f aca="false">MIN(Supply!I13*Inputs!$B$54,MAX(Supply!I8-I46,0))</f>
        <v>465.095795036329</v>
      </c>
      <c r="J49" s="1" t="n">
        <f aca="false">MIN(Supply!J13*Inputs!$B$54,MAX(Supply!J8-J46,0))</f>
        <v>481.418503922153</v>
      </c>
      <c r="K49" s="1" t="n">
        <f aca="false">MIN(Supply!K13*Inputs!$B$54,MAX(Supply!K8-K46,0))</f>
        <v>498.173650275403</v>
      </c>
      <c r="L49" s="1" t="n">
        <f aca="false">MIN(Supply!L13*Inputs!$B$54,MAX(Supply!L8-L46,0))</f>
        <v>515.37143437545</v>
      </c>
      <c r="M49" s="1" t="n">
        <f aca="false">MIN(Supply!M13*Inputs!$B$54,MAX(Supply!M8-M46,0))</f>
        <v>533.022282214894</v>
      </c>
      <c r="N49" s="1" t="n">
        <f aca="false">MIN(Supply!N13*Inputs!$B$54,MAX(Supply!N8-N46,0))</f>
        <v>551.136850295968</v>
      </c>
      <c r="O49" s="1" t="n">
        <f aca="false">MIN(Supply!O13*Inputs!$B$54,MAX(Supply!O8-O46,0))</f>
        <v>569.726030526055</v>
      </c>
      <c r="P49" s="1" t="n">
        <f aca="false">MIN(Supply!P13*Inputs!$B$54,MAX(Supply!P8-P46,0))</f>
        <v>588.800955214323</v>
      </c>
      <c r="Q49" s="1" t="n">
        <f aca="false">MIN(Supply!Q13*Inputs!$B$54,MAX(Supply!Q8-Q46,0))</f>
        <v>608.37300217152</v>
      </c>
      <c r="R49" s="1" t="n">
        <f aca="false">MIN(Supply!R13*Inputs!$B$54,MAX(Supply!R8-R46,0))</f>
        <v>628.453799915024</v>
      </c>
      <c r="S49" s="1" t="n">
        <f aca="false">MIN(Supply!S13*Inputs!$B$54,MAX(Supply!S8-S46,0))</f>
        <v>649.055232981272</v>
      </c>
      <c r="T49" s="1" t="n">
        <f aca="false">MIN(Supply!T13*Inputs!$B$54,MAX(Supply!T8-T46,0))</f>
        <v>670.189447347742</v>
      </c>
      <c r="U49" s="1" t="n">
        <f aca="false">MIN(Supply!U13*Inputs!$B$54,MAX(Supply!U8-U46,0))</f>
        <v>691.868855966691</v>
      </c>
      <c r="V49" s="1" t="n">
        <f aca="false">MIN(Supply!V13*Inputs!$B$54,MAX(Supply!V8-V46,0))</f>
        <v>714.106144412932</v>
      </c>
      <c r="W49" s="1" t="n">
        <f aca="false">MIN(Supply!W13*Inputs!$B$54,MAX(Supply!W8-W46,0))</f>
        <v>736.914276647924</v>
      </c>
      <c r="X49" s="1" t="n">
        <f aca="false">MIN(Supply!X13*Inputs!$B$54,MAX(Supply!X8-X46,0))</f>
        <v>760.306500902548</v>
      </c>
      <c r="Y49" s="1" t="n">
        <f aca="false">MIN(Supply!Y13*Inputs!$B$54,MAX(Supply!Y8-Y46,0))</f>
        <v>784.296355680951</v>
      </c>
      <c r="Z49" s="1" t="n">
        <f aca="false">MIN(Supply!Z13*Inputs!$B$54,MAX(Supply!Z8-Z46,0))</f>
        <v>808.897675887909</v>
      </c>
      <c r="AA49" s="1" t="n">
        <f aca="false">MIN(Supply!AA13*Inputs!$B$54,MAX(Supply!AA8-AA46,0))</f>
        <v>834.124599082191</v>
      </c>
      <c r="AB49" s="1" t="n">
        <f aca="false">MIN(Supply!AB13*Inputs!$B$54,MAX(Supply!AB8-AB46,0))</f>
        <v>859.991571858486</v>
      </c>
      <c r="AC49" s="1" t="n">
        <f aca="false">MIN(Supply!AC13*Inputs!$B$54,MAX(Supply!AC8-AC46,0))</f>
        <v>886.51335636046</v>
      </c>
      <c r="AD49" s="1" t="n">
        <f aca="false">MIN(Supply!AD13*Inputs!$B$54,MAX(Supply!AD8-AD46,0))</f>
        <v>913.705036927608</v>
      </c>
      <c r="AE49" s="1" t="n">
        <f aca="false">MIN(Supply!AE13*Inputs!$B$54,MAX(Supply!AE8-AE46,0))</f>
        <v>941.582026878579</v>
      </c>
      <c r="AF49" s="1" t="n">
        <f aca="false">MIN(Supply!AF13*Inputs!$B$54,MAX(Supply!AF8-AF46,0))</f>
        <v>970.160075433746</v>
      </c>
      <c r="AG49" s="1" t="n">
        <f aca="false">MIN(Supply!AG13*Inputs!$B$54,MAX(Supply!AG8-AG46,0))</f>
        <v>999.455274779798</v>
      </c>
      <c r="AH49" s="1" t="n">
        <f aca="false">MIN(Supply!AH13*Inputs!$B$54,MAX(Supply!AH8-AH46,0))</f>
        <v>1029.48406727925</v>
      </c>
    </row>
    <row r="50" customFormat="false" ht="15" hidden="false" customHeight="true" outlineLevel="0" collapsed="false">
      <c r="A50" s="1" t="s">
        <v>533</v>
      </c>
      <c r="B50" s="1" t="s">
        <v>330</v>
      </c>
      <c r="C50" s="1" t="s">
        <v>486</v>
      </c>
      <c r="D50" s="1" t="n">
        <f aca="false">MIN(MAX(Supply!D13-D49,0)*Inputs!$B$55,MAX(Supply!D9-D47,0))</f>
        <v>0</v>
      </c>
      <c r="E50" s="1" t="n">
        <f aca="false">MIN(MAX(Supply!E13-E49,0)*Inputs!$B$55,MAX(Supply!E9-E47,0))</f>
        <v>0</v>
      </c>
      <c r="F50" s="1" t="n">
        <f aca="false">MIN(MAX(Supply!F13-F49,0)*Inputs!$B$55,MAX(Supply!F9-F47,0))</f>
        <v>0</v>
      </c>
      <c r="G50" s="1" t="n">
        <f aca="false">MIN(MAX(Supply!G13-G49,0)*Inputs!$B$55,MAX(Supply!G9-G47,0))</f>
        <v>0</v>
      </c>
      <c r="H50" s="1" t="n">
        <f aca="false">MIN(MAX(Supply!H13-H49,0)*Inputs!$B$55,MAX(Supply!H9-H47,0))</f>
        <v>0</v>
      </c>
      <c r="I50" s="1" t="n">
        <f aca="false">MIN(MAX(Supply!I13-I49,0)*Inputs!$B$55,MAX(Supply!I9-I47,0))</f>
        <v>0</v>
      </c>
      <c r="J50" s="1" t="n">
        <f aca="false">MIN(MAX(Supply!J13-J49,0)*Inputs!$B$55,MAX(Supply!J9-J47,0))</f>
        <v>0</v>
      </c>
      <c r="K50" s="1" t="n">
        <f aca="false">MIN(MAX(Supply!K13-K49,0)*Inputs!$B$55,MAX(Supply!K9-K47,0))</f>
        <v>0</v>
      </c>
      <c r="L50" s="1" t="n">
        <f aca="false">MIN(MAX(Supply!L13-L49,0)*Inputs!$B$55,MAX(Supply!L9-L47,0))</f>
        <v>0</v>
      </c>
      <c r="M50" s="1" t="n">
        <f aca="false">MIN(MAX(Supply!M13-M49,0)*Inputs!$B$55,MAX(Supply!M9-M47,0))</f>
        <v>0</v>
      </c>
      <c r="N50" s="1" t="n">
        <f aca="false">MIN(MAX(Supply!N13-N49,0)*Inputs!$B$55,MAX(Supply!N9-N47,0))</f>
        <v>0</v>
      </c>
      <c r="O50" s="1" t="n">
        <f aca="false">MIN(MAX(Supply!O13-O49,0)*Inputs!$B$55,MAX(Supply!O9-O47,0))</f>
        <v>0</v>
      </c>
      <c r="P50" s="1" t="n">
        <f aca="false">MIN(MAX(Supply!P13-P49,0)*Inputs!$B$55,MAX(Supply!P9-P47,0))</f>
        <v>0</v>
      </c>
      <c r="Q50" s="1" t="n">
        <f aca="false">MIN(MAX(Supply!Q13-Q49,0)*Inputs!$B$55,MAX(Supply!Q9-Q47,0))</f>
        <v>0</v>
      </c>
      <c r="R50" s="1" t="n">
        <f aca="false">MIN(MAX(Supply!R13-R49,0)*Inputs!$B$55,MAX(Supply!R9-R47,0))</f>
        <v>0</v>
      </c>
      <c r="S50" s="1" t="n">
        <f aca="false">MIN(MAX(Supply!S13-S49,0)*Inputs!$B$55,MAX(Supply!S9-S47,0))</f>
        <v>0</v>
      </c>
      <c r="T50" s="1" t="n">
        <f aca="false">MIN(MAX(Supply!T13-T49,0)*Inputs!$B$55,MAX(Supply!T9-T47,0))</f>
        <v>0</v>
      </c>
      <c r="U50" s="1" t="n">
        <f aca="false">MIN(MAX(Supply!U13-U49,0)*Inputs!$B$55,MAX(Supply!U9-U47,0))</f>
        <v>0</v>
      </c>
      <c r="V50" s="1" t="n">
        <f aca="false">MIN(MAX(Supply!V13-V49,0)*Inputs!$B$55,MAX(Supply!V9-V47,0))</f>
        <v>0</v>
      </c>
      <c r="W50" s="1" t="n">
        <f aca="false">MIN(MAX(Supply!W13-W49,0)*Inputs!$B$55,MAX(Supply!W9-W47,0))</f>
        <v>0</v>
      </c>
      <c r="X50" s="1" t="n">
        <f aca="false">MIN(MAX(Supply!X13-X49,0)*Inputs!$B$55,MAX(Supply!X9-X47,0))</f>
        <v>0</v>
      </c>
      <c r="Y50" s="1" t="n">
        <f aca="false">MIN(MAX(Supply!Y13-Y49,0)*Inputs!$B$55,MAX(Supply!Y9-Y47,0))</f>
        <v>0</v>
      </c>
      <c r="Z50" s="1" t="n">
        <f aca="false">MIN(MAX(Supply!Z13-Z49,0)*Inputs!$B$55,MAX(Supply!Z9-Z47,0))</f>
        <v>0</v>
      </c>
      <c r="AA50" s="1" t="n">
        <f aca="false">MIN(MAX(Supply!AA13-AA49,0)*Inputs!$B$55,MAX(Supply!AA9-AA47,0))</f>
        <v>0</v>
      </c>
      <c r="AB50" s="1" t="n">
        <f aca="false">MIN(MAX(Supply!AB13-AB49,0)*Inputs!$B$55,MAX(Supply!AB9-AB47,0))</f>
        <v>0</v>
      </c>
      <c r="AC50" s="1" t="n">
        <f aca="false">MIN(MAX(Supply!AC13-AC49,0)*Inputs!$B$55,MAX(Supply!AC9-AC47,0))</f>
        <v>0</v>
      </c>
      <c r="AD50" s="1" t="n">
        <f aca="false">MIN(MAX(Supply!AD13-AD49,0)*Inputs!$B$55,MAX(Supply!AD9-AD47,0))</f>
        <v>0</v>
      </c>
      <c r="AE50" s="1" t="n">
        <f aca="false">MIN(MAX(Supply!AE13-AE49,0)*Inputs!$B$55,MAX(Supply!AE9-AE47,0))</f>
        <v>0</v>
      </c>
      <c r="AF50" s="1" t="n">
        <f aca="false">MIN(MAX(Supply!AF13-AF49,0)*Inputs!$B$55,MAX(Supply!AF9-AF47,0))</f>
        <v>0</v>
      </c>
      <c r="AG50" s="1" t="n">
        <f aca="false">MIN(MAX(Supply!AG13-AG49,0)*Inputs!$B$55,MAX(Supply!AG9-AG47,0))</f>
        <v>0</v>
      </c>
      <c r="AH50" s="1" t="n">
        <f aca="false">MIN(MAX(Supply!AH13-AH49,0)*Inputs!$B$55,MAX(Supply!AH9-AH47,0))</f>
        <v>0</v>
      </c>
    </row>
    <row r="51" customFormat="false" ht="15" hidden="false" customHeight="true" outlineLevel="0" collapsed="false">
      <c r="A51" s="1" t="s">
        <v>534</v>
      </c>
      <c r="B51" s="1" t="s">
        <v>330</v>
      </c>
      <c r="C51" s="1" t="s">
        <v>488</v>
      </c>
      <c r="D51" s="1" t="n">
        <f aca="false">MAX(Supply!D13-D49-D50,0)</f>
        <v>0</v>
      </c>
      <c r="E51" s="1" t="n">
        <f aca="false">MAX(Supply!E13-E49-E50,0)</f>
        <v>0</v>
      </c>
      <c r="F51" s="1" t="n">
        <f aca="false">MAX(Supply!F13-F49-F50,0)</f>
        <v>0</v>
      </c>
      <c r="G51" s="1" t="n">
        <f aca="false">MAX(Supply!G13-G49-G50,0)</f>
        <v>0</v>
      </c>
      <c r="H51" s="1" t="n">
        <f aca="false">MAX(Supply!H13-H49-H50,0)</f>
        <v>0</v>
      </c>
      <c r="I51" s="1" t="n">
        <f aca="false">MAX(Supply!I13-I49-I50,0)</f>
        <v>0</v>
      </c>
      <c r="J51" s="1" t="n">
        <f aca="false">MAX(Supply!J13-J49-J50,0)</f>
        <v>0</v>
      </c>
      <c r="K51" s="1" t="n">
        <f aca="false">MAX(Supply!K13-K49-K50,0)</f>
        <v>0</v>
      </c>
      <c r="L51" s="1" t="n">
        <f aca="false">MAX(Supply!L13-L49-L50,0)</f>
        <v>0</v>
      </c>
      <c r="M51" s="1" t="n">
        <f aca="false">MAX(Supply!M13-M49-M50,0)</f>
        <v>0</v>
      </c>
      <c r="N51" s="1" t="n">
        <f aca="false">MAX(Supply!N13-N49-N50,0)</f>
        <v>0</v>
      </c>
      <c r="O51" s="1" t="n">
        <f aca="false">MAX(Supply!O13-O49-O50,0)</f>
        <v>0</v>
      </c>
      <c r="P51" s="1" t="n">
        <f aca="false">MAX(Supply!P13-P49-P50,0)</f>
        <v>0</v>
      </c>
      <c r="Q51" s="1" t="n">
        <f aca="false">MAX(Supply!Q13-Q49-Q50,0)</f>
        <v>0</v>
      </c>
      <c r="R51" s="1" t="n">
        <f aca="false">MAX(Supply!R13-R49-R50,0)</f>
        <v>0</v>
      </c>
      <c r="S51" s="1" t="n">
        <f aca="false">MAX(Supply!S13-S49-S50,0)</f>
        <v>0</v>
      </c>
      <c r="T51" s="1" t="n">
        <f aca="false">MAX(Supply!T13-T49-T50,0)</f>
        <v>0</v>
      </c>
      <c r="U51" s="1" t="n">
        <f aca="false">MAX(Supply!U13-U49-U50,0)</f>
        <v>0</v>
      </c>
      <c r="V51" s="1" t="n">
        <f aca="false">MAX(Supply!V13-V49-V50,0)</f>
        <v>0</v>
      </c>
      <c r="W51" s="1" t="n">
        <f aca="false">MAX(Supply!W13-W49-W50,0)</f>
        <v>0</v>
      </c>
      <c r="X51" s="1" t="n">
        <f aca="false">MAX(Supply!X13-X49-X50,0)</f>
        <v>0</v>
      </c>
      <c r="Y51" s="1" t="n">
        <f aca="false">MAX(Supply!Y13-Y49-Y50,0)</f>
        <v>0</v>
      </c>
      <c r="Z51" s="1" t="n">
        <f aca="false">MAX(Supply!Z13-Z49-Z50,0)</f>
        <v>0</v>
      </c>
      <c r="AA51" s="1" t="n">
        <f aca="false">MAX(Supply!AA13-AA49-AA50,0)</f>
        <v>0</v>
      </c>
      <c r="AB51" s="1" t="n">
        <f aca="false">MAX(Supply!AB13-AB49-AB50,0)</f>
        <v>0</v>
      </c>
      <c r="AC51" s="1" t="n">
        <f aca="false">MAX(Supply!AC13-AC49-AC50,0)</f>
        <v>0</v>
      </c>
      <c r="AD51" s="1" t="n">
        <f aca="false">MAX(Supply!AD13-AD49-AD50,0)</f>
        <v>0</v>
      </c>
      <c r="AE51" s="1" t="n">
        <f aca="false">MAX(Supply!AE13-AE49-AE50,0)</f>
        <v>0</v>
      </c>
      <c r="AF51" s="1" t="n">
        <f aca="false">MAX(Supply!AF13-AF49-AF50,0)</f>
        <v>0</v>
      </c>
      <c r="AG51" s="1" t="n">
        <f aca="false">MAX(Supply!AG13-AG49-AG50,0)</f>
        <v>0</v>
      </c>
      <c r="AH51" s="1" t="n">
        <f aca="false">MAX(Supply!AH13-AH49-AH50,0)</f>
        <v>0</v>
      </c>
    </row>
    <row r="52" customFormat="false" ht="15" hidden="false" customHeight="true" outlineLevel="0" collapsed="false">
      <c r="A52" s="1" t="s">
        <v>535</v>
      </c>
      <c r="B52" s="1" t="s">
        <v>330</v>
      </c>
      <c r="C52" s="1" t="s">
        <v>490</v>
      </c>
      <c r="D52" s="1" t="n">
        <f aca="false">MIN(MAX(D14-D45-D58,0)*Inputs!$B$56,MAX(D8-D46-D49,0))</f>
        <v>4826.1510039151</v>
      </c>
      <c r="E52" s="1" t="n">
        <f aca="false">MIN(MAX(E14-E45-E58,0)*Inputs!$B$56,MAX(E8-E46-E49,0))</f>
        <v>4711.2008575663</v>
      </c>
      <c r="F52" s="1" t="n">
        <f aca="false">MIN(MAX(F14-F45-F58,0)*Inputs!$B$56,MAX(F8-F46-F49,0))</f>
        <v>4597.34209814807</v>
      </c>
      <c r="G52" s="1" t="n">
        <f aca="false">MIN(MAX(G14-G45-G58,0)*Inputs!$B$56,MAX(G8-G46-G49,0))</f>
        <v>4484.54434096414</v>
      </c>
      <c r="H52" s="1" t="n">
        <f aca="false">MIN(MAX(H14-H45-H58,0)*Inputs!$B$56,MAX(H8-H46-H49,0))</f>
        <v>4372.77730871043</v>
      </c>
      <c r="I52" s="1" t="n">
        <f aca="false">MIN(MAX(I14-I45-I58,0)*Inputs!$B$56,MAX(I8-I46-I49,0))</f>
        <v>4262.0108225461</v>
      </c>
      <c r="J52" s="1" t="n">
        <f aca="false">MIN(MAX(J14-J45-J58,0)*Inputs!$B$56,MAX(J8-J46-J49,0))</f>
        <v>4152.21479314361</v>
      </c>
      <c r="K52" s="1" t="n">
        <f aca="false">MIN(MAX(K14-K45-K58,0)*Inputs!$B$56,MAX(K8-K46-K49,0))</f>
        <v>4043.35921171483</v>
      </c>
      <c r="L52" s="1" t="n">
        <f aca="false">MIN(MAX(L14-L45-L58,0)*Inputs!$B$56,MAX(L8-L46-L49,0))</f>
        <v>3935.41414101049</v>
      </c>
      <c r="M52" s="1" t="n">
        <f aca="false">MIN(MAX(M14-M45-M58,0)*Inputs!$B$56,MAX(M8-M46-M49,0))</f>
        <v>3828.34970628984</v>
      </c>
      <c r="N52" s="1" t="n">
        <f aca="false">MIN(MAX(N14-N45-N58,0)*Inputs!$B$56,MAX(N8-N46-N49,0))</f>
        <v>3722.13608625792</v>
      </c>
      <c r="O52" s="1" t="n">
        <f aca="false">MIN(MAX(O14-O45-O58,0)*Inputs!$B$56,MAX(O8-O46-O49,0))</f>
        <v>3616.7435039672</v>
      </c>
      <c r="P52" s="1" t="n">
        <f aca="false">MIN(MAX(P14-P45-P58,0)*Inputs!$B$56,MAX(P8-P46-P49,0))</f>
        <v>3512.14221768084</v>
      </c>
      <c r="Q52" s="1" t="n">
        <f aca="false">MIN(MAX(Q14-Q45-Q58,0)*Inputs!$B$56,MAX(Q8-Q46-Q49,0))</f>
        <v>3408.30251169454</v>
      </c>
      <c r="R52" s="1" t="n">
        <f aca="false">MIN(MAX(R14-R45-R58,0)*Inputs!$B$56,MAX(R8-R46-R49,0))</f>
        <v>3305.19468711391</v>
      </c>
      <c r="S52" s="1" t="n">
        <f aca="false">MIN(MAX(S14-S45-S58,0)*Inputs!$B$56,MAX(S8-S46-S49,0))</f>
        <v>3202.78905258435</v>
      </c>
      <c r="T52" s="1" t="n">
        <f aca="false">MIN(MAX(T14-T45-T58,0)*Inputs!$B$56,MAX(T8-T46-T49,0))</f>
        <v>3101.05591497042</v>
      </c>
      <c r="U52" s="1" t="n">
        <f aca="false">MIN(MAX(U14-U45-U58,0)*Inputs!$B$56,MAX(U8-U46-U49,0))</f>
        <v>2999.96556998153</v>
      </c>
      <c r="V52" s="1" t="n">
        <f aca="false">MIN(MAX(V14-V45-V58,0)*Inputs!$B$56,MAX(V8-V46-V49,0))</f>
        <v>2899.4882927409</v>
      </c>
      <c r="W52" s="1" t="n">
        <f aca="false">MIN(MAX(W14-W45-W58,0)*Inputs!$B$56,MAX(W8-W46-W49,0))</f>
        <v>2799.59432829453</v>
      </c>
      <c r="X52" s="1" t="n">
        <f aca="false">MIN(MAX(X14-X45-X58,0)*Inputs!$B$56,MAX(X8-X46-X49,0))</f>
        <v>2700.2538820571</v>
      </c>
      <c r="Y52" s="1" t="n">
        <f aca="false">MIN(MAX(Y14-Y45-Y58,0)*Inputs!$B$56,MAX(Y8-Y46-Y49,0))</f>
        <v>2601.43711019146</v>
      </c>
      <c r="Z52" s="1" t="n">
        <f aca="false">MIN(MAX(Z14-Z45-Z58,0)*Inputs!$B$56,MAX(Z8-Z46-Z49,0))</f>
        <v>2503.11410991858</v>
      </c>
      <c r="AA52" s="1" t="n">
        <f aca="false">MIN(MAX(AA14-AA45-AA58,0)*Inputs!$B$56,MAX(AA8-AA46-AA49,0))</f>
        <v>2405.25490975449</v>
      </c>
      <c r="AB52" s="1" t="n">
        <f aca="false">MIN(MAX(AB14-AB45-AB58,0)*Inputs!$B$56,MAX(AB8-AB46-AB49,0))</f>
        <v>2307.82945967106</v>
      </c>
      <c r="AC52" s="1" t="n">
        <f aca="false">MIN(MAX(AC14-AC45-AC58,0)*Inputs!$B$56,MAX(AC8-AC46-AC49,0))</f>
        <v>2210.80762117712</v>
      </c>
      <c r="AD52" s="1" t="n">
        <f aca="false">MIN(MAX(AD14-AD45-AD58,0)*Inputs!$B$56,MAX(AD8-AD46-AD49,0))</f>
        <v>2114.15915731651</v>
      </c>
      <c r="AE52" s="1" t="n">
        <f aca="false">MIN(MAX(AE14-AE45-AE58,0)*Inputs!$B$56,MAX(AE8-AE46-AE49,0))</f>
        <v>2017.85372257966</v>
      </c>
      <c r="AF52" s="1" t="n">
        <f aca="false">MIN(MAX(AF14-AF45-AF58,0)*Inputs!$B$56,MAX(AF8-AF46-AF49,0))</f>
        <v>1921.86085272524</v>
      </c>
      <c r="AG52" s="1" t="n">
        <f aca="false">MIN(MAX(AG14-AG45-AG58,0)*Inputs!$B$56,MAX(AG8-AG46-AG49,0))</f>
        <v>1826.14995450814</v>
      </c>
      <c r="AH52" s="1" t="n">
        <f aca="false">MIN(MAX(AH14-AH45-AH58,0)*Inputs!$B$56,MAX(AH8-AH46-AH49,0))</f>
        <v>1730.69029531048</v>
      </c>
    </row>
    <row r="53" customFormat="false" ht="15" hidden="false" customHeight="true" outlineLevel="0" collapsed="false">
      <c r="A53" s="1" t="s">
        <v>536</v>
      </c>
      <c r="B53" s="1" t="s">
        <v>330</v>
      </c>
      <c r="C53" s="1" t="s">
        <v>492</v>
      </c>
      <c r="D53" s="1" t="n">
        <f aca="false">MIN(MAX(MAX(D14-D45-D58,0)-D52,0)*Inputs!$B$57,MAX(D9-D47-D50,0))</f>
        <v>912</v>
      </c>
      <c r="E53" s="1" t="n">
        <f aca="false">MIN(MAX(MAX(E14-E45-E58,0)-E52,0)*Inputs!$B$57,MAX(E9-E47-E50,0))</f>
        <v>893.76</v>
      </c>
      <c r="F53" s="1" t="n">
        <f aca="false">MIN(MAX(MAX(F14-F45-F58,0)-F52,0)*Inputs!$B$57,MAX(F9-F47-F50,0))</f>
        <v>875.8848</v>
      </c>
      <c r="G53" s="1" t="n">
        <f aca="false">MIN(MAX(MAX(G14-G45-G58,0)-G52,0)*Inputs!$B$57,MAX(G9-G47-G50,0))</f>
        <v>858.367104</v>
      </c>
      <c r="H53" s="1" t="n">
        <f aca="false">MIN(MAX(MAX(H14-H45-H58,0)-H52,0)*Inputs!$B$57,MAX(H9-H47-H50,0))</f>
        <v>841.19976192</v>
      </c>
      <c r="I53" s="1" t="n">
        <f aca="false">MIN(MAX(MAX(I14-I45-I58,0)-I52,0)*Inputs!$B$57,MAX(I9-I47-I50,0))</f>
        <v>824.3757666816</v>
      </c>
      <c r="J53" s="1" t="n">
        <f aca="false">MIN(MAX(MAX(J14-J45-J58,0)-J52,0)*Inputs!$B$57,MAX(J9-J47-J50,0))</f>
        <v>807.888251347968</v>
      </c>
      <c r="K53" s="1" t="n">
        <f aca="false">MIN(MAX(MAX(K14-K45-K58,0)-K52,0)*Inputs!$B$57,MAX(K9-K47-K50,0))</f>
        <v>791.730486321009</v>
      </c>
      <c r="L53" s="1" t="n">
        <f aca="false">MIN(MAX(MAX(L14-L45-L58,0)-L52,0)*Inputs!$B$57,MAX(L9-L47-L50,0))</f>
        <v>775.895876594588</v>
      </c>
      <c r="M53" s="1" t="n">
        <f aca="false">MIN(MAX(MAX(M14-M45-M58,0)-M52,0)*Inputs!$B$57,MAX(M9-M47-M50,0))</f>
        <v>760.377959062697</v>
      </c>
      <c r="N53" s="1" t="n">
        <f aca="false">MIN(MAX(MAX(N14-N45-N58,0)-N52,0)*Inputs!$B$57,MAX(N9-N47-N50,0))</f>
        <v>745.170399881443</v>
      </c>
      <c r="O53" s="1" t="n">
        <f aca="false">MIN(MAX(MAX(O14-O45-O58,0)-O52,0)*Inputs!$B$57,MAX(O9-O47-O50,0))</f>
        <v>730.266991883814</v>
      </c>
      <c r="P53" s="1" t="n">
        <f aca="false">MIN(MAX(MAX(P14-P45-P58,0)-P52,0)*Inputs!$B$57,MAX(P9-P47-P50,0))</f>
        <v>715.661652046137</v>
      </c>
      <c r="Q53" s="1" t="n">
        <f aca="false">MIN(MAX(MAX(Q14-Q45-Q58,0)-Q52,0)*Inputs!$B$57,MAX(Q9-Q47-Q50,0))</f>
        <v>701.348419005215</v>
      </c>
      <c r="R53" s="1" t="n">
        <f aca="false">MIN(MAX(MAX(R14-R45-R58,0)-R52,0)*Inputs!$B$57,MAX(R9-R47-R50,0))</f>
        <v>687.32145062511</v>
      </c>
      <c r="S53" s="1" t="n">
        <f aca="false">MIN(MAX(MAX(S14-S45-S58,0)-S52,0)*Inputs!$B$57,MAX(S9-S47-S50,0))</f>
        <v>673.575021612608</v>
      </c>
      <c r="T53" s="1" t="n">
        <f aca="false">MIN(MAX(MAX(T14-T45-T58,0)-T52,0)*Inputs!$B$57,MAX(T9-T47-T50,0))</f>
        <v>660.103521180356</v>
      </c>
      <c r="U53" s="1" t="n">
        <f aca="false">MIN(MAX(MAX(U14-U45-U58,0)-U52,0)*Inputs!$B$57,MAX(U9-U47-U50,0))</f>
        <v>646.901450756749</v>
      </c>
      <c r="V53" s="1" t="n">
        <f aca="false">MIN(MAX(MAX(V14-V45-V58,0)-V52,0)*Inputs!$B$57,MAX(V9-V47-V50,0))</f>
        <v>633.963421741614</v>
      </c>
      <c r="W53" s="1" t="n">
        <f aca="false">MIN(MAX(MAX(W14-W45-W58,0)-W52,0)*Inputs!$B$57,MAX(W9-W47-W50,0))</f>
        <v>621.284153306782</v>
      </c>
      <c r="X53" s="1" t="n">
        <f aca="false">MIN(MAX(MAX(X14-X45-X58,0)-X52,0)*Inputs!$B$57,MAX(X9-X47-X50,0))</f>
        <v>608.858470240646</v>
      </c>
      <c r="Y53" s="1" t="n">
        <f aca="false">MIN(MAX(MAX(Y14-Y45-Y58,0)-Y52,0)*Inputs!$B$57,MAX(Y9-Y47-Y50,0))</f>
        <v>596.681300835833</v>
      </c>
      <c r="Z53" s="1" t="n">
        <f aca="false">MIN(MAX(MAX(Z14-Z45-Z58,0)-Z52,0)*Inputs!$B$57,MAX(Z9-Z47-Z50,0))</f>
        <v>584.747674819116</v>
      </c>
      <c r="AA53" s="1" t="n">
        <f aca="false">MIN(MAX(MAX(AA14-AA45-AA58,0)-AA52,0)*Inputs!$B$57,MAX(AA9-AA47-AA50,0))</f>
        <v>573.052721322734</v>
      </c>
      <c r="AB53" s="1" t="n">
        <f aca="false">MIN(MAX(MAX(AB14-AB45-AB58,0)-AB52,0)*Inputs!$B$57,MAX(AB9-AB47-AB50,0))</f>
        <v>561.591666896279</v>
      </c>
      <c r="AC53" s="1" t="n">
        <f aca="false">MIN(MAX(MAX(AC14-AC45-AC58,0)-AC52,0)*Inputs!$B$57,MAX(AC9-AC47-AC50,0))</f>
        <v>550.359833558354</v>
      </c>
      <c r="AD53" s="1" t="n">
        <f aca="false">MIN(MAX(MAX(AD14-AD45-AD58,0)-AD52,0)*Inputs!$B$57,MAX(AD9-AD47-AD50,0))</f>
        <v>539.352636887187</v>
      </c>
      <c r="AE53" s="1" t="n">
        <f aca="false">MIN(MAX(MAX(AE14-AE45-AE58,0)-AE52,0)*Inputs!$B$57,MAX(AE9-AE47-AE50,0))</f>
        <v>528.565584149443</v>
      </c>
      <c r="AF53" s="1" t="n">
        <f aca="false">MIN(MAX(MAX(AF14-AF45-AF58,0)-AF52,0)*Inputs!$B$57,MAX(AF9-AF47-AF50,0))</f>
        <v>517.994272466454</v>
      </c>
      <c r="AG53" s="1" t="n">
        <f aca="false">MIN(MAX(MAX(AG14-AG45-AG58,0)-AG52,0)*Inputs!$B$57,MAX(AG9-AG47-AG50,0))</f>
        <v>507.634387017125</v>
      </c>
      <c r="AH53" s="1" t="n">
        <f aca="false">MIN(MAX(MAX(AH14-AH45-AH58,0)-AH52,0)*Inputs!$B$57,MAX(AH9-AH47-AH50,0))</f>
        <v>497.481699276783</v>
      </c>
    </row>
    <row r="54" customFormat="false" ht="15" hidden="false" customHeight="true" outlineLevel="0" collapsed="false">
      <c r="A54" s="1" t="s">
        <v>537</v>
      </c>
      <c r="B54" s="1" t="s">
        <v>330</v>
      </c>
      <c r="C54" s="1" t="s">
        <v>494</v>
      </c>
      <c r="D54" s="1" t="n">
        <f aca="false">MIN(MAX(D33-D48-D51-D55,0),MAX(MAX(D14-D45-D58,0)-D52-D53,0))</f>
        <v>20</v>
      </c>
      <c r="E54" s="1" t="n">
        <f aca="false">MIN(MAX(E33-E48-E51-E55,0),MAX(MAX(E14-E45-E58,0)-E52-E53,0))</f>
        <v>44.3333333333333</v>
      </c>
      <c r="F54" s="1" t="n">
        <f aca="false">MIN(MAX(F33-F48-F51-F55,0),MAX(MAX(F14-F45-F58,0)-F52-F53,0))</f>
        <v>68.6666666666667</v>
      </c>
      <c r="G54" s="1" t="n">
        <f aca="false">MIN(MAX(G33-G48-G51-G55,0),MAX(MAX(G14-G45-G58,0)-G52-G53,0))</f>
        <v>93</v>
      </c>
      <c r="H54" s="1" t="n">
        <f aca="false">MIN(MAX(H33-H48-H51-H55,0),MAX(MAX(H14-H45-H58,0)-H52-H53,0))</f>
        <v>117.333333333333</v>
      </c>
      <c r="I54" s="1" t="n">
        <f aca="false">MIN(MAX(I33-I48-I51-I55,0),MAX(MAX(I14-I45-I58,0)-I52-I53,0))</f>
        <v>141.666666666667</v>
      </c>
      <c r="J54" s="1" t="n">
        <f aca="false">MIN(MAX(J33-J48-J51-J55,0),MAX(MAX(J14-J45-J58,0)-J52-J53,0))</f>
        <v>166</v>
      </c>
      <c r="K54" s="1" t="n">
        <f aca="false">MIN(MAX(K33-K48-K51-K55,0),MAX(MAX(K14-K45-K58,0)-K52-K53,0))</f>
        <v>175.607844276195</v>
      </c>
      <c r="L54" s="1" t="n">
        <f aca="false">MIN(MAX(L33-L48-L51-L55,0),MAX(MAX(L14-L45-L58,0)-L52-L53,0))</f>
        <v>151.074836465019</v>
      </c>
      <c r="M54" s="1" t="n">
        <f aca="false">MIN(MAX(M33-M48-M51-M55,0),MAX(MAX(M14-M45-M58,0)-M52-M53,0))</f>
        <v>126.723521518721</v>
      </c>
      <c r="N54" s="1" t="n">
        <f aca="false">MIN(MAX(N33-N48-N51-N55,0),MAX(MAX(N14-N45-N58,0)-N52-N53,0))</f>
        <v>102.553883607175</v>
      </c>
      <c r="O54" s="1" t="n">
        <f aca="false">MIN(MAX(O33-O48-O51-O55,0),MAX(MAX(O14-O45-O58,0)-O52-O53,0))</f>
        <v>78.5658769960843</v>
      </c>
      <c r="P54" s="1" t="n">
        <f aca="false">MIN(MAX(P33-P48-P51-P55,0),MAX(MAX(P14-P45-P58,0)-P52-P53,0))</f>
        <v>54.7594265529141</v>
      </c>
      <c r="Q54" s="1" t="n">
        <f aca="false">MIN(MAX(Q33-Q48-Q51-Q55,0),MAX(MAX(Q14-Q45-Q58,0)-Q52-Q53,0))</f>
        <v>31.134428247087</v>
      </c>
      <c r="R54" s="1" t="n">
        <f aca="false">MIN(MAX(R33-R48-R51-R55,0),MAX(MAX(R14-R45-R58,0)-R52-R53,0))</f>
        <v>7.69074964449436</v>
      </c>
      <c r="S54" s="1" t="n">
        <f aca="false">MIN(MAX(S33-S48-S51-S55,0),MAX(MAX(S14-S45-S58,0)-S52-S53,0))</f>
        <v>0</v>
      </c>
      <c r="T54" s="1" t="n">
        <f aca="false">MIN(MAX(T33-T48-T51-T55,0),MAX(MAX(T14-T45-T58,0)-T52-T53,0))</f>
        <v>0</v>
      </c>
      <c r="U54" s="1" t="n">
        <f aca="false">MIN(MAX(U33-U48-U51-U55,0),MAX(MAX(U14-U45-U58,0)-U52-U53,0))</f>
        <v>0</v>
      </c>
      <c r="V54" s="1" t="n">
        <f aca="false">MIN(MAX(V33-V48-V51-V55,0),MAX(MAX(V14-V45-V58,0)-V52-V53,0))</f>
        <v>25.2256166821473</v>
      </c>
      <c r="W54" s="1" t="n">
        <f aca="false">MIN(MAX(W33-W48-W51-W55,0),MAX(MAX(W14-W45-W58,0)-W52-W53,0))</f>
        <v>57.435589871108</v>
      </c>
      <c r="X54" s="1" t="n">
        <f aca="false">MIN(MAX(X33-X48-X51-X55,0),MAX(MAX(X14-X45-X58,0)-X52-X53,0))</f>
        <v>89.8255186741573</v>
      </c>
      <c r="Y54" s="1" t="n">
        <f aca="false">MIN(MAX(Y33-Y48-Y51-Y55,0),MAX(MAX(Y14-Y45-Y58,0)-Y52-Y53,0))</f>
        <v>122.395085212338</v>
      </c>
      <c r="Z54" s="1" t="n">
        <f aca="false">MIN(MAX(Z33-Z48-Z51-Z55,0),MAX(MAX(Z14-Z45-Z58,0)-Z52-Z53,0))</f>
        <v>155.143946960908</v>
      </c>
      <c r="AA54" s="1" t="n">
        <f aca="false">MIN(MAX(AA33-AA48-AA51-AA55,0),MAX(MAX(AA14-AA45-AA58,0)-AA52-AA53,0))</f>
        <v>188.071737195032</v>
      </c>
      <c r="AB54" s="1" t="n">
        <f aca="false">MIN(MAX(AB33-AB48-AB51-AB55,0),MAX(MAX(AB14-AB45-AB58,0)-AB52-AB53,0))</f>
        <v>221.178065430315</v>
      </c>
      <c r="AC54" s="1" t="n">
        <f aca="false">MIN(MAX(AC33-AC48-AC51-AC55,0),MAX(MAX(AC14-AC45-AC58,0)-AC52-AC53,0))</f>
        <v>254.462517858203</v>
      </c>
      <c r="AD54" s="1" t="n">
        <f aca="false">MIN(MAX(AD33-AD48-AD51-AD55,0),MAX(MAX(AD14-AD45-AD58,0)-AD52-AD53,0))</f>
        <v>287.924657776313</v>
      </c>
      <c r="AE54" s="1" t="n">
        <f aca="false">MIN(MAX(AE33-AE48-AE51-AE55,0),MAX(MAX(AE14-AE45-AE58,0)-AE52-AE53,0))</f>
        <v>321.564026013746</v>
      </c>
      <c r="AF54" s="1" t="n">
        <f aca="false">MIN(MAX(AF33-AF48-AF51-AF55,0),MAX(MAX(AF14-AF45-AF58,0)-AF52-AF53,0))</f>
        <v>355.38014135141</v>
      </c>
      <c r="AG54" s="1" t="n">
        <f aca="false">MIN(MAX(AG33-AG48-AG51-AG55,0),MAX(MAX(AG14-AG45-AG58,0)-AG52-AG53,0))</f>
        <v>389.372500937429</v>
      </c>
      <c r="AH54" s="1" t="n">
        <f aca="false">MIN(MAX(AH33-AH48-AH51-AH55,0),MAX(MAX(AH14-AH45-AH58,0)-AH52-AH53,0))</f>
        <v>423.540580697657</v>
      </c>
    </row>
    <row r="55" customFormat="false" ht="15" hidden="false" customHeight="true" outlineLevel="0" collapsed="false">
      <c r="A55" s="1" t="s">
        <v>538</v>
      </c>
      <c r="B55" s="1" t="s">
        <v>330</v>
      </c>
      <c r="C55" s="1" t="s">
        <v>496</v>
      </c>
      <c r="D55" s="1" t="n">
        <f aca="false">MAX(Supply!D6-Supply!D44,0)</f>
        <v>0</v>
      </c>
      <c r="E55" s="1" t="n">
        <f aca="false">MAX(Supply!E6-Supply!E44,0)</f>
        <v>0</v>
      </c>
      <c r="F55" s="1" t="n">
        <f aca="false">MAX(Supply!F6-Supply!F44,0)</f>
        <v>0</v>
      </c>
      <c r="G55" s="1" t="n">
        <f aca="false">MAX(Supply!G6-Supply!G44,0)</f>
        <v>0</v>
      </c>
      <c r="H55" s="1" t="n">
        <f aca="false">MAX(Supply!H6-Supply!H44,0)</f>
        <v>0</v>
      </c>
      <c r="I55" s="1" t="n">
        <f aca="false">MAX(Supply!I6-Supply!I44,0)</f>
        <v>0</v>
      </c>
      <c r="J55" s="1" t="n">
        <f aca="false">MAX(Supply!J6-Supply!J44,0)</f>
        <v>0</v>
      </c>
      <c r="K55" s="1" t="n">
        <f aca="false">MAX(Supply!K6-Supply!K44,0)</f>
        <v>14.7254890571379</v>
      </c>
      <c r="L55" s="1" t="n">
        <f aca="false">MAX(Supply!L6-Supply!L44,0)</f>
        <v>63.5918302016477</v>
      </c>
      <c r="M55" s="1" t="n">
        <f aca="false">MAX(Supply!M6-Supply!M44,0)</f>
        <v>112.276478481279</v>
      </c>
      <c r="N55" s="1" t="n">
        <f aca="false">MAX(Supply!N6-Supply!N44,0)</f>
        <v>160.779449726159</v>
      </c>
      <c r="O55" s="1" t="n">
        <f aca="false">MAX(Supply!O6-Supply!O44,0)</f>
        <v>209.100789670582</v>
      </c>
      <c r="P55" s="1" t="n">
        <f aca="false">MAX(Supply!P6-Supply!P44,0)</f>
        <v>257.240573447086</v>
      </c>
      <c r="Q55" s="1" t="n">
        <f aca="false">MAX(Supply!Q6-Supply!Q44,0)</f>
        <v>305.198905086246</v>
      </c>
      <c r="R55" s="1" t="n">
        <f aca="false">MAX(Supply!R6-Supply!R44,0)</f>
        <v>352.975917022172</v>
      </c>
      <c r="S55" s="1" t="n">
        <f aca="false">MAX(Supply!S6-Supply!S44,0)</f>
        <v>400.571769603625</v>
      </c>
      <c r="T55" s="1" t="n">
        <f aca="false">MAX(Supply!T6-Supply!T44,0)</f>
        <v>447.986650610717</v>
      </c>
      <c r="U55" s="1" t="n">
        <f aca="false">MAX(Supply!U6-Supply!U44,0)</f>
        <v>440.470774777138</v>
      </c>
      <c r="V55" s="1" t="n">
        <f aca="false">MAX(Supply!V6-Supply!V44,0)</f>
        <v>432.774383317853</v>
      </c>
      <c r="W55" s="1" t="n">
        <f aca="false">MAX(Supply!W6-Supply!W44,0)</f>
        <v>424.897743462225</v>
      </c>
      <c r="X55" s="1" t="n">
        <f aca="false">MAX(Supply!X6-Supply!X44,0)</f>
        <v>416.841147992509</v>
      </c>
      <c r="Y55" s="1" t="n">
        <f aca="false">MAX(Supply!Y6-Supply!Y44,0)</f>
        <v>408.604914787662</v>
      </c>
      <c r="Z55" s="1" t="n">
        <f aca="false">MAX(Supply!Z6-Supply!Z44,0)</f>
        <v>400.189386372426</v>
      </c>
      <c r="AA55" s="1" t="n">
        <f aca="false">MAX(Supply!AA6-Supply!AA44,0)</f>
        <v>391.594929471635</v>
      </c>
      <c r="AB55" s="1" t="n">
        <f aca="false">MAX(Supply!AB6-Supply!AB44,0)</f>
        <v>382.821934569685</v>
      </c>
      <c r="AC55" s="1" t="n">
        <f aca="false">MAX(Supply!AC6-Supply!AC44,0)</f>
        <v>373.87081547513</v>
      </c>
      <c r="AD55" s="1" t="n">
        <f aca="false">MAX(Supply!AD6-Supply!AD44,0)</f>
        <v>364.742008890353</v>
      </c>
      <c r="AE55" s="1" t="n">
        <f aca="false">MAX(Supply!AE6-Supply!AE44,0)</f>
        <v>355.435973986254</v>
      </c>
      <c r="AF55" s="1" t="n">
        <f aca="false">MAX(Supply!AF6-Supply!AF44,0)</f>
        <v>345.953191981923</v>
      </c>
      <c r="AG55" s="1" t="n">
        <f aca="false">MAX(Supply!AG6-Supply!AG44,0)</f>
        <v>336.294165729238</v>
      </c>
      <c r="AH55" s="1" t="n">
        <f aca="false">MAX(Supply!AH6-Supply!AH44,0)</f>
        <v>326.459419302343</v>
      </c>
    </row>
    <row r="56" customFormat="false" ht="15" hidden="false" customHeight="true" outlineLevel="0" collapsed="false">
      <c r="A56" s="1" t="s">
        <v>539</v>
      </c>
      <c r="B56" s="1" t="s">
        <v>330</v>
      </c>
      <c r="C56" s="1" t="s">
        <v>498</v>
      </c>
      <c r="D56" s="1" t="n">
        <f aca="false">D46+D47+D48+D49+D50+D51+D52+D53+D54+D55+D44+D45+D58+D65</f>
        <v>7039.5343826149</v>
      </c>
      <c r="E56" s="1" t="n">
        <f aca="false">E46+E47+E48+E49+E50+E51+E52+E53+E54+E55+E44+E45+E58+E65</f>
        <v>7126.17359015226</v>
      </c>
      <c r="F56" s="1" t="n">
        <f aca="false">F46+F47+F48+F49+F50+F51+F52+F53+F54+F55+F44+F45+F58+F65</f>
        <v>7211.7089819153</v>
      </c>
      <c r="G56" s="1" t="n">
        <f aca="false">G46+G47+G48+G49+G50+G51+G52+G53+G54+G55+G44+G45+G58+G65</f>
        <v>7296.16854336186</v>
      </c>
      <c r="H56" s="1" t="n">
        <f aca="false">H46+H47+H48+H49+H50+H51+H52+H53+H54+H55+H44+H45+H58+H65</f>
        <v>7379.58025789088</v>
      </c>
      <c r="I56" s="1" t="n">
        <f aca="false">I46+I47+I48+I49+I50+I51+I52+I53+I54+I55+I44+I45+I58+I65</f>
        <v>7461.97211324726</v>
      </c>
      <c r="J56" s="1" t="n">
        <f aca="false">J46+J47+J48+J49+J50+J51+J52+J53+J54+J55+J44+J45+J58+J65</f>
        <v>7543.37210799636</v>
      </c>
      <c r="K56" s="1" t="n">
        <f aca="false">K46+K47+K48+K49+K50+K51+K52+K53+K54+K55+K44+K45+K58+K65</f>
        <v>7678.55825807</v>
      </c>
      <c r="L56" s="1" t="n">
        <f aca="false">L46+L47+L48+L49+L50+L51+L52+L53+L54+L55+L44+L45+L58+L65</f>
        <v>7812.80860338614</v>
      </c>
      <c r="M56" s="1" t="n">
        <f aca="false">M46+M47+M48+M49+M50+M51+M52+M53+M54+M55+M44+M45+M58+M65</f>
        <v>7946.15121454423</v>
      </c>
      <c r="N56" s="1" t="n">
        <f aca="false">N46+N47+N48+N49+N50+N51+N52+N53+N54+N55+N44+N45+N58+N65</f>
        <v>8078.61419959842</v>
      </c>
      <c r="O56" s="1" t="n">
        <f aca="false">O46+O47+O48+O49+O50+O51+O52+O53+O54+O55+O44+O45+O58+O65</f>
        <v>8210.22571091063</v>
      </c>
      <c r="P56" s="1" t="n">
        <f aca="false">P46+P47+P48+P49+P50+P51+P52+P53+P54+P55+P44+P45+P58+P65</f>
        <v>8341.01395208585</v>
      </c>
      <c r="Q56" s="1" t="n">
        <f aca="false">Q46+Q47+Q48+Q49+Q50+Q51+Q52+Q53+Q54+Q55+Q44+Q45+Q58+Q65</f>
        <v>8471.00718499181</v>
      </c>
      <c r="R56" s="1" t="n">
        <f aca="false">R46+R47+R48+R49+R50+R51+R52+R53+R54+R55+R44+R45+R58+R65</f>
        <v>8600.23373686522</v>
      </c>
      <c r="S56" s="1" t="n">
        <f aca="false">S46+S47+S48+S49+S50+S51+S52+S53+S54+S55+S44+S45+S58+S65</f>
        <v>8728.72200750699</v>
      </c>
      <c r="T56" s="1" t="n">
        <f aca="false">T46+T47+T48+T49+T50+T51+T52+T53+T54+T55+T44+T45+T58+T65</f>
        <v>8856.50047656877</v>
      </c>
      <c r="U56" s="1" t="n">
        <f aca="false">U46+U47+U48+U49+U50+U51+U52+U53+U54+U55+U44+U45+U58+U65</f>
        <v>8928.84771093307</v>
      </c>
      <c r="V56" s="1" t="n">
        <f aca="false">V46+V47+V48+V49+V50+V51+V52+V53+V54+V55+V44+V45+V58+V65</f>
        <v>9000.54237218954</v>
      </c>
      <c r="W56" s="1" t="n">
        <f aca="false">W46+W47+W48+W49+W50+W51+W52+W53+W54+W55+W44+W45+W58+W65</f>
        <v>9071.61322420982</v>
      </c>
      <c r="X56" s="1" t="n">
        <f aca="false">X46+X47+X48+X49+X50+X51+X52+X53+X54+X55+X44+X45+X58+X65</f>
        <v>9142.08914082344</v>
      </c>
      <c r="Y56" s="1" t="n">
        <f aca="false">Y46+Y47+Y48+Y49+Y50+Y51+Y52+Y53+Y54+Y55+Y44+Y45+Y58+Y65</f>
        <v>9211.99911359741</v>
      </c>
      <c r="Z56" s="1" t="n">
        <f aca="false">Z46+Z47+Z48+Z49+Z50+Z51+Z52+Z53+Z54+Z55+Z44+Z45+Z58+Z65</f>
        <v>9281.37225972204</v>
      </c>
      <c r="AA56" s="1" t="n">
        <f aca="false">AA46+AA47+AA48+AA49+AA50+AA51+AA52+AA53+AA54+AA55+AA44+AA45+AA58+AA65</f>
        <v>9350.23783000565</v>
      </c>
      <c r="AB56" s="1" t="n">
        <f aca="false">AB46+AB47+AB48+AB49+AB50+AB51+AB52+AB53+AB54+AB55+AB44+AB45+AB58+AB65</f>
        <v>9418.62521698097</v>
      </c>
      <c r="AC56" s="1" t="n">
        <f aca="false">AC46+AC47+AC48+AC49+AC50+AC51+AC52+AC53+AC54+AC55+AC44+AC45+AC58+AC65</f>
        <v>9486.56396312579</v>
      </c>
      <c r="AD56" s="1" t="n">
        <f aca="false">AD46+AD47+AD48+AD49+AD50+AD51+AD52+AD53+AD54+AD55+AD44+AD45+AD58+AD65</f>
        <v>9554.08376920091</v>
      </c>
      <c r="AE56" s="1" t="n">
        <f aca="false">AE46+AE47+AE48+AE49+AE50+AE51+AE52+AE53+AE54+AE55+AE44+AE45+AE58+AE65</f>
        <v>9621.21450270799</v>
      </c>
      <c r="AF56" s="1" t="n">
        <f aca="false">AF46+AF47+AF48+AF49+AF50+AF51+AF52+AF53+AF54+AF55+AF44+AF45+AF58+AF65</f>
        <v>9687.9862064704</v>
      </c>
      <c r="AG56" s="1" t="n">
        <f aca="false">AG46+AG47+AG48+AG49+AG50+AG51+AG52+AG53+AG54+AG55+AG44+AG45+AG58+AG65</f>
        <v>9754.42910733992</v>
      </c>
      <c r="AH56" s="1" t="n">
        <f aca="false">AH46+AH47+AH48+AH49+AH50+AH51+AH52+AH53+AH54+AH55+AH44+AH45+AH58+AH65</f>
        <v>9820.57362503237</v>
      </c>
    </row>
    <row r="57" customFormat="false" ht="15" hidden="false" customHeight="true" outlineLevel="0" collapsed="false">
      <c r="A57" s="1" t="s">
        <v>540</v>
      </c>
      <c r="B57" s="1" t="s">
        <v>330</v>
      </c>
      <c r="C57" s="1" t="s">
        <v>541</v>
      </c>
      <c r="D57" s="1" t="n">
        <f aca="false">D48+D51+D54+D55</f>
        <v>20</v>
      </c>
      <c r="E57" s="1" t="n">
        <f aca="false">E48+E51+E54+E55</f>
        <v>44.3333333333333</v>
      </c>
      <c r="F57" s="1" t="n">
        <f aca="false">F48+F51+F54+F55</f>
        <v>68.6666666666667</v>
      </c>
      <c r="G57" s="1" t="n">
        <f aca="false">G48+G51+G54+G55</f>
        <v>93</v>
      </c>
      <c r="H57" s="1" t="n">
        <f aca="false">H48+H51+H54+H55</f>
        <v>117.333333333333</v>
      </c>
      <c r="I57" s="1" t="n">
        <f aca="false">I48+I51+I54+I55</f>
        <v>141.666666666667</v>
      </c>
      <c r="J57" s="1" t="n">
        <f aca="false">J48+J51+J54+J55</f>
        <v>166</v>
      </c>
      <c r="K57" s="1" t="n">
        <f aca="false">K48+K51+K54+K55</f>
        <v>190.333333333333</v>
      </c>
      <c r="L57" s="1" t="n">
        <f aca="false">L48+L51+L54+L55</f>
        <v>214.666666666667</v>
      </c>
      <c r="M57" s="1" t="n">
        <f aca="false">M48+M51+M54+M55</f>
        <v>239</v>
      </c>
      <c r="N57" s="1" t="n">
        <f aca="false">N48+N51+N54+N55</f>
        <v>263.333333333333</v>
      </c>
      <c r="O57" s="1" t="n">
        <f aca="false">O48+O51+O54+O55</f>
        <v>287.666666666667</v>
      </c>
      <c r="P57" s="1" t="n">
        <f aca="false">P48+P51+P54+P55</f>
        <v>312</v>
      </c>
      <c r="Q57" s="1" t="n">
        <f aca="false">Q48+Q51+Q54+Q55</f>
        <v>336.333333333333</v>
      </c>
      <c r="R57" s="1" t="n">
        <f aca="false">R48+R51+R54+R55</f>
        <v>360.666666666667</v>
      </c>
      <c r="S57" s="1" t="n">
        <f aca="false">S48+S51+S54+S55</f>
        <v>400.571769603625</v>
      </c>
      <c r="T57" s="1" t="n">
        <f aca="false">T48+T51+T54+T55</f>
        <v>447.986650610717</v>
      </c>
      <c r="U57" s="1" t="n">
        <f aca="false">U48+U51+U54+U55</f>
        <v>440.470774777138</v>
      </c>
      <c r="V57" s="1" t="n">
        <f aca="false">V48+V51+V54+V55</f>
        <v>458</v>
      </c>
      <c r="W57" s="1" t="n">
        <f aca="false">W48+W51+W54+W55</f>
        <v>482.333333333333</v>
      </c>
      <c r="X57" s="1" t="n">
        <f aca="false">X48+X51+X54+X55</f>
        <v>506.666666666667</v>
      </c>
      <c r="Y57" s="1" t="n">
        <f aca="false">Y48+Y51+Y54+Y55</f>
        <v>531</v>
      </c>
      <c r="Z57" s="1" t="n">
        <f aca="false">Z48+Z51+Z54+Z55</f>
        <v>555.333333333333</v>
      </c>
      <c r="AA57" s="1" t="n">
        <f aca="false">AA48+AA51+AA54+AA55</f>
        <v>579.666666666667</v>
      </c>
      <c r="AB57" s="1" t="n">
        <f aca="false">AB48+AB51+AB54+AB55</f>
        <v>604</v>
      </c>
      <c r="AC57" s="1" t="n">
        <f aca="false">AC48+AC51+AC54+AC55</f>
        <v>628.333333333333</v>
      </c>
      <c r="AD57" s="1" t="n">
        <f aca="false">AD48+AD51+AD54+AD55</f>
        <v>652.666666666667</v>
      </c>
      <c r="AE57" s="1" t="n">
        <f aca="false">AE48+AE51+AE54+AE55</f>
        <v>677</v>
      </c>
      <c r="AF57" s="1" t="n">
        <f aca="false">AF48+AF51+AF54+AF55</f>
        <v>701.333333333333</v>
      </c>
      <c r="AG57" s="1" t="n">
        <f aca="false">AG48+AG51+AG54+AG55</f>
        <v>725.666666666667</v>
      </c>
      <c r="AH57" s="1" t="n">
        <f aca="false">AH48+AH51+AH54+AH55</f>
        <v>750</v>
      </c>
    </row>
    <row r="58" customFormat="false" ht="15" hidden="false" customHeight="true" outlineLevel="0" collapsed="false">
      <c r="A58" s="1" t="s">
        <v>542</v>
      </c>
      <c r="B58" s="1" t="s">
        <v>330</v>
      </c>
      <c r="C58" s="1" t="s">
        <v>459</v>
      </c>
      <c r="D58" s="1" t="n">
        <f aca="false">MIN(D11,MAX(D14-D45,0))</f>
        <v>60</v>
      </c>
      <c r="E58" s="1" t="n">
        <f aca="false">MIN(E11,MAX(E14-E45,0))</f>
        <v>59.4</v>
      </c>
      <c r="F58" s="1" t="n">
        <f aca="false">MIN(F11,MAX(F14-F45,0))</f>
        <v>58.806</v>
      </c>
      <c r="G58" s="1" t="n">
        <f aca="false">MIN(G11,MAX(G14-G45,0))</f>
        <v>58.21794</v>
      </c>
      <c r="H58" s="1" t="n">
        <f aca="false">MIN(H11,MAX(H14-H45,0))</f>
        <v>57.6357606</v>
      </c>
      <c r="I58" s="1" t="n">
        <f aca="false">MIN(I11,MAX(I14-I45,0))</f>
        <v>57.059402994</v>
      </c>
      <c r="J58" s="1" t="n">
        <f aca="false">MIN(J11,MAX(J14-J45,0))</f>
        <v>56.48880896406</v>
      </c>
      <c r="K58" s="1" t="n">
        <f aca="false">MIN(K11,MAX(K14-K45,0))</f>
        <v>55.9239208744194</v>
      </c>
      <c r="L58" s="1" t="n">
        <f aca="false">MIN(L11,MAX(L14-L45,0))</f>
        <v>55.3646816656752</v>
      </c>
      <c r="M58" s="1" t="n">
        <f aca="false">MIN(M11,MAX(M14-M45,0))</f>
        <v>54.8110348490185</v>
      </c>
      <c r="N58" s="1" t="n">
        <f aca="false">MIN(N11,MAX(N14-N45,0))</f>
        <v>54.2629245005283</v>
      </c>
      <c r="O58" s="1" t="n">
        <f aca="false">MIN(O11,MAX(O14-O45,0))</f>
        <v>53.720295255523</v>
      </c>
      <c r="P58" s="1" t="n">
        <f aca="false">MIN(P11,MAX(P14-P45,0))</f>
        <v>53.1830923029678</v>
      </c>
      <c r="Q58" s="1" t="n">
        <f aca="false">MIN(Q11,MAX(Q14-Q45,0))</f>
        <v>52.6512613799381</v>
      </c>
      <c r="R58" s="1" t="n">
        <f aca="false">MIN(R11,MAX(R14-R45,0))</f>
        <v>52.1247487661387</v>
      </c>
      <c r="S58" s="1" t="n">
        <f aca="false">MIN(S11,MAX(S14-S45,0))</f>
        <v>51.6035012784773</v>
      </c>
      <c r="T58" s="1" t="n">
        <f aca="false">MIN(T11,MAX(T14-T45,0))</f>
        <v>51.0874662656925</v>
      </c>
      <c r="U58" s="1" t="n">
        <f aca="false">MIN(U11,MAX(U14-U45,0))</f>
        <v>50.5765916030356</v>
      </c>
      <c r="V58" s="1" t="n">
        <f aca="false">MIN(V11,MAX(V14-V45,0))</f>
        <v>50.0708256870053</v>
      </c>
      <c r="W58" s="1" t="n">
        <f aca="false">MIN(W11,MAX(W14-W45,0))</f>
        <v>49.5701174301352</v>
      </c>
      <c r="X58" s="1" t="n">
        <f aca="false">MIN(X11,MAX(X14-X45,0))</f>
        <v>49.0744162558338</v>
      </c>
      <c r="Y58" s="1" t="n">
        <f aca="false">MIN(Y11,MAX(Y14-Y45,0))</f>
        <v>48.5836720932755</v>
      </c>
      <c r="Z58" s="1" t="n">
        <f aca="false">MIN(Z11,MAX(Z14-Z45,0))</f>
        <v>48.0978353723428</v>
      </c>
      <c r="AA58" s="1" t="n">
        <f aca="false">MIN(AA11,MAX(AA14-AA45,0))</f>
        <v>47.6168570186193</v>
      </c>
      <c r="AB58" s="1" t="n">
        <f aca="false">MIN(AB11,MAX(AB14-AB45,0))</f>
        <v>47.1406884484331</v>
      </c>
      <c r="AC58" s="1" t="n">
        <f aca="false">MIN(AC11,MAX(AC14-AC45,0))</f>
        <v>46.6692815639488</v>
      </c>
      <c r="AD58" s="1" t="n">
        <f aca="false">MIN(AD11,MAX(AD14-AD45,0))</f>
        <v>46.2025887483093</v>
      </c>
      <c r="AE58" s="1" t="n">
        <f aca="false">MIN(AE11,MAX(AE14-AE45,0))</f>
        <v>45.7405628608262</v>
      </c>
      <c r="AF58" s="1" t="n">
        <f aca="false">MIN(AF11,MAX(AF14-AF45,0))</f>
        <v>45.283157232218</v>
      </c>
      <c r="AG58" s="1" t="n">
        <f aca="false">MIN(AG11,MAX(AG14-AG45,0))</f>
        <v>44.8303256598958</v>
      </c>
      <c r="AH58" s="1" t="n">
        <f aca="false">MIN(AH11,MAX(AH14-AH45,0))</f>
        <v>44.3820224032968</v>
      </c>
    </row>
    <row r="59" customFormat="false" ht="15" hidden="false" customHeight="true" outlineLevel="0" collapsed="false">
      <c r="A59" s="1" t="s">
        <v>543</v>
      </c>
      <c r="B59" s="1" t="s">
        <v>330</v>
      </c>
      <c r="C59" s="1" t="s">
        <v>544</v>
      </c>
      <c r="D59" s="1" t="n">
        <f aca="false">D44+D45</f>
        <v>7.84221977495</v>
      </c>
      <c r="E59" s="1" t="n">
        <f aca="false">E44+E45</f>
        <v>16.9571450538365</v>
      </c>
      <c r="F59" s="1" t="n">
        <f aca="false">F44+F45</f>
        <v>26.3092212436009</v>
      </c>
      <c r="G59" s="1" t="n">
        <f aca="false">G44+G45</f>
        <v>35.8942064809066</v>
      </c>
      <c r="H59" s="1" t="n">
        <f aca="false">H44+H45</f>
        <v>45.7079036046831</v>
      </c>
      <c r="I59" s="1" t="n">
        <f aca="false">I44+I45</f>
        <v>55.7461597740879</v>
      </c>
      <c r="J59" s="1" t="n">
        <f aca="false">J44+J45</f>
        <v>66.0048660893765</v>
      </c>
      <c r="K59" s="1" t="n">
        <f aca="false">K44+K45</f>
        <v>76.47995721566</v>
      </c>
      <c r="L59" s="1" t="n">
        <f aca="false">L44+L45</f>
        <v>87.1674110095298</v>
      </c>
      <c r="M59" s="1" t="n">
        <f aca="false">M44+M45</f>
        <v>98.0632481485294</v>
      </c>
      <c r="N59" s="1" t="n">
        <f aca="false">N44+N45</f>
        <v>109.163531763453</v>
      </c>
      <c r="O59" s="1" t="n">
        <f aca="false">O44+O45</f>
        <v>120.464367073449</v>
      </c>
      <c r="P59" s="1" t="n">
        <f aca="false">P44+P45</f>
        <v>131.961901023915</v>
      </c>
      <c r="Q59" s="1" t="n">
        <f aca="false">Q44+Q45</f>
        <v>143.652321927154</v>
      </c>
      <c r="R59" s="1" t="n">
        <f aca="false">R44+R45</f>
        <v>155.531859105782</v>
      </c>
      <c r="S59" s="1" t="n">
        <f aca="false">S44+S45</f>
        <v>167.596782538864</v>
      </c>
      <c r="T59" s="1" t="n">
        <f aca="false">T44+T45</f>
        <v>179.843402510753</v>
      </c>
      <c r="U59" s="1" t="n">
        <f aca="false">U44+U45</f>
        <v>192.268069262627</v>
      </c>
      <c r="V59" s="1" t="n">
        <f aca="false">V44+V45</f>
        <v>204.867172646692</v>
      </c>
      <c r="W59" s="1" t="n">
        <f aca="false">W44+W45</f>
        <v>217.637141783032</v>
      </c>
      <c r="X59" s="1" t="n">
        <f aca="false">X44+X45</f>
        <v>230.574444719101</v>
      </c>
      <c r="Y59" s="1" t="n">
        <f aca="false">Y44+Y45</f>
        <v>243.675588091822</v>
      </c>
      <c r="Z59" s="1" t="n">
        <f aca="false">Z44+Z45</f>
        <v>256.937116792281</v>
      </c>
      <c r="AA59" s="1" t="n">
        <f aca="false">AA44+AA45</f>
        <v>270.355613633003</v>
      </c>
      <c r="AB59" s="1" t="n">
        <f aca="false">AB44+AB45</f>
        <v>283.927699017785</v>
      </c>
      <c r="AC59" s="1" t="n">
        <f aca="false">AC44+AC45</f>
        <v>297.650030614062</v>
      </c>
      <c r="AD59" s="1" t="n">
        <f aca="false">AD44+AD45</f>
        <v>311.519303027807</v>
      </c>
      <c r="AE59" s="1" t="n">
        <f aca="false">AE44+AE45</f>
        <v>325.532247480925</v>
      </c>
      <c r="AF59" s="1" t="n">
        <f aca="false">AF44+AF45</f>
        <v>339.68563149114</v>
      </c>
      <c r="AG59" s="1" t="n">
        <f aca="false">AG44+AG45</f>
        <v>353.97625855435</v>
      </c>
      <c r="AH59" s="1" t="n">
        <f aca="false">AH44+AH45</f>
        <v>368.400967829428</v>
      </c>
    </row>
    <row r="60" customFormat="false" ht="15" hidden="false" customHeight="true" outlineLevel="0" collapsed="false">
      <c r="A60" s="1" t="s">
        <v>545</v>
      </c>
      <c r="B60" s="1" t="s">
        <v>330</v>
      </c>
      <c r="C60" s="1" t="s">
        <v>513</v>
      </c>
      <c r="D60" s="64" t="n">
        <f aca="false">D46+D49+D52+D65+D47+D50+D53+D58+D57+D59</f>
        <v>7039.5343826149</v>
      </c>
      <c r="E60" s="1" t="n">
        <f aca="false">E46+E49+E52+E65+E47+E50+E53+E58+E57+E59</f>
        <v>7126.17359015226</v>
      </c>
      <c r="F60" s="1" t="n">
        <f aca="false">F46+F49+F52+F65+F47+F50+F53+F58+F57+F59</f>
        <v>7211.7089819153</v>
      </c>
      <c r="G60" s="1" t="n">
        <f aca="false">G46+G49+G52+G65+G47+G50+G53+G58+G57+G59</f>
        <v>7296.16854336186</v>
      </c>
      <c r="H60" s="1" t="n">
        <f aca="false">H46+H49+H52+H65+H47+H50+H53+H58+H57+H59</f>
        <v>7379.58025789088</v>
      </c>
      <c r="I60" s="1" t="n">
        <f aca="false">I46+I49+I52+I65+I47+I50+I53+I58+I57+I59</f>
        <v>7461.97211324726</v>
      </c>
      <c r="J60" s="1" t="n">
        <f aca="false">J46+J49+J52+J65+J47+J50+J53+J58+J57+J59</f>
        <v>7543.37210799636</v>
      </c>
      <c r="K60" s="1" t="n">
        <f aca="false">K46+K49+K52+K65+K47+K50+K53+K58+K57+K59</f>
        <v>7678.55825807</v>
      </c>
      <c r="L60" s="1" t="n">
        <f aca="false">L46+L49+L52+L65+L47+L50+L53+L58+L57+L59</f>
        <v>7812.80860338614</v>
      </c>
      <c r="M60" s="1" t="n">
        <f aca="false">M46+M49+M52+M65+M47+M50+M53+M58+M57+M59</f>
        <v>7946.15121454423</v>
      </c>
      <c r="N60" s="1" t="n">
        <f aca="false">N46+N49+N52+N65+N47+N50+N53+N58+N57+N59</f>
        <v>8078.61419959842</v>
      </c>
      <c r="O60" s="1" t="n">
        <f aca="false">O46+O49+O52+O65+O47+O50+O53+O58+O57+O59</f>
        <v>8210.22571091063</v>
      </c>
      <c r="P60" s="1" t="n">
        <f aca="false">P46+P49+P52+P65+P47+P50+P53+P58+P57+P59</f>
        <v>8341.01395208585</v>
      </c>
      <c r="Q60" s="1" t="n">
        <f aca="false">Q46+Q49+Q52+Q65+Q47+Q50+Q53+Q58+Q57+Q59</f>
        <v>8471.00718499181</v>
      </c>
      <c r="R60" s="1" t="n">
        <f aca="false">R46+R49+R52+R65+R47+R50+R53+R58+R57+R59</f>
        <v>8600.23373686522</v>
      </c>
      <c r="S60" s="1" t="n">
        <f aca="false">S46+S49+S52+S65+S47+S50+S53+S58+S57+S59</f>
        <v>8728.72200750699</v>
      </c>
      <c r="T60" s="1" t="n">
        <f aca="false">T46+T49+T52+T65+T47+T50+T53+T58+T57+T59</f>
        <v>8856.50047656878</v>
      </c>
      <c r="U60" s="1" t="n">
        <f aca="false">U46+U49+U52+U65+U47+U50+U53+U58+U57+U59</f>
        <v>8928.84771093307</v>
      </c>
      <c r="V60" s="1" t="n">
        <f aca="false">V46+V49+V52+V65+V47+V50+V53+V58+V57+V59</f>
        <v>9000.54237218954</v>
      </c>
      <c r="W60" s="1" t="n">
        <f aca="false">W46+W49+W52+W65+W47+W50+W53+W58+W57+W59</f>
        <v>9071.61322420982</v>
      </c>
      <c r="X60" s="1" t="n">
        <f aca="false">X46+X49+X52+X65+X47+X50+X53+X58+X57+X59</f>
        <v>9142.08914082344</v>
      </c>
      <c r="Y60" s="1" t="n">
        <f aca="false">Y46+Y49+Y52+Y65+Y47+Y50+Y53+Y58+Y57+Y59</f>
        <v>9211.99911359741</v>
      </c>
      <c r="Z60" s="1" t="n">
        <f aca="false">Z46+Z49+Z52+Z65+Z47+Z50+Z53+Z58+Z57+Z59</f>
        <v>9281.37225972204</v>
      </c>
      <c r="AA60" s="1" t="n">
        <f aca="false">AA46+AA49+AA52+AA65+AA47+AA50+AA53+AA58+AA57+AA59</f>
        <v>9350.23783000565</v>
      </c>
      <c r="AB60" s="1" t="n">
        <f aca="false">AB46+AB49+AB52+AB65+AB47+AB50+AB53+AB58+AB57+AB59</f>
        <v>9418.62521698097</v>
      </c>
      <c r="AC60" s="1" t="n">
        <f aca="false">AC46+AC49+AC52+AC65+AC47+AC50+AC53+AC58+AC57+AC59</f>
        <v>9486.56396312579</v>
      </c>
      <c r="AD60" s="1" t="n">
        <f aca="false">AD46+AD49+AD52+AD65+AD47+AD50+AD53+AD58+AD57+AD59</f>
        <v>9554.08376920091</v>
      </c>
      <c r="AE60" s="1" t="n">
        <f aca="false">AE46+AE49+AE52+AE65+AE47+AE50+AE53+AE58+AE57+AE59</f>
        <v>9621.21450270799</v>
      </c>
      <c r="AF60" s="1" t="n">
        <f aca="false">AF46+AF49+AF52+AF65+AF47+AF50+AF53+AF58+AF57+AF59</f>
        <v>9687.9862064704</v>
      </c>
      <c r="AG60" s="1" t="n">
        <f aca="false">AG46+AG49+AG52+AG65+AG47+AG50+AG53+AG58+AG57+AG59</f>
        <v>9754.42910733992</v>
      </c>
      <c r="AH60" s="1" t="n">
        <f aca="false">AH46+AH49+AH52+AH65+AH47+AH50+AH53+AH58+AH57+AH59</f>
        <v>9820.57362503237</v>
      </c>
    </row>
    <row r="61" customFormat="false" ht="15" hidden="false" customHeight="true" outlineLevel="0" collapsed="false">
      <c r="A61" s="1" t="s">
        <v>546</v>
      </c>
      <c r="B61" s="1" t="s">
        <v>515</v>
      </c>
      <c r="D61" s="1" t="n">
        <f aca="false">(D46+D49+D52+D65)/D5</f>
        <v>0.857967563558721</v>
      </c>
      <c r="E61" s="1" t="n">
        <f aca="false">(E46+E49+E52+E65)/E5</f>
        <v>0.857644433502287</v>
      </c>
      <c r="F61" s="1" t="n">
        <f aca="false">(F46+F49+F52+F65)/F5</f>
        <v>0.857222928643911</v>
      </c>
      <c r="G61" s="1" t="n">
        <f aca="false">(G46+G49+G52+G65)/G5</f>
        <v>0.856708456737599</v>
      </c>
      <c r="H61" s="1" t="n">
        <f aca="false">(H46+H49+H52+H65)/H5</f>
        <v>0.856106076179256</v>
      </c>
      <c r="I61" s="1" t="n">
        <f aca="false">(I46+I49+I52+I65)/I5</f>
        <v>0.855420526940717</v>
      </c>
      <c r="J61" s="1" t="n">
        <f aca="false">(J46+J49+J52+J65)/J5</f>
        <v>0.854656258407406</v>
      </c>
      <c r="K61" s="1" t="n">
        <f aca="false">(K46+K49+K52+K65)/K5</f>
        <v>0.854859771810269</v>
      </c>
      <c r="L61" s="1" t="n">
        <f aca="false">(L46+L49+L52+L65)/L5</f>
        <v>0.854969615479206</v>
      </c>
      <c r="M61" s="1" t="n">
        <f aca="false">(M46+M49+M52+M65)/M5</f>
        <v>0.854992409413098</v>
      </c>
      <c r="N61" s="1" t="n">
        <f aca="false">(N46+N49+N52+N65)/N5</f>
        <v>0.854934254746685</v>
      </c>
      <c r="O61" s="1" t="n">
        <f aca="false">(O46+O49+O52+O65)/O5</f>
        <v>0.854800785891277</v>
      </c>
      <c r="P61" s="1" t="n">
        <f aca="false">(P46+P49+P52+P65)/P5</f>
        <v>0.85459721655666</v>
      </c>
      <c r="Q61" s="1" t="n">
        <f aca="false">(Q46+Q49+Q52+Q65)/Q5</f>
        <v>0.854328380475003</v>
      </c>
      <c r="R61" s="1" t="n">
        <f aca="false">(R46+R49+R52+R65)/R5</f>
        <v>0.853998767524035</v>
      </c>
      <c r="S61" s="1" t="n">
        <f aca="false">(S46+S49+S52+S65)/S5</f>
        <v>0.85182858682849</v>
      </c>
      <c r="T61" s="1" t="n">
        <f aca="false">(T46+T49+T52+T65)/T5</f>
        <v>0.848809239709285</v>
      </c>
      <c r="U61" s="1" t="n">
        <f aca="false">(U46+U49+U52+U65)/U5</f>
        <v>0.851020318694568</v>
      </c>
      <c r="V61" s="1" t="n">
        <f aca="false">(V46+V49+V52+V65)/V5</f>
        <v>0.850353304903374</v>
      </c>
      <c r="W61" s="1" t="n">
        <f aca="false">(W46+W49+W52+W65)/W5</f>
        <v>0.848888537025046</v>
      </c>
      <c r="X61" s="1" t="n">
        <f aca="false">(X46+X49+X52+X65)/X5</f>
        <v>0.847390024709759</v>
      </c>
      <c r="Y61" s="1" t="n">
        <f aca="false">(Y46+Y49+Y52+Y65)/Y5</f>
        <v>0.845859672421698</v>
      </c>
      <c r="Z61" s="1" t="n">
        <f aca="false">(Z46+Z49+Z52+Z65)/Z5</f>
        <v>0.844299321277266</v>
      </c>
      <c r="AA61" s="1" t="n">
        <f aca="false">(AA46+AA49+AA52+AA65)/AA5</f>
        <v>0.842710753953075</v>
      </c>
      <c r="AB61" s="1" t="n">
        <f aca="false">(AB46+AB49+AB52+AB65)/AB5</f>
        <v>0.841095699225387</v>
      </c>
      <c r="AC61" s="1" t="n">
        <f aca="false">(AC46+AC49+AC52+AC65)/AC5</f>
        <v>0.839455836171069</v>
      </c>
      <c r="AD61" s="1" t="n">
        <f aca="false">(AD46+AD49+AD52+AD65)/AD5</f>
        <v>0.837792798057119</v>
      </c>
      <c r="AE61" s="1" t="n">
        <f aca="false">(AE46+AE49+AE52+AE65)/AE5</f>
        <v>0.836108175943133</v>
      </c>
      <c r="AF61" s="1" t="n">
        <f aca="false">(AF46+AF49+AF52+AF65)/AF5</f>
        <v>0.834403522018676</v>
      </c>
      <c r="AG61" s="1" t="n">
        <f aca="false">(AG46+AG49+AG52+AG65)/AG5</f>
        <v>0.83268035269538</v>
      </c>
      <c r="AH61" s="1" t="n">
        <f aca="false">(AH46+AH49+AH52+AH65)/AH5</f>
        <v>0.830940151471647</v>
      </c>
    </row>
    <row r="62" customFormat="false" ht="15" hidden="false" customHeight="true" outlineLevel="0" collapsed="false">
      <c r="A62" s="1" t="s">
        <v>547</v>
      </c>
      <c r="B62" s="1" t="s">
        <v>515</v>
      </c>
      <c r="D62" s="1" t="n">
        <f aca="false">(D47+D50+D53)/D5</f>
        <v>0.129554023097367</v>
      </c>
      <c r="E62" s="1" t="n">
        <f aca="false">(E47+E50+E53)/E5</f>
        <v>0.125419341627476</v>
      </c>
      <c r="F62" s="1" t="n">
        <f aca="false">(F47+F50+F53)/F5</f>
        <v>0.121453153780393</v>
      </c>
      <c r="G62" s="1" t="n">
        <f aca="false">(G47+G50+G53)/G5</f>
        <v>0.117646282277971</v>
      </c>
      <c r="H62" s="1" t="n">
        <f aca="false">(H47+H50+H53)/H5</f>
        <v>0.113990190840532</v>
      </c>
      <c r="I62" s="1" t="n">
        <f aca="false">(I47+I50+I53)/I5</f>
        <v>0.110476929445781</v>
      </c>
      <c r="J62" s="1" t="n">
        <f aca="false">(J47+J50+J53)/J5</f>
        <v>0.107099085101683</v>
      </c>
      <c r="K62" s="1" t="n">
        <f aca="false">(K47+K50+K53)/K5</f>
        <v>0.103109263446548</v>
      </c>
      <c r="L62" s="1" t="n">
        <f aca="false">(L47+L50+L53)/L5</f>
        <v>0.0993107493070173</v>
      </c>
      <c r="M62" s="1" t="n">
        <f aca="false">(M47+M50+M53)/M5</f>
        <v>0.0956913527735213</v>
      </c>
      <c r="N62" s="1" t="n">
        <f aca="false">(N47+N50+N53)/N5</f>
        <v>0.0922398794484435</v>
      </c>
      <c r="O62" s="1" t="n">
        <f aca="false">(O47+O50+O53)/O5</f>
        <v>0.0889460311564098</v>
      </c>
      <c r="P62" s="1" t="n">
        <f aca="false">(P47+P50+P53)/P5</f>
        <v>0.0858003183014903</v>
      </c>
      <c r="Q62" s="1" t="n">
        <f aca="false">(Q47+Q50+Q53)/Q5</f>
        <v>0.0827939823080073</v>
      </c>
      <c r="R62" s="1" t="n">
        <f aca="false">(R47+R50+R53)/R5</f>
        <v>0.0799189268169401</v>
      </c>
      <c r="S62" s="1" t="n">
        <f aca="false">(S47+S50+S53)/S5</f>
        <v>0.0771676565061084</v>
      </c>
      <c r="T62" s="1" t="n">
        <f aca="false">(T47+T50+T53)/T5</f>
        <v>0.0745332225664935</v>
      </c>
      <c r="U62" s="1" t="n">
        <f aca="false">(U47+U50+U53)/U5</f>
        <v>0.0724507205968627</v>
      </c>
      <c r="V62" s="1" t="n">
        <f aca="false">(V47+V50+V53)/V5</f>
        <v>0.0704361354600669</v>
      </c>
      <c r="W62" s="1" t="n">
        <f aca="false">(W47+W50+W53)/W5</f>
        <v>0.068486622825666</v>
      </c>
      <c r="X62" s="1" t="n">
        <f aca="false">(X47+X50+X53)/X5</f>
        <v>0.0665994895545074</v>
      </c>
      <c r="Y62" s="1" t="n">
        <f aca="false">(Y47+Y50+Y53)/Y5</f>
        <v>0.064772183917723</v>
      </c>
      <c r="Z62" s="1" t="n">
        <f aca="false">(Z47+Z50+Z53)/Z5</f>
        <v>0.0630022865645332</v>
      </c>
      <c r="AA62" s="1" t="n">
        <f aca="false">(AA47+AA50+AA53)/AA5</f>
        <v>0.061287502172807</v>
      </c>
      <c r="AB62" s="1" t="n">
        <f aca="false">(AB47+AB50+AB53)/AB5</f>
        <v>0.0596256517229052</v>
      </c>
      <c r="AC62" s="1" t="n">
        <f aca="false">(AC47+AC50+AC53)/AC5</f>
        <v>0.0580146653411708</v>
      </c>
      <c r="AD62" s="1" t="n">
        <f aca="false">(AD47+AD50+AD53)/AD5</f>
        <v>0.0564525756646466</v>
      </c>
      <c r="AE62" s="1" t="n">
        <f aca="false">(AE47+AE50+AE53)/AE5</f>
        <v>0.0549375116832363</v>
      </c>
      <c r="AF62" s="1" t="n">
        <f aca="false">(AF47+AF50+AF53)/AF5</f>
        <v>0.0534676930196801</v>
      </c>
      <c r="AG62" s="1" t="n">
        <f aca="false">(AG47+AG50+AG53)/AG5</f>
        <v>0.0520414246114255</v>
      </c>
      <c r="AH62" s="1" t="n">
        <f aca="false">(AH47+AH50+AH53)/AH5</f>
        <v>0.0506570917618005</v>
      </c>
    </row>
    <row r="63" customFormat="false" ht="15" hidden="false" customHeight="true" outlineLevel="0" collapsed="false">
      <c r="A63" s="1" t="s">
        <v>548</v>
      </c>
      <c r="B63" s="1" t="s">
        <v>515</v>
      </c>
      <c r="D63" s="1" t="n">
        <f aca="false">D57/Supply!D5</f>
        <v>0.00284109699774928</v>
      </c>
      <c r="E63" s="1" t="n">
        <f aca="false">E57/Supply!E5</f>
        <v>0.00622119750136287</v>
      </c>
      <c r="F63" s="1" t="n">
        <f aca="false">F57/Supply!F5</f>
        <v>0.00952155263597867</v>
      </c>
      <c r="G63" s="1" t="n">
        <f aca="false">G57/Supply!G5</f>
        <v>0.0127464160740383</v>
      </c>
      <c r="H63" s="1" t="n">
        <f aca="false">H57/Supply!H5</f>
        <v>0.0158997299619949</v>
      </c>
      <c r="I63" s="1" t="n">
        <f aca="false">I57/Supply!I5</f>
        <v>0.0189851509114012</v>
      </c>
      <c r="J63" s="1" t="n">
        <f aca="false">J57/Supply!J5</f>
        <v>0.0220060733612798</v>
      </c>
      <c r="K63" s="1" t="n">
        <f aca="false">K57/Supply!K5</f>
        <v>0.0247876394156803</v>
      </c>
      <c r="L63" s="1" t="n">
        <f aca="false">L57/Supply!L5</f>
        <v>0.0274762479876479</v>
      </c>
      <c r="M63" s="1" t="n">
        <f aca="false">M57/Supply!M5</f>
        <v>0.0300774542979432</v>
      </c>
      <c r="N63" s="1" t="n">
        <f aca="false">N57/Supply!N5</f>
        <v>0.0325963496742329</v>
      </c>
      <c r="O63" s="1" t="n">
        <f aca="false">O57/Supply!O5</f>
        <v>0.0350376075878626</v>
      </c>
      <c r="P63" s="1" t="n">
        <f aca="false">P57/Supply!P5</f>
        <v>0.0374055242914415</v>
      </c>
      <c r="Q63" s="1" t="n">
        <f aca="false">Q57/Supply!Q5</f>
        <v>0.039704054782201</v>
      </c>
      <c r="R63" s="1" t="n">
        <f aca="false">R57/Supply!R5</f>
        <v>0.0419368447069823</v>
      </c>
      <c r="S63" s="1" t="n">
        <f aca="false">S57/Supply!S5</f>
        <v>0.0458912277489328</v>
      </c>
      <c r="T63" s="1" t="n">
        <f aca="false">T57/Supply!T5</f>
        <v>0.0505828065832474</v>
      </c>
      <c r="U63" s="1" t="n">
        <f aca="false">U57/Supply!U5</f>
        <v>0.0493312002889013</v>
      </c>
      <c r="V63" s="1" t="n">
        <f aca="false">V57/Supply!V5</f>
        <v>0.0508858223272364</v>
      </c>
      <c r="W63" s="1" t="n">
        <f aca="false">W57/Supply!W5</f>
        <v>0.0531695213863515</v>
      </c>
      <c r="X63" s="1" t="n">
        <f aca="false">X57/Supply!X5</f>
        <v>0.0554213220700483</v>
      </c>
      <c r="Y63" s="1" t="n">
        <f aca="false">Y57/Supply!Y5</f>
        <v>0.057642211364981</v>
      </c>
      <c r="Z63" s="1" t="n">
        <f aca="false">Z57/Supply!Z5</f>
        <v>0.0598331063331323</v>
      </c>
      <c r="AA63" s="1" t="n">
        <f aca="false">AA57/Supply!AA5</f>
        <v>0.0619948580138219</v>
      </c>
      <c r="AB63" s="1" t="n">
        <f aca="false">AB57/Supply!AB5</f>
        <v>0.0641282550356755</v>
      </c>
      <c r="AC63" s="1" t="n">
        <f aca="false">AC57/Supply!AC5</f>
        <v>0.0662340269644163</v>
      </c>
      <c r="AD63" s="1" t="n">
        <f aca="false">AD57/Supply!AD5</f>
        <v>0.0683128474098835</v>
      </c>
      <c r="AE63" s="1" t="n">
        <f aca="false">AE57/Supply!AE5</f>
        <v>0.0703653369134896</v>
      </c>
      <c r="AF63" s="1" t="n">
        <f aca="false">AF57/Supply!AF5</f>
        <v>0.0723920656353668</v>
      </c>
      <c r="AG63" s="1" t="n">
        <f aca="false">AG57/Supply!AG5</f>
        <v>0.0743935558587046</v>
      </c>
      <c r="AH63" s="1" t="n">
        <f aca="false">AH57/Supply!AH5</f>
        <v>0.0763702843272078</v>
      </c>
    </row>
    <row r="64" customFormat="false" ht="15" hidden="false" customHeight="true" outlineLevel="0" collapsed="false">
      <c r="A64" s="1" t="s">
        <v>549</v>
      </c>
      <c r="B64" s="1" t="s">
        <v>515</v>
      </c>
      <c r="D64" s="1" t="n">
        <f aca="false">D59/Supply!D5</f>
        <v>0.00111402535291502</v>
      </c>
      <c r="E64" s="1" t="n">
        <f aca="false">E59/Supply!E5</f>
        <v>0.00237955823547013</v>
      </c>
      <c r="F64" s="1" t="n">
        <f aca="false">F59/Supply!F5</f>
        <v>0.00364812575071681</v>
      </c>
      <c r="G64" s="1" t="n">
        <f aca="false">G59/Supply!G5</f>
        <v>0.00491959667153846</v>
      </c>
      <c r="H64" s="1" t="n">
        <f aca="false">H59/Supply!H5</f>
        <v>0.00619383515150585</v>
      </c>
      <c r="I64" s="1" t="n">
        <f aca="false">I59/Supply!I5</f>
        <v>0.00747070063088571</v>
      </c>
      <c r="J64" s="1" t="n">
        <f aca="false">J59/Supply!J5</f>
        <v>0.00875004774315826</v>
      </c>
      <c r="K64" s="1" t="n">
        <f aca="false">K59/Supply!K5</f>
        <v>0.00996019755860825</v>
      </c>
      <c r="L64" s="1" t="n">
        <f aca="false">L59/Supply!L5</f>
        <v>0.0111569878944367</v>
      </c>
      <c r="M64" s="1" t="n">
        <f aca="false">M59/Supply!M5</f>
        <v>0.012340974328432</v>
      </c>
      <c r="N64" s="1" t="n">
        <f aca="false">N59/Supply!N5</f>
        <v>0.0135126556444395</v>
      </c>
      <c r="O64" s="1" t="n">
        <f aca="false">O59/Supply!O5</f>
        <v>0.0146724793343212</v>
      </c>
      <c r="P64" s="1" t="n">
        <f aca="false">P59/Supply!P5</f>
        <v>0.0158208464560732</v>
      </c>
      <c r="Q64" s="1" t="n">
        <f aca="false">Q59/Supply!Q5</f>
        <v>0.0169581159347456</v>
      </c>
      <c r="R64" s="1" t="n">
        <f aca="false">R59/Supply!R5</f>
        <v>0.0180846083797803</v>
      </c>
      <c r="S64" s="1" t="n">
        <f aca="false">S59/Supply!S5</f>
        <v>0.0192006094815169</v>
      </c>
      <c r="T64" s="1" t="n">
        <f aca="false">T59/Supply!T5</f>
        <v>0.0203063730405204</v>
      </c>
      <c r="U64" s="1" t="n">
        <f aca="false">U59/Supply!U5</f>
        <v>0.0215333574372874</v>
      </c>
      <c r="V64" s="1" t="n">
        <f aca="false">V59/Supply!V5</f>
        <v>0.0227616474846787</v>
      </c>
      <c r="W64" s="1" t="n">
        <f aca="false">W59/Supply!W5</f>
        <v>0.0239910075974375</v>
      </c>
      <c r="X64" s="1" t="n">
        <f aca="false">X59/Supply!X5</f>
        <v>0.0252211984774339</v>
      </c>
      <c r="Y64" s="1" t="n">
        <f aca="false">Y59/Supply!Y5</f>
        <v>0.0264519769364875</v>
      </c>
      <c r="Z64" s="1" t="n">
        <f aca="false">Z59/Supply!Z5</f>
        <v>0.0276830957322226</v>
      </c>
      <c r="AA64" s="1" t="n">
        <f aca="false">AA59/Supply!AA5</f>
        <v>0.0289143034164768</v>
      </c>
      <c r="AB64" s="1" t="n">
        <f aca="false">AB59/Supply!AB5</f>
        <v>0.0301453441958693</v>
      </c>
      <c r="AC64" s="1" t="n">
        <f aca="false">AC59/Supply!AC5</f>
        <v>0.0313759578042193</v>
      </c>
      <c r="AD64" s="1" t="n">
        <f aca="false">AD59/Supply!AD5</f>
        <v>0.0326058793865759</v>
      </c>
      <c r="AE64" s="1" t="n">
        <f aca="false">AE59/Supply!AE5</f>
        <v>0.0338348393946835</v>
      </c>
      <c r="AF64" s="1" t="n">
        <f aca="false">AF59/Supply!AF5</f>
        <v>0.0350625634937704</v>
      </c>
      <c r="AG64" s="1" t="n">
        <f aca="false">AG59/Supply!AG5</f>
        <v>0.0362887724805949</v>
      </c>
      <c r="AH64" s="1" t="n">
        <f aca="false">AH59/Supply!AH5</f>
        <v>0.037513182212736</v>
      </c>
    </row>
    <row r="65" customFormat="false" ht="15" hidden="false" customHeight="true" outlineLevel="0" collapsed="false">
      <c r="A65" s="71" t="s">
        <v>550</v>
      </c>
      <c r="B65" s="1" t="s">
        <v>330</v>
      </c>
      <c r="C65" s="1" t="s">
        <v>551</v>
      </c>
      <c r="D65" s="71" t="n">
        <f aca="false">MAX(MAX(D14-D45-D58,0)-D52-D53-D54,0)</f>
        <v>39.6921628399505</v>
      </c>
      <c r="E65" s="71" t="n">
        <f aca="false">MAX(MAX(E14-E45-E58,0)-E52-E53-E54,0)</f>
        <v>201.723111765092</v>
      </c>
      <c r="F65" s="71" t="n">
        <f aca="false">MAX(MAX(F14-F45-F58,0)-F52-F53-F54,0)</f>
        <v>360.692294005032</v>
      </c>
      <c r="G65" s="71" t="n">
        <f aca="false">MAX(MAX(G14-G45-G58,0)-G52-G53-G54,0)</f>
        <v>516.659542880955</v>
      </c>
      <c r="H65" s="71" t="n">
        <f aca="false">MAX(MAX(H14-H45-H58,0)-H52-H53-H54,0)</f>
        <v>669.684194682858</v>
      </c>
      <c r="I65" s="71" t="n">
        <f aca="false">MAX(MAX(I14-I45-I58,0)-I52-I53-I54,0)</f>
        <v>819.825102937158</v>
      </c>
      <c r="J65" s="71" t="n">
        <f aca="false">MAX(MAX(J14-J45-J58,0)-J52-J53-J54,0)</f>
        <v>967.140652614113</v>
      </c>
      <c r="K65" s="71" t="n">
        <f aca="false">MAX(MAX(K14-K45-K58,0)-K52-K53-K54,0)</f>
        <v>1166.43877427945</v>
      </c>
      <c r="L65" s="71" t="n">
        <f aca="false">MAX(MAX(L14-L45-L58,0)-L52-L53-L54,0)</f>
        <v>1363.02695819424</v>
      </c>
      <c r="M65" s="71" t="n">
        <f aca="false">MAX(MAX(M14-M45-M58,0)-M52-M53-M54,0)</f>
        <v>1556.96226836738</v>
      </c>
      <c r="N65" s="71" t="n">
        <f aca="false">MAX(MAX(N14-N45-N58,0)-N52-N53-N54,0)</f>
        <v>1748.30135656481</v>
      </c>
      <c r="O65" s="71" t="n">
        <f aca="false">MAX(MAX(O14-O45-O58,0)-O52-O53-O54,0)</f>
        <v>1937.10047627964</v>
      </c>
      <c r="P65" s="71" t="n">
        <f aca="false">MAX(MAX(P14-P45-P58,0)-P52-P53-P54,0)</f>
        <v>2123.41549666757</v>
      </c>
      <c r="Q65" s="71" t="n">
        <f aca="false">MAX(MAX(Q14-Q45-Q58,0)-Q52-Q53-Q54,0)</f>
        <v>2307.30191645159</v>
      </c>
      <c r="R65" s="71" t="n">
        <f aca="false">MAX(MAX(R14-R45-R58,0)-R52-R53-R54,0)</f>
        <v>2488.81487780036</v>
      </c>
      <c r="S65" s="71" t="n">
        <f aca="false">MAX(MAX(S14-S45-S58,0)-S52-S53-S54,0)</f>
        <v>2652.43741058077</v>
      </c>
      <c r="T65" s="71" t="n">
        <f aca="false">MAX(MAX(T14-T45-T58,0)-T52-T53-T54,0)</f>
        <v>2806.285976937</v>
      </c>
      <c r="U65" s="71" t="n">
        <f aca="false">MAX(MAX(U14-U45-U58,0)-U52-U53-U54,0)</f>
        <v>2958.10526735523</v>
      </c>
      <c r="V65" s="71" t="n">
        <f aca="false">MAX(MAX(V14-V45-V58,0)-V52-V53-V54,0)</f>
        <v>3082.72327829361</v>
      </c>
      <c r="W65" s="71" t="n">
        <f aca="false">MAX(MAX(W14-W45-W58,0)-W52-W53-W54,0)</f>
        <v>3198.43456964322</v>
      </c>
      <c r="X65" s="71" t="n">
        <f aca="false">MAX(MAX(X14-X45-X58,0)-X52-X53-X54,0)</f>
        <v>3312.09654285858</v>
      </c>
      <c r="Y65" s="71" t="n">
        <f aca="false">MAX(MAX(Y14-Y45-Y58,0)-Y52-Y53-Y54,0)</f>
        <v>3423.76223149511</v>
      </c>
      <c r="Z65" s="71" t="n">
        <f aca="false">MAX(MAX(Z14-Z45-Z58,0)-Z52-Z53-Z54,0)</f>
        <v>3533.48442313981</v>
      </c>
      <c r="AA65" s="71" t="n">
        <f aca="false">MAX(MAX(AA14-AA45-AA58,0)-AA52-AA53-AA54,0)</f>
        <v>3641.31567324346</v>
      </c>
      <c r="AB65" s="71" t="n">
        <f aca="false">MAX(MAX(AB14-AB45-AB58,0)-AB52-AB53-AB54,0)</f>
        <v>3747.30831896911</v>
      </c>
      <c r="AC65" s="71" t="n">
        <f aca="false">MAX(MAX(AC14-AC45-AC58,0)-AC52-AC53-AC54,0)</f>
        <v>3851.51449306148</v>
      </c>
      <c r="AD65" s="71" t="n">
        <f aca="false">MAX(MAX(AD14-AD45-AD58,0)-AD52-AD53-AD54,0)</f>
        <v>3953.98613774125</v>
      </c>
      <c r="AE65" s="71" t="n">
        <f aca="false">MAX(MAX(AE14-AE45-AE58,0)-AE52-AE53-AE54,0)</f>
        <v>4054.77501862905</v>
      </c>
      <c r="AF65" s="71" t="n">
        <f aca="false">MAX(MAX(AF14-AF45-AF58,0)-AF52-AF53-AF54,0)</f>
        <v>4153.93273870332</v>
      </c>
      <c r="AG65" s="71" t="n">
        <f aca="false">MAX(MAX(AG14-AG45-AG58,0)-AG52-AG53-AG54,0)</f>
        <v>4251.51075229661</v>
      </c>
      <c r="AH65" s="71" t="n">
        <f aca="false">MAX(MAX(AH14-AH45-AH58,0)-AH52-AH53-AH54,0)</f>
        <v>4347.56037913477</v>
      </c>
    </row>
    <row r="66" customFormat="false" ht="15" hidden="false" customHeight="true" outlineLevel="0" collapsed="false">
      <c r="A66" s="50" t="s">
        <v>520</v>
      </c>
      <c r="B66" s="51" t="s">
        <v>330</v>
      </c>
      <c r="C66" s="52" t="s">
        <v>521</v>
      </c>
      <c r="D66" s="74" t="n">
        <f aca="false">D60-Supply!D5</f>
        <v>0</v>
      </c>
      <c r="E66" s="74" t="n">
        <f aca="false">E60-Supply!E5</f>
        <v>0</v>
      </c>
      <c r="F66" s="74" t="n">
        <f aca="false">F60-Supply!F5</f>
        <v>0</v>
      </c>
      <c r="G66" s="74" t="n">
        <f aca="false">G60-Supply!G5</f>
        <v>0</v>
      </c>
      <c r="H66" s="74" t="n">
        <f aca="false">H60-Supply!H5</f>
        <v>0</v>
      </c>
      <c r="I66" s="74" t="n">
        <f aca="false">I60-Supply!I5</f>
        <v>0</v>
      </c>
      <c r="J66" s="74" t="n">
        <f aca="false">J60-Supply!J5</f>
        <v>0</v>
      </c>
      <c r="K66" s="74" t="n">
        <f aca="false">K60-Supply!K5</f>
        <v>0</v>
      </c>
      <c r="L66" s="74" t="n">
        <f aca="false">L60-Supply!L5</f>
        <v>0</v>
      </c>
      <c r="M66" s="74" t="n">
        <f aca="false">M60-Supply!M5</f>
        <v>0</v>
      </c>
      <c r="N66" s="74" t="n">
        <f aca="false">N60-Supply!N5</f>
        <v>0</v>
      </c>
      <c r="O66" s="74" t="n">
        <f aca="false">O60-Supply!O5</f>
        <v>0</v>
      </c>
      <c r="P66" s="74" t="n">
        <f aca="false">P60-Supply!P5</f>
        <v>0</v>
      </c>
      <c r="Q66" s="74" t="n">
        <f aca="false">Q60-Supply!Q5</f>
        <v>0</v>
      </c>
      <c r="R66" s="74" t="n">
        <f aca="false">R60-Supply!R5</f>
        <v>0</v>
      </c>
      <c r="S66" s="74" t="n">
        <f aca="false">S60-Supply!S5</f>
        <v>0</v>
      </c>
      <c r="T66" s="74" t="n">
        <f aca="false">T60-Supply!T5</f>
        <v>0</v>
      </c>
      <c r="U66" s="74" t="n">
        <f aca="false">U60-Supply!U5</f>
        <v>0</v>
      </c>
      <c r="V66" s="74" t="n">
        <f aca="false">V60-Supply!V5</f>
        <v>0</v>
      </c>
      <c r="W66" s="74" t="n">
        <f aca="false">W60-Supply!W5</f>
        <v>0</v>
      </c>
      <c r="X66" s="74" t="n">
        <f aca="false">X60-Supply!X5</f>
        <v>0</v>
      </c>
      <c r="Y66" s="74" t="n">
        <f aca="false">Y60-Supply!Y5</f>
        <v>0</v>
      </c>
      <c r="Z66" s="74" t="n">
        <f aca="false">Z60-Supply!Z5</f>
        <v>0</v>
      </c>
      <c r="AA66" s="74" t="n">
        <f aca="false">AA60-Supply!AA5</f>
        <v>0</v>
      </c>
      <c r="AB66" s="74" t="n">
        <f aca="false">AB60-Supply!AB5</f>
        <v>0</v>
      </c>
      <c r="AC66" s="74" t="n">
        <f aca="false">AC60-Supply!AC5</f>
        <v>0</v>
      </c>
      <c r="AD66" s="74" t="n">
        <f aca="false">AD60-Supply!AD5</f>
        <v>0</v>
      </c>
      <c r="AE66" s="74" t="n">
        <f aca="false">AE60-Supply!AE5</f>
        <v>0</v>
      </c>
      <c r="AF66" s="74" t="n">
        <f aca="false">AF60-Supply!AF5</f>
        <v>0</v>
      </c>
      <c r="AG66" s="74" t="n">
        <f aca="false">AG60-Supply!AG5</f>
        <v>0</v>
      </c>
      <c r="AH66" s="74" t="n">
        <f aca="false">AH60-Supply!AH5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3" ySplit="3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D15" activeCellId="0" sqref="D15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34.16"/>
    <col collapsed="false" customWidth="true" hidden="false" outlineLevel="0" max="34" min="4" style="1" width="10"/>
  </cols>
  <sheetData>
    <row r="1" customFormat="false" ht="17.25" hidden="false" customHeight="true" outlineLevel="0" collapsed="false">
      <c r="A1" s="47" t="s">
        <v>552</v>
      </c>
    </row>
    <row r="3" customFormat="false" ht="15" hidden="false" customHeight="true" outlineLevel="0" collapsed="false">
      <c r="A3" s="48" t="s">
        <v>427</v>
      </c>
      <c r="B3" s="48" t="s">
        <v>159</v>
      </c>
      <c r="C3" s="48" t="s">
        <v>428</v>
      </c>
      <c r="D3" s="49" t="n">
        <v>2020</v>
      </c>
      <c r="E3" s="49" t="n">
        <v>2021</v>
      </c>
      <c r="F3" s="49" t="n">
        <v>2022</v>
      </c>
      <c r="G3" s="49" t="n">
        <v>2023</v>
      </c>
      <c r="H3" s="49" t="n">
        <v>2024</v>
      </c>
      <c r="I3" s="49" t="n">
        <v>2025</v>
      </c>
      <c r="J3" s="49" t="n">
        <v>2026</v>
      </c>
      <c r="K3" s="49" t="n">
        <v>2027</v>
      </c>
      <c r="L3" s="49" t="n">
        <v>2028</v>
      </c>
      <c r="M3" s="49" t="n">
        <v>2029</v>
      </c>
      <c r="N3" s="49" t="n">
        <v>2030</v>
      </c>
      <c r="O3" s="49" t="n">
        <v>2031</v>
      </c>
      <c r="P3" s="49" t="n">
        <v>2032</v>
      </c>
      <c r="Q3" s="49" t="n">
        <v>2033</v>
      </c>
      <c r="R3" s="49" t="n">
        <v>2034</v>
      </c>
      <c r="S3" s="49" t="n">
        <v>2035</v>
      </c>
      <c r="T3" s="49" t="n">
        <v>2036</v>
      </c>
      <c r="U3" s="49" t="n">
        <v>2037</v>
      </c>
      <c r="V3" s="49" t="n">
        <v>2038</v>
      </c>
      <c r="W3" s="49" t="n">
        <v>2039</v>
      </c>
      <c r="X3" s="49" t="n">
        <v>2040</v>
      </c>
      <c r="Y3" s="49" t="n">
        <v>2041</v>
      </c>
      <c r="Z3" s="49" t="n">
        <v>2042</v>
      </c>
      <c r="AA3" s="49" t="n">
        <v>2043</v>
      </c>
      <c r="AB3" s="49" t="n">
        <v>2044</v>
      </c>
      <c r="AC3" s="49" t="n">
        <v>2045</v>
      </c>
      <c r="AD3" s="49" t="n">
        <v>2046</v>
      </c>
      <c r="AE3" s="49" t="n">
        <v>2047</v>
      </c>
      <c r="AF3" s="49" t="n">
        <v>2048</v>
      </c>
      <c r="AG3" s="49" t="n">
        <v>2049</v>
      </c>
      <c r="AH3" s="49" t="n">
        <v>2050</v>
      </c>
    </row>
    <row r="5" customFormat="false" ht="15" hidden="false" customHeight="true" outlineLevel="0" collapsed="false">
      <c r="A5" s="50" t="s">
        <v>553</v>
      </c>
      <c r="B5" s="51" t="s">
        <v>167</v>
      </c>
      <c r="C5" s="52" t="s">
        <v>554</v>
      </c>
      <c r="D5" s="75" t="n">
        <f aca="false">Inputs!$B$26*(1+Inputs!$B$27)^(D$3-2020)</f>
        <v>0.35</v>
      </c>
      <c r="E5" s="75" t="n">
        <f aca="false">Inputs!$B$26*(1+Inputs!$B$27)^(E$3-2020)</f>
        <v>0.35525</v>
      </c>
      <c r="F5" s="75" t="n">
        <f aca="false">Inputs!$B$26*(1+Inputs!$B$27)^(F$3-2020)</f>
        <v>0.36057875</v>
      </c>
      <c r="G5" s="75" t="n">
        <f aca="false">Inputs!$B$26*(1+Inputs!$B$27)^(G$3-2020)</f>
        <v>0.36598743125</v>
      </c>
      <c r="H5" s="75" t="n">
        <f aca="false">Inputs!$B$26*(1+Inputs!$B$27)^(H$3-2020)</f>
        <v>0.37147724271875</v>
      </c>
      <c r="I5" s="75" t="n">
        <f aca="false">Inputs!$B$26*(1+Inputs!$B$27)^(I$3-2020)</f>
        <v>0.377049401359531</v>
      </c>
      <c r="J5" s="75" t="n">
        <f aca="false">Inputs!$B$26*(1+Inputs!$B$27)^(J$3-2020)</f>
        <v>0.382705142379924</v>
      </c>
      <c r="K5" s="75" t="n">
        <f aca="false">Inputs!$B$26*(1+Inputs!$B$27)^(K$3-2020)</f>
        <v>0.388445719515623</v>
      </c>
      <c r="L5" s="75" t="n">
        <f aca="false">Inputs!$B$26*(1+Inputs!$B$27)^(L$3-2020)</f>
        <v>0.394272405308357</v>
      </c>
      <c r="M5" s="75" t="n">
        <f aca="false">Inputs!$B$26*(1+Inputs!$B$27)^(M$3-2020)</f>
        <v>0.400186491387982</v>
      </c>
      <c r="N5" s="75" t="n">
        <f aca="false">Inputs!$B$26*(1+Inputs!$B$27)^(N$3-2020)</f>
        <v>0.406189288758802</v>
      </c>
      <c r="O5" s="75" t="n">
        <f aca="false">Inputs!$B$26*(1+Inputs!$B$27)^(O$3-2020)</f>
        <v>0.412282128090184</v>
      </c>
      <c r="P5" s="75" t="n">
        <f aca="false">Inputs!$B$26*(1+Inputs!$B$27)^(P$3-2020)</f>
        <v>0.418466360011537</v>
      </c>
      <c r="Q5" s="75" t="n">
        <f aca="false">Inputs!$B$26*(1+Inputs!$B$27)^(Q$3-2020)</f>
        <v>0.42474335541171</v>
      </c>
      <c r="R5" s="75" t="n">
        <f aca="false">Inputs!$B$26*(1+Inputs!$B$27)^(R$3-2020)</f>
        <v>0.431114505742885</v>
      </c>
      <c r="S5" s="75" t="n">
        <f aca="false">Inputs!$B$26*(1+Inputs!$B$27)^(S$3-2020)</f>
        <v>0.437581223329029</v>
      </c>
      <c r="T5" s="75" t="n">
        <f aca="false">Inputs!$B$26*(1+Inputs!$B$27)^(T$3-2020)</f>
        <v>0.444144941678964</v>
      </c>
      <c r="U5" s="75" t="n">
        <f aca="false">Inputs!$B$26*(1+Inputs!$B$27)^(U$3-2020)</f>
        <v>0.450807115804148</v>
      </c>
      <c r="V5" s="75" t="n">
        <f aca="false">Inputs!$B$26*(1+Inputs!$B$27)^(V$3-2020)</f>
        <v>0.457569222541211</v>
      </c>
      <c r="W5" s="75" t="n">
        <f aca="false">Inputs!$B$26*(1+Inputs!$B$27)^(W$3-2020)</f>
        <v>0.464432760879329</v>
      </c>
      <c r="X5" s="75" t="n">
        <f aca="false">Inputs!$B$26*(1+Inputs!$B$27)^(X$3-2020)</f>
        <v>0.471399252292519</v>
      </c>
      <c r="Y5" s="75" t="n">
        <f aca="false">Inputs!$B$26*(1+Inputs!$B$27)^(Y$3-2020)</f>
        <v>0.478470241076906</v>
      </c>
      <c r="Z5" s="75" t="n">
        <f aca="false">Inputs!$B$26*(1+Inputs!$B$27)^(Z$3-2020)</f>
        <v>0.48564729469306</v>
      </c>
      <c r="AA5" s="75" t="n">
        <f aca="false">Inputs!$B$26*(1+Inputs!$B$27)^(AA$3-2020)</f>
        <v>0.492932004113456</v>
      </c>
      <c r="AB5" s="75" t="n">
        <f aca="false">Inputs!$B$26*(1+Inputs!$B$27)^(AB$3-2020)</f>
        <v>0.500325984175158</v>
      </c>
      <c r="AC5" s="75" t="n">
        <f aca="false">Inputs!$B$26*(1+Inputs!$B$27)^(AC$3-2020)</f>
        <v>0.507830873937785</v>
      </c>
      <c r="AD5" s="75" t="n">
        <f aca="false">Inputs!$B$26*(1+Inputs!$B$27)^(AD$3-2020)</f>
        <v>0.515448337046852</v>
      </c>
      <c r="AE5" s="75" t="n">
        <f aca="false">Inputs!$B$26*(1+Inputs!$B$27)^(AE$3-2020)</f>
        <v>0.523180062102554</v>
      </c>
      <c r="AF5" s="75" t="n">
        <f aca="false">Inputs!$B$26*(1+Inputs!$B$27)^(AF$3-2020)</f>
        <v>0.531027763034093</v>
      </c>
      <c r="AG5" s="75" t="n">
        <f aca="false">Inputs!$B$26*(1+Inputs!$B$27)^(AG$3-2020)</f>
        <v>0.538993179479604</v>
      </c>
      <c r="AH5" s="75" t="n">
        <f aca="false">Inputs!$B$26*(1+Inputs!$B$27)^(AH$3-2020)</f>
        <v>0.547078077171798</v>
      </c>
    </row>
    <row r="6" customFormat="false" ht="15" hidden="false" customHeight="true" outlineLevel="0" collapsed="false">
      <c r="A6" s="50" t="s">
        <v>555</v>
      </c>
      <c r="B6" s="51" t="s">
        <v>167</v>
      </c>
      <c r="C6" s="52" t="s">
        <v>556</v>
      </c>
      <c r="D6" s="75" t="n">
        <f aca="false">Inputs!$B$28*(1+Inputs!$B$29)^(D$3-2020)</f>
        <v>1.8</v>
      </c>
      <c r="E6" s="75" t="n">
        <f aca="false">Inputs!$B$28*(1+Inputs!$B$29)^(E$3-2020)</f>
        <v>1.818</v>
      </c>
      <c r="F6" s="75" t="n">
        <f aca="false">Inputs!$B$28*(1+Inputs!$B$29)^(F$3-2020)</f>
        <v>1.83618</v>
      </c>
      <c r="G6" s="75" t="n">
        <f aca="false">Inputs!$B$28*(1+Inputs!$B$29)^(G$3-2020)</f>
        <v>1.8545418</v>
      </c>
      <c r="H6" s="75" t="n">
        <f aca="false">Inputs!$B$28*(1+Inputs!$B$29)^(H$3-2020)</f>
        <v>1.873087218</v>
      </c>
      <c r="I6" s="75" t="n">
        <f aca="false">Inputs!$B$28*(1+Inputs!$B$29)^(I$3-2020)</f>
        <v>1.89181809018</v>
      </c>
      <c r="J6" s="75" t="n">
        <f aca="false">Inputs!$B$28*(1+Inputs!$B$29)^(J$3-2020)</f>
        <v>1.9107362710818</v>
      </c>
      <c r="K6" s="75" t="n">
        <f aca="false">Inputs!$B$28*(1+Inputs!$B$29)^(K$3-2020)</f>
        <v>1.92984363379262</v>
      </c>
      <c r="L6" s="75" t="n">
        <f aca="false">Inputs!$B$28*(1+Inputs!$B$29)^(L$3-2020)</f>
        <v>1.94914207013054</v>
      </c>
      <c r="M6" s="75" t="n">
        <f aca="false">Inputs!$B$28*(1+Inputs!$B$29)^(M$3-2020)</f>
        <v>1.96863349083185</v>
      </c>
      <c r="N6" s="75" t="n">
        <f aca="false">Inputs!$B$28*(1+Inputs!$B$29)^(N$3-2020)</f>
        <v>1.98831982574017</v>
      </c>
      <c r="O6" s="75" t="n">
        <f aca="false">Inputs!$B$28*(1+Inputs!$B$29)^(O$3-2020)</f>
        <v>2.00820302399757</v>
      </c>
      <c r="P6" s="75" t="n">
        <f aca="false">Inputs!$B$28*(1+Inputs!$B$29)^(P$3-2020)</f>
        <v>2.02828505423755</v>
      </c>
      <c r="Q6" s="75" t="n">
        <f aca="false">Inputs!$B$28*(1+Inputs!$B$29)^(Q$3-2020)</f>
        <v>2.04856790477992</v>
      </c>
      <c r="R6" s="75" t="n">
        <f aca="false">Inputs!$B$28*(1+Inputs!$B$29)^(R$3-2020)</f>
        <v>2.06905358382772</v>
      </c>
      <c r="S6" s="75" t="n">
        <f aca="false">Inputs!$B$28*(1+Inputs!$B$29)^(S$3-2020)</f>
        <v>2.089744119666</v>
      </c>
      <c r="T6" s="75" t="n">
        <f aca="false">Inputs!$B$28*(1+Inputs!$B$29)^(T$3-2020)</f>
        <v>2.11064156086266</v>
      </c>
      <c r="U6" s="75" t="n">
        <f aca="false">Inputs!$B$28*(1+Inputs!$B$29)^(U$3-2020)</f>
        <v>2.13174797647128</v>
      </c>
      <c r="V6" s="75" t="n">
        <f aca="false">Inputs!$B$28*(1+Inputs!$B$29)^(V$3-2020)</f>
        <v>2.153065456236</v>
      </c>
      <c r="W6" s="75" t="n">
        <f aca="false">Inputs!$B$28*(1+Inputs!$B$29)^(W$3-2020)</f>
        <v>2.17459611079836</v>
      </c>
      <c r="X6" s="75" t="n">
        <f aca="false">Inputs!$B$28*(1+Inputs!$B$29)^(X$3-2020)</f>
        <v>2.19634207190634</v>
      </c>
      <c r="Y6" s="75" t="n">
        <f aca="false">Inputs!$B$28*(1+Inputs!$B$29)^(Y$3-2020)</f>
        <v>2.2183054926254</v>
      </c>
      <c r="Z6" s="75" t="n">
        <f aca="false">Inputs!$B$28*(1+Inputs!$B$29)^(Z$3-2020)</f>
        <v>2.24048854755166</v>
      </c>
      <c r="AA6" s="75" t="n">
        <f aca="false">Inputs!$B$28*(1+Inputs!$B$29)^(AA$3-2020)</f>
        <v>2.26289343302717</v>
      </c>
      <c r="AB6" s="75" t="n">
        <f aca="false">Inputs!$B$28*(1+Inputs!$B$29)^(AB$3-2020)</f>
        <v>2.28552236735745</v>
      </c>
      <c r="AC6" s="75" t="n">
        <f aca="false">Inputs!$B$28*(1+Inputs!$B$29)^(AC$3-2020)</f>
        <v>2.30837759103102</v>
      </c>
      <c r="AD6" s="75" t="n">
        <f aca="false">Inputs!$B$28*(1+Inputs!$B$29)^(AD$3-2020)</f>
        <v>2.33146136694133</v>
      </c>
      <c r="AE6" s="75" t="n">
        <f aca="false">Inputs!$B$28*(1+Inputs!$B$29)^(AE$3-2020)</f>
        <v>2.35477598061074</v>
      </c>
      <c r="AF6" s="75" t="n">
        <f aca="false">Inputs!$B$28*(1+Inputs!$B$29)^(AF$3-2020)</f>
        <v>2.37832374041685</v>
      </c>
      <c r="AG6" s="75" t="n">
        <f aca="false">Inputs!$B$28*(1+Inputs!$B$29)^(AG$3-2020)</f>
        <v>2.40210697782102</v>
      </c>
      <c r="AH6" s="75" t="n">
        <f aca="false">Inputs!$B$28*(1+Inputs!$B$29)^(AH$3-2020)</f>
        <v>2.42612804759923</v>
      </c>
    </row>
    <row r="7" customFormat="false" ht="15" hidden="false" customHeight="true" outlineLevel="0" collapsed="false">
      <c r="A7" s="50" t="s">
        <v>557</v>
      </c>
      <c r="B7" s="51" t="s">
        <v>167</v>
      </c>
      <c r="C7" s="52" t="s">
        <v>558</v>
      </c>
      <c r="D7" s="55" t="n">
        <f aca="false">Inputs!$B$30+(Inputs!$B$31-Inputs!$B$30)*(D$3-2020)/30</f>
        <v>3.5</v>
      </c>
      <c r="E7" s="55" t="n">
        <f aca="false">Inputs!$B$30+(Inputs!$B$31-Inputs!$B$30)*(E$3-2020)/30</f>
        <v>3.48333333333333</v>
      </c>
      <c r="F7" s="55" t="n">
        <f aca="false">Inputs!$B$30+(Inputs!$B$31-Inputs!$B$30)*(F$3-2020)/30</f>
        <v>3.46666666666667</v>
      </c>
      <c r="G7" s="55" t="n">
        <f aca="false">Inputs!$B$30+(Inputs!$B$31-Inputs!$B$30)*(G$3-2020)/30</f>
        <v>3.45</v>
      </c>
      <c r="H7" s="55" t="n">
        <f aca="false">Inputs!$B$30+(Inputs!$B$31-Inputs!$B$30)*(H$3-2020)/30</f>
        <v>3.43333333333333</v>
      </c>
      <c r="I7" s="55" t="n">
        <f aca="false">Inputs!$B$30+(Inputs!$B$31-Inputs!$B$30)*(I$3-2020)/30</f>
        <v>3.41666666666667</v>
      </c>
      <c r="J7" s="55" t="n">
        <f aca="false">Inputs!$B$30+(Inputs!$B$31-Inputs!$B$30)*(J$3-2020)/30</f>
        <v>3.4</v>
      </c>
      <c r="K7" s="55" t="n">
        <f aca="false">Inputs!$B$30+(Inputs!$B$31-Inputs!$B$30)*(K$3-2020)/30</f>
        <v>3.38333333333333</v>
      </c>
      <c r="L7" s="55" t="n">
        <f aca="false">Inputs!$B$30+(Inputs!$B$31-Inputs!$B$30)*(L$3-2020)/30</f>
        <v>3.36666666666667</v>
      </c>
      <c r="M7" s="55" t="n">
        <f aca="false">Inputs!$B$30+(Inputs!$B$31-Inputs!$B$30)*(M$3-2020)/30</f>
        <v>3.35</v>
      </c>
      <c r="N7" s="55" t="n">
        <f aca="false">Inputs!$B$30+(Inputs!$B$31-Inputs!$B$30)*(N$3-2020)/30</f>
        <v>3.33333333333333</v>
      </c>
      <c r="O7" s="55" t="n">
        <f aca="false">Inputs!$B$30+(Inputs!$B$31-Inputs!$B$30)*(O$3-2020)/30</f>
        <v>3.31666666666667</v>
      </c>
      <c r="P7" s="55" t="n">
        <f aca="false">Inputs!$B$30+(Inputs!$B$31-Inputs!$B$30)*(P$3-2020)/30</f>
        <v>3.3</v>
      </c>
      <c r="Q7" s="55" t="n">
        <f aca="false">Inputs!$B$30+(Inputs!$B$31-Inputs!$B$30)*(Q$3-2020)/30</f>
        <v>3.28333333333333</v>
      </c>
      <c r="R7" s="55" t="n">
        <f aca="false">Inputs!$B$30+(Inputs!$B$31-Inputs!$B$30)*(R$3-2020)/30</f>
        <v>3.26666666666667</v>
      </c>
      <c r="S7" s="55" t="n">
        <f aca="false">Inputs!$B$30+(Inputs!$B$31-Inputs!$B$30)*(S$3-2020)/30</f>
        <v>3.25</v>
      </c>
      <c r="T7" s="55" t="n">
        <f aca="false">Inputs!$B$30+(Inputs!$B$31-Inputs!$B$30)*(T$3-2020)/30</f>
        <v>3.23333333333333</v>
      </c>
      <c r="U7" s="55" t="n">
        <f aca="false">Inputs!$B$30+(Inputs!$B$31-Inputs!$B$30)*(U$3-2020)/30</f>
        <v>3.21666666666667</v>
      </c>
      <c r="V7" s="55" t="n">
        <f aca="false">Inputs!$B$30+(Inputs!$B$31-Inputs!$B$30)*(V$3-2020)/30</f>
        <v>3.2</v>
      </c>
      <c r="W7" s="55" t="n">
        <f aca="false">Inputs!$B$30+(Inputs!$B$31-Inputs!$B$30)*(W$3-2020)/30</f>
        <v>3.18333333333333</v>
      </c>
      <c r="X7" s="55" t="n">
        <f aca="false">Inputs!$B$30+(Inputs!$B$31-Inputs!$B$30)*(X$3-2020)/30</f>
        <v>3.16666666666667</v>
      </c>
      <c r="Y7" s="55" t="n">
        <f aca="false">Inputs!$B$30+(Inputs!$B$31-Inputs!$B$30)*(Y$3-2020)/30</f>
        <v>3.15</v>
      </c>
      <c r="Z7" s="55" t="n">
        <f aca="false">Inputs!$B$30+(Inputs!$B$31-Inputs!$B$30)*(Z$3-2020)/30</f>
        <v>3.13333333333333</v>
      </c>
      <c r="AA7" s="55" t="n">
        <f aca="false">Inputs!$B$30+(Inputs!$B$31-Inputs!$B$30)*(AA$3-2020)/30</f>
        <v>3.11666666666667</v>
      </c>
      <c r="AB7" s="55" t="n">
        <f aca="false">Inputs!$B$30+(Inputs!$B$31-Inputs!$B$30)*(AB$3-2020)/30</f>
        <v>3.1</v>
      </c>
      <c r="AC7" s="55" t="n">
        <f aca="false">Inputs!$B$30+(Inputs!$B$31-Inputs!$B$30)*(AC$3-2020)/30</f>
        <v>3.08333333333333</v>
      </c>
      <c r="AD7" s="55" t="n">
        <f aca="false">Inputs!$B$30+(Inputs!$B$31-Inputs!$B$30)*(AD$3-2020)/30</f>
        <v>3.06666666666667</v>
      </c>
      <c r="AE7" s="55" t="n">
        <f aca="false">Inputs!$B$30+(Inputs!$B$31-Inputs!$B$30)*(AE$3-2020)/30</f>
        <v>3.05</v>
      </c>
      <c r="AF7" s="55" t="n">
        <f aca="false">Inputs!$B$30+(Inputs!$B$31-Inputs!$B$30)*(AF$3-2020)/30</f>
        <v>3.03333333333333</v>
      </c>
      <c r="AG7" s="55" t="n">
        <f aca="false">Inputs!$B$30+(Inputs!$B$31-Inputs!$B$30)*(AG$3-2020)/30</f>
        <v>3.01666666666667</v>
      </c>
      <c r="AH7" s="55" t="n">
        <f aca="false">Inputs!$B$30+(Inputs!$B$31-Inputs!$B$30)*(AH$3-2020)/30</f>
        <v>3</v>
      </c>
    </row>
    <row r="8" customFormat="false" ht="15" hidden="false" customHeight="true" outlineLevel="0" collapsed="false">
      <c r="A8" s="1" t="s">
        <v>559</v>
      </c>
      <c r="B8" s="1" t="s">
        <v>418</v>
      </c>
      <c r="C8" s="1" t="s">
        <v>560</v>
      </c>
      <c r="D8" s="57" t="n">
        <f aca="false">0.2*Supply!D7</f>
        <v>12</v>
      </c>
      <c r="E8" s="57" t="n">
        <f aca="false">0.2*Supply!E7</f>
        <v>11.88</v>
      </c>
      <c r="F8" s="57" t="n">
        <f aca="false">0.2*Supply!F7</f>
        <v>11.7612</v>
      </c>
      <c r="G8" s="57" t="n">
        <f aca="false">0.2*Supply!G7</f>
        <v>11.643588</v>
      </c>
      <c r="H8" s="57" t="n">
        <f aca="false">0.2*Supply!H7</f>
        <v>11.52715212</v>
      </c>
      <c r="I8" s="57" t="n">
        <f aca="false">0.2*Supply!I7</f>
        <v>11.4118805988</v>
      </c>
      <c r="J8" s="57" t="n">
        <f aca="false">0.2*Supply!J7</f>
        <v>11.297761792812</v>
      </c>
      <c r="K8" s="57" t="n">
        <f aca="false">0.2*Supply!K7</f>
        <v>11.1847841748839</v>
      </c>
      <c r="L8" s="57" t="n">
        <f aca="false">0.2*Supply!L7</f>
        <v>11.072936333135</v>
      </c>
      <c r="M8" s="57" t="n">
        <f aca="false">0.2*Supply!M7</f>
        <v>10.9622069698037</v>
      </c>
      <c r="N8" s="57" t="n">
        <f aca="false">0.2*Supply!N7</f>
        <v>10.8525849001057</v>
      </c>
      <c r="O8" s="57" t="n">
        <f aca="false">0.2*Supply!O7</f>
        <v>10.7440590511046</v>
      </c>
      <c r="P8" s="57" t="n">
        <f aca="false">0.2*Supply!P7</f>
        <v>10.6366184605936</v>
      </c>
      <c r="Q8" s="57" t="n">
        <f aca="false">0.2*Supply!Q7</f>
        <v>10.5302522759876</v>
      </c>
      <c r="R8" s="57" t="n">
        <f aca="false">0.2*Supply!R7</f>
        <v>10.4249497532277</v>
      </c>
      <c r="S8" s="57" t="n">
        <f aca="false">0.2*Supply!S7</f>
        <v>10.3207002556955</v>
      </c>
      <c r="T8" s="57" t="n">
        <f aca="false">0.2*Supply!T7</f>
        <v>10.2174932531385</v>
      </c>
      <c r="U8" s="57" t="n">
        <f aca="false">0.2*Supply!U7</f>
        <v>10.1153183206071</v>
      </c>
      <c r="V8" s="57" t="n">
        <f aca="false">0.2*Supply!V7</f>
        <v>10.0141651374011</v>
      </c>
      <c r="W8" s="57" t="n">
        <f aca="false">0.2*Supply!W7</f>
        <v>9.91402348602704</v>
      </c>
      <c r="X8" s="57" t="n">
        <f aca="false">0.2*Supply!X7</f>
        <v>9.81488325116677</v>
      </c>
      <c r="Y8" s="57" t="n">
        <f aca="false">0.2*Supply!Y7</f>
        <v>9.7167344186551</v>
      </c>
      <c r="Z8" s="57" t="n">
        <f aca="false">0.2*Supply!Z7</f>
        <v>9.61956707446855</v>
      </c>
      <c r="AA8" s="57" t="n">
        <f aca="false">0.2*Supply!AA7</f>
        <v>9.52337140372386</v>
      </c>
      <c r="AB8" s="57" t="n">
        <f aca="false">0.2*Supply!AB7</f>
        <v>9.42813768968663</v>
      </c>
      <c r="AC8" s="57" t="n">
        <f aca="false">0.2*Supply!AC7</f>
        <v>9.33385631278976</v>
      </c>
      <c r="AD8" s="57" t="n">
        <f aca="false">0.2*Supply!AD7</f>
        <v>9.24051774966186</v>
      </c>
      <c r="AE8" s="57" t="n">
        <f aca="false">0.2*Supply!AE7</f>
        <v>9.14811257216524</v>
      </c>
      <c r="AF8" s="57" t="n">
        <f aca="false">0.2*Supply!AF7</f>
        <v>9.05663144644359</v>
      </c>
      <c r="AG8" s="57" t="n">
        <f aca="false">0.2*Supply!AG7</f>
        <v>8.96606513197916</v>
      </c>
      <c r="AH8" s="57" t="n">
        <f aca="false">0.2*Supply!AH7</f>
        <v>8.87640448065936</v>
      </c>
    </row>
    <row r="9" customFormat="false" ht="15" hidden="false" customHeight="true" outlineLevel="0" collapsed="false">
      <c r="A9" s="76" t="s">
        <v>561</v>
      </c>
      <c r="B9" s="77" t="s">
        <v>418</v>
      </c>
      <c r="C9" s="78" t="s">
        <v>562</v>
      </c>
      <c r="D9" s="57" t="n">
        <f aca="false">D5*(Supply!D18+Supply!D21+Supply!D24+Supply!D39)</f>
        <v>2113.89225699398</v>
      </c>
      <c r="E9" s="57" t="n">
        <f aca="false">E5*(Supply!E18+Supply!E21+Supply!E24+Supply!E39)</f>
        <v>2174.15458564333</v>
      </c>
      <c r="F9" s="57" t="n">
        <f aca="false">F5*(Supply!F18+Supply!F21+Supply!F24+Supply!F39)</f>
        <v>2235.211576747</v>
      </c>
      <c r="G9" s="57" t="n">
        <f aca="false">G5*(Supply!G18+Supply!G21+Supply!G24+Supply!G39)</f>
        <v>2297.07849273977</v>
      </c>
      <c r="H9" s="57" t="n">
        <f aca="false">H5*(Supply!H18+Supply!H21+Supply!H24+Supply!H39)</f>
        <v>2359.77108914251</v>
      </c>
      <c r="I9" s="57" t="n">
        <f aca="false">I5*(Supply!I18+Supply!I21+Supply!I24+Supply!I39)</f>
        <v>2423.30563390239</v>
      </c>
      <c r="J9" s="57" t="n">
        <f aca="false">J5*(Supply!J18+Supply!J21+Supply!J24+Supply!J39)</f>
        <v>2487.69892749098</v>
      </c>
      <c r="K9" s="57" t="n">
        <f aca="false">K5*(Supply!K18+Supply!K21+Supply!K24+Supply!K39)</f>
        <v>2574.23572693265</v>
      </c>
      <c r="L9" s="57" t="n">
        <f aca="false">L5*(Supply!L18+Supply!L21+Supply!L24+Supply!L39)</f>
        <v>2662.30458016992</v>
      </c>
      <c r="M9" s="57" t="n">
        <f aca="false">M5*(Supply!M18+Supply!M21+Supply!M24+Supply!M39)</f>
        <v>2751.93836935179</v>
      </c>
      <c r="N9" s="57" t="n">
        <f aca="false">N5*(Supply!N18+Supply!N21+Supply!N24+Supply!N39)</f>
        <v>2843.17088482662</v>
      </c>
      <c r="O9" s="57" t="n">
        <f aca="false">O5*(Supply!O18+Supply!O21+Supply!O24+Supply!O39)</f>
        <v>2936.03685486802</v>
      </c>
      <c r="P9" s="57" t="n">
        <f aca="false">P5*(Supply!P18+Supply!P21+Supply!P24+Supply!P39)</f>
        <v>3026.84441559865</v>
      </c>
      <c r="Q9" s="57" t="n">
        <f aca="false">Q5*(Supply!Q18+Supply!Q21+Supply!Q24+Supply!Q39)</f>
        <v>3110.22487578026</v>
      </c>
      <c r="R9" s="57" t="n">
        <f aca="false">R5*(Supply!R18+Supply!R21+Supply!R24+Supply!R39)</f>
        <v>3194.96076049638</v>
      </c>
      <c r="S9" s="57" t="n">
        <f aca="false">S5*(Supply!S18+Supply!S21+Supply!S24+Supply!S39)</f>
        <v>3281.08191078523</v>
      </c>
      <c r="T9" s="57" t="n">
        <f aca="false">T5*(Supply!T18+Supply!T21+Supply!T24+Supply!T39)</f>
        <v>3368.61908746334</v>
      </c>
      <c r="U9" s="57" t="n">
        <f aca="false">U5*(Supply!U18+Supply!U21+Supply!U24+Supply!U39)</f>
        <v>3457.6040042302</v>
      </c>
      <c r="V9" s="57" t="n">
        <f aca="false">V5*(Supply!V18+Supply!V21+Supply!V24+Supply!V39)</f>
        <v>3548.06936200181</v>
      </c>
      <c r="W9" s="57" t="n">
        <f aca="false">W5*(Supply!W18+Supply!W21+Supply!W24+Supply!W39)</f>
        <v>3640.04888451867</v>
      </c>
      <c r="X9" s="57" t="n">
        <f aca="false">X5*(Supply!X18+Supply!X21+Supply!X24+Supply!X39)</f>
        <v>3733.57735527537</v>
      </c>
      <c r="Y9" s="57" t="n">
        <f aca="false">Y5*(Supply!Y18+Supply!Y21+Supply!Y24+Supply!Y39)</f>
        <v>3828.69065582051</v>
      </c>
      <c r="Z9" s="57" t="n">
        <f aca="false">Z5*(Supply!Z18+Supply!Z21+Supply!Z24+Supply!Z39)</f>
        <v>3916.80462253794</v>
      </c>
      <c r="AA9" s="57" t="n">
        <f aca="false">AA5*(Supply!AA18+Supply!AA21+Supply!AA24+Supply!AA39)</f>
        <v>4002.98666058029</v>
      </c>
      <c r="AB9" s="57" t="n">
        <f aca="false">AB5*(Supply!AB18+Supply!AB21+Supply!AB24+Supply!AB39)</f>
        <v>4090.50903847601</v>
      </c>
      <c r="AC9" s="57" t="n">
        <f aca="false">AC5*(Supply!AC18+Supply!AC21+Supply!AC24+Supply!AC39)</f>
        <v>4179.40464127379</v>
      </c>
      <c r="AD9" s="57" t="n">
        <f aca="false">AD5*(Supply!AD18+Supply!AD21+Supply!AD24+Supply!AD39)</f>
        <v>4269.70751457753</v>
      </c>
      <c r="AE9" s="57" t="n">
        <f aca="false">AE5*(Supply!AE18+Supply!AE21+Supply!AE24+Supply!AE39)</f>
        <v>4361.45290941131</v>
      </c>
      <c r="AF9" s="57" t="n">
        <f aca="false">AF5*(Supply!AF18+Supply!AF21+Supply!AF24+Supply!AF39)</f>
        <v>4454.67732880059</v>
      </c>
      <c r="AG9" s="57" t="n">
        <f aca="false">AG5*(Supply!AG18+Supply!AG21+Supply!AG24+Supply!AG39)</f>
        <v>4549.41857613385</v>
      </c>
      <c r="AH9" s="57" t="n">
        <f aca="false">AH5*(Supply!AH18+Supply!AH21+Supply!AH24+Supply!AH39)</f>
        <v>4645.71580537121</v>
      </c>
    </row>
    <row r="10" customFormat="false" ht="15" hidden="false" customHeight="true" outlineLevel="0" collapsed="false">
      <c r="A10" s="76" t="s">
        <v>563</v>
      </c>
      <c r="B10" s="77" t="s">
        <v>418</v>
      </c>
      <c r="C10" s="78" t="s">
        <v>564</v>
      </c>
      <c r="D10" s="57" t="n">
        <f aca="false">D6*(Supply!D19+Supply!D22+Supply!D25)</f>
        <v>1641.6</v>
      </c>
      <c r="E10" s="57" t="n">
        <f aca="false">E6*(Supply!E19+Supply!E22+Supply!E25)</f>
        <v>1624.85568</v>
      </c>
      <c r="F10" s="57" t="n">
        <f aca="false">F6*(Supply!F19+Supply!F22+Supply!F25)</f>
        <v>1608.282152064</v>
      </c>
      <c r="G10" s="57" t="n">
        <f aca="false">G6*(Supply!G19+Supply!G22+Supply!G25)</f>
        <v>1591.87767411295</v>
      </c>
      <c r="H10" s="57" t="n">
        <f aca="false">H6*(Supply!H19+Supply!H22+Supply!H25)</f>
        <v>1575.640521837</v>
      </c>
      <c r="I10" s="57" t="n">
        <f aca="false">I6*(Supply!I19+Supply!I22+Supply!I25)</f>
        <v>1559.56898851426</v>
      </c>
      <c r="J10" s="57" t="n">
        <f aca="false">J6*(Supply!J19+Supply!J22+Supply!J25)</f>
        <v>1543.66138483141</v>
      </c>
      <c r="K10" s="57" t="n">
        <f aca="false">K6*(Supply!K19+Supply!K22+Supply!K25)</f>
        <v>1527.91603870613</v>
      </c>
      <c r="L10" s="57" t="n">
        <f aca="false">L6*(Supply!L19+Supply!L22+Supply!L25)</f>
        <v>1512.33129511133</v>
      </c>
      <c r="M10" s="57" t="n">
        <f aca="false">M6*(Supply!M19+Supply!M22+Supply!M25)</f>
        <v>1496.90551590119</v>
      </c>
      <c r="N10" s="57" t="n">
        <f aca="false">N6*(Supply!N19+Supply!N22+Supply!N25)</f>
        <v>1481.637079639</v>
      </c>
      <c r="O10" s="57" t="n">
        <f aca="false">O6*(Supply!O19+Supply!O22+Supply!O25)</f>
        <v>1466.52438142668</v>
      </c>
      <c r="P10" s="57" t="n">
        <f aca="false">P6*(Supply!P19+Supply!P22+Supply!P25)</f>
        <v>1451.56583273613</v>
      </c>
      <c r="Q10" s="57" t="n">
        <f aca="false">Q6*(Supply!Q19+Supply!Q22+Supply!Q25)</f>
        <v>1436.75986124222</v>
      </c>
      <c r="R10" s="57" t="n">
        <f aca="false">R6*(Supply!R19+Supply!R22+Supply!R25)</f>
        <v>1422.10491065755</v>
      </c>
      <c r="S10" s="57" t="n">
        <f aca="false">S6*(Supply!S19+Supply!S22+Supply!S25)</f>
        <v>1407.59944056885</v>
      </c>
      <c r="T10" s="57" t="n">
        <f aca="false">T6*(Supply!T19+Supply!T22+Supply!T25)</f>
        <v>1393.24192627504</v>
      </c>
      <c r="U10" s="57" t="n">
        <f aca="false">U6*(Supply!U19+Supply!U22+Supply!U25)</f>
        <v>1379.03085862704</v>
      </c>
      <c r="V10" s="57" t="n">
        <f aca="false">V6*(Supply!V19+Supply!V22+Supply!V25)</f>
        <v>1364.96474386904</v>
      </c>
      <c r="W10" s="57" t="n">
        <f aca="false">W6*(Supply!W19+Supply!W22+Supply!W25)</f>
        <v>1351.04210348158</v>
      </c>
      <c r="X10" s="57" t="n">
        <f aca="false">X6*(Supply!X19+Supply!X22+Supply!X25)</f>
        <v>1337.26147402607</v>
      </c>
      <c r="Y10" s="57" t="n">
        <f aca="false">Y6*(Supply!Y19+Supply!Y22+Supply!Y25)</f>
        <v>1323.621406991</v>
      </c>
      <c r="Z10" s="57" t="n">
        <f aca="false">Z6*(Supply!Z19+Supply!Z22+Supply!Z25)</f>
        <v>1310.12046863969</v>
      </c>
      <c r="AA10" s="57" t="n">
        <f aca="false">AA6*(Supply!AA19+Supply!AA22+Supply!AA25)</f>
        <v>1296.75723985957</v>
      </c>
      <c r="AB10" s="57" t="n">
        <f aca="false">AB6*(Supply!AB19+Supply!AB22+Supply!AB25)</f>
        <v>1283.530316013</v>
      </c>
      <c r="AC10" s="57" t="n">
        <f aca="false">AC6*(Supply!AC19+Supply!AC22+Supply!AC25)</f>
        <v>1270.43830678967</v>
      </c>
      <c r="AD10" s="57" t="n">
        <f aca="false">AD6*(Supply!AD19+Supply!AD22+Supply!AD25)</f>
        <v>1257.47983606041</v>
      </c>
      <c r="AE10" s="57" t="n">
        <f aca="false">AE6*(Supply!AE19+Supply!AE22+Supply!AE25)</f>
        <v>1244.6535417326</v>
      </c>
      <c r="AF10" s="57" t="n">
        <f aca="false">AF6*(Supply!AF19+Supply!AF22+Supply!AF25)</f>
        <v>1231.95807560692</v>
      </c>
      <c r="AG10" s="57" t="n">
        <f aca="false">AG6*(Supply!AG19+Supply!AG22+Supply!AG25)</f>
        <v>1219.39210323573</v>
      </c>
      <c r="AH10" s="57" t="n">
        <f aca="false">AH6*(Supply!AH19+Supply!AH22+Supply!AH25)</f>
        <v>1206.95430378273</v>
      </c>
    </row>
    <row r="11" customFormat="false" ht="15" hidden="false" customHeight="true" outlineLevel="0" collapsed="false">
      <c r="A11" s="50" t="s">
        <v>565</v>
      </c>
      <c r="B11" s="51" t="s">
        <v>418</v>
      </c>
      <c r="C11" s="52" t="s">
        <v>564</v>
      </c>
      <c r="D11" s="57" t="n">
        <f aca="false">D7*Supply!D29</f>
        <v>70</v>
      </c>
      <c r="E11" s="57" t="n">
        <f aca="false">E7*Supply!E29</f>
        <v>154.427777777778</v>
      </c>
      <c r="F11" s="57" t="n">
        <f aca="false">F7*Supply!F29</f>
        <v>238.044444444444</v>
      </c>
      <c r="G11" s="57" t="n">
        <f aca="false">G7*Supply!G29</f>
        <v>320.85</v>
      </c>
      <c r="H11" s="57" t="n">
        <f aca="false">H7*Supply!H29</f>
        <v>402.844444444444</v>
      </c>
      <c r="I11" s="57" t="n">
        <f aca="false">I7*Supply!I29</f>
        <v>484.027777777778</v>
      </c>
      <c r="J11" s="57" t="n">
        <f aca="false">J7*Supply!J29</f>
        <v>564.4</v>
      </c>
      <c r="K11" s="57" t="n">
        <f aca="false">K7*Supply!K29</f>
        <v>643.961111111111</v>
      </c>
      <c r="L11" s="57" t="n">
        <f aca="false">L7*Supply!L29</f>
        <v>722.711111111111</v>
      </c>
      <c r="M11" s="57" t="n">
        <f aca="false">M7*Supply!M29</f>
        <v>800.65</v>
      </c>
      <c r="N11" s="57" t="n">
        <f aca="false">N7*Supply!N29</f>
        <v>877.777777777778</v>
      </c>
      <c r="O11" s="57" t="n">
        <f aca="false">O7*Supply!O29</f>
        <v>954.094444444445</v>
      </c>
      <c r="P11" s="57" t="n">
        <f aca="false">P7*Supply!P29</f>
        <v>1058.9953157782</v>
      </c>
      <c r="Q11" s="57" t="n">
        <f aca="false">Q7*Supply!Q29</f>
        <v>1232.52285987497</v>
      </c>
      <c r="R11" s="57" t="n">
        <f aca="false">R7*Supply!R29</f>
        <v>1404.25849165888</v>
      </c>
      <c r="S11" s="57" t="n">
        <f aca="false">S7*Supply!S29</f>
        <v>1574.20302283743</v>
      </c>
      <c r="T11" s="57" t="n">
        <f aca="false">T7*Supply!T29</f>
        <v>1742.35721429352</v>
      </c>
      <c r="U11" s="57" t="n">
        <f aca="false">U7*Supply!U29</f>
        <v>1732.6092771142</v>
      </c>
      <c r="V11" s="57" t="n">
        <f aca="false">V7*Supply!V29</f>
        <v>1722.89737360533</v>
      </c>
      <c r="W11" s="57" t="n">
        <f aca="false">W7*Supply!W29</f>
        <v>1713.2221182923</v>
      </c>
      <c r="X11" s="57" t="n">
        <f aca="false">X7*Supply!X29</f>
        <v>1703.58407890686</v>
      </c>
      <c r="Y11" s="57" t="n">
        <f aca="false">Y7*Supply!Y29</f>
        <v>1693.98377736031</v>
      </c>
      <c r="Z11" s="57" t="n">
        <f aca="false">Z7*Supply!Z29</f>
        <v>1740.04444444444</v>
      </c>
      <c r="AA11" s="57" t="n">
        <f aca="false">AA7*Supply!AA29</f>
        <v>1806.62777777778</v>
      </c>
      <c r="AB11" s="57" t="n">
        <f aca="false">AB7*Supply!AB29</f>
        <v>1872.4</v>
      </c>
      <c r="AC11" s="57" t="n">
        <f aca="false">AC7*Supply!AC29</f>
        <v>1937.36111111111</v>
      </c>
      <c r="AD11" s="57" t="n">
        <f aca="false">AD7*Supply!AD29</f>
        <v>2001.51111111111</v>
      </c>
      <c r="AE11" s="57" t="n">
        <f aca="false">AE7*Supply!AE29</f>
        <v>2064.85</v>
      </c>
      <c r="AF11" s="57" t="n">
        <f aca="false">AF7*Supply!AF29</f>
        <v>2127.37777777778</v>
      </c>
      <c r="AG11" s="57" t="n">
        <f aca="false">AG7*Supply!AG29</f>
        <v>2189.09444444444</v>
      </c>
      <c r="AH11" s="57" t="n">
        <f aca="false">AH7*Supply!AH29</f>
        <v>2250</v>
      </c>
    </row>
    <row r="12" customFormat="false" ht="15" hidden="false" customHeight="true" outlineLevel="0" collapsed="false">
      <c r="A12" s="50" t="s">
        <v>566</v>
      </c>
      <c r="B12" s="51" t="s">
        <v>418</v>
      </c>
      <c r="C12" s="52" t="s">
        <v>567</v>
      </c>
      <c r="D12" s="79" t="n">
        <f aca="false">D7*Supply!D31</f>
        <v>0</v>
      </c>
      <c r="E12" s="79" t="n">
        <f aca="false">E7*Supply!E31</f>
        <v>0</v>
      </c>
      <c r="F12" s="79" t="n">
        <f aca="false">F7*Supply!F31</f>
        <v>0</v>
      </c>
      <c r="G12" s="79" t="n">
        <f aca="false">G7*Supply!G31</f>
        <v>0</v>
      </c>
      <c r="H12" s="79" t="n">
        <f aca="false">H7*Supply!H31</f>
        <v>0</v>
      </c>
      <c r="I12" s="79" t="n">
        <f aca="false">I7*Supply!I31</f>
        <v>0</v>
      </c>
      <c r="J12" s="79" t="n">
        <f aca="false">J7*Supply!J31</f>
        <v>0</v>
      </c>
      <c r="K12" s="79" t="n">
        <f aca="false">K7*Supply!K31</f>
        <v>0</v>
      </c>
      <c r="L12" s="59" t="n">
        <f aca="false">L7*Supply!L31</f>
        <v>0</v>
      </c>
      <c r="M12" s="59" t="n">
        <f aca="false">M7*Supply!M31</f>
        <v>0</v>
      </c>
      <c r="N12" s="59" t="n">
        <f aca="false">N7*Supply!N31</f>
        <v>0</v>
      </c>
      <c r="O12" s="59" t="n">
        <f aca="false">O7*Supply!O31</f>
        <v>0</v>
      </c>
      <c r="P12" s="59" t="n">
        <f aca="false">P7*Supply!P31</f>
        <v>29.3953157781992</v>
      </c>
      <c r="Q12" s="59" t="n">
        <f aca="false">Q7*Supply!Q31</f>
        <v>128.228415430522</v>
      </c>
      <c r="R12" s="59" t="n">
        <f aca="false">R7*Supply!R31</f>
        <v>226.080713881101</v>
      </c>
      <c r="S12" s="59" t="n">
        <f aca="false">S7*Supply!S31</f>
        <v>322.953022837435</v>
      </c>
      <c r="T12" s="59" t="n">
        <f aca="false">T7*Supply!T31</f>
        <v>418.846103182411</v>
      </c>
      <c r="U12" s="59" t="n">
        <f aca="false">U7*Supply!U31</f>
        <v>337.648166003084</v>
      </c>
      <c r="V12" s="59" t="n">
        <f aca="false">V7*Supply!V31</f>
        <v>257.29737360533</v>
      </c>
      <c r="W12" s="59" t="n">
        <f aca="false">W7*Supply!W31</f>
        <v>177.794340514526</v>
      </c>
      <c r="X12" s="59" t="n">
        <f aca="false">X7*Supply!X31</f>
        <v>99.1396344624148</v>
      </c>
      <c r="Y12" s="59" t="n">
        <f aca="false">Y7*Supply!Y31</f>
        <v>21.3337773603088</v>
      </c>
      <c r="Z12" s="59" t="n">
        <f aca="false">Z7*Supply!Z31</f>
        <v>0</v>
      </c>
      <c r="AA12" s="59" t="n">
        <f aca="false">AA7*Supply!AA31</f>
        <v>0</v>
      </c>
      <c r="AB12" s="59" t="n">
        <f aca="false">AB7*Supply!AB31</f>
        <v>0</v>
      </c>
      <c r="AC12" s="59" t="n">
        <f aca="false">AC7*Supply!AC31</f>
        <v>0</v>
      </c>
      <c r="AD12" s="59" t="n">
        <f aca="false">AD7*Supply!AD31</f>
        <v>0</v>
      </c>
      <c r="AE12" s="59" t="n">
        <f aca="false">AE7*Supply!AE31</f>
        <v>0</v>
      </c>
      <c r="AF12" s="59" t="n">
        <f aca="false">AF7*Supply!AF31</f>
        <v>0</v>
      </c>
      <c r="AG12" s="59" t="n">
        <f aca="false">AG7*Supply!AG31</f>
        <v>0</v>
      </c>
      <c r="AH12" s="59" t="n">
        <f aca="false">AH7*Supply!AH31</f>
        <v>0</v>
      </c>
    </row>
    <row r="13" customFormat="false" ht="15" hidden="false" customHeight="true" outlineLevel="0" collapsed="false">
      <c r="A13" s="1" t="s">
        <v>568</v>
      </c>
      <c r="B13" s="1" t="s">
        <v>167</v>
      </c>
      <c r="C13" s="1" t="s">
        <v>558</v>
      </c>
      <c r="D13" s="1" t="n">
        <f aca="false">Inputs!B45+(Inputs!B46-Inputs!B45)*(D3-2020)/30</f>
        <v>0.8</v>
      </c>
      <c r="E13" s="1" t="n">
        <f aca="false">Inputs!B45+(Inputs!B46-Inputs!B45)*(E3-2020)/30</f>
        <v>0.795</v>
      </c>
      <c r="F13" s="1" t="n">
        <f aca="false">Inputs!B45+(Inputs!B46-Inputs!B45)*(F3-2020)/30</f>
        <v>0.79</v>
      </c>
      <c r="G13" s="1" t="n">
        <f aca="false">Inputs!B45+(Inputs!B46-Inputs!B45)*(G3-2020)/30</f>
        <v>0.785</v>
      </c>
      <c r="H13" s="1" t="n">
        <f aca="false">Inputs!B45+(Inputs!B46-Inputs!B45)*(H3-2020)/30</f>
        <v>0.78</v>
      </c>
      <c r="I13" s="1" t="n">
        <f aca="false">Inputs!B45+(Inputs!B46-Inputs!B45)*(I3-2020)/30</f>
        <v>0.775</v>
      </c>
      <c r="J13" s="1" t="n">
        <f aca="false">Inputs!B45+(Inputs!B46-Inputs!B45)*(J3-2020)/30</f>
        <v>0.77</v>
      </c>
      <c r="K13" s="1" t="n">
        <f aca="false">Inputs!B45+(Inputs!B46-Inputs!B45)*(K3-2020)/30</f>
        <v>0.765</v>
      </c>
      <c r="L13" s="1" t="n">
        <f aca="false">Inputs!B45+(Inputs!B46-Inputs!B45)*(L3-2020)/30</f>
        <v>0.76</v>
      </c>
      <c r="M13" s="1" t="n">
        <f aca="false">Inputs!B45+(Inputs!B46-Inputs!B45)*(M3-2020)/30</f>
        <v>0.755</v>
      </c>
      <c r="N13" s="1" t="n">
        <f aca="false">Inputs!B45+(Inputs!B46-Inputs!B45)*(N3-2020)/30</f>
        <v>0.75</v>
      </c>
      <c r="O13" s="1" t="n">
        <f aca="false">Inputs!B45+(Inputs!B46-Inputs!B45)*(O3-2020)/30</f>
        <v>0.745</v>
      </c>
      <c r="P13" s="1" t="n">
        <f aca="false">Inputs!B45+(Inputs!B46-Inputs!B45)*(P3-2020)/30</f>
        <v>0.74</v>
      </c>
      <c r="Q13" s="1" t="n">
        <f aca="false">Inputs!B45+(Inputs!B46-Inputs!B45)*(Q3-2020)/30</f>
        <v>0.735</v>
      </c>
      <c r="R13" s="1" t="n">
        <f aca="false">Inputs!B45+(Inputs!B46-Inputs!B45)*(R3-2020)/30</f>
        <v>0.73</v>
      </c>
      <c r="S13" s="1" t="n">
        <f aca="false">Inputs!B45+(Inputs!B46-Inputs!B45)*(S3-2020)/30</f>
        <v>0.725</v>
      </c>
      <c r="T13" s="1" t="n">
        <f aca="false">Inputs!B45+(Inputs!B46-Inputs!B45)*(T3-2020)/30</f>
        <v>0.72</v>
      </c>
      <c r="U13" s="1" t="n">
        <f aca="false">Inputs!B45+(Inputs!B46-Inputs!B45)*(U3-2020)/30</f>
        <v>0.715</v>
      </c>
      <c r="V13" s="1" t="n">
        <f aca="false">Inputs!B45+(Inputs!B46-Inputs!B45)*(V3-2020)/30</f>
        <v>0.71</v>
      </c>
      <c r="W13" s="1" t="n">
        <f aca="false">Inputs!B45+(Inputs!B46-Inputs!B45)*(W3-2020)/30</f>
        <v>0.705</v>
      </c>
      <c r="X13" s="1" t="n">
        <f aca="false">Inputs!B45+(Inputs!B46-Inputs!B45)*(X3-2020)/30</f>
        <v>0.7</v>
      </c>
      <c r="Y13" s="1" t="n">
        <f aca="false">Inputs!B45+(Inputs!B46-Inputs!B45)*(Y3-2020)/30</f>
        <v>0.695</v>
      </c>
      <c r="Z13" s="1" t="n">
        <f aca="false">Inputs!B45+(Inputs!B46-Inputs!B45)*(Z3-2020)/30</f>
        <v>0.69</v>
      </c>
      <c r="AA13" s="1" t="n">
        <f aca="false">Inputs!B45+(Inputs!B46-Inputs!B45)*(AA3-2020)/30</f>
        <v>0.685</v>
      </c>
      <c r="AB13" s="1" t="n">
        <f aca="false">Inputs!B45+(Inputs!B46-Inputs!B45)*(AB3-2020)/30</f>
        <v>0.68</v>
      </c>
      <c r="AC13" s="1" t="n">
        <f aca="false">Inputs!B45+(Inputs!B46-Inputs!B45)*(AC3-2020)/30</f>
        <v>0.675</v>
      </c>
      <c r="AD13" s="1" t="n">
        <f aca="false">Inputs!B45+(Inputs!B46-Inputs!B45)*(AD3-2020)/30</f>
        <v>0.67</v>
      </c>
      <c r="AE13" s="1" t="n">
        <f aca="false">Inputs!B45+(Inputs!B46-Inputs!B45)*(AE3-2020)/30</f>
        <v>0.665</v>
      </c>
      <c r="AF13" s="1" t="n">
        <f aca="false">Inputs!B45+(Inputs!B46-Inputs!B45)*(AF3-2020)/30</f>
        <v>0.66</v>
      </c>
      <c r="AG13" s="1" t="n">
        <f aca="false">Inputs!B45+(Inputs!B46-Inputs!B45)*(AG3-2020)/30</f>
        <v>0.655</v>
      </c>
      <c r="AH13" s="1" t="n">
        <f aca="false">Inputs!B45+(Inputs!B46-Inputs!B45)*(AH3-2020)/30</f>
        <v>0.65</v>
      </c>
    </row>
    <row r="14" customFormat="false" ht="15" hidden="false" customHeight="true" outlineLevel="0" collapsed="false">
      <c r="A14" s="80" t="s">
        <v>569</v>
      </c>
      <c r="B14" s="80" t="s">
        <v>418</v>
      </c>
      <c r="C14" s="80" t="s">
        <v>570</v>
      </c>
      <c r="D14" s="57" t="n">
        <f aca="false">D13*(Supply!D16+Supply!D17)</f>
        <v>6.27377581996</v>
      </c>
      <c r="E14" s="57" t="n">
        <f aca="false">E13*(Supply!E16+Supply!E17)</f>
        <v>6.84578492700784</v>
      </c>
      <c r="F14" s="57" t="n">
        <f aca="false">F13*(Supply!F16+Supply!F17)</f>
        <v>7.42295885087312</v>
      </c>
      <c r="G14" s="57" t="n">
        <f aca="false">G13*(Supply!G16+Supply!G17)</f>
        <v>8.00481593395219</v>
      </c>
      <c r="H14" s="57" t="n">
        <f aca="false">H13*(Supply!H16+Supply!H17)</f>
        <v>8.59088308714526</v>
      </c>
      <c r="I14" s="57" t="n">
        <f aca="false">I13*(Supply!I16+Supply!I17)</f>
        <v>9.1806956877951</v>
      </c>
      <c r="J14" s="57" t="n">
        <f aca="false">J13*(Supply!J16+Supply!J17)</f>
        <v>9.77379747861922</v>
      </c>
      <c r="K14" s="57" t="n">
        <f aca="false">K13*(Supply!K16+Supply!K17)</f>
        <v>10.369740467627</v>
      </c>
      <c r="L14" s="57" t="n">
        <f aca="false">L13*(Supply!L16+Supply!L17)</f>
        <v>10.9680848290137</v>
      </c>
      <c r="M14" s="57" t="n">
        <f aca="false">M13*(Supply!M16+Supply!M17)</f>
        <v>11.5683988050218</v>
      </c>
      <c r="N14" s="57" t="n">
        <f aca="false">N13*(Supply!N16+Supply!N17)</f>
        <v>12.1702586087633</v>
      </c>
      <c r="O14" s="57" t="n">
        <f aca="false">O13*(Supply!O16+Supply!O17)</f>
        <v>12.7732483279922</v>
      </c>
      <c r="P14" s="57" t="n">
        <f aca="false">P13*(Supply!P16+Supply!P17)</f>
        <v>13.3769598298215</v>
      </c>
      <c r="Q14" s="57" t="n">
        <f aca="false">Q13*(Supply!Q16+Supply!Q17)</f>
        <v>13.9809926663742</v>
      </c>
      <c r="R14" s="57" t="n">
        <f aca="false">R13*(Supply!R16+Supply!R17)</f>
        <v>14.5849539813624</v>
      </c>
      <c r="S14" s="57" t="n">
        <f aca="false">S13*(Supply!S16+Supply!S17)</f>
        <v>15.1884584175845</v>
      </c>
      <c r="T14" s="57" t="n">
        <f aca="false">T13*(Supply!T16+Supply!T17)</f>
        <v>15.7911280253344</v>
      </c>
      <c r="U14" s="57" t="n">
        <f aca="false">U13*(Supply!U16+Supply!U17)</f>
        <v>16.3925921717129</v>
      </c>
      <c r="V14" s="57" t="n">
        <f aca="false">V13*(Supply!V16+Supply!V17)</f>
        <v>16.9924874508354</v>
      </c>
      <c r="W14" s="57" t="n">
        <f aca="false">W13*(Supply!W16+Supply!W17)</f>
        <v>17.5904575949266</v>
      </c>
      <c r="X14" s="57" t="n">
        <f aca="false">X13*(Supply!X16+Supply!X17)</f>
        <v>18.1861533862953</v>
      </c>
      <c r="Y14" s="57" t="n">
        <f aca="false">Y13*(Supply!Y16+Supply!Y17)</f>
        <v>18.7792325701812</v>
      </c>
      <c r="Z14" s="57" t="n">
        <f aca="false">Z13*(Supply!Z16+Supply!Z17)</f>
        <v>19.3693597684669</v>
      </c>
      <c r="AA14" s="57" t="n">
        <f aca="false">AA13*(Supply!AA16+Supply!AA17)</f>
        <v>19.9562063942465</v>
      </c>
      <c r="AB14" s="57" t="n">
        <f aca="false">AB13*(Supply!AB16+Supply!AB17)</f>
        <v>20.539450567244</v>
      </c>
      <c r="AC14" s="57" t="n">
        <f aca="false">AC13*(Supply!AC16+Supply!AC17)</f>
        <v>21.1187770300745</v>
      </c>
      <c r="AD14" s="57" t="n">
        <f aca="false">AD13*(Supply!AD16+Supply!AD17)</f>
        <v>21.6938770653391</v>
      </c>
      <c r="AE14" s="57" t="n">
        <f aca="false">AE13*(Supply!AE16+Supply!AE17)</f>
        <v>22.264448413549</v>
      </c>
      <c r="AF14" s="57" t="n">
        <f aca="false">AF13*(Supply!AF16+Supply!AF17)</f>
        <v>22.8301951918689</v>
      </c>
      <c r="AG14" s="57" t="n">
        <f aca="false">AG13*(Supply!AG16+Supply!AG17)</f>
        <v>23.3908278136739</v>
      </c>
      <c r="AH14" s="57" t="n">
        <f aca="false">AH13*(Supply!AH16+Supply!AH17)</f>
        <v>23.9460629089128</v>
      </c>
    </row>
    <row r="15" customFormat="false" ht="15" hidden="false" customHeight="true" outlineLevel="0" collapsed="false">
      <c r="A15" s="60" t="s">
        <v>571</v>
      </c>
      <c r="B15" s="51" t="s">
        <v>418</v>
      </c>
      <c r="C15" s="52" t="s">
        <v>572</v>
      </c>
      <c r="D15" s="61" t="n">
        <f aca="false">D8+D9+D10+D11+D14</f>
        <v>3843.76603281394</v>
      </c>
      <c r="E15" s="61" t="n">
        <f aca="false">E8+E9+E10+E11+E14</f>
        <v>3972.16382834811</v>
      </c>
      <c r="F15" s="61" t="n">
        <f aca="false">F8+F9+F10+F11+F14</f>
        <v>4100.72233210631</v>
      </c>
      <c r="G15" s="61" t="n">
        <f aca="false">G8+G9+G10+G11+G14</f>
        <v>4229.45457078667</v>
      </c>
      <c r="H15" s="61" t="n">
        <f aca="false">H8+H9+H10+H11+H14</f>
        <v>4358.37409063109</v>
      </c>
      <c r="I15" s="61" t="n">
        <f aca="false">I8+I9+I10+I11+I14</f>
        <v>4487.49497648102</v>
      </c>
      <c r="J15" s="61" t="n">
        <f aca="false">J8+J9+J10+J11+J14</f>
        <v>4616.83187159383</v>
      </c>
      <c r="K15" s="61" t="n">
        <f aca="false">K8+K9+K10+K11+K14</f>
        <v>4767.6674013924</v>
      </c>
      <c r="L15" s="61" t="n">
        <f aca="false">L8+L9+L10+L11+L14</f>
        <v>4919.3880075545</v>
      </c>
      <c r="M15" s="61" t="n">
        <f aca="false">M8+M9+M10+M11+M14</f>
        <v>5072.02449102781</v>
      </c>
      <c r="N15" s="61" t="n">
        <f aca="false">N8+N9+N10+N11+N14</f>
        <v>5225.60858575227</v>
      </c>
      <c r="O15" s="61" t="n">
        <f aca="false">O8+O9+O10+O11+O14</f>
        <v>5380.17298811825</v>
      </c>
      <c r="P15" s="61" t="n">
        <f aca="false">P8+P9+P10+P11+P14</f>
        <v>5561.4191424034</v>
      </c>
      <c r="Q15" s="61" t="n">
        <f aca="false">Q8+Q9+Q10+Q11+Q14</f>
        <v>5804.01884183982</v>
      </c>
      <c r="R15" s="61" t="n">
        <f aca="false">R8+R9+R10+R11+R14</f>
        <v>6046.3340665474</v>
      </c>
      <c r="S15" s="61" t="n">
        <f aca="false">S8+S9+S10+S11+S14</f>
        <v>6288.39353286479</v>
      </c>
      <c r="T15" s="61" t="n">
        <f aca="false">T8+T9+T10+T11+T14</f>
        <v>6530.22684931038</v>
      </c>
      <c r="U15" s="61" t="n">
        <f aca="false">U8+U9+U10+U11+U14</f>
        <v>6595.75205046376</v>
      </c>
      <c r="V15" s="61" t="n">
        <f aca="false">V8+V9+V10+V11+V14</f>
        <v>6662.93813206442</v>
      </c>
      <c r="W15" s="61" t="n">
        <f aca="false">W8+W9+W10+W11+W14</f>
        <v>6731.8175873735</v>
      </c>
      <c r="X15" s="61" t="n">
        <f aca="false">X8+X9+X10+X11+X14</f>
        <v>6802.42394484576</v>
      </c>
      <c r="Y15" s="61" t="n">
        <f aca="false">Y8+Y9+Y10+Y11+Y14</f>
        <v>6874.79180716066</v>
      </c>
      <c r="Z15" s="61" t="n">
        <f aca="false">Z8+Z9+Z10+Z11+Z14</f>
        <v>6995.95846246502</v>
      </c>
      <c r="AA15" s="61" t="n">
        <f aca="false">AA8+AA9+AA10+AA11+AA14</f>
        <v>7135.8512560156</v>
      </c>
      <c r="AB15" s="61" t="n">
        <f aca="false">AB8+AB9+AB10+AB11+AB14</f>
        <v>7276.40694274594</v>
      </c>
      <c r="AC15" s="61" t="n">
        <f aca="false">AC8+AC9+AC10+AC11+AC14</f>
        <v>7417.65669251744</v>
      </c>
      <c r="AD15" s="61" t="n">
        <f aca="false">AD8+AD9+AD10+AD11+AD14</f>
        <v>7559.63285656406</v>
      </c>
      <c r="AE15" s="61" t="n">
        <f aca="false">AE8+AE9+AE10+AE11+AE14</f>
        <v>7702.36901212962</v>
      </c>
      <c r="AF15" s="61" t="n">
        <f aca="false">AF8+AF9+AF10+AF11+AF14</f>
        <v>7845.90000882361</v>
      </c>
      <c r="AG15" s="61" t="n">
        <f aca="false">AG8+AG9+AG10+AG11+AG14</f>
        <v>7990.26201675968</v>
      </c>
      <c r="AH15" s="61" t="n">
        <f aca="false">AH8+AH9+AH10+AH11+AH14</f>
        <v>8135.49257654351</v>
      </c>
    </row>
    <row r="16" customFormat="false" ht="15" hidden="false" customHeight="true" outlineLevel="0" collapsed="false">
      <c r="A16" s="60" t="s">
        <v>571</v>
      </c>
      <c r="B16" s="51" t="s">
        <v>573</v>
      </c>
      <c r="C16" s="52" t="s">
        <v>574</v>
      </c>
      <c r="D16" s="81" t="n">
        <f aca="false">D15/1000</f>
        <v>3.84376603281394</v>
      </c>
      <c r="E16" s="81" t="n">
        <f aca="false">E15/1000</f>
        <v>3.97216382834811</v>
      </c>
      <c r="F16" s="81" t="n">
        <f aca="false">F15/1000</f>
        <v>4.10072233210631</v>
      </c>
      <c r="G16" s="81" t="n">
        <f aca="false">G15/1000</f>
        <v>4.22945457078667</v>
      </c>
      <c r="H16" s="81" t="n">
        <f aca="false">H15/1000</f>
        <v>4.35837409063109</v>
      </c>
      <c r="I16" s="81" t="n">
        <f aca="false">I15/1000</f>
        <v>4.48749497648102</v>
      </c>
      <c r="J16" s="81" t="n">
        <f aca="false">J15/1000</f>
        <v>4.61683187159383</v>
      </c>
      <c r="K16" s="81" t="n">
        <f aca="false">K15/1000</f>
        <v>4.7676674013924</v>
      </c>
      <c r="L16" s="81" t="n">
        <f aca="false">L15/1000</f>
        <v>4.9193880075545</v>
      </c>
      <c r="M16" s="81" t="n">
        <f aca="false">M15/1000</f>
        <v>5.07202449102781</v>
      </c>
      <c r="N16" s="81" t="n">
        <f aca="false">N15/1000</f>
        <v>5.22560858575227</v>
      </c>
      <c r="O16" s="81" t="n">
        <f aca="false">O15/1000</f>
        <v>5.38017298811825</v>
      </c>
      <c r="P16" s="81" t="n">
        <f aca="false">P15/1000</f>
        <v>5.5614191424034</v>
      </c>
      <c r="Q16" s="81" t="n">
        <f aca="false">Q15/1000</f>
        <v>5.80401884183982</v>
      </c>
      <c r="R16" s="81" t="n">
        <f aca="false">R15/1000</f>
        <v>6.0463340665474</v>
      </c>
      <c r="S16" s="81" t="n">
        <f aca="false">S15/1000</f>
        <v>6.28839353286479</v>
      </c>
      <c r="T16" s="81" t="n">
        <f aca="false">T15/1000</f>
        <v>6.53022684931038</v>
      </c>
      <c r="U16" s="81" t="n">
        <f aca="false">U15/1000</f>
        <v>6.59575205046376</v>
      </c>
      <c r="V16" s="81" t="n">
        <f aca="false">V15/1000</f>
        <v>6.66293813206442</v>
      </c>
      <c r="W16" s="81" t="n">
        <f aca="false">W15/1000</f>
        <v>6.7318175873735</v>
      </c>
      <c r="X16" s="81" t="n">
        <f aca="false">X15/1000</f>
        <v>6.80242394484576</v>
      </c>
      <c r="Y16" s="81" t="n">
        <f aca="false">Y15/1000</f>
        <v>6.87479180716066</v>
      </c>
      <c r="Z16" s="81" t="n">
        <f aca="false">Z15/1000</f>
        <v>6.99595846246502</v>
      </c>
      <c r="AA16" s="81" t="n">
        <f aca="false">AA15/1000</f>
        <v>7.1358512560156</v>
      </c>
      <c r="AB16" s="81" t="n">
        <f aca="false">AB15/1000</f>
        <v>7.27640694274594</v>
      </c>
      <c r="AC16" s="81" t="n">
        <f aca="false">AC15/1000</f>
        <v>7.41765669251744</v>
      </c>
      <c r="AD16" s="81" t="n">
        <f aca="false">AD15/1000</f>
        <v>7.55963285656406</v>
      </c>
      <c r="AE16" s="81" t="n">
        <f aca="false">AE15/1000</f>
        <v>7.70236901212962</v>
      </c>
      <c r="AF16" s="81" t="n">
        <f aca="false">AF15/1000</f>
        <v>7.84590000882361</v>
      </c>
      <c r="AG16" s="81" t="n">
        <f aca="false">AG15/1000</f>
        <v>7.99026201675968</v>
      </c>
      <c r="AH16" s="81" t="n">
        <f aca="false">AH15/1000</f>
        <v>8.13549257654351</v>
      </c>
    </row>
    <row r="17" customFormat="false" ht="15" hidden="false" customHeight="true" outlineLevel="0" collapsed="false">
      <c r="A17" s="60"/>
      <c r="B17" s="82" t="s">
        <v>575</v>
      </c>
      <c r="C17" s="83" t="s">
        <v>576</v>
      </c>
      <c r="D17" s="81" t="n">
        <f aca="false">+D15*Inputs!$B$64</f>
        <v>13.8375577181302</v>
      </c>
      <c r="E17" s="81" t="n">
        <f aca="false">+E15*Inputs!$B$64</f>
        <v>14.2997897820532</v>
      </c>
      <c r="F17" s="81" t="n">
        <f aca="false">+F15*Inputs!$B$64</f>
        <v>14.7626003955827</v>
      </c>
      <c r="G17" s="81" t="n">
        <f aca="false">+G15*Inputs!$B$64</f>
        <v>15.226036454832</v>
      </c>
      <c r="H17" s="81" t="n">
        <f aca="false">+H15*Inputs!$B$64</f>
        <v>15.6901467262719</v>
      </c>
      <c r="I17" s="81" t="n">
        <f aca="false">+I15*Inputs!$B$64</f>
        <v>16.1549819153317</v>
      </c>
      <c r="J17" s="81" t="n">
        <f aca="false">+J15*Inputs!$B$64</f>
        <v>16.6205947377378</v>
      </c>
      <c r="K17" s="81" t="n">
        <f aca="false">+K15*Inputs!$B$64</f>
        <v>17.1636026450126</v>
      </c>
      <c r="L17" s="81" t="n">
        <f aca="false">+L15*Inputs!$B$64</f>
        <v>17.7097968271962</v>
      </c>
      <c r="M17" s="81" t="n">
        <f aca="false">+M15*Inputs!$B$64</f>
        <v>18.2592881677001</v>
      </c>
      <c r="N17" s="81" t="n">
        <f aca="false">+N15*Inputs!$B$64</f>
        <v>18.8121909087082</v>
      </c>
      <c r="O17" s="81" t="n">
        <f aca="false">+O15*Inputs!$B$64</f>
        <v>19.3686227572257</v>
      </c>
      <c r="P17" s="81" t="n">
        <f aca="false">+P15*Inputs!$B$64</f>
        <v>20.0211089126522</v>
      </c>
      <c r="Q17" s="81" t="n">
        <f aca="false">+Q15*Inputs!$B$64</f>
        <v>20.8944678306233</v>
      </c>
      <c r="R17" s="81" t="n">
        <f aca="false">+R15*Inputs!$B$64</f>
        <v>21.7668026395707</v>
      </c>
      <c r="S17" s="81" t="n">
        <f aca="false">+S15*Inputs!$B$64</f>
        <v>22.6382167183132</v>
      </c>
      <c r="T17" s="81" t="n">
        <f aca="false">+T15*Inputs!$B$64</f>
        <v>23.5088166575174</v>
      </c>
      <c r="U17" s="81" t="n">
        <f aca="false">+U15*Inputs!$B$64</f>
        <v>23.7447073816695</v>
      </c>
      <c r="V17" s="81" t="n">
        <f aca="false">+V15*Inputs!$B$64</f>
        <v>23.9865772754319</v>
      </c>
      <c r="W17" s="81" t="n">
        <f aca="false">+W15*Inputs!$B$64</f>
        <v>24.2345433145446</v>
      </c>
      <c r="X17" s="81" t="n">
        <f aca="false">+X15*Inputs!$B$64</f>
        <v>24.4887262014447</v>
      </c>
      <c r="Y17" s="81" t="n">
        <f aca="false">+Y15*Inputs!$B$64</f>
        <v>24.7492505057784</v>
      </c>
      <c r="Z17" s="81" t="n">
        <f aca="false">+Z15*Inputs!$B$64</f>
        <v>25.1854504648741</v>
      </c>
      <c r="AA17" s="81" t="n">
        <f aca="false">+AA15*Inputs!$B$64</f>
        <v>25.6890645216562</v>
      </c>
      <c r="AB17" s="81" t="n">
        <f aca="false">+AB15*Inputs!$B$64</f>
        <v>26.1950649938854</v>
      </c>
      <c r="AC17" s="81" t="n">
        <f aca="false">+AC15*Inputs!$B$64</f>
        <v>26.7035640930628</v>
      </c>
      <c r="AD17" s="81" t="n">
        <f aca="false">+AD15*Inputs!$B$64</f>
        <v>27.2146782836306</v>
      </c>
      <c r="AE17" s="81" t="n">
        <f aca="false">+AE15*Inputs!$B$64</f>
        <v>27.7285284436666</v>
      </c>
      <c r="AF17" s="81" t="n">
        <f aca="false">+AF15*Inputs!$B$64</f>
        <v>28.245240031765</v>
      </c>
      <c r="AG17" s="81" t="n">
        <f aca="false">+AG15*Inputs!$B$64</f>
        <v>28.7649432603349</v>
      </c>
      <c r="AH17" s="81" t="n">
        <f aca="false">+AH15*Inputs!$B$64</f>
        <v>29.2877732755566</v>
      </c>
    </row>
    <row r="18" customFormat="false" ht="15" hidden="false" customHeight="true" outlineLevel="0" collapsed="false">
      <c r="A18" s="60"/>
      <c r="B18" s="51"/>
      <c r="C18" s="52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</row>
    <row r="19" customFormat="false" ht="15" hidden="false" customHeight="true" outlineLevel="0" collapsed="false">
      <c r="A19" s="85" t="s">
        <v>577</v>
      </c>
      <c r="B19" s="82" t="s">
        <v>575</v>
      </c>
      <c r="C19" s="78" t="s">
        <v>578</v>
      </c>
      <c r="D19" s="86" t="n">
        <f aca="false">+(D8+D9+D10+(D11-D12)+D14)*Inputs!$B$64</f>
        <v>13.8375577181302</v>
      </c>
      <c r="E19" s="86" t="n">
        <f aca="false">+(E8+E9+E10+(E11-E12)+E14)*Inputs!$B$64</f>
        <v>14.2997897820532</v>
      </c>
      <c r="F19" s="86" t="n">
        <f aca="false">+(F8+F9+F10+(F11-F12)+F14)*Inputs!$B$64</f>
        <v>14.7626003955827</v>
      </c>
      <c r="G19" s="86" t="n">
        <f aca="false">+(G8+G9+G10+(G11-G12)+G14)*Inputs!$B$64</f>
        <v>15.226036454832</v>
      </c>
      <c r="H19" s="86" t="n">
        <f aca="false">+(H8+H9+H10+(H11-H12)+H14)*Inputs!$B$64</f>
        <v>15.6901467262719</v>
      </c>
      <c r="I19" s="86" t="n">
        <f aca="false">+(I8+I9+I10+(I11-I12)+I14)*Inputs!$B$64</f>
        <v>16.1549819153317</v>
      </c>
      <c r="J19" s="86" t="n">
        <f aca="false">+(J8+J9+J10+(J11-J12)+J14)*Inputs!$B$64</f>
        <v>16.6205947377378</v>
      </c>
      <c r="K19" s="86" t="n">
        <f aca="false">+(K8+K9+K10+(K11-K12)+K14)*Inputs!$B$64</f>
        <v>17.1636026450126</v>
      </c>
      <c r="L19" s="86" t="n">
        <f aca="false">+(L8+L9+L10+(L11-L12)+L14)*Inputs!$B$64</f>
        <v>17.7097968271962</v>
      </c>
      <c r="M19" s="86" t="n">
        <f aca="false">+(M8+M9+M10+(M11-M12)+M14)*Inputs!$B$64</f>
        <v>18.2592881677001</v>
      </c>
      <c r="N19" s="86" t="n">
        <f aca="false">+(N8+N9+N10+(N11-N12)+N14)*Inputs!$B$64</f>
        <v>18.8121909087082</v>
      </c>
      <c r="O19" s="86" t="n">
        <f aca="false">+(O8+O9+O10+(O11-O12)+O14)*Inputs!$B$64</f>
        <v>19.3686227572257</v>
      </c>
      <c r="P19" s="86" t="n">
        <f aca="false">+(P8+P9+P10+(P11-P12)+P14)*Inputs!$B$64</f>
        <v>19.9152857758507</v>
      </c>
      <c r="Q19" s="86" t="n">
        <f aca="false">+(Q8+Q9+Q10+(Q11-Q12)+Q14)*Inputs!$B$64</f>
        <v>20.4328455350735</v>
      </c>
      <c r="R19" s="86" t="n">
        <f aca="false">+(R8+R9+R10+(R11-R12)+R14)*Inputs!$B$64</f>
        <v>20.9529120695987</v>
      </c>
      <c r="S19" s="86" t="n">
        <f aca="false">+(S8+S9+S10+(S11-S12)+S14)*Inputs!$B$64</f>
        <v>21.4755858360985</v>
      </c>
      <c r="T19" s="86" t="n">
        <f aca="false">+(T8+T9+T10+(T11-T12)+T14)*Inputs!$B$64</f>
        <v>22.0009706860607</v>
      </c>
      <c r="U19" s="86" t="n">
        <f aca="false">+(U8+U9+U10+(U11-U12)+U14)*Inputs!$B$64</f>
        <v>22.5291739840584</v>
      </c>
      <c r="V19" s="86" t="n">
        <f aca="false">+(V8+V9+V10+(V11-V12)+V14)*Inputs!$B$64</f>
        <v>23.0603067304527</v>
      </c>
      <c r="W19" s="86" t="n">
        <f aca="false">+(W8+W9+W10+(W11-W12)+W14)*Inputs!$B$64</f>
        <v>23.5944836886923</v>
      </c>
      <c r="X19" s="86" t="n">
        <f aca="false">+(X8+X9+X10+(X11-X12)+X14)*Inputs!$B$64</f>
        <v>24.13182351738</v>
      </c>
      <c r="Y19" s="86" t="n">
        <f aca="false">+(Y8+Y9+Y10+(Y11-Y12)+Y14)*Inputs!$B$64</f>
        <v>24.6724489072813</v>
      </c>
      <c r="Z19" s="86" t="n">
        <f aca="false">+(Z8+Z9+Z10+(Z11-Z12)+Z14)*Inputs!$B$64</f>
        <v>25.1854504648741</v>
      </c>
      <c r="AA19" s="86" t="n">
        <f aca="false">+(AA8+AA9+AA10+(AA11-AA12)+AA14)*Inputs!$B$64</f>
        <v>25.6890645216562</v>
      </c>
      <c r="AB19" s="86" t="n">
        <f aca="false">+(AB8+AB9+AB10+(AB11-AB12)+AB14)*Inputs!$B$64</f>
        <v>26.1950649938854</v>
      </c>
      <c r="AC19" s="86" t="n">
        <f aca="false">+(AC8+AC9+AC10+(AC11-AC12)+AC14)*Inputs!$B$64</f>
        <v>26.7035640930628</v>
      </c>
      <c r="AD19" s="86" t="n">
        <f aca="false">+(AD8+AD9+AD10+(AD11-AD12)+AD14)*Inputs!$B$64</f>
        <v>27.2146782836306</v>
      </c>
      <c r="AE19" s="86" t="n">
        <f aca="false">+(AE8+AE9+AE10+(AE11-AE12)+AE14)*Inputs!$B$64</f>
        <v>27.7285284436666</v>
      </c>
      <c r="AF19" s="86" t="n">
        <f aca="false">+(AF8+AF9+AF10+(AF11-AF12)+AF14)*Inputs!$B$64</f>
        <v>28.245240031765</v>
      </c>
      <c r="AG19" s="86" t="n">
        <f aca="false">+(AG8+AG9+AG10+(AG11-AG12)+AG14)*Inputs!$B$64</f>
        <v>28.7649432603349</v>
      </c>
      <c r="AH19" s="86" t="n">
        <f aca="false">+(AH8+AH9+AH10+(AH11-AH12)+AH14)*Inputs!$B$64</f>
        <v>29.2877732755566</v>
      </c>
    </row>
    <row r="20" customFormat="false" ht="15" hidden="false" customHeight="true" outlineLevel="0" collapsed="false">
      <c r="A20" s="85" t="s">
        <v>579</v>
      </c>
      <c r="B20" s="82" t="s">
        <v>575</v>
      </c>
      <c r="C20" s="78" t="s">
        <v>580</v>
      </c>
      <c r="D20" s="86" t="n">
        <f aca="false">+(D8+D9+D10+D11+D14)*Inputs!$B$64</f>
        <v>13.8375577181302</v>
      </c>
      <c r="E20" s="86" t="n">
        <f aca="false">+(E8+E9+E10+E11+E14)*Inputs!$B$64</f>
        <v>14.2997897820532</v>
      </c>
      <c r="F20" s="86" t="n">
        <f aca="false">+(F8+F9+F10+F11+F14)*Inputs!$B$64</f>
        <v>14.7626003955827</v>
      </c>
      <c r="G20" s="86" t="n">
        <f aca="false">+(G8+G9+G10+G11+G14)*Inputs!$B$64</f>
        <v>15.226036454832</v>
      </c>
      <c r="H20" s="86" t="n">
        <f aca="false">+(H8+H9+H10+H11+H14)*Inputs!$B$64</f>
        <v>15.6901467262719</v>
      </c>
      <c r="I20" s="86" t="n">
        <f aca="false">+(I8+I9+I10+I11+I14)*Inputs!$B$64</f>
        <v>16.1549819153317</v>
      </c>
      <c r="J20" s="86" t="n">
        <f aca="false">+(J8+J9+J10+J11+J14)*Inputs!$B$64</f>
        <v>16.6205947377378</v>
      </c>
      <c r="K20" s="86" t="n">
        <f aca="false">+(K8+K9+K10+K11+K14)*Inputs!$B$64</f>
        <v>17.1636026450126</v>
      </c>
      <c r="L20" s="86" t="n">
        <f aca="false">+(L8+L9+L10+L11+L14)*Inputs!$B$64</f>
        <v>17.7097968271962</v>
      </c>
      <c r="M20" s="86" t="n">
        <f aca="false">+(M8+M9+M10+M11+M14)*Inputs!$B$64</f>
        <v>18.2592881677001</v>
      </c>
      <c r="N20" s="86" t="n">
        <f aca="false">+(N8+N9+N10+N11+N14)*Inputs!$B$64</f>
        <v>18.8121909087082</v>
      </c>
      <c r="O20" s="86" t="n">
        <f aca="false">+(O8+O9+O10+O11+O14)*Inputs!$B$64</f>
        <v>19.3686227572257</v>
      </c>
      <c r="P20" s="86" t="n">
        <f aca="false">+(P8+P9+P10+P11+P14)*Inputs!$B$64</f>
        <v>20.0211089126522</v>
      </c>
      <c r="Q20" s="86" t="n">
        <f aca="false">+(Q8+Q9+Q10+Q11+Q14)*Inputs!$B$64</f>
        <v>20.8944678306233</v>
      </c>
      <c r="R20" s="86" t="n">
        <f aca="false">+(R8+R9+R10+R11+R14)*Inputs!$B$64</f>
        <v>21.7668026395707</v>
      </c>
      <c r="S20" s="86" t="n">
        <f aca="false">+(S8+S9+S10+S11+S14)*Inputs!$B$64</f>
        <v>22.6382167183132</v>
      </c>
      <c r="T20" s="86" t="n">
        <f aca="false">+(T8+T9+T10+T11+T14)*Inputs!$B$64</f>
        <v>23.5088166575174</v>
      </c>
      <c r="U20" s="86" t="n">
        <f aca="false">+(U8+U9+U10+U11+U14)*Inputs!$B$64</f>
        <v>23.7447073816695</v>
      </c>
      <c r="V20" s="86" t="n">
        <f aca="false">+(V8+V9+V10+V11+V14)*Inputs!$B$64</f>
        <v>23.9865772754319</v>
      </c>
      <c r="W20" s="86" t="n">
        <f aca="false">+(W8+W9+W10+W11+W14)*Inputs!$B$64</f>
        <v>24.2345433145446</v>
      </c>
      <c r="X20" s="86" t="n">
        <f aca="false">+(X8+X9+X10+X11+X14)*Inputs!$B$64</f>
        <v>24.4887262014447</v>
      </c>
      <c r="Y20" s="86" t="n">
        <f aca="false">+(Y8+Y9+Y10+Y11+Y14)*Inputs!$B$64</f>
        <v>24.7492505057784</v>
      </c>
      <c r="Z20" s="86" t="n">
        <f aca="false">+(Z8+Z9+Z10+Z11+Z14)*Inputs!$B$64</f>
        <v>25.1854504648741</v>
      </c>
      <c r="AA20" s="86" t="n">
        <f aca="false">+(AA8+AA9+AA10+AA11+AA14)*Inputs!$B$64</f>
        <v>25.6890645216562</v>
      </c>
      <c r="AB20" s="86" t="n">
        <f aca="false">+(AB8+AB9+AB10+AB11+AB14)*Inputs!$B$64</f>
        <v>26.1950649938854</v>
      </c>
      <c r="AC20" s="86" t="n">
        <f aca="false">+(AC8+AC9+AC10+AC11+AC14)*Inputs!$B$64</f>
        <v>26.7035640930628</v>
      </c>
      <c r="AD20" s="86" t="n">
        <f aca="false">+(AD8+AD9+AD10+AD11+AD14)*Inputs!$B$64</f>
        <v>27.2146782836306</v>
      </c>
      <c r="AE20" s="86" t="n">
        <f aca="false">+(AE8+AE9+AE10+AE11+AE14)*Inputs!$B$64</f>
        <v>27.7285284436666</v>
      </c>
      <c r="AF20" s="86" t="n">
        <f aca="false">+(AF8+AF9+AF10+AF11+AF14)*Inputs!$B$64</f>
        <v>28.245240031765</v>
      </c>
      <c r="AG20" s="86" t="n">
        <f aca="false">+(AG8+AG9+AG10+AG11+AG14)*Inputs!$B$64</f>
        <v>28.7649432603349</v>
      </c>
      <c r="AH20" s="86" t="n">
        <f aca="false">+(AH8+AH9+AH10+AH11+AH14)*Inputs!$B$64</f>
        <v>29.2877732755566</v>
      </c>
      <c r="AI20" s="87"/>
    </row>
    <row r="21" customFormat="false" ht="15" hidden="false" customHeight="true" outlineLevel="0" collapsed="false">
      <c r="A21" s="85" t="s">
        <v>581</v>
      </c>
      <c r="B21" s="82" t="s">
        <v>575</v>
      </c>
      <c r="C21" s="78" t="s">
        <v>580</v>
      </c>
      <c r="D21" s="86" t="n">
        <f aca="false">+(D8+D9+D10+D11+D14)*Inputs!$B$64</f>
        <v>13.8375577181302</v>
      </c>
      <c r="E21" s="86" t="n">
        <f aca="false">+(E8+E9+E10+E11+E14)*Inputs!$B$64</f>
        <v>14.2997897820532</v>
      </c>
      <c r="F21" s="86" t="n">
        <f aca="false">+(F8+F9+F10+F11+F14)*Inputs!$B$64</f>
        <v>14.7626003955827</v>
      </c>
      <c r="G21" s="86" t="n">
        <f aca="false">+(G8+G9+G10+G11+G14)*Inputs!$B$64</f>
        <v>15.226036454832</v>
      </c>
      <c r="H21" s="86" t="n">
        <f aca="false">+(H8+H9+H10+H11+H14)*Inputs!$B$64</f>
        <v>15.6901467262719</v>
      </c>
      <c r="I21" s="86" t="n">
        <f aca="false">+(I8+I9+I10+I11+I14)*Inputs!$B$64</f>
        <v>16.1549819153317</v>
      </c>
      <c r="J21" s="86" t="n">
        <f aca="false">+(J8+J9+J10+J11+J14)*Inputs!$B$64</f>
        <v>16.6205947377378</v>
      </c>
      <c r="K21" s="86" t="n">
        <f aca="false">+(K8+K9+K10+K11+K14)*Inputs!$B$64</f>
        <v>17.1636026450126</v>
      </c>
      <c r="L21" s="86" t="n">
        <f aca="false">+(L8+L9+L10+L11+L14)*Inputs!$B$64</f>
        <v>17.7097968271962</v>
      </c>
      <c r="M21" s="86" t="n">
        <f aca="false">+(M8+M9+M10+M11+M14)*Inputs!$B$64</f>
        <v>18.2592881677001</v>
      </c>
      <c r="N21" s="86" t="n">
        <f aca="false">+(N8+N9+N10+N11+N14)*Inputs!$B$64</f>
        <v>18.8121909087082</v>
      </c>
      <c r="O21" s="86" t="n">
        <f aca="false">+(O8+O9+O10+O11+O14)*Inputs!$B$64</f>
        <v>19.3686227572257</v>
      </c>
      <c r="P21" s="86" t="n">
        <f aca="false">+(P8+P9+P10+P11+P14)*Inputs!$B$64</f>
        <v>20.0211089126522</v>
      </c>
      <c r="Q21" s="86" t="n">
        <f aca="false">+(Q8+Q9+Q10+Q11+Q14)*Inputs!$B$64</f>
        <v>20.8944678306233</v>
      </c>
      <c r="R21" s="86" t="n">
        <f aca="false">+(R8+R9+R10+R11+R14)*Inputs!$B$64</f>
        <v>21.7668026395707</v>
      </c>
      <c r="S21" s="86" t="n">
        <f aca="false">+(S8+S9+S10+S11+S14)*Inputs!$B$64</f>
        <v>22.6382167183132</v>
      </c>
      <c r="T21" s="86" t="n">
        <f aca="false">+(T8+T9+T10+T11+T14)*Inputs!$B$64</f>
        <v>23.5088166575174</v>
      </c>
      <c r="U21" s="86" t="n">
        <f aca="false">+(U8+U9+U10+U11+U14)*Inputs!$B$64</f>
        <v>23.7447073816695</v>
      </c>
      <c r="V21" s="86" t="n">
        <f aca="false">+(V8+V9+V10+V11+V14)*Inputs!$B$64</f>
        <v>23.9865772754319</v>
      </c>
      <c r="W21" s="86" t="n">
        <f aca="false">+(W8+W9+W10+W11+W14)*Inputs!$B$64</f>
        <v>24.2345433145446</v>
      </c>
      <c r="X21" s="86" t="n">
        <f aca="false">+(X8+X9+X10+X11+X14)*Inputs!$B$64</f>
        <v>24.4887262014447</v>
      </c>
      <c r="Y21" s="86" t="n">
        <f aca="false">+(Y8+Y9+Y10+Y11+Y14)*Inputs!$B$64</f>
        <v>24.7492505057784</v>
      </c>
      <c r="Z21" s="86" t="n">
        <f aca="false">+(Z8+Z9+Z10+Z11+Z14)*Inputs!$B$64</f>
        <v>25.1854504648741</v>
      </c>
      <c r="AA21" s="86" t="n">
        <f aca="false">+(AA8+AA9+AA10+AA11+AA14)*Inputs!$B$64</f>
        <v>25.6890645216562</v>
      </c>
      <c r="AB21" s="86" t="n">
        <f aca="false">+(AB8+AB9+AB10+AB11+AB14)*Inputs!$B$64</f>
        <v>26.1950649938854</v>
      </c>
      <c r="AC21" s="86" t="n">
        <f aca="false">+(AC8+AC9+AC10+AC11+AC14)*Inputs!$B$64</f>
        <v>26.7035640930628</v>
      </c>
      <c r="AD21" s="86" t="n">
        <f aca="false">+(AD8+AD9+AD10+AD11+AD14)*Inputs!$B$64</f>
        <v>27.2146782836306</v>
      </c>
      <c r="AE21" s="86" t="n">
        <f aca="false">+(AE8+AE9+AE10+AE11+AE14)*Inputs!$B$64</f>
        <v>27.7285284436666</v>
      </c>
      <c r="AF21" s="86" t="n">
        <f aca="false">+(AF8+AF9+AF10+AF11+AF14)*Inputs!$B$64</f>
        <v>28.245240031765</v>
      </c>
      <c r="AG21" s="86" t="n">
        <f aca="false">+(AG8+AG9+AG10+AG11+AG14)*Inputs!$B$64</f>
        <v>28.7649432603349</v>
      </c>
      <c r="AH21" s="86" t="n">
        <f aca="false">+(AH8+AH9+AH10+AH11+AH14)*Inputs!$B$64</f>
        <v>29.2877732755566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50" t="s">
        <v>582</v>
      </c>
      <c r="B23" s="51" t="s">
        <v>167</v>
      </c>
      <c r="C23" s="52" t="s">
        <v>583</v>
      </c>
      <c r="D23" s="88" t="n">
        <f aca="false">D15/Supply!D5</f>
        <v>0.546025606793917</v>
      </c>
      <c r="E23" s="88" t="n">
        <f aca="false">E15/Supply!E5</f>
        <v>0.557404865050901</v>
      </c>
      <c r="F23" s="88" t="n">
        <f aca="false">F15/Supply!F5</f>
        <v>0.56862005141772</v>
      </c>
      <c r="G23" s="88" t="n">
        <f aca="false">G15/Supply!G5</f>
        <v>0.579681588446127</v>
      </c>
      <c r="H23" s="88" t="n">
        <f aca="false">H15/Supply!H5</f>
        <v>0.590599185634</v>
      </c>
      <c r="I23" s="88" t="n">
        <f aca="false">I15/Supply!I5</f>
        <v>0.601381901242214</v>
      </c>
      <c r="J23" s="88" t="n">
        <f aca="false">J15/Supply!J5</f>
        <v>0.612038197969811</v>
      </c>
      <c r="K23" s="88" t="n">
        <f aca="false">K15/Supply!K5</f>
        <v>0.620906587038222</v>
      </c>
      <c r="L23" s="88" t="n">
        <f aca="false">L15/Supply!L5</f>
        <v>0.629656792747028</v>
      </c>
      <c r="M23" s="88" t="n">
        <f aca="false">M15/Supply!M5</f>
        <v>0.638299518104341</v>
      </c>
      <c r="N23" s="88" t="n">
        <f aca="false">N15/Supply!N5</f>
        <v>0.646844676158942</v>
      </c>
      <c r="O23" s="88" t="n">
        <f aca="false">O15/Supply!O5</f>
        <v>0.655301471306507</v>
      </c>
      <c r="P23" s="88" t="n">
        <f aca="false">P15/Supply!P5</f>
        <v>0.666755765468135</v>
      </c>
      <c r="Q23" s="88" t="n">
        <f aca="false">Q15/Supply!Q5</f>
        <v>0.685162781129836</v>
      </c>
      <c r="R23" s="88" t="n">
        <f aca="false">R15/Supply!R5</f>
        <v>0.703042992963037</v>
      </c>
      <c r="S23" s="88" t="n">
        <f aca="false">S15/Supply!S5</f>
        <v>0.720425456035438</v>
      </c>
      <c r="T23" s="88" t="n">
        <f aca="false">T15/Supply!T5</f>
        <v>0.737337153268053</v>
      </c>
      <c r="U23" s="88" t="n">
        <f aca="false">U15/Supply!U5</f>
        <v>0.738701371554079</v>
      </c>
      <c r="V23" s="88" t="n">
        <f aca="false">V15/Supply!V5</f>
        <v>0.74028184708646</v>
      </c>
      <c r="W23" s="88" t="n">
        <f aca="false">W15/Supply!W5</f>
        <v>0.742075022489716</v>
      </c>
      <c r="X23" s="88" t="n">
        <f aca="false">X15/Supply!X5</f>
        <v>0.744077621653233</v>
      </c>
      <c r="Y23" s="88" t="n">
        <f aca="false">Y15/Supply!Y5</f>
        <v>0.74628663359434</v>
      </c>
      <c r="Z23" s="88" t="n">
        <f aca="false">Z15/Supply!Z5</f>
        <v>0.753763373205606</v>
      </c>
      <c r="AA23" s="88" t="n">
        <f aca="false">AA15/Supply!AA5</f>
        <v>0.76317323534981</v>
      </c>
      <c r="AB23" s="88" t="n">
        <f aca="false">AB15/Supply!AB5</f>
        <v>0.772555099615516</v>
      </c>
      <c r="AC23" s="88" t="n">
        <f aca="false">AC15/Supply!AC5</f>
        <v>0.781911840931007</v>
      </c>
      <c r="AD23" s="88" t="n">
        <f aca="false">AD15/Supply!AD5</f>
        <v>0.791246239742394</v>
      </c>
      <c r="AE23" s="88" t="n">
        <f aca="false">AE15/Supply!AE5</f>
        <v>0.800560990502989</v>
      </c>
      <c r="AF23" s="88" t="n">
        <f aca="false">AF15/Supply!AF5</f>
        <v>0.809858709706203</v>
      </c>
      <c r="AG23" s="88" t="n">
        <f aca="false">AG15/Supply!AG5</f>
        <v>0.81914194350413</v>
      </c>
      <c r="AH23" s="88" t="n">
        <f aca="false">AH15/Supply!AH5</f>
        <v>0.828413174950021</v>
      </c>
    </row>
    <row r="24" customFormat="false" ht="15" hidden="false" customHeight="true" outlineLevel="0" collapsed="false">
      <c r="A24" s="50" t="s">
        <v>584</v>
      </c>
      <c r="B24" s="51" t="s">
        <v>585</v>
      </c>
      <c r="C24" s="52" t="s">
        <v>586</v>
      </c>
      <c r="D24" s="54" t="n">
        <f aca="false">D15*1000000/Demand!D5</f>
        <v>570.691603747543</v>
      </c>
      <c r="E24" s="54" t="n">
        <f aca="false">E15*1000000/Demand!E5</f>
        <v>578.948275444141</v>
      </c>
      <c r="F24" s="54" t="n">
        <f aca="false">F15*1000000/Demand!F5</f>
        <v>586.930799895332</v>
      </c>
      <c r="G24" s="54" t="n">
        <f aca="false">G15*1000000/Demand!G5</f>
        <v>594.655546456168</v>
      </c>
      <c r="H24" s="54" t="n">
        <f aca="false">H15*1000000/Demand!H5</f>
        <v>602.13781895763</v>
      </c>
      <c r="I24" s="54" t="n">
        <f aca="false">I15*1000000/Demand!I5</f>
        <v>609.391949251957</v>
      </c>
      <c r="J24" s="54" t="n">
        <f aca="false">J15*1000000/Demand!J5</f>
        <v>616.431381437894</v>
      </c>
      <c r="K24" s="54" t="n">
        <f aca="false">K15*1000000/Demand!K5</f>
        <v>626.061455526661</v>
      </c>
      <c r="L24" s="54" t="n">
        <f aca="false">L15*1000000/Demand!L5</f>
        <v>635.493060902988</v>
      </c>
      <c r="M24" s="54" t="n">
        <f aca="false">M15*1000000/Demand!M5</f>
        <v>644.739628335561</v>
      </c>
      <c r="N24" s="54" t="n">
        <f aca="false">N15*1000000/Demand!N5</f>
        <v>653.813860259562</v>
      </c>
      <c r="O24" s="54" t="n">
        <f aca="false">O15*1000000/Demand!O5</f>
        <v>662.727790801825</v>
      </c>
      <c r="P24" s="54" t="n">
        <f aca="false">P15*1000000/Demand!P5</f>
        <v>674.60636784824</v>
      </c>
      <c r="Q24" s="54" t="n">
        <f aca="false">Q15*1000000/Demand!Q5</f>
        <v>693.45854598438</v>
      </c>
      <c r="R24" s="54" t="n">
        <f aca="false">R15*1000000/Demand!R5</f>
        <v>711.719255161787</v>
      </c>
      <c r="S24" s="54" t="n">
        <f aca="false">S15*1000000/Demand!S5</f>
        <v>729.417702649093</v>
      </c>
      <c r="T24" s="54" t="n">
        <f aca="false">T15*1000000/Demand!T5</f>
        <v>746.581518474664</v>
      </c>
      <c r="U24" s="54" t="n">
        <f aca="false">U15*1000000/Demand!U5</f>
        <v>743.387750790937</v>
      </c>
      <c r="V24" s="54" t="n">
        <f aca="false">V15*1000000/Demand!V5</f>
        <v>740.467806195051</v>
      </c>
      <c r="W24" s="54" t="n">
        <f aca="false">W15*1000000/Demand!W5</f>
        <v>737.813926700003</v>
      </c>
      <c r="X24" s="54" t="n">
        <f aca="false">X15*1000000/Demand!X5</f>
        <v>735.418888021858</v>
      </c>
      <c r="Y24" s="54" t="n">
        <f aca="false">Y15*1000000/Demand!Y5</f>
        <v>733.275967958726</v>
      </c>
      <c r="Z24" s="54" t="n">
        <f aca="false">Z15*1000000/Demand!Z5</f>
        <v>736.325840903103</v>
      </c>
      <c r="AA24" s="54" t="n">
        <f aca="false">AA15*1000000/Demand!AA5</f>
        <v>741.241244101678</v>
      </c>
      <c r="AB24" s="54" t="n">
        <f aca="false">AB15*1000000/Demand!AB5</f>
        <v>746.097887648612</v>
      </c>
      <c r="AC24" s="54" t="n">
        <f aca="false">AC15*1000000/Demand!AC5</f>
        <v>750.901170436331</v>
      </c>
      <c r="AD24" s="54" t="n">
        <f aca="false">AD15*1000000/Demand!AD5</f>
        <v>755.656338051889</v>
      </c>
      <c r="AE24" s="54" t="n">
        <f aca="false">AE15*1000000/Demand!AE5</f>
        <v>760.368496697005</v>
      </c>
      <c r="AF24" s="54" t="n">
        <f aca="false">AF15*1000000/Demand!AF5</f>
        <v>765.042626251789</v>
      </c>
      <c r="AG24" s="54" t="n">
        <f aca="false">AG15*1000000/Demand!AG5</f>
        <v>769.683592560947</v>
      </c>
      <c r="AH24" s="54" t="n">
        <f aca="false">AH15*1000000/Demand!AH5</f>
        <v>774.296159013909</v>
      </c>
    </row>
    <row r="25" customFormat="false" ht="15" hidden="false" customHeight="true" outlineLevel="0" collapsed="false">
      <c r="A25" s="50" t="s">
        <v>587</v>
      </c>
      <c r="B25" s="51" t="s">
        <v>515</v>
      </c>
      <c r="C25" s="52"/>
      <c r="D25" s="70" t="n">
        <f aca="false">D11/D15</f>
        <v>0.0182113061519393</v>
      </c>
      <c r="E25" s="70" t="n">
        <f aca="false">E11/E15</f>
        <v>0.0388774945976987</v>
      </c>
      <c r="F25" s="70" t="n">
        <f aca="false">F11/F15</f>
        <v>0.0580493935374976</v>
      </c>
      <c r="G25" s="70" t="n">
        <f aca="false">G11/G15</f>
        <v>0.075860845560595</v>
      </c>
      <c r="H25" s="70" t="n">
        <f aca="false">H11/H15</f>
        <v>0.0924299833074018</v>
      </c>
      <c r="I25" s="70" t="n">
        <f aca="false">I11/I15</f>
        <v>0.107861463982594</v>
      </c>
      <c r="J25" s="70" t="n">
        <f aca="false">J11/J15</f>
        <v>0.122248332990553</v>
      </c>
      <c r="K25" s="70" t="n">
        <f aca="false">K11/K15</f>
        <v>0.135068379753806</v>
      </c>
      <c r="L25" s="70" t="n">
        <f aca="false">L11/L15</f>
        <v>0.146910776300075</v>
      </c>
      <c r="M25" s="70" t="n">
        <f aca="false">M11/M15</f>
        <v>0.157856098963307</v>
      </c>
      <c r="N25" s="70" t="n">
        <f aca="false">N11/N15</f>
        <v>0.167976181792693</v>
      </c>
      <c r="O25" s="70" t="n">
        <f aca="false">O11/O15</f>
        <v>0.177335272778682</v>
      </c>
      <c r="P25" s="70" t="n">
        <f aca="false">P11/P15</f>
        <v>0.190418180802778</v>
      </c>
      <c r="Q25" s="70" t="n">
        <f aca="false">Q11/Q15</f>
        <v>0.212356798532423</v>
      </c>
      <c r="R25" s="70" t="n">
        <f aca="false">R11/R15</f>
        <v>0.232249570765239</v>
      </c>
      <c r="S25" s="70" t="n">
        <f aca="false">S11/S15</f>
        <v>0.250334686372639</v>
      </c>
      <c r="T25" s="70" t="n">
        <f aca="false">T11/T15</f>
        <v>0.26681419413133</v>
      </c>
      <c r="U25" s="70" t="n">
        <f aca="false">U11/U15</f>
        <v>0.262685629153142</v>
      </c>
      <c r="V25" s="70" t="n">
        <f aca="false">V11/V15</f>
        <v>0.258579224278571</v>
      </c>
      <c r="W25" s="70" t="n">
        <f aca="false">W11/W15</f>
        <v>0.254496218303018</v>
      </c>
      <c r="X25" s="70" t="n">
        <f aca="false">X11/X15</f>
        <v>0.250437798749323</v>
      </c>
      <c r="Y25" s="70" t="n">
        <f aca="false">Y11/Y15</f>
        <v>0.246405102129185</v>
      </c>
      <c r="Z25" s="70" t="n">
        <f aca="false">Z11/Z15</f>
        <v>0.248721380176883</v>
      </c>
      <c r="AA25" s="70" t="n">
        <f aca="false">AA11/AA15</f>
        <v>0.253176210232069</v>
      </c>
      <c r="AB25" s="70" t="n">
        <f aca="false">AB11/AB15</f>
        <v>0.257324805323959</v>
      </c>
      <c r="AC25" s="70" t="n">
        <f aca="false">AC11/AC15</f>
        <v>0.26118236411041</v>
      </c>
      <c r="AD25" s="70" t="n">
        <f aca="false">AD11/AD15</f>
        <v>0.264763004908789</v>
      </c>
      <c r="AE25" s="70" t="n">
        <f aca="false">AE11/AE15</f>
        <v>0.268079859163887</v>
      </c>
      <c r="AF25" s="70" t="n">
        <f aca="false">AF11/AF15</f>
        <v>0.271145155480608</v>
      </c>
      <c r="AG25" s="70" t="n">
        <f aca="false">AG11/AG15</f>
        <v>0.273970295323581</v>
      </c>
      <c r="AH25" s="70" t="n">
        <f aca="false">AH11/AH15</f>
        <v>0.276565921341661</v>
      </c>
    </row>
    <row r="30" customFormat="false" ht="15" hidden="false" customHeight="true" outlineLevel="0" collapsed="false">
      <c r="D30" s="89" t="n">
        <f aca="false">+D19/D31</f>
        <v>0.113902863533869</v>
      </c>
    </row>
    <row r="31" customFormat="false" ht="15" hidden="false" customHeight="true" outlineLevel="0" collapsed="false">
      <c r="D31" s="87" t="n">
        <f aca="false">33746*Inputs!$B$64</f>
        <v>121.4856</v>
      </c>
      <c r="E31" s="87"/>
    </row>
    <row r="32" customFormat="false" ht="15" hidden="false" customHeight="true" outlineLevel="0" collapsed="false">
      <c r="E32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2"/>
  <sheetViews>
    <sheetView showFormulas="false" showGridLines="false" showRowColHeaders="true" showZeros="true" rightToLeft="false" tabSelected="false" showOutlineSymbols="true" defaultGridColor="true" view="normal" topLeftCell="A14" colorId="64" zoomScale="89" zoomScaleNormal="89" zoomScalePageLayoutView="100" workbookViewId="0">
      <selection pane="topLeft" activeCell="R32" activeCellId="0" sqref="R32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15" min="2" style="1" width="14"/>
  </cols>
  <sheetData>
    <row r="1" customFormat="false" ht="17.25" hidden="false" customHeight="true" outlineLevel="0" collapsed="false">
      <c r="A1" s="14" t="s">
        <v>588</v>
      </c>
      <c r="B1" s="14"/>
      <c r="C1" s="14"/>
      <c r="D1" s="14"/>
      <c r="E1" s="14"/>
    </row>
    <row r="3" customFormat="false" ht="15" hidden="false" customHeight="true" outlineLevel="0" collapsed="false">
      <c r="A3" s="15" t="s">
        <v>427</v>
      </c>
      <c r="B3" s="15" t="s">
        <v>589</v>
      </c>
      <c r="C3" s="15" t="s">
        <v>590</v>
      </c>
      <c r="D3" s="15" t="s">
        <v>591</v>
      </c>
      <c r="E3" s="15" t="s">
        <v>428</v>
      </c>
    </row>
    <row r="4" customFormat="false" ht="15" hidden="false" customHeight="true" outlineLevel="0" collapsed="false">
      <c r="A4" s="90" t="s">
        <v>429</v>
      </c>
      <c r="B4" s="91" t="n">
        <f aca="false">Demand!D5</f>
        <v>6735277</v>
      </c>
      <c r="C4" s="91" t="n">
        <f aca="false">Demand!AH5</f>
        <v>10506952</v>
      </c>
      <c r="D4" s="92" t="n">
        <f aca="false">IFERROR((C4/B4)^(1/30)-1,"")</f>
        <v>0.0149330061565651</v>
      </c>
      <c r="E4" s="93"/>
    </row>
    <row r="5" customFormat="false" ht="15" hidden="false" customHeight="true" outlineLevel="0" collapsed="false">
      <c r="A5" s="90" t="s">
        <v>592</v>
      </c>
      <c r="B5" s="91" t="n">
        <f aca="false">Demand!D6</f>
        <v>6357</v>
      </c>
      <c r="C5" s="91" t="n">
        <f aca="false">Demand!AH6</f>
        <v>14556.1208035627</v>
      </c>
      <c r="D5" s="92" t="n">
        <f aca="false">IFERROR((C5/B5)^(1/30)-1,"")</f>
        <v>0.028</v>
      </c>
      <c r="E5" s="93"/>
    </row>
    <row r="6" customFormat="false" ht="15" hidden="false" customHeight="true" outlineLevel="0" collapsed="false">
      <c r="A6" s="90" t="s">
        <v>593</v>
      </c>
      <c r="B6" s="91" t="n">
        <f aca="false">Demand!D7</f>
        <v>42816.155889</v>
      </c>
      <c r="C6" s="91" t="n">
        <f aca="false">Demand!AH7</f>
        <v>152940.462589235</v>
      </c>
      <c r="D6" s="92" t="n">
        <f aca="false">IFERROR((C6/B6)^(1/30)-1,"")</f>
        <v>0.0433511303289491</v>
      </c>
      <c r="E6" s="93"/>
    </row>
    <row r="7" customFormat="false" ht="15" hidden="false" customHeight="true" outlineLevel="0" collapsed="false">
      <c r="A7" s="94" t="s">
        <v>594</v>
      </c>
      <c r="B7" s="95" t="n">
        <f aca="false">Demand!D19</f>
        <v>7039.5343826149</v>
      </c>
      <c r="C7" s="95" t="n">
        <f aca="false">Demand!AH19</f>
        <v>9820.57362503237</v>
      </c>
      <c r="D7" s="96" t="n">
        <f aca="false">IFERROR((C7/B7)^(1/30)-1,"")</f>
        <v>0.0111597271716832</v>
      </c>
      <c r="E7" s="97"/>
    </row>
    <row r="8" customFormat="false" ht="15" hidden="false" customHeight="true" outlineLevel="0" collapsed="false">
      <c r="A8" s="90" t="s">
        <v>595</v>
      </c>
      <c r="B8" s="98" t="n">
        <f aca="false">Demand!D13</f>
        <v>784.221977495</v>
      </c>
      <c r="C8" s="98" t="n">
        <f aca="false">Demand!AH13</f>
        <v>1052.57419379837</v>
      </c>
      <c r="D8" s="92" t="n">
        <f aca="false">IFERROR((C8/B8)^(1/30)-1,"")</f>
        <v>0.00985834112578243</v>
      </c>
      <c r="E8" s="93"/>
    </row>
    <row r="9" customFormat="false" ht="15" hidden="false" customHeight="true" outlineLevel="0" collapsed="false">
      <c r="A9" s="90" t="s">
        <v>596</v>
      </c>
      <c r="B9" s="98" t="n">
        <f aca="false">Demand!D14</f>
        <v>389.6270185899</v>
      </c>
      <c r="C9" s="98" t="n">
        <f aca="false">Demand!AH14</f>
        <v>1029.48406727925</v>
      </c>
      <c r="D9" s="92" t="n">
        <f aca="false">IFERROR((C9/B9)^(1/30)-1,"")</f>
        <v>0.0329176190256595</v>
      </c>
      <c r="E9" s="93"/>
    </row>
    <row r="10" customFormat="false" ht="15" hidden="false" customHeight="true" outlineLevel="0" collapsed="false">
      <c r="A10" s="90" t="s">
        <v>597</v>
      </c>
      <c r="B10" s="98" t="n">
        <f aca="false">Demand!D15</f>
        <v>5865.68538653</v>
      </c>
      <c r="C10" s="98" t="n">
        <f aca="false">Demand!AH15</f>
        <v>7191.01536395476</v>
      </c>
      <c r="D10" s="92" t="n">
        <f aca="false">IFERROR((C10/B10)^(1/30)-1,"")</f>
        <v>0.00681354210731255</v>
      </c>
      <c r="E10" s="93"/>
    </row>
    <row r="11" customFormat="false" ht="15" hidden="false" customHeight="true" outlineLevel="0" collapsed="false">
      <c r="A11" s="99" t="s">
        <v>598</v>
      </c>
      <c r="B11" s="100" t="n">
        <f aca="false">Demand!D17</f>
        <v>0</v>
      </c>
      <c r="C11" s="100" t="n">
        <f aca="false">Demand!AH17</f>
        <v>547.5</v>
      </c>
      <c r="D11" s="101" t="str">
        <f aca="false">IFERROR((C11/B11)^(1/30)-1,"")</f>
        <v/>
      </c>
      <c r="E11" s="102" t="s">
        <v>599</v>
      </c>
    </row>
    <row r="12" customFormat="false" ht="15" hidden="false" customHeight="true" outlineLevel="0" collapsed="false">
      <c r="A12" s="90" t="s">
        <v>600</v>
      </c>
      <c r="B12" s="98" t="n">
        <f aca="false">Supply!D8</f>
        <v>6000</v>
      </c>
      <c r="C12" s="98" t="n">
        <f aca="false">Supply!AH8</f>
        <v>3812.74855638809</v>
      </c>
      <c r="D12" s="92" t="n">
        <f aca="false">IFERROR((C12/B12)^(1/30)-1,"")</f>
        <v>-0.015</v>
      </c>
      <c r="E12" s="93"/>
    </row>
    <row r="13" customFormat="false" ht="15" hidden="false" customHeight="true" outlineLevel="0" collapsed="false">
      <c r="A13" s="90" t="s">
        <v>601</v>
      </c>
      <c r="B13" s="98" t="n">
        <f aca="false">Supply!D9</f>
        <v>912</v>
      </c>
      <c r="C13" s="98" t="n">
        <f aca="false">Supply!AH9</f>
        <v>497.481699276783</v>
      </c>
      <c r="D13" s="92" t="n">
        <f aca="false">IFERROR((C13/B13)^(1/30)-1,"")</f>
        <v>-0.02</v>
      </c>
      <c r="E13" s="93" t="s">
        <v>602</v>
      </c>
    </row>
    <row r="14" customFormat="false" ht="15" hidden="false" customHeight="true" outlineLevel="0" collapsed="false">
      <c r="A14" s="103" t="s">
        <v>603</v>
      </c>
      <c r="B14" s="104" t="n">
        <f aca="false">Supply!D29</f>
        <v>20</v>
      </c>
      <c r="C14" s="104" t="n">
        <f aca="false">Supply!AH29</f>
        <v>750</v>
      </c>
      <c r="D14" s="105" t="n">
        <f aca="false">IFERROR((C14/B14)^(1/30)-1,"")</f>
        <v>0.128412033645437</v>
      </c>
      <c r="E14" s="93" t="s">
        <v>604</v>
      </c>
    </row>
    <row r="15" customFormat="false" ht="15" hidden="false" customHeight="true" outlineLevel="0" collapsed="false">
      <c r="A15" s="99" t="s">
        <v>605</v>
      </c>
      <c r="B15" s="100" t="n">
        <f aca="false">Supply!D31</f>
        <v>0</v>
      </c>
      <c r="C15" s="100" t="n">
        <f aca="false">Supply!AH31</f>
        <v>0</v>
      </c>
      <c r="D15" s="101" t="str">
        <f aca="false">IFERROR((C15/B15)^(1/30)-1,"")</f>
        <v/>
      </c>
      <c r="E15" s="102"/>
    </row>
    <row r="16" customFormat="false" ht="15" hidden="false" customHeight="true" outlineLevel="0" collapsed="false">
      <c r="A16" s="99" t="s">
        <v>606</v>
      </c>
      <c r="B16" s="106" t="n">
        <f aca="false">Supply!D32</f>
        <v>0</v>
      </c>
      <c r="C16" s="106" t="n">
        <f aca="false">Supply!AH32</f>
        <v>0</v>
      </c>
      <c r="D16" s="101" t="str">
        <f aca="false">IFERROR((C16/B16)^(1/30)-1,"")</f>
        <v/>
      </c>
      <c r="E16" s="102" t="s">
        <v>607</v>
      </c>
    </row>
    <row r="17" customFormat="false" ht="15" hidden="false" customHeight="true" outlineLevel="0" collapsed="false">
      <c r="A17" s="90" t="s">
        <v>608</v>
      </c>
      <c r="B17" s="91" t="n">
        <f aca="false">Energy!D9</f>
        <v>2113.89225699398</v>
      </c>
      <c r="C17" s="91" t="n">
        <f aca="false">Energy!AH9</f>
        <v>4645.71580537121</v>
      </c>
      <c r="D17" s="92" t="n">
        <f aca="false">IFERROR((C17/B17)^(1/30)-1,"")</f>
        <v>0.0265946414590046</v>
      </c>
      <c r="E17" s="93"/>
    </row>
    <row r="18" customFormat="false" ht="15" hidden="false" customHeight="true" outlineLevel="0" collapsed="false">
      <c r="A18" s="90" t="s">
        <v>609</v>
      </c>
      <c r="B18" s="91" t="n">
        <f aca="false">Energy!D10</f>
        <v>1641.6</v>
      </c>
      <c r="C18" s="91" t="n">
        <f aca="false">Energy!AH10</f>
        <v>1206.95430378273</v>
      </c>
      <c r="D18" s="92" t="n">
        <f aca="false">IFERROR((C18/B18)^(1/30)-1,"")</f>
        <v>-0.0102</v>
      </c>
      <c r="E18" s="93"/>
    </row>
    <row r="19" customFormat="false" ht="15" hidden="false" customHeight="true" outlineLevel="0" collapsed="false">
      <c r="A19" s="90" t="s">
        <v>610</v>
      </c>
      <c r="B19" s="91" t="n">
        <f aca="false">Energy!D11</f>
        <v>70</v>
      </c>
      <c r="C19" s="91" t="n">
        <f aca="false">Energy!AH11</f>
        <v>2250</v>
      </c>
      <c r="D19" s="92" t="n">
        <f aca="false">IFERROR((C19/B19)^(1/30)-1,"")</f>
        <v>0.122628721990018</v>
      </c>
      <c r="E19" s="93"/>
    </row>
    <row r="20" customFormat="false" ht="15" hidden="false" customHeight="true" outlineLevel="0" collapsed="false">
      <c r="A20" s="99" t="s">
        <v>611</v>
      </c>
      <c r="B20" s="106" t="n">
        <f aca="false">Energy!D12</f>
        <v>0</v>
      </c>
      <c r="C20" s="106" t="n">
        <f aca="false">Energy!AH12</f>
        <v>0</v>
      </c>
      <c r="D20" s="101" t="str">
        <f aca="false">IFERROR((C20/B20)^(1/30)-1,"")</f>
        <v/>
      </c>
      <c r="E20" s="102"/>
    </row>
    <row r="21" customFormat="false" ht="15" hidden="false" customHeight="true" outlineLevel="0" collapsed="false">
      <c r="A21" s="94" t="s">
        <v>612</v>
      </c>
      <c r="B21" s="107" t="n">
        <f aca="false">Energy!D15</f>
        <v>3843.76603281394</v>
      </c>
      <c r="C21" s="107" t="n">
        <f aca="false">Energy!AH15</f>
        <v>8135.49257654351</v>
      </c>
      <c r="D21" s="96" t="n">
        <f aca="false">IFERROR((C21/B21)^(1/30)-1,"")</f>
        <v>0.025307726847128</v>
      </c>
      <c r="E21" s="97"/>
    </row>
    <row r="22" customFormat="false" ht="15" hidden="false" customHeight="true" outlineLevel="0" collapsed="false">
      <c r="A22" s="94" t="s">
        <v>613</v>
      </c>
      <c r="B22" s="108" t="n">
        <f aca="false">Energy!D16</f>
        <v>3.84376603281394</v>
      </c>
      <c r="C22" s="108" t="n">
        <f aca="false">Energy!AH16</f>
        <v>8.13549257654351</v>
      </c>
      <c r="D22" s="96" t="n">
        <f aca="false">IFERROR((C22/B22)^(1/30)-1,"")</f>
        <v>0.025307726847128</v>
      </c>
      <c r="E22" s="97"/>
    </row>
    <row r="23" customFormat="false" ht="15" hidden="false" customHeight="true" outlineLevel="0" collapsed="false">
      <c r="A23" s="90" t="s">
        <v>582</v>
      </c>
      <c r="B23" s="109" t="n">
        <f aca="false">Energy!D23</f>
        <v>0.546025606793917</v>
      </c>
      <c r="C23" s="109" t="n">
        <f aca="false">Energy!AH23</f>
        <v>0.828413174950021</v>
      </c>
      <c r="D23" s="92" t="n">
        <f aca="false">IFERROR((C23/B23)^(1/30)-1,"")</f>
        <v>0.0139918543977402</v>
      </c>
      <c r="E23" s="93"/>
    </row>
    <row r="24" customFormat="false" ht="15" hidden="false" customHeight="true" outlineLevel="0" collapsed="false">
      <c r="A24" s="90" t="s">
        <v>614</v>
      </c>
      <c r="B24" s="91" t="n">
        <f aca="false">Energy!D24</f>
        <v>570.691603747543</v>
      </c>
      <c r="C24" s="91" t="n">
        <f aca="false">Energy!AH24</f>
        <v>774.296159013909</v>
      </c>
      <c r="D24" s="92" t="n">
        <f aca="false">IFERROR((C24/B24)^(1/30)-1,"")</f>
        <v>0.0102220743907528</v>
      </c>
      <c r="E24" s="93"/>
    </row>
    <row r="25" customFormat="false" ht="15" hidden="false" customHeight="true" outlineLevel="0" collapsed="false">
      <c r="A25" s="90" t="s">
        <v>615</v>
      </c>
      <c r="B25" s="110" t="n">
        <f aca="false">Energy!D25</f>
        <v>0.0182113061519393</v>
      </c>
      <c r="C25" s="110" t="n">
        <f aca="false">Energy!AH25</f>
        <v>0.276565921341661</v>
      </c>
      <c r="D25" s="92" t="n">
        <f aca="false">IFERROR((C25/B25)^(1/30)-1,"")</f>
        <v>0.0949188156829333</v>
      </c>
      <c r="E25" s="93"/>
    </row>
    <row r="27" customFormat="false" ht="15" hidden="false" customHeight="true" outlineLevel="0" collapsed="false">
      <c r="A27" s="1" t="s">
        <v>616</v>
      </c>
      <c r="B27" s="64" t="n">
        <f aca="false">Supply!D15</f>
        <v>7.84221977495</v>
      </c>
      <c r="C27" s="64" t="n">
        <f aca="false">Supply!AH15</f>
        <v>36.8400967829428</v>
      </c>
    </row>
    <row r="28" customFormat="false" ht="15" hidden="false" customHeight="true" outlineLevel="0" collapsed="false">
      <c r="A28" s="1" t="s">
        <v>617</v>
      </c>
      <c r="B28" s="64" t="n">
        <f aca="false">Supply!D16</f>
        <v>0</v>
      </c>
      <c r="C28" s="64" t="n">
        <f aca="false">Supply!AH16</f>
        <v>11.0520290348828</v>
      </c>
    </row>
    <row r="29" customFormat="false" ht="15" hidden="false" customHeight="true" outlineLevel="0" collapsed="false">
      <c r="A29" s="1" t="s">
        <v>618</v>
      </c>
      <c r="B29" s="64" t="n">
        <f aca="false">Supply!D17</f>
        <v>7.84221977495</v>
      </c>
      <c r="C29" s="64" t="n">
        <f aca="false">Supply!AH17</f>
        <v>25.78806774806</v>
      </c>
    </row>
    <row r="30" customFormat="false" ht="15" hidden="false" customHeight="true" outlineLevel="0" collapsed="false">
      <c r="A30" s="1" t="s">
        <v>619</v>
      </c>
      <c r="B30" s="64" t="n">
        <f aca="false">Energy!D14</f>
        <v>6.27377581996</v>
      </c>
      <c r="C30" s="64" t="n">
        <f aca="false">Energy!AH14</f>
        <v>23.9460629089128</v>
      </c>
    </row>
    <row r="32" customFormat="false" ht="15" hidden="false" customHeight="true" outlineLevel="0" collapsed="false">
      <c r="B32" s="1" t="s">
        <v>620</v>
      </c>
    </row>
    <row r="33" customFormat="false" ht="15" hidden="false" customHeight="true" outlineLevel="0" collapsed="false">
      <c r="B33" s="1" t="s">
        <v>621</v>
      </c>
    </row>
    <row r="34" customFormat="false" ht="15" hidden="false" customHeight="true" outlineLevel="0" collapsed="false">
      <c r="B34" s="1" t="s">
        <v>622</v>
      </c>
      <c r="C34" s="1" t="s">
        <v>623</v>
      </c>
      <c r="D34" s="1" t="s">
        <v>624</v>
      </c>
      <c r="E34" s="1" t="s">
        <v>625</v>
      </c>
      <c r="F34" s="1" t="s">
        <v>626</v>
      </c>
    </row>
    <row r="35" customFormat="false" ht="15" hidden="false" customHeight="true" outlineLevel="0" collapsed="false">
      <c r="B35" s="1" t="n">
        <v>2020</v>
      </c>
      <c r="C35" s="64" t="n">
        <f aca="false">Demand!D13</f>
        <v>784.221977495</v>
      </c>
      <c r="D35" s="64" t="n">
        <f aca="false">Demand!D14</f>
        <v>389.6270185899</v>
      </c>
      <c r="E35" s="64" t="n">
        <f aca="false">Demand!D15</f>
        <v>5865.68538653</v>
      </c>
      <c r="F35" s="64" t="n">
        <f aca="false">Demand!D17</f>
        <v>0</v>
      </c>
    </row>
    <row r="36" customFormat="false" ht="15" hidden="false" customHeight="true" outlineLevel="0" collapsed="false">
      <c r="B36" s="1" t="n">
        <v>2030</v>
      </c>
      <c r="C36" s="64" t="n">
        <f aca="false">Demand!N13</f>
        <v>885.109717000968</v>
      </c>
      <c r="D36" s="64" t="n">
        <f aca="false">Demand!N14</f>
        <v>551.136850295968</v>
      </c>
      <c r="E36" s="64" t="n">
        <f aca="false">Demand!N15</f>
        <v>6423.36763230149</v>
      </c>
      <c r="F36" s="64" t="n">
        <f aca="false">Demand!N17</f>
        <v>219</v>
      </c>
    </row>
    <row r="37" customFormat="false" ht="15" hidden="false" customHeight="true" outlineLevel="0" collapsed="false">
      <c r="B37" s="1" t="n">
        <v>2040</v>
      </c>
      <c r="C37" s="64" t="n">
        <f aca="false">Demand!X13</f>
        <v>974.258217122963</v>
      </c>
      <c r="D37" s="64" t="n">
        <f aca="false">Demand!X14</f>
        <v>760.306500902548</v>
      </c>
      <c r="E37" s="64" t="n">
        <f aca="false">Demand!X15</f>
        <v>6860.02442279793</v>
      </c>
      <c r="F37" s="64" t="n">
        <f aca="false">Demand!X17</f>
        <v>547.5</v>
      </c>
    </row>
    <row r="38" customFormat="false" ht="16.5" hidden="false" customHeight="true" outlineLevel="0" collapsed="false">
      <c r="B38" s="111" t="s">
        <v>627</v>
      </c>
      <c r="C38" s="64" t="n">
        <f aca="false">Demand!AH13</f>
        <v>1052.57419379837</v>
      </c>
      <c r="D38" s="64" t="n">
        <f aca="false">Demand!AH14</f>
        <v>1029.48406727925</v>
      </c>
      <c r="E38" s="64" t="n">
        <f aca="false">Demand!AH15</f>
        <v>7191.01536395476</v>
      </c>
      <c r="F38" s="64" t="n">
        <f aca="false">Demand!AH17</f>
        <v>547.5</v>
      </c>
    </row>
    <row r="39" customFormat="false" ht="207.75" hidden="false" customHeight="true" outlineLevel="0" collapsed="false">
      <c r="B39" s="112" t="s">
        <v>628</v>
      </c>
    </row>
    <row r="59" customFormat="false" ht="15" hidden="false" customHeight="true" outlineLevel="0" collapsed="false">
      <c r="B59" s="1" t="s">
        <v>629</v>
      </c>
    </row>
    <row r="60" customFormat="false" ht="15" hidden="false" customHeight="true" outlineLevel="0" collapsed="false">
      <c r="B60" s="1" t="s">
        <v>622</v>
      </c>
      <c r="C60" s="1" t="s">
        <v>623</v>
      </c>
      <c r="D60" s="1" t="s">
        <v>624</v>
      </c>
      <c r="E60" s="1" t="s">
        <v>625</v>
      </c>
      <c r="F60" s="1" t="s">
        <v>626</v>
      </c>
    </row>
    <row r="61" customFormat="false" ht="15" hidden="false" customHeight="true" outlineLevel="0" collapsed="false">
      <c r="B61" s="1" t="n">
        <v>2020</v>
      </c>
      <c r="C61" s="64" t="n">
        <f aca="false">Demand!D13</f>
        <v>784.221977495</v>
      </c>
      <c r="D61" s="64" t="n">
        <f aca="false">Demand!D14</f>
        <v>389.6270185899</v>
      </c>
      <c r="E61" s="64" t="n">
        <f aca="false">Demand!D15</f>
        <v>5865.68538653</v>
      </c>
      <c r="F61" s="64" t="n">
        <f aca="false">Demand!D17</f>
        <v>0</v>
      </c>
    </row>
    <row r="62" customFormat="false" ht="15" hidden="false" customHeight="true" outlineLevel="0" collapsed="false">
      <c r="B62" s="1" t="n">
        <v>2021</v>
      </c>
      <c r="C62" s="64" t="n">
        <f aca="false">Demand!E13</f>
        <v>794.866174398587</v>
      </c>
      <c r="D62" s="64" t="n">
        <f aca="false">Demand!E14</f>
        <v>403.932968035115</v>
      </c>
      <c r="E62" s="64" t="n">
        <f aca="false">Demand!E15</f>
        <v>5927.37444771856</v>
      </c>
      <c r="F62" s="64" t="n">
        <f aca="false">Demand!E17</f>
        <v>0</v>
      </c>
    </row>
    <row r="63" customFormat="false" ht="15" hidden="false" customHeight="true" outlineLevel="0" collapsed="false">
      <c r="B63" s="1" t="n">
        <v>2022</v>
      </c>
      <c r="C63" s="64" t="n">
        <f aca="false">Demand!F13</f>
        <v>805.384323783702</v>
      </c>
      <c r="D63" s="64" t="n">
        <f aca="false">Demand!F14</f>
        <v>418.623578068233</v>
      </c>
      <c r="E63" s="64" t="n">
        <f aca="false">Demand!F15</f>
        <v>5987.70108006336</v>
      </c>
      <c r="F63" s="64" t="n">
        <f aca="false">Demand!F17</f>
        <v>0</v>
      </c>
    </row>
    <row r="64" customFormat="false" ht="15" hidden="false" customHeight="true" outlineLevel="0" collapsed="false">
      <c r="B64" s="1" t="n">
        <v>2023</v>
      </c>
      <c r="C64" s="64" t="n">
        <f aca="false">Demand!G13</f>
        <v>815.777420020605</v>
      </c>
      <c r="D64" s="64" t="n">
        <f aca="false">Demand!G14</f>
        <v>433.707989015256</v>
      </c>
      <c r="E64" s="64" t="n">
        <f aca="false">Demand!G15</f>
        <v>6046.683134326</v>
      </c>
      <c r="F64" s="64" t="n">
        <f aca="false">Demand!G17</f>
        <v>0</v>
      </c>
    </row>
    <row r="65" customFormat="false" ht="15" hidden="false" customHeight="true" outlineLevel="0" collapsed="false">
      <c r="B65" s="1" t="n">
        <v>2024</v>
      </c>
      <c r="C65" s="64" t="n">
        <f aca="false">Demand!H13</f>
        <v>826.046450687044</v>
      </c>
      <c r="D65" s="64" t="n">
        <f aca="false">Demand!H14</f>
        <v>449.195544352525</v>
      </c>
      <c r="E65" s="64" t="n">
        <f aca="false">Demand!H15</f>
        <v>6104.33826285131</v>
      </c>
      <c r="F65" s="64" t="n">
        <f aca="false">Demand!H17</f>
        <v>0</v>
      </c>
    </row>
    <row r="66" customFormat="false" ht="15" hidden="false" customHeight="true" outlineLevel="0" collapsed="false">
      <c r="B66" s="1" t="n">
        <v>2025</v>
      </c>
      <c r="C66" s="64" t="n">
        <f aca="false">Demand!I13</f>
        <v>836.192396611319</v>
      </c>
      <c r="D66" s="64" t="n">
        <f aca="false">Demand!I14</f>
        <v>465.095795036329</v>
      </c>
      <c r="E66" s="64" t="n">
        <f aca="false">Demand!I15</f>
        <v>6160.68392159961</v>
      </c>
      <c r="F66" s="64" t="n">
        <f aca="false">Demand!I17</f>
        <v>0</v>
      </c>
    </row>
    <row r="67" customFormat="false" ht="15" hidden="false" customHeight="true" outlineLevel="0" collapsed="false">
      <c r="B67" s="1" t="n">
        <v>2026</v>
      </c>
      <c r="C67" s="64" t="n">
        <f aca="false">Demand!J13</f>
        <v>846.216231915084</v>
      </c>
      <c r="D67" s="64" t="n">
        <f aca="false">Demand!J14</f>
        <v>481.418503922153</v>
      </c>
      <c r="E67" s="64" t="n">
        <f aca="false">Demand!J15</f>
        <v>6215.73737215912</v>
      </c>
      <c r="F67" s="64" t="n">
        <f aca="false">Demand!J17</f>
        <v>0</v>
      </c>
    </row>
    <row r="68" customFormat="false" ht="15" hidden="false" customHeight="true" outlineLevel="0" collapsed="false">
      <c r="B68" s="1" t="n">
        <v>2027</v>
      </c>
      <c r="C68" s="64" t="n">
        <f aca="false">Demand!K13</f>
        <v>856.118924055895</v>
      </c>
      <c r="D68" s="64" t="n">
        <f aca="false">Demand!K14</f>
        <v>498.173650275403</v>
      </c>
      <c r="E68" s="64" t="n">
        <f aca="false">Demand!K15</f>
        <v>6269.5156837387</v>
      </c>
      <c r="F68" s="64" t="n">
        <f aca="false">Demand!K17</f>
        <v>54.75</v>
      </c>
    </row>
    <row r="69" customFormat="false" ht="15" hidden="false" customHeight="true" outlineLevel="0" collapsed="false">
      <c r="B69" s="1" t="n">
        <v>2028</v>
      </c>
      <c r="C69" s="64" t="n">
        <f aca="false">Demand!L13</f>
        <v>865.901433869501</v>
      </c>
      <c r="D69" s="64" t="n">
        <f aca="false">Demand!L14</f>
        <v>515.37143437545</v>
      </c>
      <c r="E69" s="64" t="n">
        <f aca="false">Demand!L15</f>
        <v>6322.03573514119</v>
      </c>
      <c r="F69" s="64" t="n">
        <f aca="false">Demand!L17</f>
        <v>109.5</v>
      </c>
    </row>
    <row r="70" customFormat="false" ht="15" hidden="false" customHeight="true" outlineLevel="0" collapsed="false">
      <c r="B70" s="1" t="n">
        <v>2029</v>
      </c>
      <c r="C70" s="64" t="n">
        <f aca="false">Demand!M13</f>
        <v>875.564715611869</v>
      </c>
      <c r="D70" s="64" t="n">
        <f aca="false">Demand!M14</f>
        <v>533.022282214894</v>
      </c>
      <c r="E70" s="64" t="n">
        <f aca="false">Demand!M15</f>
        <v>6373.31421671747</v>
      </c>
      <c r="F70" s="64" t="n">
        <f aca="false">Demand!M17</f>
        <v>164.25</v>
      </c>
    </row>
    <row r="71" customFormat="false" ht="15" hidden="false" customHeight="true" outlineLevel="0" collapsed="false">
      <c r="B71" s="1" t="n">
        <v>2030</v>
      </c>
      <c r="C71" s="64" t="n">
        <f aca="false">Demand!N13</f>
        <v>885.109717000968</v>
      </c>
      <c r="D71" s="64" t="n">
        <f aca="false">Demand!N14</f>
        <v>551.136850295968</v>
      </c>
      <c r="E71" s="64" t="n">
        <f aca="false">Demand!N15</f>
        <v>6423.36763230149</v>
      </c>
      <c r="F71" s="64" t="n">
        <f aca="false">Demand!N17</f>
        <v>219</v>
      </c>
    </row>
    <row r="72" customFormat="false" ht="15" hidden="false" customHeight="true" outlineLevel="0" collapsed="false">
      <c r="B72" s="1" t="n">
        <v>2031</v>
      </c>
      <c r="C72" s="64" t="n">
        <f aca="false">Demand!O13</f>
        <v>894.537379258284</v>
      </c>
      <c r="D72" s="64" t="n">
        <f aca="false">Demand!O14</f>
        <v>569.726030526055</v>
      </c>
      <c r="E72" s="64" t="n">
        <f aca="false">Demand!O15</f>
        <v>6472.21230112629</v>
      </c>
      <c r="F72" s="64" t="n">
        <f aca="false">Demand!O17</f>
        <v>273.75</v>
      </c>
    </row>
    <row r="73" customFormat="false" ht="15" hidden="false" customHeight="true" outlineLevel="0" collapsed="false">
      <c r="B73" s="1" t="n">
        <v>2032</v>
      </c>
      <c r="C73" s="64" t="n">
        <f aca="false">Demand!P13</f>
        <v>903.848637150102</v>
      </c>
      <c r="D73" s="64" t="n">
        <f aca="false">Demand!P14</f>
        <v>588.800955214323</v>
      </c>
      <c r="E73" s="64" t="n">
        <f aca="false">Demand!P15</f>
        <v>6519.86435972143</v>
      </c>
      <c r="F73" s="64" t="n">
        <f aca="false">Demand!P17</f>
        <v>328.5</v>
      </c>
    </row>
    <row r="74" customFormat="false" ht="15" hidden="false" customHeight="true" outlineLevel="0" collapsed="false">
      <c r="B74" s="1" t="n">
        <v>2033</v>
      </c>
      <c r="C74" s="64" t="n">
        <f aca="false">Demand!Q13</f>
        <v>913.044419028521</v>
      </c>
      <c r="D74" s="64" t="n">
        <f aca="false">Demand!Q14</f>
        <v>608.37300217152</v>
      </c>
      <c r="E74" s="64" t="n">
        <f aca="false">Demand!Q15</f>
        <v>6566.33976379177</v>
      </c>
      <c r="F74" s="64" t="n">
        <f aca="false">Demand!Q17</f>
        <v>383.25</v>
      </c>
    </row>
    <row r="75" customFormat="false" ht="15" hidden="false" customHeight="true" outlineLevel="0" collapsed="false">
      <c r="B75" s="1" t="n">
        <v>2034</v>
      </c>
      <c r="C75" s="64" t="n">
        <f aca="false">Demand!R13</f>
        <v>922.125646872227</v>
      </c>
      <c r="D75" s="64" t="n">
        <f aca="false">Demand!R14</f>
        <v>628.453799915024</v>
      </c>
      <c r="E75" s="64" t="n">
        <f aca="false">Demand!R15</f>
        <v>6611.65429007797</v>
      </c>
      <c r="F75" s="64" t="n">
        <f aca="false">Demand!R17</f>
        <v>438</v>
      </c>
    </row>
    <row r="76" customFormat="false" ht="15" hidden="false" customHeight="true" outlineLevel="0" collapsed="false">
      <c r="B76" s="1" t="n">
        <v>2035</v>
      </c>
      <c r="C76" s="64" t="n">
        <f aca="false">Demand!S13</f>
        <v>931.09323632702</v>
      </c>
      <c r="D76" s="64" t="n">
        <f aca="false">Demand!S14</f>
        <v>649.055232981272</v>
      </c>
      <c r="E76" s="64" t="n">
        <f aca="false">Demand!S15</f>
        <v>6655.8235381987</v>
      </c>
      <c r="F76" s="64" t="n">
        <f aca="false">Demand!S17</f>
        <v>492.75</v>
      </c>
    </row>
    <row r="77" customFormat="false" ht="15" hidden="false" customHeight="true" outlineLevel="0" collapsed="false">
      <c r="B77" s="1" t="n">
        <v>2036</v>
      </c>
      <c r="C77" s="64" t="n">
        <f aca="false">Demand!T13</f>
        <v>939.948096746093</v>
      </c>
      <c r="D77" s="64" t="n">
        <f aca="false">Demand!T14</f>
        <v>670.189447347742</v>
      </c>
      <c r="E77" s="64" t="n">
        <f aca="false">Demand!T15</f>
        <v>6698.86293247494</v>
      </c>
      <c r="F77" s="64" t="n">
        <f aca="false">Demand!T17</f>
        <v>547.5</v>
      </c>
    </row>
    <row r="78" customFormat="false" ht="15" hidden="false" customHeight="true" outlineLevel="0" collapsed="false">
      <c r="B78" s="1" t="n">
        <v>2037</v>
      </c>
      <c r="C78" s="64" t="n">
        <f aca="false">Demand!U13</f>
        <v>948.691131230068</v>
      </c>
      <c r="D78" s="64" t="n">
        <f aca="false">Demand!U14</f>
        <v>691.868855966691</v>
      </c>
      <c r="E78" s="64" t="n">
        <f aca="false">Demand!U15</f>
        <v>6740.78772373631</v>
      </c>
      <c r="F78" s="64" t="n">
        <f aca="false">Demand!U17</f>
        <v>547.5</v>
      </c>
    </row>
    <row r="79" customFormat="false" ht="15" hidden="false" customHeight="true" outlineLevel="0" collapsed="false">
      <c r="B79" s="1" t="n">
        <v>2038</v>
      </c>
      <c r="C79" s="64" t="n">
        <f aca="false">Demand!V13</f>
        <v>957.323236666784</v>
      </c>
      <c r="D79" s="64" t="n">
        <f aca="false">Demand!V14</f>
        <v>714.106144412932</v>
      </c>
      <c r="E79" s="64" t="n">
        <f aca="false">Demand!V15</f>
        <v>6781.61299110982</v>
      </c>
      <c r="F79" s="64" t="n">
        <f aca="false">Demand!V17</f>
        <v>547.5</v>
      </c>
    </row>
    <row r="80" customFormat="false" ht="15" hidden="false" customHeight="true" outlineLevel="0" collapsed="false">
      <c r="B80" s="1" t="n">
        <v>2039</v>
      </c>
      <c r="C80" s="64" t="n">
        <f aca="false">Demand!W13</f>
        <v>965.845303770852</v>
      </c>
      <c r="D80" s="64" t="n">
        <f aca="false">Demand!W14</f>
        <v>736.914276647924</v>
      </c>
      <c r="E80" s="64" t="n">
        <f aca="false">Demand!W15</f>
        <v>6821.35364379104</v>
      </c>
      <c r="F80" s="64" t="n">
        <f aca="false">Demand!W17</f>
        <v>547.5</v>
      </c>
    </row>
    <row r="81" customFormat="false" ht="15" hidden="false" customHeight="true" outlineLevel="0" collapsed="false">
      <c r="B81" s="1" t="n">
        <v>2040</v>
      </c>
      <c r="C81" s="64" t="n">
        <f aca="false">Demand!X13</f>
        <v>974.258217122963</v>
      </c>
      <c r="D81" s="64" t="n">
        <f aca="false">Demand!X14</f>
        <v>760.306500902548</v>
      </c>
      <c r="E81" s="64" t="n">
        <f aca="false">Demand!X15</f>
        <v>6860.02442279793</v>
      </c>
      <c r="F81" s="64" t="n">
        <f aca="false">Demand!X17</f>
        <v>547.5</v>
      </c>
    </row>
    <row r="82" customFormat="false" ht="15" hidden="false" customHeight="true" outlineLevel="0" collapsed="false">
      <c r="B82" s="1" t="n">
        <v>2041</v>
      </c>
      <c r="C82" s="64" t="n">
        <f aca="false">Demand!Y13</f>
        <v>982.562855208958</v>
      </c>
      <c r="D82" s="64" t="n">
        <f aca="false">Demand!Y14</f>
        <v>784.296355680951</v>
      </c>
      <c r="E82" s="64" t="n">
        <f aca="false">Demand!Y15</f>
        <v>6897.6399027075</v>
      </c>
      <c r="F82" s="64" t="n">
        <f aca="false">Demand!Y17</f>
        <v>547.5</v>
      </c>
    </row>
    <row r="83" customFormat="false" ht="15" hidden="false" customHeight="true" outlineLevel="0" collapsed="false">
      <c r="B83" s="1" t="n">
        <v>2042</v>
      </c>
      <c r="C83" s="64" t="n">
        <f aca="false">Demand!Z13</f>
        <v>990.760090458665</v>
      </c>
      <c r="D83" s="64" t="n">
        <f aca="false">Demand!Z14</f>
        <v>808.897675887909</v>
      </c>
      <c r="E83" s="64" t="n">
        <f aca="false">Demand!Z15</f>
        <v>6934.21449337546</v>
      </c>
      <c r="F83" s="64" t="n">
        <f aca="false">Demand!Z17</f>
        <v>547.5</v>
      </c>
    </row>
    <row r="84" customFormat="false" ht="15" hidden="false" customHeight="true" outlineLevel="0" collapsed="false">
      <c r="B84" s="1" t="n">
        <v>2043</v>
      </c>
      <c r="C84" s="64" t="n">
        <f aca="false">Demand!AA13</f>
        <v>998.850789284495</v>
      </c>
      <c r="D84" s="64" t="n">
        <f aca="false">Demand!AA14</f>
        <v>834.124599082191</v>
      </c>
      <c r="E84" s="64" t="n">
        <f aca="false">Demand!AA15</f>
        <v>6969.76244163896</v>
      </c>
      <c r="F84" s="64" t="n">
        <f aca="false">Demand!AA17</f>
        <v>547.5</v>
      </c>
    </row>
    <row r="85" customFormat="false" ht="15" hidden="false" customHeight="true" outlineLevel="0" collapsed="false">
      <c r="B85" s="1" t="n">
        <v>2044</v>
      </c>
      <c r="C85" s="64" t="n">
        <f aca="false">Demand!AB13</f>
        <v>1006.83581211981</v>
      </c>
      <c r="D85" s="64" t="n">
        <f aca="false">Demand!AB14</f>
        <v>859.991571858486</v>
      </c>
      <c r="E85" s="64" t="n">
        <f aca="false">Demand!AB15</f>
        <v>7004.29783300267</v>
      </c>
      <c r="F85" s="64" t="n">
        <f aca="false">Demand!AB17</f>
        <v>547.5</v>
      </c>
    </row>
    <row r="86" customFormat="false" ht="15" hidden="false" customHeight="true" outlineLevel="0" collapsed="false">
      <c r="B86" s="1" t="n">
        <v>2045</v>
      </c>
      <c r="C86" s="64" t="n">
        <f aca="false">Demand!AC13</f>
        <v>1014.71601345703</v>
      </c>
      <c r="D86" s="64" t="n">
        <f aca="false">Demand!AC14</f>
        <v>886.51335636046</v>
      </c>
      <c r="E86" s="64" t="n">
        <f aca="false">Demand!AC15</f>
        <v>7037.8345933083</v>
      </c>
      <c r="F86" s="64" t="n">
        <f aca="false">Demand!AC17</f>
        <v>547.5</v>
      </c>
    </row>
    <row r="87" customFormat="false" ht="15" hidden="false" customHeight="true" outlineLevel="0" collapsed="false">
      <c r="B87" s="1" t="n">
        <v>2046</v>
      </c>
      <c r="C87" s="64" t="n">
        <f aca="false">Demand!AD13</f>
        <v>1022.49224188558</v>
      </c>
      <c r="D87" s="64" t="n">
        <f aca="false">Demand!AD14</f>
        <v>913.705036927608</v>
      </c>
      <c r="E87" s="64" t="n">
        <f aca="false">Demand!AD15</f>
        <v>7070.38649038772</v>
      </c>
      <c r="F87" s="64" t="n">
        <f aca="false">Demand!AD17</f>
        <v>547.5</v>
      </c>
    </row>
    <row r="88" customFormat="false" ht="15" hidden="false" customHeight="true" outlineLevel="0" collapsed="false">
      <c r="B88" s="1" t="n">
        <v>2047</v>
      </c>
      <c r="C88" s="64" t="n">
        <f aca="false">Demand!AE13</f>
        <v>1030.16534012951</v>
      </c>
      <c r="D88" s="64" t="n">
        <f aca="false">Demand!AE14</f>
        <v>941.582026878579</v>
      </c>
      <c r="E88" s="64" t="n">
        <f aca="false">Demand!AE15</f>
        <v>7101.9671356999</v>
      </c>
      <c r="F88" s="64" t="n">
        <f aca="false">Demand!AE17</f>
        <v>547.5</v>
      </c>
    </row>
    <row r="89" customFormat="false" ht="15" hidden="false" customHeight="true" outlineLevel="0" collapsed="false">
      <c r="B89" s="1" t="n">
        <v>2048</v>
      </c>
      <c r="C89" s="64" t="n">
        <f aca="false">Demand!AF13</f>
        <v>1037.73614508495</v>
      </c>
      <c r="D89" s="64" t="n">
        <f aca="false">Demand!AF14</f>
        <v>970.160075433746</v>
      </c>
      <c r="E89" s="64" t="n">
        <f aca="false">Demand!AF15</f>
        <v>7132.5899859517</v>
      </c>
      <c r="F89" s="64" t="n">
        <f aca="false">Demand!AF17</f>
        <v>547.5</v>
      </c>
    </row>
    <row r="90" customFormat="false" ht="15" hidden="false" customHeight="true" outlineLevel="0" collapsed="false">
      <c r="B90" s="1" t="n">
        <v>2049</v>
      </c>
      <c r="C90" s="64" t="n">
        <f aca="false">Demand!AG13</f>
        <v>1045.20548785733</v>
      </c>
      <c r="D90" s="64" t="n">
        <f aca="false">Demand!AG14</f>
        <v>999.455274779798</v>
      </c>
      <c r="E90" s="64" t="n">
        <f aca="false">Demand!AG15</f>
        <v>7162.26834470279</v>
      </c>
      <c r="F90" s="64" t="n">
        <f aca="false">Demand!AG17</f>
        <v>547.5</v>
      </c>
    </row>
    <row r="91" customFormat="false" ht="15" hidden="false" customHeight="true" outlineLevel="0" collapsed="false">
      <c r="B91" s="1" t="n">
        <v>2050</v>
      </c>
      <c r="C91" s="64" t="n">
        <f aca="false">Demand!AH13</f>
        <v>1052.57419379837</v>
      </c>
      <c r="D91" s="64" t="n">
        <f aca="false">Demand!AH14</f>
        <v>1029.48406727925</v>
      </c>
      <c r="E91" s="64" t="n">
        <f aca="false">Demand!AH15</f>
        <v>7191.01536395476</v>
      </c>
      <c r="F91" s="64" t="n">
        <f aca="false">Demand!AH17</f>
        <v>547.5</v>
      </c>
    </row>
    <row r="120" customFormat="false" ht="15" hidden="false" customHeight="true" outlineLevel="0" collapsed="false">
      <c r="B120" s="113"/>
      <c r="C120" s="113"/>
      <c r="D120" s="113"/>
      <c r="E120" s="113"/>
      <c r="F120" s="113"/>
      <c r="J120" s="1" t="s">
        <v>630</v>
      </c>
    </row>
    <row r="121" customFormat="false" ht="15" hidden="false" customHeight="true" outlineLevel="0" collapsed="false">
      <c r="B121" s="1" t="s">
        <v>622</v>
      </c>
      <c r="C121" s="1" t="s">
        <v>631</v>
      </c>
      <c r="D121" s="1" t="s">
        <v>632</v>
      </c>
      <c r="E121" s="1" t="s">
        <v>633</v>
      </c>
      <c r="F121" s="1" t="s">
        <v>634</v>
      </c>
      <c r="G121" s="1" t="s">
        <v>635</v>
      </c>
      <c r="H121" s="1" t="s">
        <v>636</v>
      </c>
      <c r="J121" s="1" t="s">
        <v>622</v>
      </c>
      <c r="K121" s="1" t="s">
        <v>631</v>
      </c>
      <c r="L121" s="1" t="s">
        <v>632</v>
      </c>
      <c r="M121" s="1" t="s">
        <v>633</v>
      </c>
      <c r="N121" s="1" t="s">
        <v>634</v>
      </c>
      <c r="O121" s="1" t="s">
        <v>637</v>
      </c>
      <c r="P121" s="114" t="s">
        <v>635</v>
      </c>
    </row>
    <row r="122" customFormat="false" ht="15" hidden="false" customHeight="true" outlineLevel="0" collapsed="false">
      <c r="B122" s="1" t="n">
        <v>2020</v>
      </c>
      <c r="C122" s="64" t="n">
        <f aca="false">Supply!D46+Supply!D49+Supply!D52+Supply!D65</f>
        <v>6039.69216283995</v>
      </c>
      <c r="D122" s="64" t="n">
        <f aca="false">Supply!D47+Supply!D50+Supply!D53</f>
        <v>912</v>
      </c>
      <c r="E122" s="64" t="n">
        <f aca="false">Supply!D57</f>
        <v>20</v>
      </c>
      <c r="F122" s="64" t="n">
        <f aca="false">Supply!D59</f>
        <v>7.84221977495</v>
      </c>
      <c r="G122" s="64" t="n">
        <f aca="false">Supply!D11</f>
        <v>60</v>
      </c>
      <c r="H122" s="1" t="s">
        <v>638</v>
      </c>
      <c r="J122" s="1" t="n">
        <v>2020</v>
      </c>
      <c r="K122" s="64" t="n">
        <f aca="false">Energy!D9</f>
        <v>2113.89225699398</v>
      </c>
      <c r="L122" s="64" t="n">
        <f aca="false">Energy!D10</f>
        <v>1641.6</v>
      </c>
      <c r="M122" s="64" t="n">
        <f aca="false">Energy!D11</f>
        <v>70</v>
      </c>
      <c r="N122" s="64" t="n">
        <f aca="false">Energy!D14</f>
        <v>6.27377581996</v>
      </c>
      <c r="O122" s="64" t="n">
        <f aca="false">Energy!D15</f>
        <v>3843.76603281394</v>
      </c>
      <c r="P122" s="115" t="n">
        <f aca="false">Energy!D8</f>
        <v>12</v>
      </c>
    </row>
    <row r="123" customFormat="false" ht="15" hidden="false" customHeight="true" outlineLevel="0" collapsed="false">
      <c r="B123" s="1" t="n">
        <v>2021</v>
      </c>
      <c r="C123" s="64" t="n">
        <f aca="false">Supply!E46+Supply!E49+Supply!E52+Supply!E65</f>
        <v>6111.72311176509</v>
      </c>
      <c r="D123" s="64" t="n">
        <f aca="false">Supply!E47+Supply!E50+Supply!E53</f>
        <v>893.76</v>
      </c>
      <c r="E123" s="64" t="n">
        <f aca="false">Supply!E57</f>
        <v>44.3333333333333</v>
      </c>
      <c r="F123" s="64" t="n">
        <f aca="false">Supply!E59</f>
        <v>16.9571450538365</v>
      </c>
      <c r="G123" s="64" t="n">
        <f aca="false">Supply!E11</f>
        <v>59.4</v>
      </c>
      <c r="H123" s="1" t="s">
        <v>638</v>
      </c>
      <c r="J123" s="1" t="n">
        <v>2021</v>
      </c>
      <c r="K123" s="64" t="n">
        <f aca="false">Energy!E9</f>
        <v>2174.15458564333</v>
      </c>
      <c r="L123" s="64" t="n">
        <f aca="false">Energy!E10</f>
        <v>1624.85568</v>
      </c>
      <c r="M123" s="64" t="n">
        <f aca="false">Energy!E11</f>
        <v>154.427777777778</v>
      </c>
      <c r="N123" s="64" t="n">
        <f aca="false">Energy!E14</f>
        <v>6.84578492700784</v>
      </c>
      <c r="O123" s="64" t="n">
        <f aca="false">Energy!E15</f>
        <v>3972.16382834811</v>
      </c>
      <c r="P123" s="115" t="n">
        <f aca="false">Energy!E8</f>
        <v>11.88</v>
      </c>
    </row>
    <row r="124" customFormat="false" ht="15" hidden="false" customHeight="true" outlineLevel="0" collapsed="false">
      <c r="B124" s="1" t="n">
        <v>2022</v>
      </c>
      <c r="C124" s="64" t="n">
        <f aca="false">Supply!F46+Supply!F49+Supply!F52+Supply!F65</f>
        <v>6182.04229400503</v>
      </c>
      <c r="D124" s="64" t="n">
        <f aca="false">Supply!F47+Supply!F50+Supply!F53</f>
        <v>875.8848</v>
      </c>
      <c r="E124" s="64" t="n">
        <f aca="false">Supply!F57</f>
        <v>68.6666666666667</v>
      </c>
      <c r="F124" s="64" t="n">
        <f aca="false">Supply!F59</f>
        <v>26.3092212436009</v>
      </c>
      <c r="G124" s="64" t="n">
        <f aca="false">Supply!F11</f>
        <v>58.806</v>
      </c>
      <c r="H124" s="1" t="s">
        <v>638</v>
      </c>
      <c r="J124" s="1" t="n">
        <v>2022</v>
      </c>
      <c r="K124" s="64" t="n">
        <f aca="false">Energy!F9</f>
        <v>2235.211576747</v>
      </c>
      <c r="L124" s="64" t="n">
        <f aca="false">Energy!F10</f>
        <v>1608.282152064</v>
      </c>
      <c r="M124" s="64" t="n">
        <f aca="false">Energy!F11</f>
        <v>238.044444444444</v>
      </c>
      <c r="N124" s="64" t="n">
        <f aca="false">Energy!F14</f>
        <v>7.42295885087312</v>
      </c>
      <c r="O124" s="64" t="n">
        <f aca="false">Energy!F15</f>
        <v>4100.72233210631</v>
      </c>
      <c r="P124" s="115" t="n">
        <f aca="false">Energy!F8</f>
        <v>11.7612</v>
      </c>
    </row>
    <row r="125" customFormat="false" ht="15" hidden="false" customHeight="true" outlineLevel="0" collapsed="false">
      <c r="B125" s="1" t="n">
        <v>2023</v>
      </c>
      <c r="C125" s="64" t="n">
        <f aca="false">Supply!G46+Supply!G49+Supply!G52+Supply!G65</f>
        <v>6250.68929288096</v>
      </c>
      <c r="D125" s="64" t="n">
        <f aca="false">Supply!G47+Supply!G50+Supply!G53</f>
        <v>858.367104</v>
      </c>
      <c r="E125" s="64" t="n">
        <f aca="false">Supply!G57</f>
        <v>93</v>
      </c>
      <c r="F125" s="64" t="n">
        <f aca="false">Supply!G59</f>
        <v>35.8942064809066</v>
      </c>
      <c r="G125" s="64" t="n">
        <f aca="false">Supply!G11</f>
        <v>58.21794</v>
      </c>
      <c r="H125" s="1" t="s">
        <v>638</v>
      </c>
      <c r="J125" s="1" t="n">
        <v>2023</v>
      </c>
      <c r="K125" s="64" t="n">
        <f aca="false">Energy!G9</f>
        <v>2297.07849273977</v>
      </c>
      <c r="L125" s="64" t="n">
        <f aca="false">Energy!G10</f>
        <v>1591.87767411295</v>
      </c>
      <c r="M125" s="64" t="n">
        <f aca="false">Energy!G11</f>
        <v>320.85</v>
      </c>
      <c r="N125" s="64" t="n">
        <f aca="false">Energy!G14</f>
        <v>8.00481593395219</v>
      </c>
      <c r="O125" s="64" t="n">
        <f aca="false">Energy!G15</f>
        <v>4229.45457078667</v>
      </c>
      <c r="P125" s="115" t="n">
        <f aca="false">Energy!G8</f>
        <v>11.643588</v>
      </c>
    </row>
    <row r="126" customFormat="false" ht="15" hidden="false" customHeight="true" outlineLevel="0" collapsed="false">
      <c r="B126" s="1" t="n">
        <v>2024</v>
      </c>
      <c r="C126" s="64" t="n">
        <f aca="false">Supply!H46+Supply!H49+Supply!H52+Supply!H65</f>
        <v>6317.70349843286</v>
      </c>
      <c r="D126" s="64" t="n">
        <f aca="false">Supply!H47+Supply!H50+Supply!H53</f>
        <v>841.19976192</v>
      </c>
      <c r="E126" s="64" t="n">
        <f aca="false">Supply!H57</f>
        <v>117.333333333333</v>
      </c>
      <c r="F126" s="64" t="n">
        <f aca="false">Supply!H59</f>
        <v>45.7079036046831</v>
      </c>
      <c r="G126" s="64" t="n">
        <f aca="false">Supply!H11</f>
        <v>57.6357606</v>
      </c>
      <c r="H126" s="1" t="s">
        <v>638</v>
      </c>
      <c r="J126" s="1" t="n">
        <v>2024</v>
      </c>
      <c r="K126" s="64" t="n">
        <f aca="false">Energy!H9</f>
        <v>2359.77108914251</v>
      </c>
      <c r="L126" s="64" t="n">
        <f aca="false">Energy!H10</f>
        <v>1575.640521837</v>
      </c>
      <c r="M126" s="64" t="n">
        <f aca="false">Energy!H11</f>
        <v>402.844444444444</v>
      </c>
      <c r="N126" s="64" t="n">
        <f aca="false">Energy!H14</f>
        <v>8.59088308714526</v>
      </c>
      <c r="O126" s="64" t="n">
        <f aca="false">Energy!H15</f>
        <v>4358.37409063109</v>
      </c>
      <c r="P126" s="115" t="n">
        <f aca="false">Energy!H8</f>
        <v>11.52715212</v>
      </c>
    </row>
    <row r="127" customFormat="false" ht="15" hidden="false" customHeight="true" outlineLevel="0" collapsed="false">
      <c r="B127" s="1" t="n">
        <v>2025</v>
      </c>
      <c r="C127" s="64" t="n">
        <f aca="false">Supply!I46+Supply!I49+Supply!I52+Supply!I65</f>
        <v>6383.12411713091</v>
      </c>
      <c r="D127" s="64" t="n">
        <f aca="false">Supply!I47+Supply!I50+Supply!I53</f>
        <v>824.3757666816</v>
      </c>
      <c r="E127" s="64" t="n">
        <f aca="false">Supply!I57</f>
        <v>141.666666666667</v>
      </c>
      <c r="F127" s="64" t="n">
        <f aca="false">Supply!I59</f>
        <v>55.7461597740879</v>
      </c>
      <c r="G127" s="64" t="n">
        <f aca="false">Supply!I11</f>
        <v>57.059402994</v>
      </c>
      <c r="H127" s="1" t="s">
        <v>638</v>
      </c>
      <c r="J127" s="1" t="n">
        <v>2025</v>
      </c>
      <c r="K127" s="64" t="n">
        <f aca="false">Energy!I9</f>
        <v>2423.30563390239</v>
      </c>
      <c r="L127" s="64" t="n">
        <f aca="false">Energy!I10</f>
        <v>1559.56898851426</v>
      </c>
      <c r="M127" s="64" t="n">
        <f aca="false">Energy!I11</f>
        <v>484.027777777778</v>
      </c>
      <c r="N127" s="64" t="n">
        <f aca="false">Energy!I14</f>
        <v>9.1806956877951</v>
      </c>
      <c r="O127" s="64" t="n">
        <f aca="false">Energy!I15</f>
        <v>4487.49497648102</v>
      </c>
      <c r="P127" s="115" t="n">
        <f aca="false">Energy!I8</f>
        <v>11.4118805988</v>
      </c>
    </row>
    <row r="128" customFormat="false" ht="15" hidden="false" customHeight="true" outlineLevel="0" collapsed="false">
      <c r="B128" s="1" t="n">
        <v>2026</v>
      </c>
      <c r="C128" s="64" t="n">
        <f aca="false">Supply!J46+Supply!J49+Supply!J52+Supply!J65</f>
        <v>6446.99018159496</v>
      </c>
      <c r="D128" s="64" t="n">
        <f aca="false">Supply!J47+Supply!J50+Supply!J53</f>
        <v>807.888251347968</v>
      </c>
      <c r="E128" s="64" t="n">
        <f aca="false">Supply!J57</f>
        <v>166</v>
      </c>
      <c r="F128" s="64" t="n">
        <f aca="false">Supply!J59</f>
        <v>66.0048660893765</v>
      </c>
      <c r="G128" s="64" t="n">
        <f aca="false">Supply!J11</f>
        <v>56.48880896406</v>
      </c>
      <c r="H128" s="1" t="s">
        <v>638</v>
      </c>
      <c r="J128" s="1" t="n">
        <v>2026</v>
      </c>
      <c r="K128" s="64" t="n">
        <f aca="false">Energy!J9</f>
        <v>2487.69892749098</v>
      </c>
      <c r="L128" s="64" t="n">
        <f aca="false">Energy!J10</f>
        <v>1543.66138483141</v>
      </c>
      <c r="M128" s="64" t="n">
        <f aca="false">Energy!J11</f>
        <v>564.4</v>
      </c>
      <c r="N128" s="64" t="n">
        <f aca="false">Energy!J14</f>
        <v>9.77379747861922</v>
      </c>
      <c r="O128" s="64" t="n">
        <f aca="false">Energy!J15</f>
        <v>4616.83187159383</v>
      </c>
      <c r="P128" s="115" t="n">
        <f aca="false">Energy!J8</f>
        <v>11.297761792812</v>
      </c>
    </row>
    <row r="129" customFormat="false" ht="15" hidden="false" customHeight="true" outlineLevel="0" collapsed="false">
      <c r="B129" s="1" t="n">
        <v>2027</v>
      </c>
      <c r="C129" s="64" t="n">
        <f aca="false">Supply!K46+Supply!K49+Supply!K52+Supply!K65</f>
        <v>6564.09056032558</v>
      </c>
      <c r="D129" s="64" t="n">
        <f aca="false">Supply!K47+Supply!K50+Supply!K53</f>
        <v>791.730486321009</v>
      </c>
      <c r="E129" s="64" t="n">
        <f aca="false">Supply!K57</f>
        <v>190.333333333333</v>
      </c>
      <c r="F129" s="64" t="n">
        <f aca="false">Supply!K59</f>
        <v>76.47995721566</v>
      </c>
      <c r="G129" s="64" t="n">
        <f aca="false">Supply!K11</f>
        <v>55.9239208744194</v>
      </c>
      <c r="H129" s="1" t="s">
        <v>638</v>
      </c>
      <c r="J129" s="1" t="n">
        <v>2027</v>
      </c>
      <c r="K129" s="64" t="n">
        <f aca="false">Energy!K9</f>
        <v>2574.23572693265</v>
      </c>
      <c r="L129" s="64" t="n">
        <f aca="false">Energy!K10</f>
        <v>1527.91603870613</v>
      </c>
      <c r="M129" s="64" t="n">
        <f aca="false">Energy!K11</f>
        <v>643.961111111111</v>
      </c>
      <c r="N129" s="64" t="n">
        <f aca="false">Energy!K14</f>
        <v>10.369740467627</v>
      </c>
      <c r="O129" s="64" t="n">
        <f aca="false">Energy!K15</f>
        <v>4767.6674013924</v>
      </c>
      <c r="P129" s="115" t="n">
        <f aca="false">Energy!K8</f>
        <v>11.1847841748839</v>
      </c>
    </row>
    <row r="130" customFormat="false" ht="15" hidden="false" customHeight="true" outlineLevel="0" collapsed="false">
      <c r="B130" s="1" t="n">
        <v>2028</v>
      </c>
      <c r="C130" s="64" t="n">
        <f aca="false">Supply!L46+Supply!L49+Supply!L52+Supply!L65</f>
        <v>6679.71396744968</v>
      </c>
      <c r="D130" s="64" t="n">
        <f aca="false">Supply!L47+Supply!L50+Supply!L53</f>
        <v>775.895876594588</v>
      </c>
      <c r="E130" s="64" t="n">
        <f aca="false">Supply!L57</f>
        <v>214.666666666667</v>
      </c>
      <c r="F130" s="64" t="n">
        <f aca="false">Supply!L59</f>
        <v>87.1674110095298</v>
      </c>
      <c r="G130" s="64" t="n">
        <f aca="false">Supply!L11</f>
        <v>55.3646816656752</v>
      </c>
      <c r="H130" s="1" t="s">
        <v>638</v>
      </c>
      <c r="J130" s="1" t="n">
        <v>2028</v>
      </c>
      <c r="K130" s="64" t="n">
        <f aca="false">Energy!L9</f>
        <v>2662.30458016992</v>
      </c>
      <c r="L130" s="64" t="n">
        <f aca="false">Energy!L10</f>
        <v>1512.33129511133</v>
      </c>
      <c r="M130" s="64" t="n">
        <f aca="false">Energy!L11</f>
        <v>722.711111111111</v>
      </c>
      <c r="N130" s="64" t="n">
        <f aca="false">Energy!L14</f>
        <v>10.9680848290137</v>
      </c>
      <c r="O130" s="64" t="n">
        <f aca="false">Energy!L15</f>
        <v>4919.3880075545</v>
      </c>
      <c r="P130" s="115" t="n">
        <f aca="false">Energy!L8</f>
        <v>11.072936333135</v>
      </c>
    </row>
    <row r="131" customFormat="false" ht="15" hidden="false" customHeight="true" outlineLevel="0" collapsed="false">
      <c r="B131" s="1" t="n">
        <v>2029</v>
      </c>
      <c r="C131" s="64" t="n">
        <f aca="false">Supply!M46+Supply!M49+Supply!M52+Supply!M65</f>
        <v>6793.89897248399</v>
      </c>
      <c r="D131" s="64" t="n">
        <f aca="false">Supply!M47+Supply!M50+Supply!M53</f>
        <v>760.377959062697</v>
      </c>
      <c r="E131" s="64" t="n">
        <f aca="false">Supply!M57</f>
        <v>239</v>
      </c>
      <c r="F131" s="64" t="n">
        <f aca="false">Supply!M59</f>
        <v>98.0632481485294</v>
      </c>
      <c r="G131" s="64" t="n">
        <f aca="false">Supply!M11</f>
        <v>54.8110348490185</v>
      </c>
      <c r="H131" s="1" t="s">
        <v>638</v>
      </c>
      <c r="J131" s="1" t="n">
        <v>2029</v>
      </c>
      <c r="K131" s="64" t="n">
        <f aca="false">Energy!M9</f>
        <v>2751.93836935179</v>
      </c>
      <c r="L131" s="64" t="n">
        <f aca="false">Energy!M10</f>
        <v>1496.90551590119</v>
      </c>
      <c r="M131" s="64" t="n">
        <f aca="false">Energy!M11</f>
        <v>800.65</v>
      </c>
      <c r="N131" s="64" t="n">
        <f aca="false">Energy!M14</f>
        <v>11.5683988050218</v>
      </c>
      <c r="O131" s="64" t="n">
        <f aca="false">Energy!M15</f>
        <v>5072.02449102781</v>
      </c>
      <c r="P131" s="115" t="n">
        <f aca="false">Energy!M8</f>
        <v>10.9622069698037</v>
      </c>
    </row>
    <row r="132" customFormat="false" ht="15" hidden="false" customHeight="true" outlineLevel="0" collapsed="false">
      <c r="B132" s="1" t="n">
        <v>2030</v>
      </c>
      <c r="C132" s="64" t="n">
        <f aca="false">Supply!N46+Supply!N49+Supply!N52+Supply!N65</f>
        <v>6906.68401011967</v>
      </c>
      <c r="D132" s="64" t="n">
        <f aca="false">Supply!N47+Supply!N50+Supply!N53</f>
        <v>745.170399881443</v>
      </c>
      <c r="E132" s="64" t="n">
        <f aca="false">Supply!N57</f>
        <v>263.333333333333</v>
      </c>
      <c r="F132" s="64" t="n">
        <f aca="false">Supply!N59</f>
        <v>109.163531763453</v>
      </c>
      <c r="G132" s="64" t="n">
        <f aca="false">Supply!N11</f>
        <v>54.2629245005283</v>
      </c>
      <c r="H132" s="1" t="s">
        <v>638</v>
      </c>
      <c r="J132" s="1" t="n">
        <v>2030</v>
      </c>
      <c r="K132" s="64" t="n">
        <f aca="false">Energy!N9</f>
        <v>2843.17088482662</v>
      </c>
      <c r="L132" s="64" t="n">
        <f aca="false">Energy!N10</f>
        <v>1481.637079639</v>
      </c>
      <c r="M132" s="64" t="n">
        <f aca="false">Energy!N11</f>
        <v>877.777777777778</v>
      </c>
      <c r="N132" s="64" t="n">
        <f aca="false">Energy!N14</f>
        <v>12.1702586087633</v>
      </c>
      <c r="O132" s="64" t="n">
        <f aca="false">Energy!N15</f>
        <v>5225.60858575227</v>
      </c>
      <c r="P132" s="115" t="n">
        <f aca="false">Energy!N8</f>
        <v>10.8525849001057</v>
      </c>
    </row>
    <row r="133" customFormat="false" ht="15" hidden="false" customHeight="true" outlineLevel="0" collapsed="false">
      <c r="B133" s="1" t="n">
        <v>2031</v>
      </c>
      <c r="C133" s="64" t="n">
        <f aca="false">Supply!O46+Supply!O49+Supply!O52+Supply!O65</f>
        <v>7018.10739003118</v>
      </c>
      <c r="D133" s="64" t="n">
        <f aca="false">Supply!O47+Supply!O50+Supply!O53</f>
        <v>730.266991883814</v>
      </c>
      <c r="E133" s="64" t="n">
        <f aca="false">Supply!O57</f>
        <v>287.666666666667</v>
      </c>
      <c r="F133" s="64" t="n">
        <f aca="false">Supply!O59</f>
        <v>120.464367073449</v>
      </c>
      <c r="G133" s="64" t="n">
        <f aca="false">Supply!O11</f>
        <v>53.720295255523</v>
      </c>
      <c r="H133" s="1" t="s">
        <v>638</v>
      </c>
      <c r="J133" s="1" t="n">
        <v>2031</v>
      </c>
      <c r="K133" s="64" t="n">
        <f aca="false">Energy!O9</f>
        <v>2936.03685486802</v>
      </c>
      <c r="L133" s="64" t="n">
        <f aca="false">Energy!O10</f>
        <v>1466.52438142668</v>
      </c>
      <c r="M133" s="64" t="n">
        <f aca="false">Energy!O11</f>
        <v>954.094444444445</v>
      </c>
      <c r="N133" s="64" t="n">
        <f aca="false">Energy!O14</f>
        <v>12.7732483279922</v>
      </c>
      <c r="O133" s="64" t="n">
        <f aca="false">Energy!O15</f>
        <v>5380.17298811825</v>
      </c>
      <c r="P133" s="115" t="n">
        <f aca="false">Energy!O8</f>
        <v>10.7440590511046</v>
      </c>
    </row>
    <row r="134" customFormat="false" ht="15" hidden="false" customHeight="true" outlineLevel="0" collapsed="false">
      <c r="B134" s="1" t="n">
        <v>2032</v>
      </c>
      <c r="C134" s="64" t="n">
        <f aca="false">Supply!P46+Supply!P49+Supply!P52+Supply!P65</f>
        <v>7128.20730671283</v>
      </c>
      <c r="D134" s="64" t="n">
        <f aca="false">Supply!P47+Supply!P50+Supply!P53</f>
        <v>715.661652046137</v>
      </c>
      <c r="E134" s="64" t="n">
        <f aca="false">Supply!P57</f>
        <v>312</v>
      </c>
      <c r="F134" s="64" t="n">
        <f aca="false">Supply!P59</f>
        <v>131.961901023915</v>
      </c>
      <c r="G134" s="64" t="n">
        <f aca="false">Supply!P11</f>
        <v>53.1830923029678</v>
      </c>
      <c r="H134" s="1" t="s">
        <v>638</v>
      </c>
      <c r="J134" s="1" t="n">
        <v>2032</v>
      </c>
      <c r="K134" s="64" t="n">
        <f aca="false">Energy!P9</f>
        <v>3026.84441559865</v>
      </c>
      <c r="L134" s="64" t="n">
        <f aca="false">Energy!P10</f>
        <v>1451.56583273613</v>
      </c>
      <c r="M134" s="64" t="n">
        <f aca="false">Energy!P11</f>
        <v>1058.9953157782</v>
      </c>
      <c r="N134" s="64" t="n">
        <f aca="false">Energy!P14</f>
        <v>13.3769598298215</v>
      </c>
      <c r="O134" s="64" t="n">
        <f aca="false">Energy!P15</f>
        <v>5561.4191424034</v>
      </c>
      <c r="P134" s="115" t="n">
        <f aca="false">Energy!P8</f>
        <v>10.6366184605936</v>
      </c>
    </row>
    <row r="135" customFormat="false" ht="15" hidden="false" customHeight="true" outlineLevel="0" collapsed="false">
      <c r="B135" s="1" t="n">
        <v>2033</v>
      </c>
      <c r="C135" s="64" t="n">
        <f aca="false">Supply!Q46+Supply!Q49+Supply!Q52+Supply!Q65</f>
        <v>7237.02184934617</v>
      </c>
      <c r="D135" s="64" t="n">
        <f aca="false">Supply!Q47+Supply!Q50+Supply!Q53</f>
        <v>701.348419005215</v>
      </c>
      <c r="E135" s="64" t="n">
        <f aca="false">Supply!Q57</f>
        <v>336.333333333333</v>
      </c>
      <c r="F135" s="64" t="n">
        <f aca="false">Supply!Q59</f>
        <v>143.652321927154</v>
      </c>
      <c r="G135" s="64" t="n">
        <f aca="false">Supply!Q11</f>
        <v>52.6512613799381</v>
      </c>
      <c r="H135" s="1" t="s">
        <v>638</v>
      </c>
      <c r="J135" s="1" t="n">
        <v>2033</v>
      </c>
      <c r="K135" s="64" t="n">
        <f aca="false">Energy!Q9</f>
        <v>3110.22487578026</v>
      </c>
      <c r="L135" s="64" t="n">
        <f aca="false">Energy!Q10</f>
        <v>1436.75986124222</v>
      </c>
      <c r="M135" s="64" t="n">
        <f aca="false">Energy!Q11</f>
        <v>1232.52285987497</v>
      </c>
      <c r="N135" s="64" t="n">
        <f aca="false">Energy!Q14</f>
        <v>13.9809926663742</v>
      </c>
      <c r="O135" s="64" t="n">
        <f aca="false">Energy!Q15</f>
        <v>5804.01884183982</v>
      </c>
      <c r="P135" s="115" t="n">
        <f aca="false">Energy!Q8</f>
        <v>10.5302522759876</v>
      </c>
    </row>
    <row r="136" customFormat="false" ht="15" hidden="false" customHeight="true" outlineLevel="0" collapsed="false">
      <c r="B136" s="1" t="n">
        <v>2034</v>
      </c>
      <c r="C136" s="64" t="n">
        <f aca="false">Supply!R46+Supply!R49+Supply!R52+Supply!R65</f>
        <v>7344.58901170152</v>
      </c>
      <c r="D136" s="64" t="n">
        <f aca="false">Supply!R47+Supply!R50+Supply!R53</f>
        <v>687.32145062511</v>
      </c>
      <c r="E136" s="64" t="n">
        <f aca="false">Supply!R57</f>
        <v>360.666666666667</v>
      </c>
      <c r="F136" s="64" t="n">
        <f aca="false">Supply!R59</f>
        <v>155.531859105782</v>
      </c>
      <c r="G136" s="64" t="n">
        <f aca="false">Supply!R11</f>
        <v>52.1247487661387</v>
      </c>
      <c r="H136" s="1" t="s">
        <v>638</v>
      </c>
      <c r="J136" s="1" t="n">
        <v>2034</v>
      </c>
      <c r="K136" s="64" t="n">
        <f aca="false">Energy!R9</f>
        <v>3194.96076049638</v>
      </c>
      <c r="L136" s="64" t="n">
        <f aca="false">Energy!R10</f>
        <v>1422.10491065755</v>
      </c>
      <c r="M136" s="64" t="n">
        <f aca="false">Energy!R11</f>
        <v>1404.25849165888</v>
      </c>
      <c r="N136" s="64" t="n">
        <f aca="false">Energy!R14</f>
        <v>14.5849539813624</v>
      </c>
      <c r="O136" s="64" t="n">
        <f aca="false">Energy!R15</f>
        <v>6046.3340665474</v>
      </c>
      <c r="P136" s="115" t="n">
        <f aca="false">Energy!R8</f>
        <v>10.4249497532277</v>
      </c>
    </row>
    <row r="137" customFormat="false" ht="15" hidden="false" customHeight="true" outlineLevel="0" collapsed="false">
      <c r="B137" s="1" t="n">
        <v>2035</v>
      </c>
      <c r="C137" s="64" t="n">
        <f aca="false">Supply!S46+Supply!S49+Supply!S52+Supply!S65</f>
        <v>7435.37493247342</v>
      </c>
      <c r="D137" s="64" t="n">
        <f aca="false">Supply!S47+Supply!S50+Supply!S53</f>
        <v>673.575021612608</v>
      </c>
      <c r="E137" s="64" t="n">
        <f aca="false">Supply!S57</f>
        <v>400.571769603625</v>
      </c>
      <c r="F137" s="64" t="n">
        <f aca="false">Supply!S59</f>
        <v>167.596782538864</v>
      </c>
      <c r="G137" s="64" t="n">
        <f aca="false">Supply!S11</f>
        <v>51.6035012784773</v>
      </c>
      <c r="H137" s="1" t="s">
        <v>638</v>
      </c>
      <c r="J137" s="1" t="n">
        <v>2035</v>
      </c>
      <c r="K137" s="64" t="n">
        <f aca="false">Energy!S9</f>
        <v>3281.08191078523</v>
      </c>
      <c r="L137" s="64" t="n">
        <f aca="false">Energy!S10</f>
        <v>1407.59944056885</v>
      </c>
      <c r="M137" s="64" t="n">
        <f aca="false">Energy!S11</f>
        <v>1574.20302283743</v>
      </c>
      <c r="N137" s="64" t="n">
        <f aca="false">Energy!S14</f>
        <v>15.1884584175845</v>
      </c>
      <c r="O137" s="64" t="n">
        <f aca="false">Energy!S15</f>
        <v>6288.39353286479</v>
      </c>
      <c r="P137" s="115" t="n">
        <f aca="false">Energy!S8</f>
        <v>10.3207002556955</v>
      </c>
    </row>
    <row r="138" customFormat="false" ht="15" hidden="false" customHeight="true" outlineLevel="0" collapsed="false">
      <c r="B138" s="1" t="n">
        <v>2036</v>
      </c>
      <c r="C138" s="64" t="n">
        <f aca="false">Supply!T46+Supply!T49+Supply!T52+Supply!T65</f>
        <v>7517.47943600126</v>
      </c>
      <c r="D138" s="64" t="n">
        <f aca="false">Supply!T47+Supply!T50+Supply!T53</f>
        <v>660.103521180356</v>
      </c>
      <c r="E138" s="64" t="n">
        <f aca="false">Supply!T57</f>
        <v>447.986650610717</v>
      </c>
      <c r="F138" s="64" t="n">
        <f aca="false">Supply!T59</f>
        <v>179.843402510753</v>
      </c>
      <c r="G138" s="64" t="n">
        <f aca="false">Supply!T11</f>
        <v>51.0874662656925</v>
      </c>
      <c r="H138" s="1" t="s">
        <v>638</v>
      </c>
      <c r="J138" s="1" t="n">
        <v>2036</v>
      </c>
      <c r="K138" s="64" t="n">
        <f aca="false">Energy!T9</f>
        <v>3368.61908746334</v>
      </c>
      <c r="L138" s="64" t="n">
        <f aca="false">Energy!T10</f>
        <v>1393.24192627504</v>
      </c>
      <c r="M138" s="64" t="n">
        <f aca="false">Energy!T11</f>
        <v>1742.35721429352</v>
      </c>
      <c r="N138" s="64" t="n">
        <f aca="false">Energy!T14</f>
        <v>15.7911280253344</v>
      </c>
      <c r="O138" s="64" t="n">
        <f aca="false">Energy!T15</f>
        <v>6530.22684931038</v>
      </c>
      <c r="P138" s="115" t="n">
        <f aca="false">Energy!T8</f>
        <v>10.2174932531385</v>
      </c>
    </row>
    <row r="139" customFormat="false" ht="15" hidden="false" customHeight="true" outlineLevel="0" collapsed="false">
      <c r="B139" s="1" t="n">
        <v>2037</v>
      </c>
      <c r="C139" s="64" t="n">
        <f aca="false">Supply!U46+Supply!U49+Supply!U52+Supply!U65</f>
        <v>7598.63082453352</v>
      </c>
      <c r="D139" s="64" t="n">
        <f aca="false">Supply!U47+Supply!U50+Supply!U53</f>
        <v>646.901450756749</v>
      </c>
      <c r="E139" s="64" t="n">
        <f aca="false">Supply!U57</f>
        <v>440.470774777138</v>
      </c>
      <c r="F139" s="64" t="n">
        <f aca="false">Supply!U59</f>
        <v>192.268069262627</v>
      </c>
      <c r="G139" s="64" t="n">
        <f aca="false">Supply!U11</f>
        <v>50.5765916030356</v>
      </c>
      <c r="H139" s="1" t="s">
        <v>638</v>
      </c>
      <c r="J139" s="1" t="n">
        <v>2037</v>
      </c>
      <c r="K139" s="64" t="n">
        <f aca="false">Energy!U9</f>
        <v>3457.6040042302</v>
      </c>
      <c r="L139" s="64" t="n">
        <f aca="false">Energy!U10</f>
        <v>1379.03085862704</v>
      </c>
      <c r="M139" s="64" t="n">
        <f aca="false">Energy!U11</f>
        <v>1732.6092771142</v>
      </c>
      <c r="N139" s="64" t="n">
        <f aca="false">Energy!U14</f>
        <v>16.3925921717129</v>
      </c>
      <c r="O139" s="64" t="n">
        <f aca="false">Energy!U15</f>
        <v>6595.75205046376</v>
      </c>
      <c r="P139" s="115" t="n">
        <f aca="false">Energy!U8</f>
        <v>10.1153183206071</v>
      </c>
    </row>
    <row r="140" customFormat="false" ht="15" hidden="false" customHeight="true" outlineLevel="0" collapsed="false">
      <c r="B140" s="1" t="n">
        <v>2038</v>
      </c>
      <c r="C140" s="64" t="n">
        <f aca="false">Supply!V46+Supply!V49+Supply!V52+Supply!V65</f>
        <v>7653.64095211423</v>
      </c>
      <c r="D140" s="64" t="n">
        <f aca="false">Supply!V47+Supply!V50+Supply!V53</f>
        <v>633.963421741614</v>
      </c>
      <c r="E140" s="64" t="n">
        <f aca="false">Supply!V57</f>
        <v>458</v>
      </c>
      <c r="F140" s="64" t="n">
        <f aca="false">Supply!V59</f>
        <v>204.867172646692</v>
      </c>
      <c r="G140" s="64" t="n">
        <f aca="false">Supply!V11</f>
        <v>50.0708256870053</v>
      </c>
      <c r="H140" s="1" t="s">
        <v>638</v>
      </c>
      <c r="J140" s="1" t="n">
        <v>2038</v>
      </c>
      <c r="K140" s="64" t="n">
        <f aca="false">Energy!V9</f>
        <v>3548.06936200181</v>
      </c>
      <c r="L140" s="64" t="n">
        <f aca="false">Energy!V10</f>
        <v>1364.96474386904</v>
      </c>
      <c r="M140" s="64" t="n">
        <f aca="false">Energy!V11</f>
        <v>1722.89737360533</v>
      </c>
      <c r="N140" s="64" t="n">
        <f aca="false">Energy!V14</f>
        <v>16.9924874508354</v>
      </c>
      <c r="O140" s="64" t="n">
        <f aca="false">Energy!V15</f>
        <v>6662.93813206442</v>
      </c>
      <c r="P140" s="115" t="n">
        <f aca="false">Energy!V8</f>
        <v>10.0141651374011</v>
      </c>
    </row>
    <row r="141" customFormat="false" ht="15" hidden="false" customHeight="true" outlineLevel="0" collapsed="false">
      <c r="B141" s="1" t="n">
        <v>2039</v>
      </c>
      <c r="C141" s="64" t="n">
        <f aca="false">Supply!W46+Supply!W49+Supply!W52+Supply!W65</f>
        <v>7700.78847835653</v>
      </c>
      <c r="D141" s="64" t="n">
        <f aca="false">Supply!W47+Supply!W50+Supply!W53</f>
        <v>621.284153306782</v>
      </c>
      <c r="E141" s="64" t="n">
        <f aca="false">Supply!W57</f>
        <v>482.333333333333</v>
      </c>
      <c r="F141" s="64" t="n">
        <f aca="false">Supply!W59</f>
        <v>217.637141783032</v>
      </c>
      <c r="G141" s="64" t="n">
        <f aca="false">Supply!W11</f>
        <v>49.5701174301352</v>
      </c>
      <c r="H141" s="1" t="s">
        <v>638</v>
      </c>
      <c r="J141" s="1" t="n">
        <v>2039</v>
      </c>
      <c r="K141" s="64" t="n">
        <f aca="false">Energy!W9</f>
        <v>3640.04888451867</v>
      </c>
      <c r="L141" s="64" t="n">
        <f aca="false">Energy!W10</f>
        <v>1351.04210348158</v>
      </c>
      <c r="M141" s="64" t="n">
        <f aca="false">Energy!W11</f>
        <v>1713.2221182923</v>
      </c>
      <c r="N141" s="64" t="n">
        <f aca="false">Energy!W14</f>
        <v>17.5904575949266</v>
      </c>
      <c r="O141" s="64" t="n">
        <f aca="false">Energy!W15</f>
        <v>6731.8175873735</v>
      </c>
      <c r="P141" s="115" t="n">
        <f aca="false">Energy!W8</f>
        <v>9.91402348602704</v>
      </c>
    </row>
    <row r="142" customFormat="false" ht="15" hidden="false" customHeight="true" outlineLevel="0" collapsed="false">
      <c r="B142" s="1" t="n">
        <v>2040</v>
      </c>
      <c r="C142" s="64" t="n">
        <f aca="false">Supply!X46+Supply!X49+Supply!X52+Supply!X65</f>
        <v>7746.91514294119</v>
      </c>
      <c r="D142" s="64" t="n">
        <f aca="false">Supply!X47+Supply!X50+Supply!X53</f>
        <v>608.858470240646</v>
      </c>
      <c r="E142" s="64" t="n">
        <f aca="false">Supply!X57</f>
        <v>506.666666666667</v>
      </c>
      <c r="F142" s="64" t="n">
        <f aca="false">Supply!X59</f>
        <v>230.574444719101</v>
      </c>
      <c r="G142" s="64" t="n">
        <f aca="false">Supply!X11</f>
        <v>49.0744162558338</v>
      </c>
      <c r="H142" s="1" t="s">
        <v>638</v>
      </c>
      <c r="J142" s="1" t="n">
        <v>2040</v>
      </c>
      <c r="K142" s="64" t="n">
        <f aca="false">Energy!X9</f>
        <v>3733.57735527537</v>
      </c>
      <c r="L142" s="64" t="n">
        <f aca="false">Energy!X10</f>
        <v>1337.26147402607</v>
      </c>
      <c r="M142" s="64" t="n">
        <f aca="false">Energy!X11</f>
        <v>1703.58407890686</v>
      </c>
      <c r="N142" s="64" t="n">
        <f aca="false">Energy!X14</f>
        <v>18.1861533862953</v>
      </c>
      <c r="O142" s="64" t="n">
        <f aca="false">Energy!X15</f>
        <v>6802.42394484576</v>
      </c>
      <c r="P142" s="115" t="n">
        <f aca="false">Energy!X8</f>
        <v>9.81488325116677</v>
      </c>
    </row>
    <row r="143" customFormat="false" ht="15" hidden="false" customHeight="true" outlineLevel="0" collapsed="false">
      <c r="B143" s="1" t="n">
        <v>2041</v>
      </c>
      <c r="C143" s="64" t="n">
        <f aca="false">Supply!Y46+Supply!Y49+Supply!Y52+Supply!Y65</f>
        <v>7792.05855257648</v>
      </c>
      <c r="D143" s="64" t="n">
        <f aca="false">Supply!Y47+Supply!Y50+Supply!Y53</f>
        <v>596.681300835833</v>
      </c>
      <c r="E143" s="64" t="n">
        <f aca="false">Supply!Y57</f>
        <v>531</v>
      </c>
      <c r="F143" s="64" t="n">
        <f aca="false">Supply!Y59</f>
        <v>243.675588091822</v>
      </c>
      <c r="G143" s="64" t="n">
        <f aca="false">Supply!Y11</f>
        <v>48.5836720932755</v>
      </c>
      <c r="H143" s="1" t="s">
        <v>638</v>
      </c>
      <c r="J143" s="1" t="n">
        <v>2041</v>
      </c>
      <c r="K143" s="64" t="n">
        <f aca="false">Energy!Y9</f>
        <v>3828.69065582051</v>
      </c>
      <c r="L143" s="64" t="n">
        <f aca="false">Energy!Y10</f>
        <v>1323.621406991</v>
      </c>
      <c r="M143" s="64" t="n">
        <f aca="false">Energy!Y11</f>
        <v>1693.98377736031</v>
      </c>
      <c r="N143" s="64" t="n">
        <f aca="false">Energy!Y14</f>
        <v>18.7792325701812</v>
      </c>
      <c r="O143" s="64" t="n">
        <f aca="false">Energy!Y15</f>
        <v>6874.79180716066</v>
      </c>
      <c r="P143" s="115" t="n">
        <f aca="false">Energy!Y8</f>
        <v>9.7167344186551</v>
      </c>
    </row>
    <row r="144" customFormat="false" ht="15" hidden="false" customHeight="true" outlineLevel="0" collapsed="false">
      <c r="B144" s="1" t="n">
        <v>2042</v>
      </c>
      <c r="C144" s="64" t="n">
        <f aca="false">Supply!Z46+Supply!Z49+Supply!Z52+Supply!Z65</f>
        <v>7836.25629940496</v>
      </c>
      <c r="D144" s="64" t="n">
        <f aca="false">Supply!Z47+Supply!Z50+Supply!Z53</f>
        <v>584.747674819116</v>
      </c>
      <c r="E144" s="64" t="n">
        <f aca="false">Supply!Z57</f>
        <v>555.333333333333</v>
      </c>
      <c r="F144" s="64" t="n">
        <f aca="false">Supply!Z59</f>
        <v>256.937116792281</v>
      </c>
      <c r="G144" s="64" t="n">
        <f aca="false">Supply!Z11</f>
        <v>48.0978353723428</v>
      </c>
      <c r="H144" s="1" t="s">
        <v>638</v>
      </c>
      <c r="J144" s="1" t="n">
        <v>2042</v>
      </c>
      <c r="K144" s="64" t="n">
        <f aca="false">Energy!Z9</f>
        <v>3916.80462253794</v>
      </c>
      <c r="L144" s="64" t="n">
        <f aca="false">Energy!Z10</f>
        <v>1310.12046863969</v>
      </c>
      <c r="M144" s="64" t="n">
        <f aca="false">Energy!Z11</f>
        <v>1740.04444444444</v>
      </c>
      <c r="N144" s="64" t="n">
        <f aca="false">Energy!Z14</f>
        <v>19.3693597684669</v>
      </c>
      <c r="O144" s="64" t="n">
        <f aca="false">Energy!Z15</f>
        <v>6995.95846246502</v>
      </c>
      <c r="P144" s="115" t="n">
        <f aca="false">Energy!Z8</f>
        <v>9.61956707446855</v>
      </c>
    </row>
    <row r="145" customFormat="false" ht="15" hidden="false" customHeight="true" outlineLevel="0" collapsed="false">
      <c r="B145" s="1" t="n">
        <v>2043</v>
      </c>
      <c r="C145" s="64" t="n">
        <f aca="false">Supply!AA46+Supply!AA49+Supply!AA52+Supply!AA65</f>
        <v>7879.54597136463</v>
      </c>
      <c r="D145" s="64" t="n">
        <f aca="false">Supply!AA47+Supply!AA50+Supply!AA53</f>
        <v>573.052721322734</v>
      </c>
      <c r="E145" s="64" t="n">
        <f aca="false">Supply!AA57</f>
        <v>579.666666666667</v>
      </c>
      <c r="F145" s="64" t="n">
        <f aca="false">Supply!AA59</f>
        <v>270.355613633003</v>
      </c>
      <c r="G145" s="64" t="n">
        <f aca="false">Supply!AA11</f>
        <v>47.6168570186193</v>
      </c>
      <c r="H145" s="1" t="s">
        <v>638</v>
      </c>
      <c r="J145" s="1" t="n">
        <v>2043</v>
      </c>
      <c r="K145" s="64" t="n">
        <f aca="false">Energy!AA9</f>
        <v>4002.98666058029</v>
      </c>
      <c r="L145" s="64" t="n">
        <f aca="false">Energy!AA10</f>
        <v>1296.75723985957</v>
      </c>
      <c r="M145" s="64" t="n">
        <f aca="false">Energy!AA11</f>
        <v>1806.62777777778</v>
      </c>
      <c r="N145" s="64" t="n">
        <f aca="false">Energy!AA14</f>
        <v>19.9562063942465</v>
      </c>
      <c r="O145" s="64" t="n">
        <f aca="false">Energy!AA15</f>
        <v>7135.8512560156</v>
      </c>
      <c r="P145" s="115" t="n">
        <f aca="false">Energy!AA8</f>
        <v>9.52337140372386</v>
      </c>
    </row>
    <row r="146" customFormat="false" ht="15" hidden="false" customHeight="true" outlineLevel="0" collapsed="false">
      <c r="B146" s="1" t="n">
        <v>2044</v>
      </c>
      <c r="C146" s="64" t="n">
        <f aca="false">Supply!AB46+Supply!AB49+Supply!AB52+Supply!AB65</f>
        <v>7921.96516261847</v>
      </c>
      <c r="D146" s="64" t="n">
        <f aca="false">Supply!AB47+Supply!AB50+Supply!AB53</f>
        <v>561.591666896279</v>
      </c>
      <c r="E146" s="64" t="n">
        <f aca="false">Supply!AB57</f>
        <v>604</v>
      </c>
      <c r="F146" s="64" t="n">
        <f aca="false">Supply!AB59</f>
        <v>283.927699017785</v>
      </c>
      <c r="G146" s="64" t="n">
        <f aca="false">Supply!AB11</f>
        <v>47.1406884484331</v>
      </c>
      <c r="H146" s="1" t="s">
        <v>638</v>
      </c>
      <c r="J146" s="1" t="n">
        <v>2044</v>
      </c>
      <c r="K146" s="64" t="n">
        <f aca="false">Energy!AB9</f>
        <v>4090.50903847601</v>
      </c>
      <c r="L146" s="64" t="n">
        <f aca="false">Energy!AB10</f>
        <v>1283.530316013</v>
      </c>
      <c r="M146" s="64" t="n">
        <f aca="false">Energy!AB11</f>
        <v>1872.4</v>
      </c>
      <c r="N146" s="64" t="n">
        <f aca="false">Energy!AB14</f>
        <v>20.539450567244</v>
      </c>
      <c r="O146" s="64" t="n">
        <f aca="false">Energy!AB15</f>
        <v>7276.40694274594</v>
      </c>
      <c r="P146" s="115" t="n">
        <f aca="false">Energy!AB8</f>
        <v>9.42813768968663</v>
      </c>
    </row>
    <row r="147" customFormat="false" ht="15" hidden="false" customHeight="true" outlineLevel="0" collapsed="false">
      <c r="B147" s="1" t="n">
        <v>2045</v>
      </c>
      <c r="C147" s="64" t="n">
        <f aca="false">Supply!AC46+Supply!AC49+Supply!AC52+Supply!AC65</f>
        <v>7963.55148405609</v>
      </c>
      <c r="D147" s="64" t="n">
        <f aca="false">Supply!AC47+Supply!AC50+Supply!AC53</f>
        <v>550.359833558354</v>
      </c>
      <c r="E147" s="64" t="n">
        <f aca="false">Supply!AC57</f>
        <v>628.333333333333</v>
      </c>
      <c r="F147" s="64" t="n">
        <f aca="false">Supply!AC59</f>
        <v>297.650030614062</v>
      </c>
      <c r="G147" s="64" t="n">
        <f aca="false">Supply!AC11</f>
        <v>46.6692815639488</v>
      </c>
      <c r="H147" s="1" t="s">
        <v>638</v>
      </c>
      <c r="J147" s="1" t="n">
        <v>2045</v>
      </c>
      <c r="K147" s="64" t="n">
        <f aca="false">Energy!AC9</f>
        <v>4179.40464127379</v>
      </c>
      <c r="L147" s="64" t="n">
        <f aca="false">Energy!AC10</f>
        <v>1270.43830678967</v>
      </c>
      <c r="M147" s="64" t="n">
        <f aca="false">Energy!AC11</f>
        <v>1937.36111111111</v>
      </c>
      <c r="N147" s="64" t="n">
        <f aca="false">Energy!AC14</f>
        <v>21.1187770300745</v>
      </c>
      <c r="O147" s="64" t="n">
        <f aca="false">Energy!AC15</f>
        <v>7417.65669251744</v>
      </c>
      <c r="P147" s="115" t="n">
        <f aca="false">Energy!AC8</f>
        <v>9.33385631278976</v>
      </c>
    </row>
    <row r="148" customFormat="false" ht="15" hidden="false" customHeight="true" outlineLevel="0" collapsed="false">
      <c r="B148" s="1" t="n">
        <v>2046</v>
      </c>
      <c r="C148" s="64" t="n">
        <f aca="false">Supply!AD46+Supply!AD49+Supply!AD52+Supply!AD65</f>
        <v>8004.34257387094</v>
      </c>
      <c r="D148" s="64" t="n">
        <f aca="false">Supply!AD47+Supply!AD50+Supply!AD53</f>
        <v>539.352636887187</v>
      </c>
      <c r="E148" s="64" t="n">
        <f aca="false">Supply!AD57</f>
        <v>652.666666666667</v>
      </c>
      <c r="F148" s="64" t="n">
        <f aca="false">Supply!AD59</f>
        <v>311.519303027807</v>
      </c>
      <c r="G148" s="64" t="n">
        <f aca="false">Supply!AD11</f>
        <v>46.2025887483093</v>
      </c>
      <c r="H148" s="1" t="s">
        <v>638</v>
      </c>
      <c r="J148" s="1" t="n">
        <v>2046</v>
      </c>
      <c r="K148" s="64" t="n">
        <f aca="false">Energy!AD9</f>
        <v>4269.70751457753</v>
      </c>
      <c r="L148" s="64" t="n">
        <f aca="false">Energy!AD10</f>
        <v>1257.47983606041</v>
      </c>
      <c r="M148" s="64" t="n">
        <f aca="false">Energy!AD11</f>
        <v>2001.51111111111</v>
      </c>
      <c r="N148" s="64" t="n">
        <f aca="false">Energy!AD14</f>
        <v>21.6938770653391</v>
      </c>
      <c r="O148" s="64" t="n">
        <f aca="false">Energy!AD15</f>
        <v>7559.63285656406</v>
      </c>
      <c r="P148" s="115" t="n">
        <f aca="false">Energy!AD8</f>
        <v>9.24051774966186</v>
      </c>
    </row>
    <row r="149" customFormat="false" ht="15" hidden="false" customHeight="true" outlineLevel="0" collapsed="false">
      <c r="B149" s="1" t="n">
        <v>2047</v>
      </c>
      <c r="C149" s="64" t="n">
        <f aca="false">Supply!AE46+Supply!AE49+Supply!AE52+Supply!AE65</f>
        <v>8044.3761082168</v>
      </c>
      <c r="D149" s="64" t="n">
        <f aca="false">Supply!AE47+Supply!AE50+Supply!AE53</f>
        <v>528.565584149443</v>
      </c>
      <c r="E149" s="64" t="n">
        <f aca="false">Supply!AE57</f>
        <v>677</v>
      </c>
      <c r="F149" s="64" t="n">
        <f aca="false">Supply!AE59</f>
        <v>325.532247480925</v>
      </c>
      <c r="G149" s="64" t="n">
        <f aca="false">Supply!AE11</f>
        <v>45.7405628608262</v>
      </c>
      <c r="H149" s="1" t="s">
        <v>638</v>
      </c>
      <c r="J149" s="1" t="n">
        <v>2047</v>
      </c>
      <c r="K149" s="64" t="n">
        <f aca="false">Energy!AE9</f>
        <v>4361.45290941131</v>
      </c>
      <c r="L149" s="64" t="n">
        <f aca="false">Energy!AE10</f>
        <v>1244.6535417326</v>
      </c>
      <c r="M149" s="64" t="n">
        <f aca="false">Energy!AE11</f>
        <v>2064.85</v>
      </c>
      <c r="N149" s="64" t="n">
        <f aca="false">Energy!AE14</f>
        <v>22.264448413549</v>
      </c>
      <c r="O149" s="64" t="n">
        <f aca="false">Energy!AE15</f>
        <v>7702.36901212962</v>
      </c>
      <c r="P149" s="115" t="n">
        <f aca="false">Energy!AE8</f>
        <v>9.14811257216524</v>
      </c>
    </row>
    <row r="150" customFormat="false" ht="15" hidden="false" customHeight="true" outlineLevel="0" collapsed="false">
      <c r="B150" s="1" t="n">
        <v>2048</v>
      </c>
      <c r="C150" s="64" t="n">
        <f aca="false">Supply!AF46+Supply!AF49+Supply!AF52+Supply!AF65</f>
        <v>8083.68981194725</v>
      </c>
      <c r="D150" s="64" t="n">
        <f aca="false">Supply!AF47+Supply!AF50+Supply!AF53</f>
        <v>517.994272466454</v>
      </c>
      <c r="E150" s="64" t="n">
        <f aca="false">Supply!AF57</f>
        <v>701.333333333333</v>
      </c>
      <c r="F150" s="64" t="n">
        <f aca="false">Supply!AF59</f>
        <v>339.68563149114</v>
      </c>
      <c r="G150" s="64" t="n">
        <f aca="false">Supply!AF11</f>
        <v>45.283157232218</v>
      </c>
      <c r="H150" s="1" t="s">
        <v>638</v>
      </c>
      <c r="J150" s="1" t="n">
        <v>2048</v>
      </c>
      <c r="K150" s="64" t="n">
        <f aca="false">Energy!AF9</f>
        <v>4454.67732880059</v>
      </c>
      <c r="L150" s="64" t="n">
        <f aca="false">Energy!AF10</f>
        <v>1231.95807560692</v>
      </c>
      <c r="M150" s="64" t="n">
        <f aca="false">Energy!AF11</f>
        <v>2127.37777777778</v>
      </c>
      <c r="N150" s="64" t="n">
        <f aca="false">Energy!AF14</f>
        <v>22.8301951918689</v>
      </c>
      <c r="O150" s="64" t="n">
        <f aca="false">Energy!AF15</f>
        <v>7845.90000882361</v>
      </c>
      <c r="P150" s="115" t="n">
        <f aca="false">Energy!AF8</f>
        <v>9.05663144644359</v>
      </c>
    </row>
    <row r="151" customFormat="false" ht="15" hidden="false" customHeight="true" outlineLevel="0" collapsed="false">
      <c r="B151" s="1" t="n">
        <v>2049</v>
      </c>
      <c r="C151" s="64" t="n">
        <f aca="false">Supply!AG46+Supply!AG49+Supply!AG52+Supply!AG65</f>
        <v>8122.32146944188</v>
      </c>
      <c r="D151" s="64" t="n">
        <f aca="false">Supply!AG47+Supply!AG50+Supply!AG53</f>
        <v>507.634387017125</v>
      </c>
      <c r="E151" s="64" t="n">
        <f aca="false">Supply!AG57</f>
        <v>725.666666666667</v>
      </c>
      <c r="F151" s="64" t="n">
        <f aca="false">Supply!AG59</f>
        <v>353.97625855435</v>
      </c>
      <c r="G151" s="64" t="n">
        <f aca="false">Supply!AG11</f>
        <v>44.8303256598958</v>
      </c>
      <c r="H151" s="1" t="s">
        <v>638</v>
      </c>
      <c r="J151" s="1" t="n">
        <v>2049</v>
      </c>
      <c r="K151" s="64" t="n">
        <f aca="false">Energy!AG9</f>
        <v>4549.41857613385</v>
      </c>
      <c r="L151" s="64" t="n">
        <f aca="false">Energy!AG10</f>
        <v>1219.39210323573</v>
      </c>
      <c r="M151" s="64" t="n">
        <f aca="false">Energy!AG11</f>
        <v>2189.09444444444</v>
      </c>
      <c r="N151" s="64" t="n">
        <f aca="false">Energy!AG14</f>
        <v>23.3908278136739</v>
      </c>
      <c r="O151" s="64" t="n">
        <f aca="false">Energy!AG15</f>
        <v>7990.26201675968</v>
      </c>
      <c r="P151" s="115" t="n">
        <f aca="false">Energy!AG8</f>
        <v>8.96606513197916</v>
      </c>
    </row>
    <row r="152" customFormat="false" ht="15" hidden="false" customHeight="true" outlineLevel="0" collapsed="false">
      <c r="B152" s="1" t="n">
        <v>2050</v>
      </c>
      <c r="C152" s="64" t="n">
        <f aca="false">Supply!AH46+Supply!AH49+Supply!AH52+Supply!AH65</f>
        <v>8160.30893552286</v>
      </c>
      <c r="D152" s="64" t="n">
        <f aca="false">Supply!AH47+Supply!AH50+Supply!AH53</f>
        <v>497.481699276783</v>
      </c>
      <c r="E152" s="64" t="n">
        <f aca="false">Supply!AH57</f>
        <v>750</v>
      </c>
      <c r="F152" s="64" t="n">
        <f aca="false">Supply!AH59</f>
        <v>368.400967829428</v>
      </c>
      <c r="G152" s="64" t="n">
        <f aca="false">Supply!AH11</f>
        <v>44.3820224032968</v>
      </c>
      <c r="H152" s="1" t="s">
        <v>638</v>
      </c>
      <c r="J152" s="1" t="n">
        <v>2050</v>
      </c>
      <c r="K152" s="64" t="n">
        <f aca="false">Energy!AH9</f>
        <v>4645.71580537121</v>
      </c>
      <c r="L152" s="64" t="n">
        <f aca="false">Energy!AH10</f>
        <v>1206.95430378273</v>
      </c>
      <c r="M152" s="64" t="n">
        <f aca="false">Energy!AH11</f>
        <v>2250</v>
      </c>
      <c r="N152" s="64" t="n">
        <f aca="false">Energy!AH14</f>
        <v>23.9460629089128</v>
      </c>
      <c r="O152" s="64" t="n">
        <f aca="false">Energy!AH15</f>
        <v>8135.49257654351</v>
      </c>
      <c r="P152" s="115" t="n">
        <f aca="false">Energy!AH8</f>
        <v>8.87640448065936</v>
      </c>
    </row>
    <row r="153" customFormat="false" ht="15" hidden="false" customHeight="true" outlineLevel="0" collapsed="false">
      <c r="B153" s="1" t="n">
        <v>2020</v>
      </c>
      <c r="C153" s="64" t="n">
        <f aca="false">(Supply!D5-Supply!D6)-(Supply!D19+Supply!D22+Supply!D25)-Supply!D30-Supply!D11-(Supply!D34-Supply!D16)</f>
        <v>6039.69216283995</v>
      </c>
      <c r="D153" s="64" t="n">
        <f aca="false">Supply!D19+Supply!D22+Supply!D25</f>
        <v>912</v>
      </c>
      <c r="E153" s="64" t="n">
        <f aca="false">Supply!D30</f>
        <v>20</v>
      </c>
      <c r="F153" s="64" t="n">
        <f aca="false">Supply!D34-Supply!D16</f>
        <v>7.84221977495</v>
      </c>
      <c r="G153" s="64" t="n">
        <f aca="false">Supply!D11</f>
        <v>60</v>
      </c>
      <c r="H153" s="1" t="s">
        <v>639</v>
      </c>
    </row>
    <row r="154" customFormat="false" ht="15" hidden="false" customHeight="true" outlineLevel="0" collapsed="false">
      <c r="B154" s="1" t="n">
        <v>2021</v>
      </c>
      <c r="C154" s="64" t="n">
        <f aca="false">(Supply!E5-Supply!E6)-(Supply!E19+Supply!E22+Supply!E25)-Supply!E30-Supply!E11-(Supply!E34-Supply!E16)</f>
        <v>6120.06920659628</v>
      </c>
      <c r="D154" s="64" t="n">
        <f aca="false">Supply!E19+Supply!E22+Supply!E25</f>
        <v>893.76</v>
      </c>
      <c r="E154" s="64" t="n">
        <f aca="false">Supply!E30</f>
        <v>44.3333333333333</v>
      </c>
      <c r="F154" s="64" t="n">
        <f aca="false">Supply!E34-Supply!E16</f>
        <v>8.61105022265137</v>
      </c>
      <c r="G154" s="64" t="n">
        <f aca="false">Supply!E11</f>
        <v>59.4</v>
      </c>
      <c r="H154" s="1" t="s">
        <v>639</v>
      </c>
    </row>
    <row r="155" customFormat="false" ht="15" hidden="false" customHeight="true" outlineLevel="0" collapsed="false">
      <c r="B155" s="1" t="n">
        <v>2022</v>
      </c>
      <c r="C155" s="64" t="n">
        <f aca="false">(Supply!F5-Supply!F6)-(Supply!F19+Supply!F22+Supply!F25)-Supply!F30-Supply!F11-(Supply!F34-Supply!F16)</f>
        <v>6198.95536480449</v>
      </c>
      <c r="D155" s="64" t="n">
        <f aca="false">Supply!F19+Supply!F22+Supply!F25</f>
        <v>875.8848</v>
      </c>
      <c r="E155" s="64" t="n">
        <f aca="false">Supply!F30</f>
        <v>68.6666666666667</v>
      </c>
      <c r="F155" s="64" t="n">
        <f aca="false">Supply!F34-Supply!F16</f>
        <v>9.39615044414319</v>
      </c>
      <c r="G155" s="64" t="n">
        <f aca="false">Supply!F11</f>
        <v>58.806</v>
      </c>
      <c r="H155" s="1" t="s">
        <v>639</v>
      </c>
    </row>
    <row r="156" customFormat="false" ht="15" hidden="false" customHeight="true" outlineLevel="0" collapsed="false">
      <c r="B156" s="1" t="n">
        <v>2023</v>
      </c>
      <c r="C156" s="64" t="n">
        <f aca="false">(Supply!G5-Supply!G6)-(Supply!G19+Supply!G22+Supply!G25)-Supply!G30-Supply!G11-(Supply!G34-Supply!G16)</f>
        <v>6276.3862816116</v>
      </c>
      <c r="D156" s="64" t="n">
        <f aca="false">Supply!G19+Supply!G22+Supply!G25</f>
        <v>858.367104</v>
      </c>
      <c r="E156" s="64" t="n">
        <f aca="false">Supply!G30</f>
        <v>93</v>
      </c>
      <c r="F156" s="64" t="n">
        <f aca="false">Supply!G34-Supply!G16</f>
        <v>10.1972177502576</v>
      </c>
      <c r="G156" s="64" t="n">
        <f aca="false">Supply!G11</f>
        <v>58.21794</v>
      </c>
      <c r="H156" s="1" t="s">
        <v>639</v>
      </c>
    </row>
    <row r="157" customFormat="false" ht="15" hidden="false" customHeight="true" outlineLevel="0" collapsed="false">
      <c r="B157" s="1" t="n">
        <v>2024</v>
      </c>
      <c r="C157" s="64" t="n">
        <f aca="false">(Supply!H5-Supply!H6)-(Supply!H19+Supply!H22+Supply!H25)-Supply!H30-Supply!H11-(Supply!H34-Supply!H16)</f>
        <v>6352.39744936171</v>
      </c>
      <c r="D157" s="64" t="n">
        <f aca="false">Supply!H19+Supply!H22+Supply!H25</f>
        <v>841.19976192</v>
      </c>
      <c r="E157" s="64" t="n">
        <f aca="false">Supply!H30</f>
        <v>117.333333333333</v>
      </c>
      <c r="F157" s="64" t="n">
        <f aca="false">Supply!H34-Supply!H16</f>
        <v>11.0139526758273</v>
      </c>
      <c r="G157" s="64" t="n">
        <f aca="false">Supply!H11</f>
        <v>57.6357606</v>
      </c>
      <c r="H157" s="1" t="s">
        <v>639</v>
      </c>
    </row>
    <row r="158" customFormat="false" ht="15" hidden="false" customHeight="true" outlineLevel="0" collapsed="false">
      <c r="B158" s="1" t="n">
        <v>2025</v>
      </c>
      <c r="C158" s="64" t="n">
        <f aca="false">(Supply!I5-Supply!I6)-(Supply!I19+Supply!I22+Supply!I25)-Supply!I30-Supply!I11-(Supply!I34-Supply!I16)</f>
        <v>6427.024217953</v>
      </c>
      <c r="D158" s="64" t="n">
        <f aca="false">Supply!I19+Supply!I22+Supply!I25</f>
        <v>824.3757666816</v>
      </c>
      <c r="E158" s="64" t="n">
        <f aca="false">Supply!I30</f>
        <v>141.666666666667</v>
      </c>
      <c r="F158" s="64" t="n">
        <f aca="false">Supply!I34-Supply!I16</f>
        <v>11.8460589519937</v>
      </c>
      <c r="G158" s="64" t="n">
        <f aca="false">Supply!I11</f>
        <v>57.059402994</v>
      </c>
      <c r="H158" s="1" t="s">
        <v>639</v>
      </c>
    </row>
    <row r="159" customFormat="false" ht="15" hidden="false" customHeight="true" outlineLevel="0" collapsed="false">
      <c r="B159" s="1" t="n">
        <v>2026</v>
      </c>
      <c r="C159" s="64" t="n">
        <f aca="false">(Supply!J5-Supply!J6)-(Supply!J19+Supply!J22+Supply!J25)-Supply!J30-Supply!J11-(Supply!J34-Supply!J16)</f>
        <v>6500.30180420561</v>
      </c>
      <c r="D159" s="64" t="n">
        <f aca="false">Supply!J19+Supply!J22+Supply!J25</f>
        <v>807.888251347968</v>
      </c>
      <c r="E159" s="64" t="n">
        <f aca="false">Supply!J30</f>
        <v>166</v>
      </c>
      <c r="F159" s="64" t="n">
        <f aca="false">Supply!J34-Supply!J16</f>
        <v>12.6932434787263</v>
      </c>
      <c r="G159" s="64" t="n">
        <f aca="false">Supply!J11</f>
        <v>56.48880896406</v>
      </c>
      <c r="H159" s="1" t="s">
        <v>639</v>
      </c>
    </row>
    <row r="160" customFormat="false" ht="15" hidden="false" customHeight="true" outlineLevel="0" collapsed="false">
      <c r="B160" s="1" t="n">
        <v>2027</v>
      </c>
      <c r="C160" s="64" t="n">
        <f aca="false">(Supply!K5-Supply!K6)-(Supply!K19+Supply!K22+Supply!K25)-Supply!K30-Supply!K11-(Supply!K34-Supply!K16)</f>
        <v>6578.41033263191</v>
      </c>
      <c r="D160" s="64" t="n">
        <f aca="false">Supply!K19+Supply!K22+Supply!K25</f>
        <v>791.730486321009</v>
      </c>
      <c r="E160" s="64" t="n">
        <f aca="false">Supply!K30</f>
        <v>190.333333333333</v>
      </c>
      <c r="F160" s="64" t="n">
        <f aca="false">Supply!K34-Supply!K16</f>
        <v>7.41018490932825</v>
      </c>
      <c r="G160" s="64" t="n">
        <f aca="false">Supply!K11</f>
        <v>55.9239208744194</v>
      </c>
      <c r="H160" s="1" t="s">
        <v>639</v>
      </c>
    </row>
    <row r="161" customFormat="false" ht="15" hidden="false" customHeight="true" outlineLevel="0" collapsed="false">
      <c r="B161" s="1" t="n">
        <v>2028</v>
      </c>
      <c r="C161" s="64" t="n">
        <f aca="false">(Supply!L5-Supply!L6)-(Supply!L19+Supply!L22+Supply!L25)-Supply!L30-Supply!L11-(Supply!L34-Supply!L16)</f>
        <v>6649.39584301352</v>
      </c>
      <c r="D161" s="64" t="n">
        <f aca="false">Supply!L19+Supply!L22+Supply!L25</f>
        <v>775.895876594588</v>
      </c>
      <c r="E161" s="64" t="n">
        <f aca="false">Supply!L30</f>
        <v>214.666666666667</v>
      </c>
      <c r="F161" s="64" t="n">
        <f aca="false">Supply!L34-Supply!L16</f>
        <v>7.9855354456854</v>
      </c>
      <c r="G161" s="64" t="n">
        <f aca="false">Supply!L11</f>
        <v>55.3646816656752</v>
      </c>
      <c r="H161" s="1" t="s">
        <v>639</v>
      </c>
    </row>
    <row r="162" customFormat="false" ht="15" hidden="false" customHeight="true" outlineLevel="0" collapsed="false">
      <c r="B162" s="1" t="n">
        <v>2029</v>
      </c>
      <c r="C162" s="64" t="n">
        <f aca="false">(Supply!M5-Supply!M6)-(Supply!M19+Supply!M22+Supply!M25)-Supply!M30-Supply!M11-(Supply!M34-Supply!M16)</f>
        <v>6719.13168641952</v>
      </c>
      <c r="D162" s="64" t="n">
        <f aca="false">Supply!M19+Supply!M22+Supply!M25</f>
        <v>760.377959062697</v>
      </c>
      <c r="E162" s="64" t="n">
        <f aca="false">Supply!M30</f>
        <v>239</v>
      </c>
      <c r="F162" s="64" t="n">
        <f aca="false">Supply!M34-Supply!M16</f>
        <v>8.58053421299632</v>
      </c>
      <c r="G162" s="64" t="n">
        <f aca="false">Supply!M11</f>
        <v>54.8110348490185</v>
      </c>
      <c r="H162" s="1" t="s">
        <v>639</v>
      </c>
    </row>
    <row r="163" customFormat="false" ht="15" hidden="false" customHeight="true" outlineLevel="0" collapsed="false">
      <c r="B163" s="1" t="n">
        <v>2030</v>
      </c>
      <c r="C163" s="64" t="n">
        <f aca="false">(Supply!N5-Supply!N6)-(Supply!N19+Supply!N22+Supply!N25)-Supply!N30-Supply!N11-(Supply!N34-Supply!N16)</f>
        <v>6787.65223537872</v>
      </c>
      <c r="D163" s="64" t="n">
        <f aca="false">Supply!N19+Supply!N22+Supply!N25</f>
        <v>745.170399881443</v>
      </c>
      <c r="E163" s="64" t="n">
        <f aca="false">Supply!N30</f>
        <v>263.333333333333</v>
      </c>
      <c r="F163" s="64" t="n">
        <f aca="false">Supply!N34-Supply!N16</f>
        <v>9.19530650439894</v>
      </c>
      <c r="G163" s="64" t="n">
        <f aca="false">Supply!N11</f>
        <v>54.2629245005283</v>
      </c>
      <c r="H163" s="1" t="s">
        <v>639</v>
      </c>
    </row>
    <row r="164" customFormat="false" ht="15" hidden="false" customHeight="true" outlineLevel="0" collapsed="false">
      <c r="B164" s="1" t="n">
        <v>2031</v>
      </c>
      <c r="C164" s="64" t="n">
        <f aca="false">(Supply!O5-Supply!O6)-(Supply!O19+Supply!O22+Supply!O25)-Supply!O30-Supply!O11-(Supply!O34-Supply!O16)</f>
        <v>6854.991785237</v>
      </c>
      <c r="D164" s="64" t="n">
        <f aca="false">Supply!O19+Supply!O22+Supply!O25</f>
        <v>730.266991883814</v>
      </c>
      <c r="E164" s="64" t="n">
        <f aca="false">Supply!O30</f>
        <v>287.666666666667</v>
      </c>
      <c r="F164" s="64" t="n">
        <f aca="false">Supply!O34-Supply!O16</f>
        <v>9.82997186762714</v>
      </c>
      <c r="G164" s="64" t="n">
        <f aca="false">Supply!O11</f>
        <v>53.720295255523</v>
      </c>
      <c r="H164" s="1" t="s">
        <v>639</v>
      </c>
    </row>
    <row r="165" customFormat="false" ht="15" hidden="false" customHeight="true" outlineLevel="0" collapsed="false">
      <c r="B165" s="1" t="n">
        <v>2032</v>
      </c>
      <c r="C165" s="64" t="n">
        <f aca="false">(Supply!P5-Supply!P6)-(Supply!P19+Supply!P22+Supply!P25)-Supply!P30-Supply!P11-(Supply!P34-Supply!P16)</f>
        <v>6921.18456354581</v>
      </c>
      <c r="D165" s="64" t="n">
        <f aca="false">Supply!P19+Supply!P22+Supply!P25</f>
        <v>715.661652046137</v>
      </c>
      <c r="E165" s="64" t="n">
        <f aca="false">Supply!P30</f>
        <v>312</v>
      </c>
      <c r="F165" s="64" t="n">
        <f aca="false">Supply!P34-Supply!P16</f>
        <v>10.4846441909412</v>
      </c>
      <c r="G165" s="64" t="n">
        <f aca="false">Supply!P11</f>
        <v>53.1830923029678</v>
      </c>
      <c r="H165" s="1" t="s">
        <v>639</v>
      </c>
    </row>
    <row r="166" customFormat="false" ht="15" hidden="false" customHeight="true" outlineLevel="0" collapsed="false">
      <c r="B166" s="1" t="n">
        <v>2033</v>
      </c>
      <c r="C166" s="64" t="n">
        <f aca="false">(Supply!Q5-Supply!Q6)-(Supply!Q19+Supply!Q22+Supply!Q25)-Supply!Q30-Supply!Q11-(Supply!Q34-Supply!Q16)</f>
        <v>6986.2647394852</v>
      </c>
      <c r="D166" s="64" t="n">
        <f aca="false">Supply!Q19+Supply!Q22+Supply!Q25</f>
        <v>701.348419005215</v>
      </c>
      <c r="E166" s="64" t="n">
        <f aca="false">Supply!Q30</f>
        <v>336.333333333333</v>
      </c>
      <c r="F166" s="64" t="n">
        <f aca="false">Supply!Q34-Supply!Q16</f>
        <v>11.1594317881264</v>
      </c>
      <c r="G166" s="64" t="n">
        <f aca="false">Supply!Q11</f>
        <v>52.6512613799381</v>
      </c>
      <c r="H166" s="1" t="s">
        <v>639</v>
      </c>
    </row>
    <row r="167" customFormat="false" ht="15" hidden="false" customHeight="true" outlineLevel="0" collapsed="false">
      <c r="B167" s="1" t="n">
        <v>2034</v>
      </c>
      <c r="C167" s="64" t="n">
        <f aca="false">(Supply!R5-Supply!R6)-(Supply!R19+Supply!R22+Supply!R25)-Supply!R30-Supply!R11-(Supply!R34-Supply!R16)</f>
        <v>7050.26643332473</v>
      </c>
      <c r="D167" s="64" t="n">
        <f aca="false">Supply!R19+Supply!R22+Supply!R25</f>
        <v>687.32145062511</v>
      </c>
      <c r="E167" s="64" t="n">
        <f aca="false">Supply!R30</f>
        <v>360.666666666667</v>
      </c>
      <c r="F167" s="64" t="n">
        <f aca="false">Supply!R34-Supply!R16</f>
        <v>11.8544374825685</v>
      </c>
      <c r="G167" s="64" t="n">
        <f aca="false">Supply!R11</f>
        <v>52.1247487661387</v>
      </c>
      <c r="H167" s="1" t="s">
        <v>639</v>
      </c>
    </row>
    <row r="168" customFormat="false" ht="15" hidden="false" customHeight="true" outlineLevel="0" collapsed="false">
      <c r="B168" s="1" t="n">
        <v>2035</v>
      </c>
      <c r="C168" s="64" t="n">
        <f aca="false">(Supply!S5-Supply!S6)-(Supply!S19+Supply!S22+Supply!S25)-Supply!S30-Supply!S11-(Supply!S34-Supply!S16)</f>
        <v>7113.2237259255</v>
      </c>
      <c r="D168" s="64" t="n">
        <f aca="false">Supply!S19+Supply!S22+Supply!S25</f>
        <v>673.575021612608</v>
      </c>
      <c r="E168" s="64" t="n">
        <f aca="false">Supply!S30</f>
        <v>385</v>
      </c>
      <c r="F168" s="64" t="n">
        <f aca="false">Supply!S34-Supply!S16</f>
        <v>12.5697586904148</v>
      </c>
      <c r="G168" s="64" t="n">
        <f aca="false">Supply!S11</f>
        <v>51.6035012784773</v>
      </c>
      <c r="H168" s="1" t="s">
        <v>639</v>
      </c>
    </row>
    <row r="169" customFormat="false" ht="15" hidden="false" customHeight="true" outlineLevel="0" collapsed="false">
      <c r="B169" s="1" t="n">
        <v>2036</v>
      </c>
      <c r="C169" s="64" t="n">
        <f aca="false">(Supply!T5-Supply!T6)-(Supply!T19+Supply!T22+Supply!T25)-Supply!T30-Supply!T11-(Supply!T34-Supply!T16)</f>
        <v>7175.17066828656</v>
      </c>
      <c r="D169" s="64" t="n">
        <f aca="false">Supply!T19+Supply!T22+Supply!T25</f>
        <v>660.103521180356</v>
      </c>
      <c r="E169" s="64" t="n">
        <f aca="false">Supply!T30</f>
        <v>409.333333333333</v>
      </c>
      <c r="F169" s="64" t="n">
        <f aca="false">Supply!T34-Supply!T16</f>
        <v>13.305487502828</v>
      </c>
      <c r="G169" s="64" t="n">
        <f aca="false">Supply!T11</f>
        <v>51.0874662656925</v>
      </c>
      <c r="H169" s="1" t="s">
        <v>639</v>
      </c>
    </row>
    <row r="170" customFormat="false" ht="15" hidden="false" customHeight="true" outlineLevel="0" collapsed="false">
      <c r="B170" s="1" t="n">
        <v>2037</v>
      </c>
      <c r="C170" s="64" t="n">
        <f aca="false">(Supply!U5-Supply!U6)-(Supply!U19+Supply!U22+Supply!U25)-Supply!U30-Supply!U11-(Supply!U34-Supply!U16)</f>
        <v>7236.14129113928</v>
      </c>
      <c r="D170" s="64" t="n">
        <f aca="false">Supply!U19+Supply!U22+Supply!U25</f>
        <v>646.901450756749</v>
      </c>
      <c r="E170" s="64" t="n">
        <f aca="false">Supply!U30</f>
        <v>433.666666666667</v>
      </c>
      <c r="F170" s="64" t="n">
        <f aca="false">Supply!U34-Supply!U16</f>
        <v>14.0617107673434</v>
      </c>
      <c r="G170" s="64" t="n">
        <f aca="false">Supply!U11</f>
        <v>50.5765916030356</v>
      </c>
      <c r="H170" s="1" t="s">
        <v>639</v>
      </c>
    </row>
    <row r="171" customFormat="false" ht="15" hidden="false" customHeight="true" outlineLevel="0" collapsed="false">
      <c r="B171" s="1" t="n">
        <v>2038</v>
      </c>
      <c r="C171" s="64" t="n">
        <f aca="false">(Supply!V5-Supply!V6)-(Supply!V19+Supply!V22+Supply!V25)-Supply!V30-Supply!V11-(Supply!V34-Supply!V16)</f>
        <v>7296.16961459258</v>
      </c>
      <c r="D171" s="64" t="n">
        <f aca="false">Supply!V19+Supply!V22+Supply!V25</f>
        <v>633.963421741614</v>
      </c>
      <c r="E171" s="64" t="n">
        <f aca="false">Supply!V30</f>
        <v>458</v>
      </c>
      <c r="F171" s="64" t="n">
        <f aca="false">Supply!V34-Supply!V16</f>
        <v>14.8385101683351</v>
      </c>
      <c r="G171" s="64" t="n">
        <f aca="false">Supply!V11</f>
        <v>50.0708256870053</v>
      </c>
      <c r="H171" s="1" t="s">
        <v>639</v>
      </c>
    </row>
    <row r="172" customFormat="false" ht="15" hidden="false" customHeight="true" outlineLevel="0" collapsed="false">
      <c r="B172" s="1" t="n">
        <v>2039</v>
      </c>
      <c r="C172" s="64" t="n">
        <f aca="false">(Supply!W5-Supply!W6)-(Supply!W19+Supply!W22+Supply!W25)-Supply!W30-Supply!W11-(Supply!W34-Supply!W16)</f>
        <v>7355.28965783297</v>
      </c>
      <c r="D172" s="64" t="n">
        <f aca="false">Supply!W19+Supply!W22+Supply!W25</f>
        <v>621.284153306782</v>
      </c>
      <c r="E172" s="64" t="n">
        <f aca="false">Supply!W30</f>
        <v>482.333333333333</v>
      </c>
      <c r="F172" s="64" t="n">
        <f aca="false">Supply!W34-Supply!W16</f>
        <v>15.6359623066015</v>
      </c>
      <c r="G172" s="64" t="n">
        <f aca="false">Supply!W11</f>
        <v>49.5701174301352</v>
      </c>
      <c r="H172" s="1" t="s">
        <v>639</v>
      </c>
    </row>
    <row r="173" customFormat="false" ht="15" hidden="false" customHeight="true" outlineLevel="0" collapsed="false">
      <c r="B173" s="1" t="n">
        <v>2040</v>
      </c>
      <c r="C173" s="64" t="n">
        <f aca="false">(Supply!X5-Supply!X6)-(Supply!X19+Supply!X22+Supply!X25)-Supply!X30-Supply!X11-(Supply!X34-Supply!X16)</f>
        <v>7413.53544888222</v>
      </c>
      <c r="D173" s="64" t="n">
        <f aca="false">Supply!X19+Supply!X22+Supply!X25</f>
        <v>608.858470240646</v>
      </c>
      <c r="E173" s="64" t="n">
        <f aca="false">Supply!X30</f>
        <v>506.666666666667</v>
      </c>
      <c r="F173" s="64" t="n">
        <f aca="false">Supply!X34-Supply!X16</f>
        <v>16.4541387780767</v>
      </c>
      <c r="G173" s="64" t="n">
        <f aca="false">Supply!X11</f>
        <v>49.0744162558338</v>
      </c>
      <c r="H173" s="1" t="s">
        <v>639</v>
      </c>
    </row>
    <row r="174" customFormat="false" ht="15" hidden="false" customHeight="true" outlineLevel="0" collapsed="false">
      <c r="B174" s="1" t="n">
        <v>2041</v>
      </c>
      <c r="C174" s="64" t="n">
        <f aca="false">(Supply!Y5-Supply!Y6)-(Supply!Y19+Supply!Y22+Supply!Y25)-Supply!Y30-Supply!Y11-(Supply!Y34-Supply!Y16)</f>
        <v>7470.94103441663</v>
      </c>
      <c r="D174" s="64" t="n">
        <f aca="false">Supply!Y19+Supply!Y22+Supply!Y25</f>
        <v>596.681300835833</v>
      </c>
      <c r="E174" s="64" t="n">
        <f aca="false">Supply!Y30</f>
        <v>531</v>
      </c>
      <c r="F174" s="64" t="n">
        <f aca="false">Supply!Y34-Supply!Y16</f>
        <v>17.2931062516777</v>
      </c>
      <c r="G174" s="64" t="n">
        <f aca="false">Supply!Y11</f>
        <v>48.5836720932755</v>
      </c>
      <c r="H174" s="1" t="s">
        <v>639</v>
      </c>
    </row>
    <row r="175" customFormat="false" ht="15" hidden="false" customHeight="true" outlineLevel="0" collapsed="false">
      <c r="B175" s="1" t="n">
        <v>2042</v>
      </c>
      <c r="C175" s="64" t="n">
        <f aca="false">(Supply!Z5-Supply!Z6)-(Supply!Z19+Supply!Z22+Supply!Z25)-Supply!Z30-Supply!Z11-(Supply!Z34-Supply!Z16)</f>
        <v>7527.54048965095</v>
      </c>
      <c r="D175" s="64" t="n">
        <f aca="false">Supply!Z19+Supply!Z22+Supply!Z25</f>
        <v>584.747674819116</v>
      </c>
      <c r="E175" s="64" t="n">
        <f aca="false">Supply!Z30</f>
        <v>555.333333333333</v>
      </c>
      <c r="F175" s="64" t="n">
        <f aca="false">Supply!Z34-Supply!Z16</f>
        <v>18.1529265462927</v>
      </c>
      <c r="G175" s="64" t="n">
        <f aca="false">Supply!Z11</f>
        <v>48.0978353723428</v>
      </c>
      <c r="H175" s="1" t="s">
        <v>639</v>
      </c>
    </row>
    <row r="176" customFormat="false" ht="15" hidden="false" customHeight="true" outlineLevel="0" collapsed="false">
      <c r="B176" s="1" t="n">
        <v>2043</v>
      </c>
      <c r="C176" s="64" t="n">
        <f aca="false">(Supply!AA5-Supply!AA6)-(Supply!AA19+Supply!AA22+Supply!AA25)-Supply!AA30-Supply!AA11-(Supply!AA34-Supply!AA16)</f>
        <v>7583.36792829071</v>
      </c>
      <c r="D176" s="64" t="n">
        <f aca="false">Supply!AA19+Supply!AA22+Supply!AA25</f>
        <v>573.052721322734</v>
      </c>
      <c r="E176" s="64" t="n">
        <f aca="false">Supply!AA30</f>
        <v>579.666666666667</v>
      </c>
      <c r="F176" s="64" t="n">
        <f aca="false">Supply!AA34-Supply!AA16</f>
        <v>19.0336567069212</v>
      </c>
      <c r="G176" s="64" t="n">
        <f aca="false">Supply!AA11</f>
        <v>47.6168570186193</v>
      </c>
      <c r="H176" s="1" t="s">
        <v>639</v>
      </c>
    </row>
    <row r="177" customFormat="false" ht="15" hidden="false" customHeight="true" outlineLevel="0" collapsed="false">
      <c r="B177" s="1" t="n">
        <v>2044</v>
      </c>
      <c r="C177" s="64" t="n">
        <f aca="false">(Supply!AB5-Supply!AB6)-(Supply!AB19+Supply!AB22+Supply!AB25)-Supply!AB30-Supply!AB11-(Supply!AB34-Supply!AB16)</f>
        <v>7638.45751255628</v>
      </c>
      <c r="D177" s="64" t="n">
        <f aca="false">Supply!AB19+Supply!AB22+Supply!AB25</f>
        <v>561.591666896279</v>
      </c>
      <c r="E177" s="64" t="n">
        <f aca="false">Supply!AB30</f>
        <v>604</v>
      </c>
      <c r="F177" s="64" t="n">
        <f aca="false">Supply!AB34-Supply!AB16</f>
        <v>19.9353490799722</v>
      </c>
      <c r="G177" s="64" t="n">
        <f aca="false">Supply!AB11</f>
        <v>47.1406884484331</v>
      </c>
      <c r="H177" s="1" t="s">
        <v>639</v>
      </c>
    </row>
    <row r="178" customFormat="false" ht="15" hidden="false" customHeight="true" outlineLevel="0" collapsed="false">
      <c r="B178" s="1" t="n">
        <v>2045</v>
      </c>
      <c r="C178" s="64" t="n">
        <f aca="false">(Supply!AC5-Supply!AC6)-(Supply!AC19+Supply!AC22+Supply!AC25)-Supply!AC30-Supply!AC11-(Supply!AC34-Supply!AC16)</f>
        <v>7692.84346328243</v>
      </c>
      <c r="D178" s="64" t="n">
        <f aca="false">Supply!AC19+Supply!AC22+Supply!AC25</f>
        <v>550.359833558354</v>
      </c>
      <c r="E178" s="64" t="n">
        <f aca="false">Supply!AC30</f>
        <v>628.333333333333</v>
      </c>
      <c r="F178" s="64" t="n">
        <f aca="false">Supply!AC34-Supply!AC16</f>
        <v>20.8580513877279</v>
      </c>
      <c r="G178" s="64" t="n">
        <f aca="false">Supply!AC11</f>
        <v>46.6692815639488</v>
      </c>
      <c r="H178" s="1" t="s">
        <v>639</v>
      </c>
    </row>
    <row r="179" customFormat="false" ht="15" hidden="false" customHeight="true" outlineLevel="0" collapsed="false">
      <c r="B179" s="1" t="n">
        <v>2046</v>
      </c>
      <c r="C179" s="64" t="n">
        <f aca="false">(Supply!AD5-Supply!AD6)-(Supply!AD19+Supply!AD22+Supply!AD25)-Supply!AD30-Supply!AD11-(Supply!AD34-Supply!AD16)</f>
        <v>7746.56007009676</v>
      </c>
      <c r="D179" s="64" t="n">
        <f aca="false">Supply!AD19+Supply!AD22+Supply!AD25</f>
        <v>539.352636887187</v>
      </c>
      <c r="E179" s="64" t="n">
        <f aca="false">Supply!AD30</f>
        <v>652.666666666667</v>
      </c>
      <c r="F179" s="64" t="n">
        <f aca="false">Supply!AD34-Supply!AD16</f>
        <v>21.8018068019825</v>
      </c>
      <c r="G179" s="64" t="n">
        <f aca="false">Supply!AD11</f>
        <v>46.2025887483093</v>
      </c>
      <c r="H179" s="1" t="s">
        <v>639</v>
      </c>
    </row>
    <row r="180" customFormat="false" ht="15" hidden="false" customHeight="true" outlineLevel="0" collapsed="false">
      <c r="B180" s="1" t="n">
        <v>2047</v>
      </c>
      <c r="C180" s="64" t="n">
        <f aca="false">(Supply!AE5-Supply!AE6)-(Supply!AE19+Supply!AE22+Supply!AE25)-Supply!AE30-Supply!AE11-(Supply!AE34-Supply!AE16)</f>
        <v>7799.64170168086</v>
      </c>
      <c r="D180" s="64" t="n">
        <f aca="false">Supply!AE19+Supply!AE22+Supply!AE25</f>
        <v>528.565584149443</v>
      </c>
      <c r="E180" s="64" t="n">
        <f aca="false">Supply!AE30</f>
        <v>677</v>
      </c>
      <c r="F180" s="64" t="n">
        <f aca="false">Supply!AE34-Supply!AE16</f>
        <v>22.7666540168621</v>
      </c>
      <c r="G180" s="64" t="n">
        <f aca="false">Supply!AE11</f>
        <v>45.7405628608262</v>
      </c>
      <c r="H180" s="1" t="s">
        <v>639</v>
      </c>
    </row>
    <row r="181" customFormat="false" ht="15" hidden="false" customHeight="true" outlineLevel="0" collapsed="false">
      <c r="B181" s="1" t="n">
        <v>2048</v>
      </c>
      <c r="C181" s="64" t="n">
        <f aca="false">(Supply!AF5-Supply!AF6)-(Supply!AF19+Supply!AF22+Supply!AF25)-Supply!AF30-Supply!AF11-(Supply!AF34-Supply!AF16)</f>
        <v>7852.12281611756</v>
      </c>
      <c r="D181" s="64" t="n">
        <f aca="false">Supply!AF19+Supply!AF22+Supply!AF25</f>
        <v>517.994272466454</v>
      </c>
      <c r="E181" s="64" t="n">
        <f aca="false">Supply!AF30</f>
        <v>701.333333333333</v>
      </c>
      <c r="F181" s="64" t="n">
        <f aca="false">Supply!AF34-Supply!AF16</f>
        <v>23.7526273208333</v>
      </c>
      <c r="G181" s="64" t="n">
        <f aca="false">Supply!AF11</f>
        <v>45.283157232218</v>
      </c>
      <c r="H181" s="1" t="s">
        <v>639</v>
      </c>
    </row>
    <row r="182" customFormat="false" ht="15" hidden="false" customHeight="true" outlineLevel="0" collapsed="false">
      <c r="B182" s="1" t="n">
        <v>2049</v>
      </c>
      <c r="C182" s="64" t="n">
        <f aca="false">(Supply!AG5-Supply!AG6)-(Supply!AG19+Supply!AG22+Supply!AG25)-Supply!AG30-Supply!AG11-(Supply!AG34-Supply!AG16)</f>
        <v>7904.03797132832</v>
      </c>
      <c r="D182" s="64" t="n">
        <f aca="false">Supply!AG19+Supply!AG22+Supply!AG25</f>
        <v>507.634387017125</v>
      </c>
      <c r="E182" s="64" t="n">
        <f aca="false">Supply!AG30</f>
        <v>725.666666666667</v>
      </c>
      <c r="F182" s="64" t="n">
        <f aca="false">Supply!AG34-Supply!AG16</f>
        <v>24.7597566679093</v>
      </c>
      <c r="G182" s="64" t="n">
        <f aca="false">Supply!AG11</f>
        <v>44.8303256598958</v>
      </c>
      <c r="H182" s="1" t="s">
        <v>639</v>
      </c>
    </row>
    <row r="183" customFormat="false" ht="15" hidden="false" customHeight="true" outlineLevel="0" collapsed="false">
      <c r="B183" s="1" t="n">
        <v>2050</v>
      </c>
      <c r="C183" s="64" t="n">
        <f aca="false">(Supply!AH5-Supply!AH6)-(Supply!AH19+Supply!AH22+Supply!AH25)-Supply!AH30-Supply!AH11-(Supply!AH34-Supply!AH16)</f>
        <v>7955.42183560423</v>
      </c>
      <c r="D183" s="64" t="n">
        <f aca="false">Supply!AH19+Supply!AH22+Supply!AH25</f>
        <v>497.481699276783</v>
      </c>
      <c r="E183" s="64" t="n">
        <f aca="false">Supply!AH30</f>
        <v>750</v>
      </c>
      <c r="F183" s="64" t="n">
        <f aca="false">Supply!AH34-Supply!AH16</f>
        <v>25.78806774806</v>
      </c>
      <c r="G183" s="64" t="n">
        <f aca="false">Supply!AH11</f>
        <v>44.3820224032968</v>
      </c>
      <c r="H183" s="1" t="s">
        <v>639</v>
      </c>
    </row>
    <row r="200" customFormat="false" ht="15" hidden="false" customHeight="true" outlineLevel="0" collapsed="false">
      <c r="B200" s="1" t="s">
        <v>640</v>
      </c>
    </row>
    <row r="201" customFormat="false" ht="15" hidden="false" customHeight="true" outlineLevel="0" collapsed="false">
      <c r="B201" s="1" t="s">
        <v>622</v>
      </c>
      <c r="C201" s="1" t="s">
        <v>623</v>
      </c>
      <c r="D201" s="1" t="s">
        <v>624</v>
      </c>
      <c r="E201" s="1" t="s">
        <v>625</v>
      </c>
      <c r="F201" s="1" t="s">
        <v>626</v>
      </c>
      <c r="G201" s="1" t="s">
        <v>641</v>
      </c>
      <c r="H201" s="1" t="s">
        <v>642</v>
      </c>
      <c r="I201" s="1" t="s">
        <v>636</v>
      </c>
    </row>
    <row r="202" customFormat="false" ht="15" hidden="false" customHeight="true" outlineLevel="0" collapsed="false">
      <c r="B202" s="1" t="n">
        <v>2020</v>
      </c>
      <c r="C202" s="64" t="n">
        <f aca="false">Demand!D13</f>
        <v>784.221977495</v>
      </c>
      <c r="D202" s="64" t="n">
        <f aca="false">Demand!D14</f>
        <v>389.6270185899</v>
      </c>
      <c r="E202" s="64" t="n">
        <f aca="false">Demand!D15</f>
        <v>5865.68538653</v>
      </c>
      <c r="F202" s="64" t="n">
        <f aca="false">Demand!D17</f>
        <v>0</v>
      </c>
      <c r="G202" s="1" t="n">
        <f aca="false">+SUM(C202:F202)</f>
        <v>7039.5343826149</v>
      </c>
      <c r="H202" s="64" t="n">
        <f aca="false">+G202-SUM(C122:G122)</f>
        <v>0</v>
      </c>
      <c r="I202" s="116" t="s">
        <v>638</v>
      </c>
    </row>
    <row r="203" customFormat="false" ht="15" hidden="false" customHeight="true" outlineLevel="0" collapsed="false">
      <c r="B203" s="1" t="n">
        <v>2021</v>
      </c>
      <c r="C203" s="64" t="n">
        <f aca="false">Demand!E13</f>
        <v>794.866174398587</v>
      </c>
      <c r="D203" s="64" t="n">
        <f aca="false">Demand!E14</f>
        <v>403.932968035115</v>
      </c>
      <c r="E203" s="64" t="n">
        <f aca="false">Demand!E15</f>
        <v>5927.37444771856</v>
      </c>
      <c r="F203" s="64" t="n">
        <f aca="false">Demand!E17</f>
        <v>0</v>
      </c>
      <c r="G203" s="1" t="n">
        <f aca="false">+SUM(C203:F203)</f>
        <v>7126.17359015226</v>
      </c>
      <c r="H203" s="64" t="n">
        <f aca="false">+G203-SUM(C123:G123)</f>
        <v>0</v>
      </c>
      <c r="I203" s="116" t="s">
        <v>638</v>
      </c>
    </row>
    <row r="204" customFormat="false" ht="15" hidden="false" customHeight="true" outlineLevel="0" collapsed="false">
      <c r="B204" s="1" t="n">
        <v>2022</v>
      </c>
      <c r="C204" s="64" t="n">
        <f aca="false">Demand!F13</f>
        <v>805.384323783702</v>
      </c>
      <c r="D204" s="64" t="n">
        <f aca="false">Demand!F14</f>
        <v>418.623578068233</v>
      </c>
      <c r="E204" s="64" t="n">
        <f aca="false">Demand!F15</f>
        <v>5987.70108006336</v>
      </c>
      <c r="F204" s="64" t="n">
        <f aca="false">Demand!F17</f>
        <v>0</v>
      </c>
      <c r="G204" s="1" t="n">
        <f aca="false">+SUM(C204:F204)</f>
        <v>7211.7089819153</v>
      </c>
      <c r="H204" s="64" t="n">
        <f aca="false">+G204-SUM(C124:G124)</f>
        <v>0</v>
      </c>
      <c r="I204" s="116" t="s">
        <v>638</v>
      </c>
    </row>
    <row r="205" customFormat="false" ht="15" hidden="false" customHeight="true" outlineLevel="0" collapsed="false">
      <c r="B205" s="1" t="n">
        <v>2023</v>
      </c>
      <c r="C205" s="64" t="n">
        <f aca="false">Demand!G13</f>
        <v>815.777420020605</v>
      </c>
      <c r="D205" s="64" t="n">
        <f aca="false">Demand!G14</f>
        <v>433.707989015256</v>
      </c>
      <c r="E205" s="64" t="n">
        <f aca="false">Demand!G15</f>
        <v>6046.683134326</v>
      </c>
      <c r="F205" s="64" t="n">
        <f aca="false">Demand!G17</f>
        <v>0</v>
      </c>
      <c r="G205" s="1" t="n">
        <f aca="false">+SUM(C205:F205)</f>
        <v>7296.16854336186</v>
      </c>
      <c r="H205" s="64" t="n">
        <f aca="false">+G205-SUM(C125:G125)</f>
        <v>0</v>
      </c>
      <c r="I205" s="116" t="s">
        <v>638</v>
      </c>
    </row>
    <row r="206" customFormat="false" ht="15" hidden="false" customHeight="true" outlineLevel="0" collapsed="false">
      <c r="B206" s="1" t="n">
        <v>2024</v>
      </c>
      <c r="C206" s="64" t="n">
        <f aca="false">Demand!H13</f>
        <v>826.046450687044</v>
      </c>
      <c r="D206" s="64" t="n">
        <f aca="false">Demand!H14</f>
        <v>449.195544352525</v>
      </c>
      <c r="E206" s="64" t="n">
        <f aca="false">Demand!H15</f>
        <v>6104.33826285131</v>
      </c>
      <c r="F206" s="64" t="n">
        <f aca="false">Demand!H17</f>
        <v>0</v>
      </c>
      <c r="G206" s="1" t="n">
        <f aca="false">+SUM(C206:F206)</f>
        <v>7379.58025789088</v>
      </c>
      <c r="H206" s="64" t="n">
        <f aca="false">+G206-SUM(C126:G126)</f>
        <v>0</v>
      </c>
      <c r="I206" s="116" t="s">
        <v>638</v>
      </c>
    </row>
    <row r="207" customFormat="false" ht="15" hidden="false" customHeight="true" outlineLevel="0" collapsed="false">
      <c r="B207" s="1" t="n">
        <v>2025</v>
      </c>
      <c r="C207" s="64" t="n">
        <f aca="false">Demand!I13</f>
        <v>836.192396611319</v>
      </c>
      <c r="D207" s="64" t="n">
        <f aca="false">Demand!I14</f>
        <v>465.095795036329</v>
      </c>
      <c r="E207" s="64" t="n">
        <f aca="false">Demand!I15</f>
        <v>6160.68392159961</v>
      </c>
      <c r="F207" s="64" t="n">
        <f aca="false">Demand!I17</f>
        <v>0</v>
      </c>
      <c r="G207" s="1" t="n">
        <f aca="false">+SUM(C207:F207)</f>
        <v>7461.97211324726</v>
      </c>
      <c r="H207" s="64" t="n">
        <f aca="false">+G207-SUM(C127:G127)</f>
        <v>0</v>
      </c>
      <c r="I207" s="116" t="s">
        <v>638</v>
      </c>
    </row>
    <row r="208" customFormat="false" ht="15" hidden="false" customHeight="true" outlineLevel="0" collapsed="false">
      <c r="B208" s="1" t="n">
        <v>2026</v>
      </c>
      <c r="C208" s="64" t="n">
        <f aca="false">Demand!J13</f>
        <v>846.216231915084</v>
      </c>
      <c r="D208" s="64" t="n">
        <f aca="false">Demand!J14</f>
        <v>481.418503922153</v>
      </c>
      <c r="E208" s="64" t="n">
        <f aca="false">Demand!J15</f>
        <v>6215.73737215912</v>
      </c>
      <c r="F208" s="64" t="n">
        <f aca="false">Demand!J17</f>
        <v>0</v>
      </c>
      <c r="G208" s="1" t="n">
        <f aca="false">+SUM(C208:F208)</f>
        <v>7543.37210799636</v>
      </c>
      <c r="H208" s="64" t="n">
        <f aca="false">+G208-SUM(C128:G128)</f>
        <v>0</v>
      </c>
      <c r="I208" s="116" t="s">
        <v>638</v>
      </c>
    </row>
    <row r="209" customFormat="false" ht="15" hidden="false" customHeight="true" outlineLevel="0" collapsed="false">
      <c r="B209" s="1" t="n">
        <v>2027</v>
      </c>
      <c r="C209" s="64" t="n">
        <f aca="false">Demand!K13</f>
        <v>856.118924055895</v>
      </c>
      <c r="D209" s="64" t="n">
        <f aca="false">Demand!K14</f>
        <v>498.173650275403</v>
      </c>
      <c r="E209" s="64" t="n">
        <f aca="false">Demand!K15</f>
        <v>6269.5156837387</v>
      </c>
      <c r="F209" s="64" t="n">
        <f aca="false">Demand!K17</f>
        <v>54.75</v>
      </c>
      <c r="G209" s="1" t="n">
        <f aca="false">+SUM(C209:F209)</f>
        <v>7678.55825807</v>
      </c>
      <c r="H209" s="64" t="n">
        <f aca="false">+G209-SUM(C129:G129)</f>
        <v>0</v>
      </c>
      <c r="I209" s="116" t="s">
        <v>638</v>
      </c>
    </row>
    <row r="210" customFormat="false" ht="15" hidden="false" customHeight="true" outlineLevel="0" collapsed="false">
      <c r="B210" s="1" t="n">
        <v>2028</v>
      </c>
      <c r="C210" s="64" t="n">
        <f aca="false">Demand!L13</f>
        <v>865.901433869501</v>
      </c>
      <c r="D210" s="64" t="n">
        <f aca="false">Demand!L14</f>
        <v>515.37143437545</v>
      </c>
      <c r="E210" s="64" t="n">
        <f aca="false">Demand!L15</f>
        <v>6322.03573514119</v>
      </c>
      <c r="F210" s="64" t="n">
        <f aca="false">Demand!L17</f>
        <v>109.5</v>
      </c>
      <c r="G210" s="1" t="n">
        <f aca="false">+SUM(C210:F210)</f>
        <v>7812.80860338614</v>
      </c>
      <c r="H210" s="64" t="n">
        <f aca="false">+G210-SUM(C130:G130)</f>
        <v>0</v>
      </c>
      <c r="I210" s="116" t="s">
        <v>638</v>
      </c>
    </row>
    <row r="211" customFormat="false" ht="15" hidden="false" customHeight="true" outlineLevel="0" collapsed="false">
      <c r="B211" s="1" t="n">
        <v>2029</v>
      </c>
      <c r="C211" s="64" t="n">
        <f aca="false">Demand!M13</f>
        <v>875.564715611869</v>
      </c>
      <c r="D211" s="64" t="n">
        <f aca="false">Demand!M14</f>
        <v>533.022282214894</v>
      </c>
      <c r="E211" s="64" t="n">
        <f aca="false">Demand!M15</f>
        <v>6373.31421671747</v>
      </c>
      <c r="F211" s="64" t="n">
        <f aca="false">Demand!M17</f>
        <v>164.25</v>
      </c>
      <c r="G211" s="1" t="n">
        <f aca="false">+SUM(C211:F211)</f>
        <v>7946.15121454423</v>
      </c>
      <c r="H211" s="64" t="n">
        <f aca="false">+G211-SUM(C131:G131)</f>
        <v>0</v>
      </c>
      <c r="I211" s="116" t="s">
        <v>638</v>
      </c>
    </row>
    <row r="212" customFormat="false" ht="15" hidden="false" customHeight="true" outlineLevel="0" collapsed="false">
      <c r="B212" s="1" t="n">
        <v>2030</v>
      </c>
      <c r="C212" s="64" t="n">
        <f aca="false">Demand!N13</f>
        <v>885.109717000968</v>
      </c>
      <c r="D212" s="64" t="n">
        <f aca="false">Demand!N14</f>
        <v>551.136850295968</v>
      </c>
      <c r="E212" s="64" t="n">
        <f aca="false">Demand!N15</f>
        <v>6423.36763230149</v>
      </c>
      <c r="F212" s="64" t="n">
        <f aca="false">Demand!N17</f>
        <v>219</v>
      </c>
      <c r="G212" s="1" t="n">
        <f aca="false">+SUM(C212:F212)</f>
        <v>8078.61419959842</v>
      </c>
      <c r="H212" s="64" t="n">
        <f aca="false">+G212-SUM(C132:G132)</f>
        <v>0</v>
      </c>
      <c r="I212" s="116" t="s">
        <v>638</v>
      </c>
    </row>
    <row r="213" customFormat="false" ht="15" hidden="false" customHeight="true" outlineLevel="0" collapsed="false">
      <c r="B213" s="1" t="n">
        <v>2031</v>
      </c>
      <c r="C213" s="64" t="n">
        <f aca="false">Demand!O13</f>
        <v>894.537379258284</v>
      </c>
      <c r="D213" s="64" t="n">
        <f aca="false">Demand!O14</f>
        <v>569.726030526055</v>
      </c>
      <c r="E213" s="64" t="n">
        <f aca="false">Demand!O15</f>
        <v>6472.21230112629</v>
      </c>
      <c r="F213" s="64" t="n">
        <f aca="false">Demand!O17</f>
        <v>273.75</v>
      </c>
      <c r="G213" s="1" t="n">
        <f aca="false">+SUM(C213:F213)</f>
        <v>8210.22571091063</v>
      </c>
      <c r="H213" s="64" t="n">
        <f aca="false">+G213-SUM(C133:G133)</f>
        <v>0</v>
      </c>
      <c r="I213" s="116" t="s">
        <v>638</v>
      </c>
    </row>
    <row r="214" customFormat="false" ht="15" hidden="false" customHeight="true" outlineLevel="0" collapsed="false">
      <c r="B214" s="1" t="n">
        <v>2032</v>
      </c>
      <c r="C214" s="64" t="n">
        <f aca="false">Demand!P13</f>
        <v>903.848637150102</v>
      </c>
      <c r="D214" s="64" t="n">
        <f aca="false">Demand!P14</f>
        <v>588.800955214323</v>
      </c>
      <c r="E214" s="64" t="n">
        <f aca="false">Demand!P15</f>
        <v>6519.86435972143</v>
      </c>
      <c r="F214" s="64" t="n">
        <f aca="false">Demand!P17</f>
        <v>328.5</v>
      </c>
      <c r="G214" s="1" t="n">
        <f aca="false">+SUM(C214:F214)</f>
        <v>8341.01395208585</v>
      </c>
      <c r="H214" s="64" t="n">
        <f aca="false">+G214-SUM(C134:G134)</f>
        <v>0</v>
      </c>
      <c r="I214" s="116" t="s">
        <v>638</v>
      </c>
    </row>
    <row r="215" customFormat="false" ht="15" hidden="false" customHeight="true" outlineLevel="0" collapsed="false">
      <c r="B215" s="1" t="n">
        <v>2033</v>
      </c>
      <c r="C215" s="64" t="n">
        <f aca="false">Demand!Q13</f>
        <v>913.044419028521</v>
      </c>
      <c r="D215" s="64" t="n">
        <f aca="false">Demand!Q14</f>
        <v>608.37300217152</v>
      </c>
      <c r="E215" s="64" t="n">
        <f aca="false">Demand!Q15</f>
        <v>6566.33976379177</v>
      </c>
      <c r="F215" s="64" t="n">
        <f aca="false">Demand!Q17</f>
        <v>383.25</v>
      </c>
      <c r="G215" s="1" t="n">
        <f aca="false">+SUM(C215:F215)</f>
        <v>8471.00718499181</v>
      </c>
      <c r="H215" s="64" t="n">
        <f aca="false">+G215-SUM(C135:G135)</f>
        <v>0</v>
      </c>
      <c r="I215" s="116" t="s">
        <v>638</v>
      </c>
    </row>
    <row r="216" customFormat="false" ht="15" hidden="false" customHeight="true" outlineLevel="0" collapsed="false">
      <c r="B216" s="1" t="n">
        <v>2034</v>
      </c>
      <c r="C216" s="64" t="n">
        <f aca="false">Demand!R13</f>
        <v>922.125646872227</v>
      </c>
      <c r="D216" s="64" t="n">
        <f aca="false">Demand!R14</f>
        <v>628.453799915024</v>
      </c>
      <c r="E216" s="64" t="n">
        <f aca="false">Demand!R15</f>
        <v>6611.65429007797</v>
      </c>
      <c r="F216" s="64" t="n">
        <f aca="false">Demand!R17</f>
        <v>438</v>
      </c>
      <c r="G216" s="1" t="n">
        <f aca="false">+SUM(C216:F216)</f>
        <v>8600.23373686522</v>
      </c>
      <c r="H216" s="64" t="n">
        <f aca="false">+G216-SUM(C136:G136)</f>
        <v>0</v>
      </c>
      <c r="I216" s="116" t="s">
        <v>638</v>
      </c>
    </row>
    <row r="217" customFormat="false" ht="15" hidden="false" customHeight="true" outlineLevel="0" collapsed="false">
      <c r="B217" s="1" t="n">
        <v>2035</v>
      </c>
      <c r="C217" s="64" t="n">
        <f aca="false">Demand!S13</f>
        <v>931.09323632702</v>
      </c>
      <c r="D217" s="64" t="n">
        <f aca="false">Demand!S14</f>
        <v>649.055232981272</v>
      </c>
      <c r="E217" s="64" t="n">
        <f aca="false">Demand!S15</f>
        <v>6655.8235381987</v>
      </c>
      <c r="F217" s="64" t="n">
        <f aca="false">Demand!S17</f>
        <v>492.75</v>
      </c>
      <c r="G217" s="1" t="n">
        <f aca="false">+SUM(C217:F217)</f>
        <v>8728.72200750699</v>
      </c>
      <c r="H217" s="64" t="n">
        <f aca="false">+G217-SUM(C137:G137)</f>
        <v>0</v>
      </c>
      <c r="I217" s="116" t="s">
        <v>638</v>
      </c>
    </row>
    <row r="218" customFormat="false" ht="15" hidden="false" customHeight="true" outlineLevel="0" collapsed="false">
      <c r="B218" s="1" t="n">
        <v>2036</v>
      </c>
      <c r="C218" s="64" t="n">
        <f aca="false">Demand!T13</f>
        <v>939.948096746093</v>
      </c>
      <c r="D218" s="64" t="n">
        <f aca="false">Demand!T14</f>
        <v>670.189447347742</v>
      </c>
      <c r="E218" s="64" t="n">
        <f aca="false">Demand!T15</f>
        <v>6698.86293247494</v>
      </c>
      <c r="F218" s="64" t="n">
        <f aca="false">Demand!T17</f>
        <v>547.5</v>
      </c>
      <c r="G218" s="1" t="n">
        <f aca="false">+SUM(C218:F218)</f>
        <v>8856.50047656877</v>
      </c>
      <c r="H218" s="64" t="n">
        <f aca="false">+G218-SUM(C138:G138)</f>
        <v>0</v>
      </c>
      <c r="I218" s="116" t="s">
        <v>638</v>
      </c>
    </row>
    <row r="219" customFormat="false" ht="15" hidden="false" customHeight="true" outlineLevel="0" collapsed="false">
      <c r="B219" s="1" t="n">
        <v>2037</v>
      </c>
      <c r="C219" s="64" t="n">
        <f aca="false">Demand!U13</f>
        <v>948.691131230068</v>
      </c>
      <c r="D219" s="64" t="n">
        <f aca="false">Demand!U14</f>
        <v>691.868855966691</v>
      </c>
      <c r="E219" s="64" t="n">
        <f aca="false">Demand!U15</f>
        <v>6740.78772373631</v>
      </c>
      <c r="F219" s="64" t="n">
        <f aca="false">Demand!U17</f>
        <v>547.5</v>
      </c>
      <c r="G219" s="1" t="n">
        <f aca="false">+SUM(C219:F219)</f>
        <v>8928.84771093307</v>
      </c>
      <c r="H219" s="64" t="n">
        <f aca="false">+G219-SUM(C139:G139)</f>
        <v>0</v>
      </c>
      <c r="I219" s="116" t="s">
        <v>638</v>
      </c>
    </row>
    <row r="220" customFormat="false" ht="15" hidden="false" customHeight="true" outlineLevel="0" collapsed="false">
      <c r="B220" s="1" t="n">
        <v>2038</v>
      </c>
      <c r="C220" s="64" t="n">
        <f aca="false">Demand!V13</f>
        <v>957.323236666784</v>
      </c>
      <c r="D220" s="64" t="n">
        <f aca="false">Demand!V14</f>
        <v>714.106144412932</v>
      </c>
      <c r="E220" s="64" t="n">
        <f aca="false">Demand!V15</f>
        <v>6781.61299110982</v>
      </c>
      <c r="F220" s="64" t="n">
        <f aca="false">Demand!V17</f>
        <v>547.5</v>
      </c>
      <c r="G220" s="1" t="n">
        <f aca="false">+SUM(C220:F220)</f>
        <v>9000.54237218954</v>
      </c>
      <c r="H220" s="64" t="n">
        <f aca="false">+G220-SUM(C140:G140)</f>
        <v>0</v>
      </c>
      <c r="I220" s="116" t="s">
        <v>638</v>
      </c>
    </row>
    <row r="221" customFormat="false" ht="15" hidden="false" customHeight="true" outlineLevel="0" collapsed="false">
      <c r="B221" s="1" t="n">
        <v>2039</v>
      </c>
      <c r="C221" s="64" t="n">
        <f aca="false">Demand!W13</f>
        <v>965.845303770852</v>
      </c>
      <c r="D221" s="64" t="n">
        <f aca="false">Demand!W14</f>
        <v>736.914276647924</v>
      </c>
      <c r="E221" s="64" t="n">
        <f aca="false">Demand!W15</f>
        <v>6821.35364379104</v>
      </c>
      <c r="F221" s="64" t="n">
        <f aca="false">Demand!W17</f>
        <v>547.5</v>
      </c>
      <c r="G221" s="1" t="n">
        <f aca="false">+SUM(C221:F221)</f>
        <v>9071.61322420982</v>
      </c>
      <c r="H221" s="64" t="n">
        <f aca="false">+G221-SUM(C141:G141)</f>
        <v>0</v>
      </c>
      <c r="I221" s="116" t="s">
        <v>638</v>
      </c>
    </row>
    <row r="222" customFormat="false" ht="15" hidden="false" customHeight="true" outlineLevel="0" collapsed="false">
      <c r="B222" s="1" t="n">
        <v>2040</v>
      </c>
      <c r="C222" s="64" t="n">
        <f aca="false">Demand!X13</f>
        <v>974.258217122963</v>
      </c>
      <c r="D222" s="64" t="n">
        <f aca="false">Demand!X14</f>
        <v>760.306500902548</v>
      </c>
      <c r="E222" s="64" t="n">
        <f aca="false">Demand!X15</f>
        <v>6860.02442279793</v>
      </c>
      <c r="F222" s="64" t="n">
        <f aca="false">Demand!X17</f>
        <v>547.5</v>
      </c>
      <c r="G222" s="1" t="n">
        <f aca="false">+SUM(C222:F222)</f>
        <v>9142.08914082344</v>
      </c>
      <c r="H222" s="64" t="n">
        <f aca="false">+G222-SUM(C142:G142)</f>
        <v>0</v>
      </c>
      <c r="I222" s="116" t="s">
        <v>638</v>
      </c>
    </row>
    <row r="223" customFormat="false" ht="15" hidden="false" customHeight="true" outlineLevel="0" collapsed="false">
      <c r="B223" s="1" t="n">
        <v>2041</v>
      </c>
      <c r="C223" s="64" t="n">
        <f aca="false">Demand!Y13</f>
        <v>982.562855208958</v>
      </c>
      <c r="D223" s="64" t="n">
        <f aca="false">Demand!Y14</f>
        <v>784.296355680951</v>
      </c>
      <c r="E223" s="64" t="n">
        <f aca="false">Demand!Y15</f>
        <v>6897.6399027075</v>
      </c>
      <c r="F223" s="64" t="n">
        <f aca="false">Demand!Y17</f>
        <v>547.5</v>
      </c>
      <c r="G223" s="1" t="n">
        <f aca="false">+SUM(C223:F223)</f>
        <v>9211.99911359741</v>
      </c>
      <c r="H223" s="64" t="n">
        <f aca="false">+G223-SUM(C143:G143)</f>
        <v>0</v>
      </c>
      <c r="I223" s="116" t="s">
        <v>638</v>
      </c>
    </row>
    <row r="224" customFormat="false" ht="15" hidden="false" customHeight="true" outlineLevel="0" collapsed="false">
      <c r="B224" s="1" t="n">
        <v>2042</v>
      </c>
      <c r="C224" s="64" t="n">
        <f aca="false">Demand!Z13</f>
        <v>990.760090458665</v>
      </c>
      <c r="D224" s="64" t="n">
        <f aca="false">Demand!Z14</f>
        <v>808.897675887909</v>
      </c>
      <c r="E224" s="64" t="n">
        <f aca="false">Demand!Z15</f>
        <v>6934.21449337546</v>
      </c>
      <c r="F224" s="64" t="n">
        <f aca="false">Demand!Z17</f>
        <v>547.5</v>
      </c>
      <c r="G224" s="1" t="n">
        <f aca="false">+SUM(C224:F224)</f>
        <v>9281.37225972204</v>
      </c>
      <c r="H224" s="64" t="n">
        <f aca="false">+G224-SUM(C144:G144)</f>
        <v>0</v>
      </c>
      <c r="I224" s="116" t="s">
        <v>638</v>
      </c>
    </row>
    <row r="225" customFormat="false" ht="15" hidden="false" customHeight="true" outlineLevel="0" collapsed="false">
      <c r="B225" s="1" t="n">
        <v>2043</v>
      </c>
      <c r="C225" s="64" t="n">
        <f aca="false">Demand!AA13</f>
        <v>998.850789284495</v>
      </c>
      <c r="D225" s="64" t="n">
        <f aca="false">Demand!AA14</f>
        <v>834.124599082191</v>
      </c>
      <c r="E225" s="64" t="n">
        <f aca="false">Demand!AA15</f>
        <v>6969.76244163896</v>
      </c>
      <c r="F225" s="64" t="n">
        <f aca="false">Demand!AA17</f>
        <v>547.5</v>
      </c>
      <c r="G225" s="1" t="n">
        <f aca="false">+SUM(C225:F225)</f>
        <v>9350.23783000565</v>
      </c>
      <c r="H225" s="64" t="n">
        <f aca="false">+G225-SUM(C145:G145)</f>
        <v>0</v>
      </c>
      <c r="I225" s="116" t="s">
        <v>638</v>
      </c>
    </row>
    <row r="226" customFormat="false" ht="15" hidden="false" customHeight="true" outlineLevel="0" collapsed="false">
      <c r="B226" s="1" t="n">
        <v>2044</v>
      </c>
      <c r="C226" s="64" t="n">
        <f aca="false">Demand!AB13</f>
        <v>1006.83581211981</v>
      </c>
      <c r="D226" s="64" t="n">
        <f aca="false">Demand!AB14</f>
        <v>859.991571858486</v>
      </c>
      <c r="E226" s="64" t="n">
        <f aca="false">Demand!AB15</f>
        <v>7004.29783300267</v>
      </c>
      <c r="F226" s="64" t="n">
        <f aca="false">Demand!AB17</f>
        <v>547.5</v>
      </c>
      <c r="G226" s="1" t="n">
        <f aca="false">+SUM(C226:F226)</f>
        <v>9418.62521698097</v>
      </c>
      <c r="H226" s="64" t="n">
        <f aca="false">+G226-SUM(C146:G146)</f>
        <v>0</v>
      </c>
      <c r="I226" s="116" t="s">
        <v>638</v>
      </c>
    </row>
    <row r="227" customFormat="false" ht="15" hidden="false" customHeight="true" outlineLevel="0" collapsed="false">
      <c r="B227" s="1" t="n">
        <v>2045</v>
      </c>
      <c r="C227" s="64" t="n">
        <f aca="false">Demand!AC13</f>
        <v>1014.71601345703</v>
      </c>
      <c r="D227" s="64" t="n">
        <f aca="false">Demand!AC14</f>
        <v>886.51335636046</v>
      </c>
      <c r="E227" s="64" t="n">
        <f aca="false">Demand!AC15</f>
        <v>7037.8345933083</v>
      </c>
      <c r="F227" s="64" t="n">
        <f aca="false">Demand!AC17</f>
        <v>547.5</v>
      </c>
      <c r="G227" s="1" t="n">
        <f aca="false">+SUM(C227:F227)</f>
        <v>9486.56396312579</v>
      </c>
      <c r="H227" s="64" t="n">
        <f aca="false">+G227-SUM(C147:G147)</f>
        <v>0</v>
      </c>
      <c r="I227" s="116" t="s">
        <v>638</v>
      </c>
    </row>
    <row r="228" customFormat="false" ht="15" hidden="false" customHeight="true" outlineLevel="0" collapsed="false">
      <c r="B228" s="1" t="n">
        <v>2046</v>
      </c>
      <c r="C228" s="64" t="n">
        <f aca="false">Demand!AD13</f>
        <v>1022.49224188558</v>
      </c>
      <c r="D228" s="64" t="n">
        <f aca="false">Demand!AD14</f>
        <v>913.705036927608</v>
      </c>
      <c r="E228" s="64" t="n">
        <f aca="false">Demand!AD15</f>
        <v>7070.38649038772</v>
      </c>
      <c r="F228" s="64" t="n">
        <f aca="false">Demand!AD17</f>
        <v>547.5</v>
      </c>
      <c r="G228" s="1" t="n">
        <f aca="false">+SUM(C228:F228)</f>
        <v>9554.08376920091</v>
      </c>
      <c r="H228" s="64" t="n">
        <f aca="false">+G228-SUM(C148:G148)</f>
        <v>0</v>
      </c>
      <c r="I228" s="116" t="s">
        <v>638</v>
      </c>
    </row>
    <row r="229" customFormat="false" ht="15" hidden="false" customHeight="true" outlineLevel="0" collapsed="false">
      <c r="B229" s="1" t="n">
        <v>2047</v>
      </c>
      <c r="C229" s="64" t="n">
        <f aca="false">Demand!AE13</f>
        <v>1030.16534012951</v>
      </c>
      <c r="D229" s="64" t="n">
        <f aca="false">Demand!AE14</f>
        <v>941.582026878579</v>
      </c>
      <c r="E229" s="64" t="n">
        <f aca="false">Demand!AE15</f>
        <v>7101.9671356999</v>
      </c>
      <c r="F229" s="64" t="n">
        <f aca="false">Demand!AE17</f>
        <v>547.5</v>
      </c>
      <c r="G229" s="1" t="n">
        <f aca="false">+SUM(C229:F229)</f>
        <v>9621.21450270799</v>
      </c>
      <c r="H229" s="64" t="n">
        <f aca="false">+G229-SUM(C149:G149)</f>
        <v>0</v>
      </c>
      <c r="I229" s="116" t="s">
        <v>638</v>
      </c>
    </row>
    <row r="230" customFormat="false" ht="15" hidden="false" customHeight="true" outlineLevel="0" collapsed="false">
      <c r="B230" s="1" t="n">
        <v>2048</v>
      </c>
      <c r="C230" s="64" t="n">
        <f aca="false">Demand!AF13</f>
        <v>1037.73614508495</v>
      </c>
      <c r="D230" s="64" t="n">
        <f aca="false">Demand!AF14</f>
        <v>970.160075433746</v>
      </c>
      <c r="E230" s="64" t="n">
        <f aca="false">Demand!AF15</f>
        <v>7132.5899859517</v>
      </c>
      <c r="F230" s="64" t="n">
        <f aca="false">Demand!AF17</f>
        <v>547.5</v>
      </c>
      <c r="G230" s="1" t="n">
        <f aca="false">+SUM(C230:F230)</f>
        <v>9687.9862064704</v>
      </c>
      <c r="H230" s="64" t="n">
        <f aca="false">+G230-SUM(C150:G150)</f>
        <v>0</v>
      </c>
      <c r="I230" s="116" t="s">
        <v>638</v>
      </c>
    </row>
    <row r="231" customFormat="false" ht="15" hidden="false" customHeight="true" outlineLevel="0" collapsed="false">
      <c r="B231" s="1" t="n">
        <v>2049</v>
      </c>
      <c r="C231" s="64" t="n">
        <f aca="false">Demand!AG13</f>
        <v>1045.20548785733</v>
      </c>
      <c r="D231" s="64" t="n">
        <f aca="false">Demand!AG14</f>
        <v>999.455274779798</v>
      </c>
      <c r="E231" s="64" t="n">
        <f aca="false">Demand!AG15</f>
        <v>7162.26834470279</v>
      </c>
      <c r="F231" s="64" t="n">
        <f aca="false">Demand!AG17</f>
        <v>547.5</v>
      </c>
      <c r="G231" s="1" t="n">
        <f aca="false">+SUM(C231:F231)</f>
        <v>9754.42910733992</v>
      </c>
      <c r="H231" s="64" t="n">
        <f aca="false">+G231-SUM(C151:G151)</f>
        <v>0</v>
      </c>
      <c r="I231" s="116" t="s">
        <v>638</v>
      </c>
    </row>
    <row r="232" customFormat="false" ht="15" hidden="false" customHeight="true" outlineLevel="0" collapsed="false">
      <c r="B232" s="1" t="n">
        <v>2050</v>
      </c>
      <c r="C232" s="64" t="n">
        <f aca="false">Demand!AH13</f>
        <v>1052.57419379837</v>
      </c>
      <c r="D232" s="64" t="n">
        <f aca="false">Demand!AH14</f>
        <v>1029.48406727925</v>
      </c>
      <c r="E232" s="64" t="n">
        <f aca="false">Demand!AH15</f>
        <v>7191.01536395476</v>
      </c>
      <c r="F232" s="64" t="n">
        <f aca="false">Demand!AH17</f>
        <v>547.5</v>
      </c>
      <c r="G232" s="1" t="n">
        <f aca="false">+SUM(C232:F232)</f>
        <v>9820.57362503237</v>
      </c>
      <c r="H232" s="64" t="n">
        <f aca="false">+G232-SUM(C152:G152)</f>
        <v>0</v>
      </c>
      <c r="I232" s="116" t="s">
        <v>638</v>
      </c>
    </row>
    <row r="233" customFormat="false" ht="15" hidden="false" customHeight="true" outlineLevel="0" collapsed="false">
      <c r="B233" s="1" t="n">
        <v>2020</v>
      </c>
      <c r="C233" s="64" t="n">
        <f aca="false">+C202</f>
        <v>784.221977495</v>
      </c>
      <c r="D233" s="64" t="n">
        <f aca="false">+D202</f>
        <v>389.6270185899</v>
      </c>
      <c r="E233" s="64" t="n">
        <f aca="false">+E202</f>
        <v>5865.68538653</v>
      </c>
      <c r="F233" s="1" t="n">
        <v>0</v>
      </c>
      <c r="G233" s="1" t="n">
        <f aca="false">+SUM(C233:F233)</f>
        <v>7039.5343826149</v>
      </c>
      <c r="H233" s="64" t="n">
        <f aca="false">+G233-SUM(C153:G153)</f>
        <v>0</v>
      </c>
      <c r="I233" s="116" t="s">
        <v>639</v>
      </c>
    </row>
    <row r="234" customFormat="false" ht="15" hidden="false" customHeight="true" outlineLevel="0" collapsed="false">
      <c r="B234" s="1" t="n">
        <v>2021</v>
      </c>
      <c r="C234" s="64" t="n">
        <f aca="false">+C203</f>
        <v>794.866174398587</v>
      </c>
      <c r="D234" s="64" t="n">
        <f aca="false">+D203</f>
        <v>403.932968035115</v>
      </c>
      <c r="E234" s="64" t="n">
        <f aca="false">+E203</f>
        <v>5927.37444771856</v>
      </c>
      <c r="F234" s="1" t="n">
        <v>0</v>
      </c>
      <c r="G234" s="1" t="n">
        <f aca="false">+SUM(C234:F234)</f>
        <v>7126.17359015226</v>
      </c>
      <c r="H234" s="64" t="n">
        <f aca="false">+G234-SUM(C154:G154)</f>
        <v>0</v>
      </c>
      <c r="I234" s="116" t="s">
        <v>639</v>
      </c>
    </row>
    <row r="235" customFormat="false" ht="15" hidden="false" customHeight="true" outlineLevel="0" collapsed="false">
      <c r="B235" s="1" t="n">
        <v>2022</v>
      </c>
      <c r="C235" s="64" t="n">
        <f aca="false">+C204</f>
        <v>805.384323783702</v>
      </c>
      <c r="D235" s="64" t="n">
        <f aca="false">+D204</f>
        <v>418.623578068233</v>
      </c>
      <c r="E235" s="64" t="n">
        <f aca="false">+E204</f>
        <v>5987.70108006336</v>
      </c>
      <c r="F235" s="1" t="n">
        <v>0</v>
      </c>
      <c r="G235" s="1" t="n">
        <f aca="false">+SUM(C235:F235)</f>
        <v>7211.7089819153</v>
      </c>
      <c r="H235" s="64" t="n">
        <f aca="false">+G235-SUM(C155:G155)</f>
        <v>0</v>
      </c>
      <c r="I235" s="116" t="s">
        <v>639</v>
      </c>
    </row>
    <row r="236" customFormat="false" ht="15" hidden="false" customHeight="true" outlineLevel="0" collapsed="false">
      <c r="B236" s="1" t="n">
        <v>2023</v>
      </c>
      <c r="C236" s="64" t="n">
        <f aca="false">+C205</f>
        <v>815.777420020605</v>
      </c>
      <c r="D236" s="64" t="n">
        <f aca="false">+D205</f>
        <v>433.707989015256</v>
      </c>
      <c r="E236" s="64" t="n">
        <f aca="false">+E205</f>
        <v>6046.683134326</v>
      </c>
      <c r="F236" s="1" t="n">
        <v>0</v>
      </c>
      <c r="G236" s="1" t="n">
        <f aca="false">+SUM(C236:F236)</f>
        <v>7296.16854336186</v>
      </c>
      <c r="H236" s="64" t="n">
        <f aca="false">+G236-SUM(C156:G156)</f>
        <v>0</v>
      </c>
      <c r="I236" s="116" t="s">
        <v>639</v>
      </c>
    </row>
    <row r="237" customFormat="false" ht="15" hidden="false" customHeight="true" outlineLevel="0" collapsed="false">
      <c r="B237" s="1" t="n">
        <v>2024</v>
      </c>
      <c r="C237" s="64" t="n">
        <f aca="false">+C206</f>
        <v>826.046450687044</v>
      </c>
      <c r="D237" s="64" t="n">
        <f aca="false">+D206</f>
        <v>449.195544352525</v>
      </c>
      <c r="E237" s="64" t="n">
        <f aca="false">+E206</f>
        <v>6104.33826285131</v>
      </c>
      <c r="F237" s="1" t="n">
        <v>0</v>
      </c>
      <c r="G237" s="1" t="n">
        <f aca="false">+SUM(C237:F237)</f>
        <v>7379.58025789088</v>
      </c>
      <c r="H237" s="64" t="n">
        <f aca="false">+G237-SUM(C157:G157)</f>
        <v>0</v>
      </c>
      <c r="I237" s="116" t="s">
        <v>639</v>
      </c>
    </row>
    <row r="238" customFormat="false" ht="15" hidden="false" customHeight="true" outlineLevel="0" collapsed="false">
      <c r="B238" s="1" t="n">
        <v>2025</v>
      </c>
      <c r="C238" s="64" t="n">
        <f aca="false">+C207</f>
        <v>836.192396611319</v>
      </c>
      <c r="D238" s="64" t="n">
        <f aca="false">+D207</f>
        <v>465.095795036329</v>
      </c>
      <c r="E238" s="64" t="n">
        <f aca="false">+E207</f>
        <v>6160.68392159961</v>
      </c>
      <c r="F238" s="1" t="n">
        <v>0</v>
      </c>
      <c r="G238" s="1" t="n">
        <f aca="false">+SUM(C238:F238)</f>
        <v>7461.97211324726</v>
      </c>
      <c r="H238" s="64" t="n">
        <f aca="false">+G238-SUM(C158:G158)</f>
        <v>0</v>
      </c>
      <c r="I238" s="116" t="s">
        <v>639</v>
      </c>
    </row>
    <row r="239" customFormat="false" ht="15" hidden="false" customHeight="true" outlineLevel="0" collapsed="false">
      <c r="B239" s="1" t="n">
        <v>2026</v>
      </c>
      <c r="C239" s="64" t="n">
        <f aca="false">+C208</f>
        <v>846.216231915084</v>
      </c>
      <c r="D239" s="64" t="n">
        <f aca="false">+D208</f>
        <v>481.418503922153</v>
      </c>
      <c r="E239" s="64" t="n">
        <f aca="false">+E208</f>
        <v>6215.73737215912</v>
      </c>
      <c r="F239" s="1" t="n">
        <v>0</v>
      </c>
      <c r="G239" s="1" t="n">
        <f aca="false">+SUM(C239:F239)</f>
        <v>7543.37210799636</v>
      </c>
      <c r="H239" s="64" t="n">
        <f aca="false">+G239-SUM(C159:G159)</f>
        <v>0</v>
      </c>
      <c r="I239" s="116" t="s">
        <v>639</v>
      </c>
    </row>
    <row r="240" customFormat="false" ht="15" hidden="false" customHeight="true" outlineLevel="0" collapsed="false">
      <c r="B240" s="1" t="n">
        <v>2027</v>
      </c>
      <c r="C240" s="64" t="n">
        <f aca="false">+C209</f>
        <v>856.118924055895</v>
      </c>
      <c r="D240" s="64" t="n">
        <f aca="false">+D209</f>
        <v>498.173650275403</v>
      </c>
      <c r="E240" s="64" t="n">
        <f aca="false">+E209</f>
        <v>6269.5156837387</v>
      </c>
      <c r="F240" s="1" t="n">
        <v>0</v>
      </c>
      <c r="G240" s="1" t="n">
        <f aca="false">+SUM(C240:F240)</f>
        <v>7623.80825807</v>
      </c>
      <c r="H240" s="64" t="n">
        <f aca="false">+G240-SUM(C160:G160)</f>
        <v>0</v>
      </c>
      <c r="I240" s="116" t="s">
        <v>639</v>
      </c>
    </row>
    <row r="241" customFormat="false" ht="15" hidden="false" customHeight="true" outlineLevel="0" collapsed="false">
      <c r="B241" s="1" t="n">
        <v>2028</v>
      </c>
      <c r="C241" s="64" t="n">
        <f aca="false">+C210</f>
        <v>865.901433869501</v>
      </c>
      <c r="D241" s="64" t="n">
        <f aca="false">+D210</f>
        <v>515.37143437545</v>
      </c>
      <c r="E241" s="64" t="n">
        <f aca="false">+E210</f>
        <v>6322.03573514119</v>
      </c>
      <c r="F241" s="1" t="n">
        <v>0</v>
      </c>
      <c r="G241" s="1" t="n">
        <f aca="false">+SUM(C241:F241)</f>
        <v>7703.30860338614</v>
      </c>
      <c r="H241" s="64" t="n">
        <f aca="false">+G241-SUM(C161:G161)</f>
        <v>0</v>
      </c>
      <c r="I241" s="116" t="s">
        <v>639</v>
      </c>
    </row>
    <row r="242" customFormat="false" ht="15" hidden="false" customHeight="true" outlineLevel="0" collapsed="false">
      <c r="B242" s="1" t="n">
        <v>2029</v>
      </c>
      <c r="C242" s="64" t="n">
        <f aca="false">+C211</f>
        <v>875.564715611869</v>
      </c>
      <c r="D242" s="64" t="n">
        <f aca="false">+D211</f>
        <v>533.022282214894</v>
      </c>
      <c r="E242" s="64" t="n">
        <f aca="false">+E211</f>
        <v>6373.31421671747</v>
      </c>
      <c r="F242" s="1" t="n">
        <v>0</v>
      </c>
      <c r="G242" s="1" t="n">
        <f aca="false">+SUM(C242:F242)</f>
        <v>7781.90121454423</v>
      </c>
      <c r="H242" s="64" t="n">
        <f aca="false">+G242-SUM(C162:G162)</f>
        <v>0</v>
      </c>
      <c r="I242" s="116" t="s">
        <v>639</v>
      </c>
    </row>
    <row r="243" customFormat="false" ht="15" hidden="false" customHeight="true" outlineLevel="0" collapsed="false">
      <c r="B243" s="1" t="n">
        <v>2030</v>
      </c>
      <c r="C243" s="64" t="n">
        <f aca="false">+C212</f>
        <v>885.109717000968</v>
      </c>
      <c r="D243" s="64" t="n">
        <f aca="false">+D212</f>
        <v>551.136850295968</v>
      </c>
      <c r="E243" s="64" t="n">
        <f aca="false">+E212</f>
        <v>6423.36763230149</v>
      </c>
      <c r="F243" s="1" t="n">
        <v>0</v>
      </c>
      <c r="G243" s="1" t="n">
        <f aca="false">+SUM(C243:F243)</f>
        <v>7859.61419959842</v>
      </c>
      <c r="H243" s="64" t="n">
        <f aca="false">+G243-SUM(C163:G163)</f>
        <v>0</v>
      </c>
      <c r="I243" s="116" t="s">
        <v>639</v>
      </c>
    </row>
    <row r="244" customFormat="false" ht="15" hidden="false" customHeight="true" outlineLevel="0" collapsed="false">
      <c r="B244" s="1" t="n">
        <v>2031</v>
      </c>
      <c r="C244" s="64" t="n">
        <f aca="false">+C213</f>
        <v>894.537379258284</v>
      </c>
      <c r="D244" s="64" t="n">
        <f aca="false">+D213</f>
        <v>569.726030526055</v>
      </c>
      <c r="E244" s="64" t="n">
        <f aca="false">+E213</f>
        <v>6472.21230112629</v>
      </c>
      <c r="F244" s="1" t="n">
        <v>0</v>
      </c>
      <c r="G244" s="1" t="n">
        <f aca="false">+SUM(C244:F244)</f>
        <v>7936.47571091063</v>
      </c>
      <c r="H244" s="64" t="n">
        <f aca="false">+G244-SUM(C164:G164)</f>
        <v>0</v>
      </c>
      <c r="I244" s="116" t="s">
        <v>639</v>
      </c>
    </row>
    <row r="245" customFormat="false" ht="15" hidden="false" customHeight="true" outlineLevel="0" collapsed="false">
      <c r="B245" s="1" t="n">
        <v>2032</v>
      </c>
      <c r="C245" s="64" t="n">
        <f aca="false">+C214</f>
        <v>903.848637150102</v>
      </c>
      <c r="D245" s="64" t="n">
        <f aca="false">+D214</f>
        <v>588.800955214323</v>
      </c>
      <c r="E245" s="64" t="n">
        <f aca="false">+E214</f>
        <v>6519.86435972143</v>
      </c>
      <c r="F245" s="1" t="n">
        <v>0</v>
      </c>
      <c r="G245" s="1" t="n">
        <f aca="false">+SUM(C245:F245)</f>
        <v>8012.51395208585</v>
      </c>
      <c r="H245" s="64" t="n">
        <f aca="false">+G245-SUM(C165:G165)</f>
        <v>0</v>
      </c>
      <c r="I245" s="116" t="s">
        <v>639</v>
      </c>
    </row>
    <row r="246" customFormat="false" ht="15" hidden="false" customHeight="true" outlineLevel="0" collapsed="false">
      <c r="B246" s="1" t="n">
        <v>2033</v>
      </c>
      <c r="C246" s="64" t="n">
        <f aca="false">+C215</f>
        <v>913.044419028521</v>
      </c>
      <c r="D246" s="64" t="n">
        <f aca="false">+D215</f>
        <v>608.37300217152</v>
      </c>
      <c r="E246" s="64" t="n">
        <f aca="false">+E215</f>
        <v>6566.33976379177</v>
      </c>
      <c r="F246" s="1" t="n">
        <v>0</v>
      </c>
      <c r="G246" s="1" t="n">
        <f aca="false">+SUM(C246:F246)</f>
        <v>8087.75718499181</v>
      </c>
      <c r="H246" s="64" t="n">
        <f aca="false">+G246-SUM(C166:G166)</f>
        <v>0</v>
      </c>
      <c r="I246" s="116" t="s">
        <v>639</v>
      </c>
    </row>
    <row r="247" customFormat="false" ht="15" hidden="false" customHeight="true" outlineLevel="0" collapsed="false">
      <c r="B247" s="1" t="n">
        <v>2034</v>
      </c>
      <c r="C247" s="64" t="n">
        <f aca="false">+C216</f>
        <v>922.125646872227</v>
      </c>
      <c r="D247" s="64" t="n">
        <f aca="false">+D216</f>
        <v>628.453799915024</v>
      </c>
      <c r="E247" s="64" t="n">
        <f aca="false">+E216</f>
        <v>6611.65429007797</v>
      </c>
      <c r="F247" s="1" t="n">
        <v>0</v>
      </c>
      <c r="G247" s="1" t="n">
        <f aca="false">+SUM(C247:F247)</f>
        <v>8162.23373686522</v>
      </c>
      <c r="H247" s="64" t="n">
        <f aca="false">+G247-SUM(C167:G167)</f>
        <v>0</v>
      </c>
      <c r="I247" s="116" t="s">
        <v>639</v>
      </c>
    </row>
    <row r="248" customFormat="false" ht="15" hidden="false" customHeight="true" outlineLevel="0" collapsed="false">
      <c r="B248" s="1" t="n">
        <v>2035</v>
      </c>
      <c r="C248" s="64" t="n">
        <f aca="false">+C217</f>
        <v>931.09323632702</v>
      </c>
      <c r="D248" s="64" t="n">
        <f aca="false">+D217</f>
        <v>649.055232981272</v>
      </c>
      <c r="E248" s="64" t="n">
        <f aca="false">+E217</f>
        <v>6655.8235381987</v>
      </c>
      <c r="F248" s="1" t="n">
        <v>0</v>
      </c>
      <c r="G248" s="1" t="n">
        <f aca="false">+SUM(C248:F248)</f>
        <v>8235.97200750699</v>
      </c>
      <c r="H248" s="64" t="n">
        <f aca="false">+G248-SUM(C168:G168)</f>
        <v>0</v>
      </c>
      <c r="I248" s="116" t="s">
        <v>639</v>
      </c>
    </row>
    <row r="249" customFormat="false" ht="15" hidden="false" customHeight="true" outlineLevel="0" collapsed="false">
      <c r="B249" s="1" t="n">
        <v>2036</v>
      </c>
      <c r="C249" s="64" t="n">
        <f aca="false">+C218</f>
        <v>939.948096746093</v>
      </c>
      <c r="D249" s="64" t="n">
        <f aca="false">+D218</f>
        <v>670.189447347742</v>
      </c>
      <c r="E249" s="64" t="n">
        <f aca="false">+E218</f>
        <v>6698.86293247494</v>
      </c>
      <c r="F249" s="1" t="n">
        <v>0</v>
      </c>
      <c r="G249" s="1" t="n">
        <f aca="false">+SUM(C249:F249)</f>
        <v>8309.00047656877</v>
      </c>
      <c r="H249" s="64" t="n">
        <f aca="false">+G249-SUM(C169:G169)</f>
        <v>0</v>
      </c>
      <c r="I249" s="116" t="s">
        <v>639</v>
      </c>
    </row>
    <row r="250" customFormat="false" ht="15" hidden="false" customHeight="true" outlineLevel="0" collapsed="false">
      <c r="B250" s="1" t="n">
        <v>2037</v>
      </c>
      <c r="C250" s="64" t="n">
        <f aca="false">+C219</f>
        <v>948.691131230068</v>
      </c>
      <c r="D250" s="64" t="n">
        <f aca="false">+D219</f>
        <v>691.868855966691</v>
      </c>
      <c r="E250" s="64" t="n">
        <f aca="false">+E219</f>
        <v>6740.78772373631</v>
      </c>
      <c r="F250" s="1" t="n">
        <v>0</v>
      </c>
      <c r="G250" s="1" t="n">
        <f aca="false">+SUM(C250:F250)</f>
        <v>8381.34771093307</v>
      </c>
      <c r="H250" s="64" t="n">
        <f aca="false">+G250-SUM(C170:G170)</f>
        <v>0</v>
      </c>
      <c r="I250" s="116" t="s">
        <v>639</v>
      </c>
    </row>
    <row r="251" customFormat="false" ht="15" hidden="false" customHeight="true" outlineLevel="0" collapsed="false">
      <c r="B251" s="1" t="n">
        <v>2038</v>
      </c>
      <c r="C251" s="64" t="n">
        <f aca="false">+C220</f>
        <v>957.323236666784</v>
      </c>
      <c r="D251" s="64" t="n">
        <f aca="false">+D220</f>
        <v>714.106144412932</v>
      </c>
      <c r="E251" s="64" t="n">
        <f aca="false">+E220</f>
        <v>6781.61299110982</v>
      </c>
      <c r="F251" s="1" t="n">
        <v>0</v>
      </c>
      <c r="G251" s="1" t="n">
        <f aca="false">+SUM(C251:F251)</f>
        <v>8453.04237218954</v>
      </c>
      <c r="H251" s="64" t="n">
        <f aca="false">+G251-SUM(C171:G171)</f>
        <v>0</v>
      </c>
      <c r="I251" s="116" t="s">
        <v>639</v>
      </c>
    </row>
    <row r="252" customFormat="false" ht="15" hidden="false" customHeight="true" outlineLevel="0" collapsed="false">
      <c r="B252" s="1" t="n">
        <v>2039</v>
      </c>
      <c r="C252" s="64" t="n">
        <f aca="false">+C221</f>
        <v>965.845303770852</v>
      </c>
      <c r="D252" s="64" t="n">
        <f aca="false">+D221</f>
        <v>736.914276647924</v>
      </c>
      <c r="E252" s="64" t="n">
        <f aca="false">+E221</f>
        <v>6821.35364379104</v>
      </c>
      <c r="F252" s="1" t="n">
        <v>0</v>
      </c>
      <c r="G252" s="1" t="n">
        <f aca="false">+SUM(C252:F252)</f>
        <v>8524.11322420982</v>
      </c>
      <c r="H252" s="64" t="n">
        <f aca="false">+G252-SUM(C172:G172)</f>
        <v>0</v>
      </c>
      <c r="I252" s="116" t="s">
        <v>639</v>
      </c>
    </row>
    <row r="253" customFormat="false" ht="15" hidden="false" customHeight="true" outlineLevel="0" collapsed="false">
      <c r="B253" s="1" t="n">
        <v>2040</v>
      </c>
      <c r="C253" s="64" t="n">
        <f aca="false">+C222</f>
        <v>974.258217122963</v>
      </c>
      <c r="D253" s="64" t="n">
        <f aca="false">+D222</f>
        <v>760.306500902548</v>
      </c>
      <c r="E253" s="64" t="n">
        <f aca="false">+E222</f>
        <v>6860.02442279793</v>
      </c>
      <c r="F253" s="1" t="n">
        <v>0</v>
      </c>
      <c r="G253" s="1" t="n">
        <f aca="false">+SUM(C253:F253)</f>
        <v>8594.58914082344</v>
      </c>
      <c r="H253" s="64" t="n">
        <f aca="false">+G253-SUM(C173:G173)</f>
        <v>0</v>
      </c>
      <c r="I253" s="116" t="s">
        <v>639</v>
      </c>
    </row>
    <row r="254" customFormat="false" ht="15" hidden="false" customHeight="true" outlineLevel="0" collapsed="false">
      <c r="B254" s="1" t="n">
        <v>2041</v>
      </c>
      <c r="C254" s="64" t="n">
        <f aca="false">+C223</f>
        <v>982.562855208958</v>
      </c>
      <c r="D254" s="64" t="n">
        <f aca="false">+D223</f>
        <v>784.296355680951</v>
      </c>
      <c r="E254" s="64" t="n">
        <f aca="false">+E223</f>
        <v>6897.6399027075</v>
      </c>
      <c r="F254" s="1" t="n">
        <v>0</v>
      </c>
      <c r="G254" s="1" t="n">
        <f aca="false">+SUM(C254:F254)</f>
        <v>8664.49911359741</v>
      </c>
      <c r="H254" s="64" t="n">
        <f aca="false">+G254-SUM(C174:G174)</f>
        <v>0</v>
      </c>
      <c r="I254" s="116" t="s">
        <v>639</v>
      </c>
    </row>
    <row r="255" customFormat="false" ht="15" hidden="false" customHeight="true" outlineLevel="0" collapsed="false">
      <c r="B255" s="1" t="n">
        <v>2042</v>
      </c>
      <c r="C255" s="64" t="n">
        <f aca="false">+C224</f>
        <v>990.760090458665</v>
      </c>
      <c r="D255" s="64" t="n">
        <f aca="false">+D224</f>
        <v>808.897675887909</v>
      </c>
      <c r="E255" s="64" t="n">
        <f aca="false">+E224</f>
        <v>6934.21449337546</v>
      </c>
      <c r="F255" s="1" t="n">
        <v>0</v>
      </c>
      <c r="G255" s="1" t="n">
        <f aca="false">+SUM(C255:F255)</f>
        <v>8733.87225972204</v>
      </c>
      <c r="H255" s="64" t="n">
        <f aca="false">+G255-SUM(C175:G175)</f>
        <v>0</v>
      </c>
      <c r="I255" s="116" t="s">
        <v>639</v>
      </c>
    </row>
    <row r="256" customFormat="false" ht="15" hidden="false" customHeight="true" outlineLevel="0" collapsed="false">
      <c r="B256" s="1" t="n">
        <v>2043</v>
      </c>
      <c r="C256" s="64" t="n">
        <f aca="false">+C225</f>
        <v>998.850789284495</v>
      </c>
      <c r="D256" s="64" t="n">
        <f aca="false">+D225</f>
        <v>834.124599082191</v>
      </c>
      <c r="E256" s="64" t="n">
        <f aca="false">+E225</f>
        <v>6969.76244163896</v>
      </c>
      <c r="F256" s="1" t="n">
        <v>0</v>
      </c>
      <c r="G256" s="1" t="n">
        <f aca="false">+SUM(C256:F256)</f>
        <v>8802.73783000565</v>
      </c>
      <c r="H256" s="64" t="n">
        <f aca="false">+G256-SUM(C176:G176)</f>
        <v>0</v>
      </c>
      <c r="I256" s="116" t="s">
        <v>639</v>
      </c>
    </row>
    <row r="257" customFormat="false" ht="15" hidden="false" customHeight="true" outlineLevel="0" collapsed="false">
      <c r="B257" s="1" t="n">
        <v>2044</v>
      </c>
      <c r="C257" s="64" t="n">
        <f aca="false">+C226</f>
        <v>1006.83581211981</v>
      </c>
      <c r="D257" s="64" t="n">
        <f aca="false">+D226</f>
        <v>859.991571858486</v>
      </c>
      <c r="E257" s="64" t="n">
        <f aca="false">+E226</f>
        <v>7004.29783300267</v>
      </c>
      <c r="F257" s="1" t="n">
        <v>0</v>
      </c>
      <c r="G257" s="1" t="n">
        <f aca="false">+SUM(C257:F257)</f>
        <v>8871.12521698097</v>
      </c>
      <c r="H257" s="64" t="n">
        <f aca="false">+G257-SUM(C177:G177)</f>
        <v>0</v>
      </c>
      <c r="I257" s="116" t="s">
        <v>639</v>
      </c>
    </row>
    <row r="258" customFormat="false" ht="15" hidden="false" customHeight="true" outlineLevel="0" collapsed="false">
      <c r="B258" s="1" t="n">
        <v>2045</v>
      </c>
      <c r="C258" s="64" t="n">
        <f aca="false">+C227</f>
        <v>1014.71601345703</v>
      </c>
      <c r="D258" s="64" t="n">
        <f aca="false">+D227</f>
        <v>886.51335636046</v>
      </c>
      <c r="E258" s="64" t="n">
        <f aca="false">+E227</f>
        <v>7037.8345933083</v>
      </c>
      <c r="F258" s="1" t="n">
        <v>0</v>
      </c>
      <c r="G258" s="1" t="n">
        <f aca="false">+SUM(C258:F258)</f>
        <v>8939.06396312579</v>
      </c>
      <c r="H258" s="64" t="n">
        <f aca="false">+G258-SUM(C178:G178)</f>
        <v>0</v>
      </c>
      <c r="I258" s="116" t="s">
        <v>639</v>
      </c>
    </row>
    <row r="259" customFormat="false" ht="15" hidden="false" customHeight="true" outlineLevel="0" collapsed="false">
      <c r="B259" s="1" t="n">
        <v>2046</v>
      </c>
      <c r="C259" s="64" t="n">
        <f aca="false">+C228</f>
        <v>1022.49224188558</v>
      </c>
      <c r="D259" s="64" t="n">
        <f aca="false">+D228</f>
        <v>913.705036927608</v>
      </c>
      <c r="E259" s="64" t="n">
        <f aca="false">+E228</f>
        <v>7070.38649038772</v>
      </c>
      <c r="F259" s="1" t="n">
        <v>0</v>
      </c>
      <c r="G259" s="1" t="n">
        <f aca="false">+SUM(C259:F259)</f>
        <v>9006.58376920091</v>
      </c>
      <c r="H259" s="64" t="n">
        <f aca="false">+G259-SUM(C179:G179)</f>
        <v>0</v>
      </c>
      <c r="I259" s="116" t="s">
        <v>639</v>
      </c>
    </row>
    <row r="260" customFormat="false" ht="15" hidden="false" customHeight="true" outlineLevel="0" collapsed="false">
      <c r="B260" s="1" t="n">
        <v>2047</v>
      </c>
      <c r="C260" s="64" t="n">
        <f aca="false">+C229</f>
        <v>1030.16534012951</v>
      </c>
      <c r="D260" s="64" t="n">
        <f aca="false">+D229</f>
        <v>941.582026878579</v>
      </c>
      <c r="E260" s="64" t="n">
        <f aca="false">+E229</f>
        <v>7101.9671356999</v>
      </c>
      <c r="F260" s="1" t="n">
        <v>0</v>
      </c>
      <c r="G260" s="1" t="n">
        <f aca="false">+SUM(C260:F260)</f>
        <v>9073.71450270799</v>
      </c>
      <c r="H260" s="64" t="n">
        <f aca="false">+G260-SUM(C180:G180)</f>
        <v>0</v>
      </c>
      <c r="I260" s="116" t="s">
        <v>639</v>
      </c>
    </row>
    <row r="261" customFormat="false" ht="15" hidden="false" customHeight="true" outlineLevel="0" collapsed="false">
      <c r="B261" s="1" t="n">
        <v>2048</v>
      </c>
      <c r="C261" s="64" t="n">
        <f aca="false">+C230</f>
        <v>1037.73614508495</v>
      </c>
      <c r="D261" s="64" t="n">
        <f aca="false">+D230</f>
        <v>970.160075433746</v>
      </c>
      <c r="E261" s="64" t="n">
        <f aca="false">+E230</f>
        <v>7132.5899859517</v>
      </c>
      <c r="F261" s="1" t="n">
        <v>0</v>
      </c>
      <c r="G261" s="1" t="n">
        <f aca="false">+SUM(C261:F261)</f>
        <v>9140.4862064704</v>
      </c>
      <c r="H261" s="64" t="n">
        <f aca="false">+G261-SUM(C181:G181)</f>
        <v>0</v>
      </c>
      <c r="I261" s="116" t="s">
        <v>639</v>
      </c>
    </row>
    <row r="262" customFormat="false" ht="15" hidden="false" customHeight="true" outlineLevel="0" collapsed="false">
      <c r="B262" s="1" t="n">
        <v>2049</v>
      </c>
      <c r="C262" s="64" t="n">
        <f aca="false">+C231</f>
        <v>1045.20548785733</v>
      </c>
      <c r="D262" s="64" t="n">
        <f aca="false">+D231</f>
        <v>999.455274779798</v>
      </c>
      <c r="E262" s="64" t="n">
        <f aca="false">+E231</f>
        <v>7162.26834470279</v>
      </c>
      <c r="F262" s="1" t="n">
        <v>0</v>
      </c>
      <c r="G262" s="1" t="n">
        <f aca="false">+SUM(C262:F262)</f>
        <v>9206.92910733992</v>
      </c>
      <c r="H262" s="64" t="n">
        <f aca="false">+G262-SUM(C182:G182)</f>
        <v>0</v>
      </c>
      <c r="I262" s="116" t="s">
        <v>639</v>
      </c>
    </row>
    <row r="263" customFormat="false" ht="15" hidden="false" customHeight="true" outlineLevel="0" collapsed="false">
      <c r="B263" s="1" t="n">
        <v>2050</v>
      </c>
      <c r="C263" s="64" t="n">
        <f aca="false">+C232</f>
        <v>1052.57419379837</v>
      </c>
      <c r="D263" s="64" t="n">
        <f aca="false">+D232</f>
        <v>1029.48406727925</v>
      </c>
      <c r="E263" s="64" t="n">
        <f aca="false">+E232</f>
        <v>7191.01536395476</v>
      </c>
      <c r="F263" s="1" t="n">
        <v>0</v>
      </c>
      <c r="G263" s="1" t="n">
        <f aca="false">+SUM(C263:F263)</f>
        <v>9273.07362503237</v>
      </c>
      <c r="H263" s="64" t="n">
        <f aca="false">+G263-SUM(C183:G183)</f>
        <v>0</v>
      </c>
      <c r="I263" s="116" t="s">
        <v>639</v>
      </c>
    </row>
    <row r="270" customFormat="false" ht="15.75" hidden="false" customHeight="true" outlineLevel="0" collapsed="false">
      <c r="A270" s="117" t="s">
        <v>643</v>
      </c>
    </row>
    <row r="271" customFormat="false" ht="15" hidden="false" customHeight="true" outlineLevel="0" collapsed="false">
      <c r="A271" s="46" t="s">
        <v>622</v>
      </c>
      <c r="B271" s="46" t="s">
        <v>631</v>
      </c>
      <c r="C271" s="46" t="s">
        <v>632</v>
      </c>
      <c r="D271" s="46" t="s">
        <v>633</v>
      </c>
      <c r="E271" s="46" t="s">
        <v>634</v>
      </c>
      <c r="F271" s="46" t="s">
        <v>641</v>
      </c>
    </row>
    <row r="272" customFormat="false" ht="15" hidden="false" customHeight="true" outlineLevel="0" collapsed="false">
      <c r="A272" s="1" t="n">
        <v>2020</v>
      </c>
      <c r="B272" s="64" t="n">
        <f aca="false">Supply!D8</f>
        <v>6000</v>
      </c>
      <c r="C272" s="64" t="n">
        <f aca="false">Supply!D9</f>
        <v>912</v>
      </c>
      <c r="D272" s="64" t="n">
        <f aca="false">Supply!D29</f>
        <v>20</v>
      </c>
      <c r="E272" s="64" t="n">
        <f aca="false">Supply!D34</f>
        <v>7.84221977495</v>
      </c>
      <c r="F272" s="64" t="n">
        <f aca="false">Supply!D5</f>
        <v>7039.5343826149</v>
      </c>
    </row>
    <row r="273" customFormat="false" ht="15" hidden="false" customHeight="true" outlineLevel="0" collapsed="false">
      <c r="A273" s="1" t="n">
        <v>2021</v>
      </c>
      <c r="B273" s="64" t="n">
        <f aca="false">Supply!E8</f>
        <v>5910</v>
      </c>
      <c r="C273" s="64" t="n">
        <f aca="false">Supply!E9</f>
        <v>893.76</v>
      </c>
      <c r="D273" s="64" t="n">
        <f aca="false">Supply!E29</f>
        <v>44.3333333333333</v>
      </c>
      <c r="E273" s="64" t="n">
        <f aca="false">Supply!E34</f>
        <v>8.61105022265137</v>
      </c>
      <c r="F273" s="64" t="n">
        <f aca="false">Supply!E5</f>
        <v>7126.17359015226</v>
      </c>
    </row>
    <row r="274" customFormat="false" ht="15" hidden="false" customHeight="true" outlineLevel="0" collapsed="false">
      <c r="A274" s="1" t="n">
        <v>2022</v>
      </c>
      <c r="B274" s="64" t="n">
        <f aca="false">Supply!F8</f>
        <v>5821.35</v>
      </c>
      <c r="C274" s="64" t="n">
        <f aca="false">Supply!F9</f>
        <v>875.8848</v>
      </c>
      <c r="D274" s="64" t="n">
        <f aca="false">Supply!F29</f>
        <v>68.6666666666667</v>
      </c>
      <c r="E274" s="64" t="n">
        <f aca="false">Supply!F34</f>
        <v>9.39615044414319</v>
      </c>
      <c r="F274" s="64" t="n">
        <f aca="false">Supply!F5</f>
        <v>7211.7089819153</v>
      </c>
    </row>
    <row r="275" customFormat="false" ht="15" hidden="false" customHeight="true" outlineLevel="0" collapsed="false">
      <c r="A275" s="1" t="n">
        <v>2023</v>
      </c>
      <c r="B275" s="64" t="n">
        <f aca="false">Supply!G8</f>
        <v>5734.02975</v>
      </c>
      <c r="C275" s="64" t="n">
        <f aca="false">Supply!G9</f>
        <v>858.367104</v>
      </c>
      <c r="D275" s="64" t="n">
        <f aca="false">Supply!G29</f>
        <v>93</v>
      </c>
      <c r="E275" s="64" t="n">
        <f aca="false">Supply!G34</f>
        <v>10.1972177502576</v>
      </c>
      <c r="F275" s="64" t="n">
        <f aca="false">Supply!G5</f>
        <v>7296.16854336186</v>
      </c>
    </row>
    <row r="276" customFormat="false" ht="15" hidden="false" customHeight="true" outlineLevel="0" collapsed="false">
      <c r="A276" s="1" t="n">
        <v>2024</v>
      </c>
      <c r="B276" s="64" t="n">
        <f aca="false">Supply!H8</f>
        <v>5648.01930375</v>
      </c>
      <c r="C276" s="64" t="n">
        <f aca="false">Supply!H9</f>
        <v>841.19976192</v>
      </c>
      <c r="D276" s="64" t="n">
        <f aca="false">Supply!H29</f>
        <v>117.333333333333</v>
      </c>
      <c r="E276" s="64" t="n">
        <f aca="false">Supply!H34</f>
        <v>11.0139526758273</v>
      </c>
      <c r="F276" s="64" t="n">
        <f aca="false">Supply!H5</f>
        <v>7379.58025789088</v>
      </c>
    </row>
    <row r="277" customFormat="false" ht="15" hidden="false" customHeight="true" outlineLevel="0" collapsed="false">
      <c r="A277" s="1" t="n">
        <v>2025</v>
      </c>
      <c r="B277" s="64" t="n">
        <f aca="false">Supply!I8</f>
        <v>5563.29901419375</v>
      </c>
      <c r="C277" s="64" t="n">
        <f aca="false">Supply!I9</f>
        <v>824.3757666816</v>
      </c>
      <c r="D277" s="64" t="n">
        <f aca="false">Supply!I29</f>
        <v>141.666666666667</v>
      </c>
      <c r="E277" s="64" t="n">
        <f aca="false">Supply!I34</f>
        <v>11.8460589519937</v>
      </c>
      <c r="F277" s="64" t="n">
        <f aca="false">Supply!I5</f>
        <v>7461.97211324726</v>
      </c>
    </row>
    <row r="278" customFormat="false" ht="15" hidden="false" customHeight="true" outlineLevel="0" collapsed="false">
      <c r="A278" s="1" t="n">
        <v>2026</v>
      </c>
      <c r="B278" s="64" t="n">
        <f aca="false">Supply!J8</f>
        <v>5479.84952898084</v>
      </c>
      <c r="C278" s="64" t="n">
        <f aca="false">Supply!J9</f>
        <v>807.888251347968</v>
      </c>
      <c r="D278" s="64" t="n">
        <f aca="false">Supply!J29</f>
        <v>166</v>
      </c>
      <c r="E278" s="64" t="n">
        <f aca="false">Supply!J34</f>
        <v>12.6932434787263</v>
      </c>
      <c r="F278" s="64" t="n">
        <f aca="false">Supply!J5</f>
        <v>7543.37210799636</v>
      </c>
    </row>
    <row r="279" customFormat="false" ht="15" hidden="false" customHeight="true" outlineLevel="0" collapsed="false">
      <c r="A279" s="1" t="n">
        <v>2027</v>
      </c>
      <c r="B279" s="64" t="n">
        <f aca="false">Supply!K8</f>
        <v>5397.65178604613</v>
      </c>
      <c r="C279" s="64" t="n">
        <f aca="false">Supply!K9</f>
        <v>791.730486321009</v>
      </c>
      <c r="D279" s="64" t="n">
        <f aca="false">Supply!K29</f>
        <v>190.333333333333</v>
      </c>
      <c r="E279" s="64" t="n">
        <f aca="false">Supply!K34</f>
        <v>13.5552162975517</v>
      </c>
      <c r="F279" s="64" t="n">
        <f aca="false">Supply!K5</f>
        <v>7678.55825807</v>
      </c>
    </row>
    <row r="280" customFormat="false" ht="15" hidden="false" customHeight="true" outlineLevel="0" collapsed="false">
      <c r="A280" s="1" t="n">
        <v>2028</v>
      </c>
      <c r="B280" s="64" t="n">
        <f aca="false">Supply!L8</f>
        <v>5316.68700925544</v>
      </c>
      <c r="C280" s="64" t="n">
        <f aca="false">Supply!L9</f>
        <v>775.895876594588</v>
      </c>
      <c r="D280" s="64" t="n">
        <f aca="false">Supply!L29</f>
        <v>214.666666666667</v>
      </c>
      <c r="E280" s="64" t="n">
        <f aca="false">Supply!L34</f>
        <v>14.4316905644917</v>
      </c>
      <c r="F280" s="64" t="n">
        <f aca="false">Supply!L5</f>
        <v>7812.80860338614</v>
      </c>
    </row>
    <row r="281" customFormat="false" ht="15" hidden="false" customHeight="true" outlineLevel="0" collapsed="false">
      <c r="A281" s="1" t="n">
        <v>2029</v>
      </c>
      <c r="B281" s="64" t="n">
        <f aca="false">Supply!M8</f>
        <v>5236.93670411661</v>
      </c>
      <c r="C281" s="64" t="n">
        <f aca="false">Supply!M9</f>
        <v>760.377959062697</v>
      </c>
      <c r="D281" s="64" t="n">
        <f aca="false">Supply!M29</f>
        <v>239</v>
      </c>
      <c r="E281" s="64" t="n">
        <f aca="false">Supply!M34</f>
        <v>15.3223825232077</v>
      </c>
      <c r="F281" s="64" t="n">
        <f aca="false">Supply!M5</f>
        <v>7946.15121454423</v>
      </c>
    </row>
    <row r="282" customFormat="false" ht="15" hidden="false" customHeight="true" outlineLevel="0" collapsed="false">
      <c r="A282" s="1" t="n">
        <v>2030</v>
      </c>
      <c r="B282" s="64" t="n">
        <f aca="false">Supply!N8</f>
        <v>5158.38265355486</v>
      </c>
      <c r="C282" s="64" t="n">
        <f aca="false">Supply!N9</f>
        <v>745.170399881443</v>
      </c>
      <c r="D282" s="64" t="n">
        <f aca="false">Supply!N29</f>
        <v>263.333333333333</v>
      </c>
      <c r="E282" s="64" t="n">
        <f aca="false">Supply!N34</f>
        <v>16.2270114783511</v>
      </c>
      <c r="F282" s="64" t="n">
        <f aca="false">Supply!N5</f>
        <v>8078.61419959842</v>
      </c>
    </row>
    <row r="283" customFormat="false" ht="15" hidden="false" customHeight="true" outlineLevel="0" collapsed="false">
      <c r="A283" s="1" t="n">
        <v>2031</v>
      </c>
      <c r="B283" s="64" t="n">
        <f aca="false">Supply!O8</f>
        <v>5081.00691375154</v>
      </c>
      <c r="C283" s="64" t="n">
        <f aca="false">Supply!O9</f>
        <v>730.266991883814</v>
      </c>
      <c r="D283" s="64" t="n">
        <f aca="false">Supply!O29</f>
        <v>287.666666666667</v>
      </c>
      <c r="E283" s="64" t="n">
        <f aca="false">Supply!O34</f>
        <v>17.1452997691171</v>
      </c>
      <c r="F283" s="64" t="n">
        <f aca="false">Supply!O5</f>
        <v>8210.22571091063</v>
      </c>
    </row>
    <row r="284" customFormat="false" ht="15" hidden="false" customHeight="true" outlineLevel="0" collapsed="false">
      <c r="A284" s="1" t="n">
        <v>2032</v>
      </c>
      <c r="B284" s="64" t="n">
        <f aca="false">Supply!P8</f>
        <v>5004.79181004526</v>
      </c>
      <c r="C284" s="64" t="n">
        <f aca="false">Supply!P9</f>
        <v>715.661652046137</v>
      </c>
      <c r="D284" s="64" t="n">
        <f aca="false">Supply!P29</f>
        <v>320.907671447939</v>
      </c>
      <c r="E284" s="64" t="n">
        <f aca="false">Supply!P34</f>
        <v>18.076972743002</v>
      </c>
      <c r="F284" s="64" t="n">
        <f aca="false">Supply!P5</f>
        <v>8341.01395208585</v>
      </c>
    </row>
    <row r="285" customFormat="false" ht="15" hidden="false" customHeight="true" outlineLevel="0" collapsed="false">
      <c r="A285" s="1" t="n">
        <v>2033</v>
      </c>
      <c r="B285" s="64" t="n">
        <f aca="false">Supply!Q8</f>
        <v>4929.71993289458</v>
      </c>
      <c r="C285" s="64" t="n">
        <f aca="false">Supply!Q9</f>
        <v>701.348419005215</v>
      </c>
      <c r="D285" s="64" t="n">
        <f aca="false">Supply!Q29</f>
        <v>375.387673058366</v>
      </c>
      <c r="E285" s="64" t="n">
        <f aca="false">Supply!Q34</f>
        <v>19.0217587297609</v>
      </c>
      <c r="F285" s="64" t="n">
        <f aca="false">Supply!Q5</f>
        <v>8471.00718499181</v>
      </c>
    </row>
    <row r="286" customFormat="false" ht="15" hidden="false" customHeight="true" outlineLevel="0" collapsed="false">
      <c r="A286" s="1" t="n">
        <v>2034</v>
      </c>
      <c r="B286" s="64" t="n">
        <f aca="false">Supply!R8</f>
        <v>4855.77413390116</v>
      </c>
      <c r="C286" s="64" t="n">
        <f aca="false">Supply!R9</f>
        <v>687.32145062511</v>
      </c>
      <c r="D286" s="64" t="n">
        <f aca="false">Supply!R29</f>
        <v>429.875048467004</v>
      </c>
      <c r="E286" s="64" t="n">
        <f aca="false">Supply!R34</f>
        <v>19.9793890155649</v>
      </c>
      <c r="F286" s="64" t="n">
        <f aca="false">Supply!R5</f>
        <v>8600.23373686522</v>
      </c>
    </row>
    <row r="287" customFormat="false" ht="15" hidden="false" customHeight="true" outlineLevel="0" collapsed="false">
      <c r="A287" s="1" t="n">
        <v>2035</v>
      </c>
      <c r="B287" s="64" t="n">
        <f aca="false">Supply!S8</f>
        <v>4782.93752189265</v>
      </c>
      <c r="C287" s="64" t="n">
        <f aca="false">Supply!S9</f>
        <v>673.575021612608</v>
      </c>
      <c r="D287" s="64" t="n">
        <f aca="false">Supply!S29</f>
        <v>484.370160873057</v>
      </c>
      <c r="E287" s="64" t="n">
        <f aca="false">Supply!S34</f>
        <v>20.9495978173579</v>
      </c>
      <c r="F287" s="64" t="n">
        <f aca="false">Supply!S5</f>
        <v>8728.72200750699</v>
      </c>
    </row>
    <row r="288" customFormat="false" ht="15" hidden="false" customHeight="true" outlineLevel="0" collapsed="false">
      <c r="A288" s="1" t="n">
        <v>2036</v>
      </c>
      <c r="B288" s="64" t="n">
        <f aca="false">Supply!T8</f>
        <v>4711.19345906426</v>
      </c>
      <c r="C288" s="64" t="n">
        <f aca="false">Supply!T9</f>
        <v>660.103521180356</v>
      </c>
      <c r="D288" s="64" t="n">
        <f aca="false">Supply!T29</f>
        <v>538.873365245419</v>
      </c>
      <c r="E288" s="64" t="n">
        <f aca="false">Supply!T34</f>
        <v>21.9321222574088</v>
      </c>
      <c r="F288" s="64" t="n">
        <f aca="false">Supply!T5</f>
        <v>8856.50047656877</v>
      </c>
    </row>
    <row r="289" customFormat="false" ht="15" hidden="false" customHeight="true" outlineLevel="0" collapsed="false">
      <c r="A289" s="1" t="n">
        <v>2037</v>
      </c>
      <c r="B289" s="64" t="n">
        <f aca="false">Supply!U8</f>
        <v>4640.52555717829</v>
      </c>
      <c r="C289" s="64" t="n">
        <f aca="false">Supply!U9</f>
        <v>646.901450756749</v>
      </c>
      <c r="D289" s="64" t="n">
        <f aca="false">Supply!U29</f>
        <v>538.635008429284</v>
      </c>
      <c r="E289" s="64" t="n">
        <f aca="false">Supply!U34</f>
        <v>22.92670233806</v>
      </c>
      <c r="F289" s="64" t="n">
        <f aca="false">Supply!U5</f>
        <v>8928.84771093307</v>
      </c>
    </row>
    <row r="290" customFormat="false" ht="15" hidden="false" customHeight="true" outlineLevel="0" collapsed="false">
      <c r="A290" s="1" t="n">
        <v>2038</v>
      </c>
      <c r="B290" s="64" t="n">
        <f aca="false">Supply!V8</f>
        <v>4570.91767382062</v>
      </c>
      <c r="C290" s="64" t="n">
        <f aca="false">Supply!V9</f>
        <v>633.963421741614</v>
      </c>
      <c r="D290" s="64" t="n">
        <f aca="false">Supply!V29</f>
        <v>538.405429251666</v>
      </c>
      <c r="E290" s="64" t="n">
        <f aca="false">Supply!V34</f>
        <v>23.9330809166696</v>
      </c>
      <c r="F290" s="64" t="n">
        <f aca="false">Supply!V5</f>
        <v>9000.54237218954</v>
      </c>
    </row>
    <row r="291" customFormat="false" ht="15" hidden="false" customHeight="true" outlineLevel="0" collapsed="false">
      <c r="A291" s="1" t="n">
        <v>2039</v>
      </c>
      <c r="B291" s="64" t="n">
        <f aca="false">Supply!W8</f>
        <v>4502.35390871331</v>
      </c>
      <c r="C291" s="64" t="n">
        <f aca="false">Supply!W9</f>
        <v>621.284153306782</v>
      </c>
      <c r="D291" s="64" t="n">
        <f aca="false">Supply!W29</f>
        <v>538.184958625855</v>
      </c>
      <c r="E291" s="64" t="n">
        <f aca="false">Supply!W34</f>
        <v>24.951003680747</v>
      </c>
      <c r="F291" s="64" t="n">
        <f aca="false">Supply!W5</f>
        <v>9071.61322420982</v>
      </c>
    </row>
    <row r="292" customFormat="false" ht="15" hidden="false" customHeight="true" outlineLevel="0" collapsed="false">
      <c r="A292" s="1" t="n">
        <v>2040</v>
      </c>
      <c r="B292" s="64" t="n">
        <f aca="false">Supply!X8</f>
        <v>4434.81860008261</v>
      </c>
      <c r="C292" s="64" t="n">
        <f aca="false">Supply!X9</f>
        <v>608.858470240646</v>
      </c>
      <c r="D292" s="64" t="n">
        <f aca="false">Supply!X29</f>
        <v>537.973919654798</v>
      </c>
      <c r="E292" s="64" t="n">
        <f aca="false">Supply!X34</f>
        <v>25.980219123279</v>
      </c>
      <c r="F292" s="64" t="n">
        <f aca="false">Supply!X5</f>
        <v>9142.08914082344</v>
      </c>
    </row>
    <row r="293" customFormat="false" ht="15" hidden="false" customHeight="true" outlineLevel="0" collapsed="false">
      <c r="A293" s="1" t="n">
        <v>2041</v>
      </c>
      <c r="B293" s="64" t="n">
        <f aca="false">Supply!Y8</f>
        <v>4368.29632108137</v>
      </c>
      <c r="C293" s="64" t="n">
        <f aca="false">Supply!Y9</f>
        <v>596.681300835833</v>
      </c>
      <c r="D293" s="64" t="n">
        <f aca="false">Supply!Y29</f>
        <v>537.772627733431</v>
      </c>
      <c r="E293" s="64" t="n">
        <f aca="false">Supply!Y34</f>
        <v>27.0204785182463</v>
      </c>
      <c r="F293" s="64" t="n">
        <f aca="false">Supply!Y5</f>
        <v>9211.99911359741</v>
      </c>
    </row>
    <row r="294" customFormat="false" ht="15" hidden="false" customHeight="true" outlineLevel="0" collapsed="false">
      <c r="A294" s="1" t="n">
        <v>2042</v>
      </c>
      <c r="B294" s="64" t="n">
        <f aca="false">Supply!Z8</f>
        <v>4302.77187626515</v>
      </c>
      <c r="C294" s="64" t="n">
        <f aca="false">Supply!Z9</f>
        <v>584.747674819116</v>
      </c>
      <c r="D294" s="64" t="n">
        <f aca="false">Supply!Z29</f>
        <v>555.333333333333</v>
      </c>
      <c r="E294" s="64" t="n">
        <f aca="false">Supply!Z34</f>
        <v>28.0715358963288</v>
      </c>
      <c r="F294" s="64" t="n">
        <f aca="false">Supply!Z5</f>
        <v>9281.37225972204</v>
      </c>
    </row>
    <row r="295" customFormat="false" ht="15" hidden="false" customHeight="true" outlineLevel="0" collapsed="false">
      <c r="A295" s="1" t="n">
        <v>2043</v>
      </c>
      <c r="B295" s="64" t="n">
        <f aca="false">Supply!AA8</f>
        <v>4238.23029812117</v>
      </c>
      <c r="C295" s="64" t="n">
        <f aca="false">Supply!AA9</f>
        <v>573.052721322734</v>
      </c>
      <c r="D295" s="64" t="n">
        <f aca="false">Supply!AA29</f>
        <v>579.666666666667</v>
      </c>
      <c r="E295" s="64" t="n">
        <f aca="false">Supply!AA34</f>
        <v>29.1331480207978</v>
      </c>
      <c r="F295" s="64" t="n">
        <f aca="false">Supply!AA5</f>
        <v>9350.23783000565</v>
      </c>
    </row>
    <row r="296" customFormat="false" ht="15" hidden="false" customHeight="true" outlineLevel="0" collapsed="false">
      <c r="A296" s="1" t="n">
        <v>2044</v>
      </c>
      <c r="B296" s="64" t="n">
        <f aca="false">Supply!AB8</f>
        <v>4174.65684364935</v>
      </c>
      <c r="C296" s="64" t="n">
        <f aca="false">Supply!AB9</f>
        <v>561.591666896279</v>
      </c>
      <c r="D296" s="64" t="n">
        <f aca="false">Supply!AB29</f>
        <v>604</v>
      </c>
      <c r="E296" s="64" t="n">
        <f aca="false">Supply!AB34</f>
        <v>30.2050743635942</v>
      </c>
      <c r="F296" s="64" t="n">
        <f aca="false">Supply!AB5</f>
        <v>9418.62521698097</v>
      </c>
    </row>
    <row r="297" customFormat="false" ht="15" hidden="false" customHeight="true" outlineLevel="0" collapsed="false">
      <c r="A297" s="1" t="n">
        <v>2045</v>
      </c>
      <c r="B297" s="64" t="n">
        <f aca="false">Supply!AC8</f>
        <v>4112.03699099461</v>
      </c>
      <c r="C297" s="64" t="n">
        <f aca="false">Supply!AC9</f>
        <v>550.359833558354</v>
      </c>
      <c r="D297" s="64" t="n">
        <f aca="false">Supply!AC29</f>
        <v>628.333333333333</v>
      </c>
      <c r="E297" s="64" t="n">
        <f aca="false">Supply!AC34</f>
        <v>31.2870770815918</v>
      </c>
      <c r="F297" s="64" t="n">
        <f aca="false">Supply!AC5</f>
        <v>9486.56396312579</v>
      </c>
    </row>
    <row r="298" customFormat="false" ht="15" hidden="false" customHeight="true" outlineLevel="0" collapsed="false">
      <c r="A298" s="1" t="n">
        <v>2046</v>
      </c>
      <c r="B298" s="64" t="n">
        <f aca="false">Supply!AD8</f>
        <v>4050.3564361297</v>
      </c>
      <c r="C298" s="64" t="n">
        <f aca="false">Supply!AD9</f>
        <v>539.352636887187</v>
      </c>
      <c r="D298" s="64" t="n">
        <f aca="false">Supply!AD29</f>
        <v>652.666666666667</v>
      </c>
      <c r="E298" s="64" t="n">
        <f aca="false">Supply!AD34</f>
        <v>32.3789209930434</v>
      </c>
      <c r="F298" s="64" t="n">
        <f aca="false">Supply!AD5</f>
        <v>9554.08376920091</v>
      </c>
    </row>
    <row r="299" customFormat="false" ht="15" hidden="false" customHeight="true" outlineLevel="0" collapsed="false">
      <c r="A299" s="1" t="n">
        <v>2047</v>
      </c>
      <c r="B299" s="64" t="n">
        <f aca="false">Supply!AE8</f>
        <v>3989.60108958775</v>
      </c>
      <c r="C299" s="64" t="n">
        <f aca="false">Supply!AE9</f>
        <v>528.565584149443</v>
      </c>
      <c r="D299" s="64" t="n">
        <f aca="false">Supply!AE29</f>
        <v>677</v>
      </c>
      <c r="E299" s="64" t="n">
        <f aca="false">Supply!AE34</f>
        <v>33.480373554209</v>
      </c>
      <c r="F299" s="64" t="n">
        <f aca="false">Supply!AE5</f>
        <v>9621.21450270799</v>
      </c>
    </row>
    <row r="300" customFormat="false" ht="15" hidden="false" customHeight="true" outlineLevel="0" collapsed="false">
      <c r="A300" s="1" t="n">
        <v>2048</v>
      </c>
      <c r="B300" s="64" t="n">
        <f aca="false">Supply!AF8</f>
        <v>3929.75707324393</v>
      </c>
      <c r="C300" s="64" t="n">
        <f aca="false">Supply!AF9</f>
        <v>517.994272466454</v>
      </c>
      <c r="D300" s="64" t="n">
        <f aca="false">Supply!AF29</f>
        <v>701.333333333333</v>
      </c>
      <c r="E300" s="64" t="n">
        <f aca="false">Supply!AF34</f>
        <v>34.591204836165</v>
      </c>
      <c r="F300" s="64" t="n">
        <f aca="false">Supply!AF5</f>
        <v>9687.9862064704</v>
      </c>
    </row>
    <row r="301" customFormat="false" ht="15" hidden="false" customHeight="true" outlineLevel="0" collapsed="false">
      <c r="A301" s="1" t="n">
        <v>2049</v>
      </c>
      <c r="B301" s="64" t="n">
        <f aca="false">Supply!AG8</f>
        <v>3870.81071714527</v>
      </c>
      <c r="C301" s="64" t="n">
        <f aca="false">Supply!AG9</f>
        <v>507.634387017125</v>
      </c>
      <c r="D301" s="64" t="n">
        <f aca="false">Supply!AG29</f>
        <v>725.666666666667</v>
      </c>
      <c r="E301" s="64" t="n">
        <f aca="false">Supply!AG34</f>
        <v>35.7111875017922</v>
      </c>
      <c r="F301" s="64" t="n">
        <f aca="false">Supply!AG5</f>
        <v>9754.42910733992</v>
      </c>
    </row>
    <row r="302" customFormat="false" ht="15" hidden="false" customHeight="true" outlineLevel="0" collapsed="false">
      <c r="A302" s="1" t="n">
        <v>2050</v>
      </c>
      <c r="B302" s="64" t="n">
        <f aca="false">Supply!AH8</f>
        <v>3812.74855638809</v>
      </c>
      <c r="C302" s="64" t="n">
        <f aca="false">Supply!AH9</f>
        <v>497.481699276783</v>
      </c>
      <c r="D302" s="64" t="n">
        <f aca="false">Supply!AH29</f>
        <v>750</v>
      </c>
      <c r="E302" s="64" t="n">
        <f aca="false">Supply!AH34</f>
        <v>36.8400967829428</v>
      </c>
      <c r="F302" s="64" t="n">
        <f aca="false">Supply!AH5</f>
        <v>9820.57362503237</v>
      </c>
    </row>
    <row r="305" customFormat="false" ht="15.75" hidden="false" customHeight="true" outlineLevel="0" collapsed="false">
      <c r="A305" s="117" t="s">
        <v>644</v>
      </c>
    </row>
    <row r="306" customFormat="false" ht="15" hidden="false" customHeight="true" outlineLevel="0" collapsed="false">
      <c r="A306" s="46" t="s">
        <v>622</v>
      </c>
      <c r="B306" s="46" t="s">
        <v>631</v>
      </c>
      <c r="C306" s="46" t="s">
        <v>632</v>
      </c>
      <c r="D306" s="46" t="s">
        <v>633</v>
      </c>
      <c r="E306" s="46" t="s">
        <v>634</v>
      </c>
      <c r="F306" s="46" t="s">
        <v>641</v>
      </c>
    </row>
    <row r="307" customFormat="false" ht="15" hidden="false" customHeight="true" outlineLevel="0" collapsed="false">
      <c r="A307" s="1" t="n">
        <v>2020</v>
      </c>
      <c r="B307" s="64" t="n">
        <f aca="false">Supply!D8</f>
        <v>6000</v>
      </c>
      <c r="C307" s="64" t="n">
        <f aca="false">Supply!D9</f>
        <v>912</v>
      </c>
      <c r="D307" s="1" t="n">
        <f aca="false">Supply!D57</f>
        <v>20</v>
      </c>
      <c r="E307" s="1" t="n">
        <f aca="false">Supply!D59</f>
        <v>7.84221977495</v>
      </c>
      <c r="F307" s="64" t="n">
        <f aca="false">Supply!D5</f>
        <v>7039.5343826149</v>
      </c>
    </row>
    <row r="308" customFormat="false" ht="15" hidden="false" customHeight="true" outlineLevel="0" collapsed="false">
      <c r="A308" s="1" t="n">
        <v>2021</v>
      </c>
      <c r="B308" s="64" t="n">
        <f aca="false">Supply!E8</f>
        <v>5910</v>
      </c>
      <c r="C308" s="64" t="n">
        <f aca="false">Supply!E9</f>
        <v>893.76</v>
      </c>
      <c r="D308" s="1" t="n">
        <f aca="false">Supply!E57</f>
        <v>44.3333333333333</v>
      </c>
      <c r="E308" s="1" t="n">
        <f aca="false">Supply!E59</f>
        <v>16.9571450538365</v>
      </c>
      <c r="F308" s="64" t="n">
        <f aca="false">Supply!E5</f>
        <v>7126.17359015226</v>
      </c>
    </row>
    <row r="309" customFormat="false" ht="15" hidden="false" customHeight="true" outlineLevel="0" collapsed="false">
      <c r="A309" s="1" t="n">
        <v>2022</v>
      </c>
      <c r="B309" s="64" t="n">
        <f aca="false">Supply!F8</f>
        <v>5821.35</v>
      </c>
      <c r="C309" s="64" t="n">
        <f aca="false">Supply!F9</f>
        <v>875.8848</v>
      </c>
      <c r="D309" s="1" t="n">
        <f aca="false">Supply!F57</f>
        <v>68.6666666666667</v>
      </c>
      <c r="E309" s="1" t="n">
        <f aca="false">Supply!F59</f>
        <v>26.3092212436009</v>
      </c>
      <c r="F309" s="64" t="n">
        <f aca="false">Supply!F5</f>
        <v>7211.7089819153</v>
      </c>
    </row>
    <row r="310" customFormat="false" ht="15" hidden="false" customHeight="true" outlineLevel="0" collapsed="false">
      <c r="A310" s="1" t="n">
        <v>2023</v>
      </c>
      <c r="B310" s="64" t="n">
        <f aca="false">Supply!G8</f>
        <v>5734.02975</v>
      </c>
      <c r="C310" s="64" t="n">
        <f aca="false">Supply!G9</f>
        <v>858.367104</v>
      </c>
      <c r="D310" s="1" t="n">
        <f aca="false">Supply!G57</f>
        <v>93</v>
      </c>
      <c r="E310" s="1" t="n">
        <f aca="false">Supply!G59</f>
        <v>35.8942064809066</v>
      </c>
      <c r="F310" s="64" t="n">
        <f aca="false">Supply!G5</f>
        <v>7296.16854336186</v>
      </c>
    </row>
    <row r="311" customFormat="false" ht="15" hidden="false" customHeight="true" outlineLevel="0" collapsed="false">
      <c r="A311" s="1" t="n">
        <v>2024</v>
      </c>
      <c r="B311" s="64" t="n">
        <f aca="false">Supply!H8</f>
        <v>5648.01930375</v>
      </c>
      <c r="C311" s="64" t="n">
        <f aca="false">Supply!H9</f>
        <v>841.19976192</v>
      </c>
      <c r="D311" s="1" t="n">
        <f aca="false">Supply!H57</f>
        <v>117.333333333333</v>
      </c>
      <c r="E311" s="1" t="n">
        <f aca="false">Supply!H59</f>
        <v>45.7079036046831</v>
      </c>
      <c r="F311" s="64" t="n">
        <f aca="false">Supply!H5</f>
        <v>7379.58025789088</v>
      </c>
    </row>
    <row r="312" customFormat="false" ht="15" hidden="false" customHeight="true" outlineLevel="0" collapsed="false">
      <c r="A312" s="1" t="n">
        <v>2025</v>
      </c>
      <c r="B312" s="64" t="n">
        <f aca="false">Supply!I8</f>
        <v>5563.29901419375</v>
      </c>
      <c r="C312" s="64" t="n">
        <f aca="false">Supply!I9</f>
        <v>824.3757666816</v>
      </c>
      <c r="D312" s="1" t="n">
        <f aca="false">Supply!I57</f>
        <v>141.666666666667</v>
      </c>
      <c r="E312" s="1" t="n">
        <f aca="false">Supply!I59</f>
        <v>55.7461597740879</v>
      </c>
      <c r="F312" s="64" t="n">
        <f aca="false">Supply!I5</f>
        <v>7461.97211324726</v>
      </c>
    </row>
    <row r="313" customFormat="false" ht="15" hidden="false" customHeight="true" outlineLevel="0" collapsed="false">
      <c r="A313" s="1" t="n">
        <v>2026</v>
      </c>
      <c r="B313" s="64" t="n">
        <f aca="false">Supply!J8</f>
        <v>5479.84952898084</v>
      </c>
      <c r="C313" s="64" t="n">
        <f aca="false">Supply!J9</f>
        <v>807.888251347968</v>
      </c>
      <c r="D313" s="1" t="n">
        <f aca="false">Supply!J57</f>
        <v>166</v>
      </c>
      <c r="E313" s="1" t="n">
        <f aca="false">Supply!J59</f>
        <v>66.0048660893765</v>
      </c>
      <c r="F313" s="64" t="n">
        <f aca="false">Supply!J5</f>
        <v>7543.37210799636</v>
      </c>
    </row>
    <row r="314" customFormat="false" ht="15" hidden="false" customHeight="true" outlineLevel="0" collapsed="false">
      <c r="A314" s="1" t="n">
        <v>2027</v>
      </c>
      <c r="B314" s="64" t="n">
        <f aca="false">Supply!K8</f>
        <v>5397.65178604613</v>
      </c>
      <c r="C314" s="64" t="n">
        <f aca="false">Supply!K9</f>
        <v>791.730486321009</v>
      </c>
      <c r="D314" s="1" t="n">
        <f aca="false">Supply!K57</f>
        <v>190.333333333333</v>
      </c>
      <c r="E314" s="1" t="n">
        <f aca="false">Supply!K59</f>
        <v>76.47995721566</v>
      </c>
      <c r="F314" s="64" t="n">
        <f aca="false">Supply!K5</f>
        <v>7678.55825807</v>
      </c>
    </row>
    <row r="315" customFormat="false" ht="15" hidden="false" customHeight="true" outlineLevel="0" collapsed="false">
      <c r="A315" s="1" t="n">
        <v>2028</v>
      </c>
      <c r="B315" s="64" t="n">
        <f aca="false">Supply!L8</f>
        <v>5316.68700925544</v>
      </c>
      <c r="C315" s="64" t="n">
        <f aca="false">Supply!L9</f>
        <v>775.895876594588</v>
      </c>
      <c r="D315" s="1" t="n">
        <f aca="false">Supply!L57</f>
        <v>214.666666666667</v>
      </c>
      <c r="E315" s="1" t="n">
        <f aca="false">Supply!L59</f>
        <v>87.1674110095298</v>
      </c>
      <c r="F315" s="64" t="n">
        <f aca="false">Supply!L5</f>
        <v>7812.80860338614</v>
      </c>
    </row>
    <row r="316" customFormat="false" ht="15" hidden="false" customHeight="true" outlineLevel="0" collapsed="false">
      <c r="A316" s="1" t="n">
        <v>2029</v>
      </c>
      <c r="B316" s="64" t="n">
        <f aca="false">Supply!M8</f>
        <v>5236.93670411661</v>
      </c>
      <c r="C316" s="64" t="n">
        <f aca="false">Supply!M9</f>
        <v>760.377959062697</v>
      </c>
      <c r="D316" s="1" t="n">
        <f aca="false">Supply!M57</f>
        <v>239</v>
      </c>
      <c r="E316" s="1" t="n">
        <f aca="false">Supply!M59</f>
        <v>98.0632481485294</v>
      </c>
      <c r="F316" s="64" t="n">
        <f aca="false">Supply!M5</f>
        <v>7946.15121454423</v>
      </c>
    </row>
    <row r="317" customFormat="false" ht="15" hidden="false" customHeight="true" outlineLevel="0" collapsed="false">
      <c r="A317" s="1" t="n">
        <v>2030</v>
      </c>
      <c r="B317" s="64" t="n">
        <f aca="false">Supply!N8</f>
        <v>5158.38265355486</v>
      </c>
      <c r="C317" s="64" t="n">
        <f aca="false">Supply!N9</f>
        <v>745.170399881443</v>
      </c>
      <c r="D317" s="1" t="n">
        <f aca="false">Supply!N57</f>
        <v>263.333333333333</v>
      </c>
      <c r="E317" s="1" t="n">
        <f aca="false">Supply!N59</f>
        <v>109.163531763453</v>
      </c>
      <c r="F317" s="64" t="n">
        <f aca="false">Supply!N5</f>
        <v>8078.61419959842</v>
      </c>
    </row>
    <row r="318" customFormat="false" ht="15" hidden="false" customHeight="true" outlineLevel="0" collapsed="false">
      <c r="A318" s="1" t="n">
        <v>2031</v>
      </c>
      <c r="B318" s="64" t="n">
        <f aca="false">Supply!O8</f>
        <v>5081.00691375154</v>
      </c>
      <c r="C318" s="64" t="n">
        <f aca="false">Supply!O9</f>
        <v>730.266991883814</v>
      </c>
      <c r="D318" s="1" t="n">
        <f aca="false">Supply!O57</f>
        <v>287.666666666667</v>
      </c>
      <c r="E318" s="1" t="n">
        <f aca="false">Supply!O59</f>
        <v>120.464367073449</v>
      </c>
      <c r="F318" s="64" t="n">
        <f aca="false">Supply!O5</f>
        <v>8210.22571091063</v>
      </c>
    </row>
    <row r="319" customFormat="false" ht="15" hidden="false" customHeight="true" outlineLevel="0" collapsed="false">
      <c r="A319" s="1" t="n">
        <v>2032</v>
      </c>
      <c r="B319" s="64" t="n">
        <f aca="false">Supply!P8</f>
        <v>5004.79181004526</v>
      </c>
      <c r="C319" s="64" t="n">
        <f aca="false">Supply!P9</f>
        <v>715.661652046137</v>
      </c>
      <c r="D319" s="1" t="n">
        <f aca="false">Supply!P57</f>
        <v>312</v>
      </c>
      <c r="E319" s="1" t="n">
        <f aca="false">Supply!P59</f>
        <v>131.961901023915</v>
      </c>
      <c r="F319" s="64" t="n">
        <f aca="false">Supply!P5</f>
        <v>8341.01395208585</v>
      </c>
    </row>
    <row r="320" customFormat="false" ht="15" hidden="false" customHeight="true" outlineLevel="0" collapsed="false">
      <c r="A320" s="1" t="n">
        <v>2033</v>
      </c>
      <c r="B320" s="64" t="n">
        <f aca="false">Supply!Q8</f>
        <v>4929.71993289458</v>
      </c>
      <c r="C320" s="64" t="n">
        <f aca="false">Supply!Q9</f>
        <v>701.348419005215</v>
      </c>
      <c r="D320" s="1" t="n">
        <f aca="false">Supply!Q57</f>
        <v>336.333333333333</v>
      </c>
      <c r="E320" s="1" t="n">
        <f aca="false">Supply!Q59</f>
        <v>143.652321927154</v>
      </c>
      <c r="F320" s="64" t="n">
        <f aca="false">Supply!Q5</f>
        <v>8471.00718499181</v>
      </c>
    </row>
    <row r="321" customFormat="false" ht="15" hidden="false" customHeight="true" outlineLevel="0" collapsed="false">
      <c r="A321" s="1" t="n">
        <v>2034</v>
      </c>
      <c r="B321" s="64" t="n">
        <f aca="false">Supply!R8</f>
        <v>4855.77413390116</v>
      </c>
      <c r="C321" s="64" t="n">
        <f aca="false">Supply!R9</f>
        <v>687.32145062511</v>
      </c>
      <c r="D321" s="1" t="n">
        <f aca="false">Supply!R57</f>
        <v>360.666666666667</v>
      </c>
      <c r="E321" s="1" t="n">
        <f aca="false">Supply!R59</f>
        <v>155.531859105782</v>
      </c>
      <c r="F321" s="64" t="n">
        <f aca="false">Supply!R5</f>
        <v>8600.23373686522</v>
      </c>
    </row>
    <row r="322" customFormat="false" ht="15" hidden="false" customHeight="true" outlineLevel="0" collapsed="false">
      <c r="A322" s="1" t="n">
        <v>2035</v>
      </c>
      <c r="B322" s="64" t="n">
        <f aca="false">Supply!S8</f>
        <v>4782.93752189265</v>
      </c>
      <c r="C322" s="64" t="n">
        <f aca="false">Supply!S9</f>
        <v>673.575021612608</v>
      </c>
      <c r="D322" s="1" t="n">
        <f aca="false">Supply!S57</f>
        <v>400.571769603625</v>
      </c>
      <c r="E322" s="1" t="n">
        <f aca="false">Supply!S59</f>
        <v>167.596782538864</v>
      </c>
      <c r="F322" s="64" t="n">
        <f aca="false">Supply!S5</f>
        <v>8728.72200750699</v>
      </c>
    </row>
    <row r="323" customFormat="false" ht="15" hidden="false" customHeight="true" outlineLevel="0" collapsed="false">
      <c r="A323" s="1" t="n">
        <v>2036</v>
      </c>
      <c r="B323" s="64" t="n">
        <f aca="false">Supply!T8</f>
        <v>4711.19345906426</v>
      </c>
      <c r="C323" s="64" t="n">
        <f aca="false">Supply!T9</f>
        <v>660.103521180356</v>
      </c>
      <c r="D323" s="1" t="n">
        <f aca="false">Supply!T57</f>
        <v>447.986650610717</v>
      </c>
      <c r="E323" s="1" t="n">
        <f aca="false">Supply!T59</f>
        <v>179.843402510753</v>
      </c>
      <c r="F323" s="64" t="n">
        <f aca="false">Supply!T5</f>
        <v>8856.50047656877</v>
      </c>
    </row>
    <row r="324" customFormat="false" ht="15" hidden="false" customHeight="true" outlineLevel="0" collapsed="false">
      <c r="A324" s="1" t="n">
        <v>2037</v>
      </c>
      <c r="B324" s="64" t="n">
        <f aca="false">Supply!U8</f>
        <v>4640.52555717829</v>
      </c>
      <c r="C324" s="64" t="n">
        <f aca="false">Supply!U9</f>
        <v>646.901450756749</v>
      </c>
      <c r="D324" s="1" t="n">
        <f aca="false">Supply!U57</f>
        <v>440.470774777138</v>
      </c>
      <c r="E324" s="1" t="n">
        <f aca="false">Supply!U59</f>
        <v>192.268069262627</v>
      </c>
      <c r="F324" s="64" t="n">
        <f aca="false">Supply!U5</f>
        <v>8928.84771093307</v>
      </c>
    </row>
    <row r="325" customFormat="false" ht="15" hidden="false" customHeight="true" outlineLevel="0" collapsed="false">
      <c r="A325" s="1" t="n">
        <v>2038</v>
      </c>
      <c r="B325" s="64" t="n">
        <f aca="false">Supply!V8</f>
        <v>4570.91767382062</v>
      </c>
      <c r="C325" s="64" t="n">
        <f aca="false">Supply!V9</f>
        <v>633.963421741614</v>
      </c>
      <c r="D325" s="1" t="n">
        <f aca="false">Supply!V57</f>
        <v>458</v>
      </c>
      <c r="E325" s="1" t="n">
        <f aca="false">Supply!V59</f>
        <v>204.867172646692</v>
      </c>
      <c r="F325" s="64" t="n">
        <f aca="false">Supply!V5</f>
        <v>9000.54237218954</v>
      </c>
    </row>
    <row r="326" customFormat="false" ht="15" hidden="false" customHeight="true" outlineLevel="0" collapsed="false">
      <c r="A326" s="1" t="n">
        <v>2039</v>
      </c>
      <c r="B326" s="64" t="n">
        <f aca="false">Supply!W8</f>
        <v>4502.35390871331</v>
      </c>
      <c r="C326" s="64" t="n">
        <f aca="false">Supply!W9</f>
        <v>621.284153306782</v>
      </c>
      <c r="D326" s="1" t="n">
        <f aca="false">Supply!W57</f>
        <v>482.333333333333</v>
      </c>
      <c r="E326" s="1" t="n">
        <f aca="false">Supply!W59</f>
        <v>217.637141783032</v>
      </c>
      <c r="F326" s="64" t="n">
        <f aca="false">Supply!W5</f>
        <v>9071.61322420982</v>
      </c>
    </row>
    <row r="327" customFormat="false" ht="15" hidden="false" customHeight="true" outlineLevel="0" collapsed="false">
      <c r="A327" s="1" t="n">
        <v>2040</v>
      </c>
      <c r="B327" s="64" t="n">
        <f aca="false">Supply!X8</f>
        <v>4434.81860008261</v>
      </c>
      <c r="C327" s="64" t="n">
        <f aca="false">Supply!X9</f>
        <v>608.858470240646</v>
      </c>
      <c r="D327" s="1" t="n">
        <f aca="false">Supply!X57</f>
        <v>506.666666666667</v>
      </c>
      <c r="E327" s="1" t="n">
        <f aca="false">Supply!X59</f>
        <v>230.574444719101</v>
      </c>
      <c r="F327" s="64" t="n">
        <f aca="false">Supply!X5</f>
        <v>9142.08914082344</v>
      </c>
    </row>
    <row r="328" customFormat="false" ht="15" hidden="false" customHeight="true" outlineLevel="0" collapsed="false">
      <c r="A328" s="1" t="n">
        <v>2041</v>
      </c>
      <c r="B328" s="64" t="n">
        <f aca="false">Supply!Y8</f>
        <v>4368.29632108137</v>
      </c>
      <c r="C328" s="64" t="n">
        <f aca="false">Supply!Y9</f>
        <v>596.681300835833</v>
      </c>
      <c r="D328" s="1" t="n">
        <f aca="false">Supply!Y57</f>
        <v>531</v>
      </c>
      <c r="E328" s="1" t="n">
        <f aca="false">Supply!Y59</f>
        <v>243.675588091822</v>
      </c>
      <c r="F328" s="64" t="n">
        <f aca="false">Supply!Y5</f>
        <v>9211.99911359741</v>
      </c>
    </row>
    <row r="329" customFormat="false" ht="15" hidden="false" customHeight="true" outlineLevel="0" collapsed="false">
      <c r="A329" s="1" t="n">
        <v>2042</v>
      </c>
      <c r="B329" s="64" t="n">
        <f aca="false">Supply!Z8</f>
        <v>4302.77187626515</v>
      </c>
      <c r="C329" s="64" t="n">
        <f aca="false">Supply!Z9</f>
        <v>584.747674819116</v>
      </c>
      <c r="D329" s="1" t="n">
        <f aca="false">Supply!Z57</f>
        <v>555.333333333333</v>
      </c>
      <c r="E329" s="1" t="n">
        <f aca="false">Supply!Z59</f>
        <v>256.937116792281</v>
      </c>
      <c r="F329" s="64" t="n">
        <f aca="false">Supply!Z5</f>
        <v>9281.37225972204</v>
      </c>
    </row>
    <row r="330" customFormat="false" ht="15" hidden="false" customHeight="true" outlineLevel="0" collapsed="false">
      <c r="A330" s="1" t="n">
        <v>2043</v>
      </c>
      <c r="B330" s="64" t="n">
        <f aca="false">Supply!AA8</f>
        <v>4238.23029812117</v>
      </c>
      <c r="C330" s="64" t="n">
        <f aca="false">Supply!AA9</f>
        <v>573.052721322734</v>
      </c>
      <c r="D330" s="1" t="n">
        <f aca="false">Supply!AA57</f>
        <v>579.666666666667</v>
      </c>
      <c r="E330" s="1" t="n">
        <f aca="false">Supply!AA59</f>
        <v>270.355613633003</v>
      </c>
      <c r="F330" s="64" t="n">
        <f aca="false">Supply!AA5</f>
        <v>9350.23783000565</v>
      </c>
    </row>
    <row r="331" customFormat="false" ht="15" hidden="false" customHeight="true" outlineLevel="0" collapsed="false">
      <c r="A331" s="1" t="n">
        <v>2044</v>
      </c>
      <c r="B331" s="64" t="n">
        <f aca="false">Supply!AB8</f>
        <v>4174.65684364935</v>
      </c>
      <c r="C331" s="64" t="n">
        <f aca="false">Supply!AB9</f>
        <v>561.591666896279</v>
      </c>
      <c r="D331" s="1" t="n">
        <f aca="false">Supply!AB57</f>
        <v>604</v>
      </c>
      <c r="E331" s="1" t="n">
        <f aca="false">Supply!AB59</f>
        <v>283.927699017785</v>
      </c>
      <c r="F331" s="64" t="n">
        <f aca="false">Supply!AB5</f>
        <v>9418.62521698097</v>
      </c>
    </row>
    <row r="332" customFormat="false" ht="15" hidden="false" customHeight="true" outlineLevel="0" collapsed="false">
      <c r="A332" s="1" t="n">
        <v>2045</v>
      </c>
      <c r="B332" s="64" t="n">
        <f aca="false">Supply!AC8</f>
        <v>4112.03699099461</v>
      </c>
      <c r="C332" s="64" t="n">
        <f aca="false">Supply!AC9</f>
        <v>550.359833558354</v>
      </c>
      <c r="D332" s="1" t="n">
        <f aca="false">Supply!AC57</f>
        <v>628.333333333333</v>
      </c>
      <c r="E332" s="1" t="n">
        <f aca="false">Supply!AC59</f>
        <v>297.650030614062</v>
      </c>
      <c r="F332" s="64" t="n">
        <f aca="false">Supply!AC5</f>
        <v>9486.56396312579</v>
      </c>
    </row>
    <row r="333" customFormat="false" ht="15" hidden="false" customHeight="true" outlineLevel="0" collapsed="false">
      <c r="A333" s="1" t="n">
        <v>2046</v>
      </c>
      <c r="B333" s="64" t="n">
        <f aca="false">Supply!AD8</f>
        <v>4050.3564361297</v>
      </c>
      <c r="C333" s="64" t="n">
        <f aca="false">Supply!AD9</f>
        <v>539.352636887187</v>
      </c>
      <c r="D333" s="1" t="n">
        <f aca="false">Supply!AD57</f>
        <v>652.666666666667</v>
      </c>
      <c r="E333" s="1" t="n">
        <f aca="false">Supply!AD59</f>
        <v>311.519303027807</v>
      </c>
      <c r="F333" s="64" t="n">
        <f aca="false">Supply!AD5</f>
        <v>9554.08376920091</v>
      </c>
    </row>
    <row r="334" customFormat="false" ht="15" hidden="false" customHeight="true" outlineLevel="0" collapsed="false">
      <c r="A334" s="1" t="n">
        <v>2047</v>
      </c>
      <c r="B334" s="64" t="n">
        <f aca="false">Supply!AE8</f>
        <v>3989.60108958775</v>
      </c>
      <c r="C334" s="64" t="n">
        <f aca="false">Supply!AE9</f>
        <v>528.565584149443</v>
      </c>
      <c r="D334" s="1" t="n">
        <f aca="false">Supply!AE57</f>
        <v>677</v>
      </c>
      <c r="E334" s="1" t="n">
        <f aca="false">Supply!AE59</f>
        <v>325.532247480925</v>
      </c>
      <c r="F334" s="64" t="n">
        <f aca="false">Supply!AE5</f>
        <v>9621.21450270799</v>
      </c>
    </row>
    <row r="335" customFormat="false" ht="15" hidden="false" customHeight="true" outlineLevel="0" collapsed="false">
      <c r="A335" s="1" t="n">
        <v>2048</v>
      </c>
      <c r="B335" s="64" t="n">
        <f aca="false">Supply!AF8</f>
        <v>3929.75707324393</v>
      </c>
      <c r="C335" s="64" t="n">
        <f aca="false">Supply!AF9</f>
        <v>517.994272466454</v>
      </c>
      <c r="D335" s="1" t="n">
        <f aca="false">Supply!AF57</f>
        <v>701.333333333333</v>
      </c>
      <c r="E335" s="1" t="n">
        <f aca="false">Supply!AF59</f>
        <v>339.68563149114</v>
      </c>
      <c r="F335" s="64" t="n">
        <f aca="false">Supply!AF5</f>
        <v>9687.9862064704</v>
      </c>
    </row>
    <row r="336" customFormat="false" ht="15" hidden="false" customHeight="true" outlineLevel="0" collapsed="false">
      <c r="A336" s="1" t="n">
        <v>2049</v>
      </c>
      <c r="B336" s="64" t="n">
        <f aca="false">Supply!AG8</f>
        <v>3870.81071714527</v>
      </c>
      <c r="C336" s="64" t="n">
        <f aca="false">Supply!AG9</f>
        <v>507.634387017125</v>
      </c>
      <c r="D336" s="1" t="n">
        <f aca="false">Supply!AG57</f>
        <v>725.666666666667</v>
      </c>
      <c r="E336" s="1" t="n">
        <f aca="false">Supply!AG59</f>
        <v>353.97625855435</v>
      </c>
      <c r="F336" s="64" t="n">
        <f aca="false">Supply!AG5</f>
        <v>9754.42910733992</v>
      </c>
    </row>
    <row r="337" customFormat="false" ht="15" hidden="false" customHeight="true" outlineLevel="0" collapsed="false">
      <c r="A337" s="1" t="n">
        <v>2050</v>
      </c>
      <c r="B337" s="64" t="n">
        <f aca="false">Supply!AH8</f>
        <v>3812.74855638809</v>
      </c>
      <c r="C337" s="64" t="n">
        <f aca="false">Supply!AH9</f>
        <v>497.481699276783</v>
      </c>
      <c r="D337" s="1" t="n">
        <f aca="false">Supply!AH57</f>
        <v>750</v>
      </c>
      <c r="E337" s="1" t="n">
        <f aca="false">Supply!AH59</f>
        <v>368.400967829428</v>
      </c>
      <c r="F337" s="64" t="n">
        <f aca="false">Supply!AH5</f>
        <v>9820.57362503237</v>
      </c>
    </row>
    <row r="340" customFormat="false" ht="15.75" hidden="false" customHeight="true" outlineLevel="0" collapsed="false">
      <c r="A340" s="117" t="s">
        <v>645</v>
      </c>
    </row>
    <row r="341" customFormat="false" ht="15" hidden="false" customHeight="true" outlineLevel="0" collapsed="false">
      <c r="A341" s="46" t="s">
        <v>622</v>
      </c>
      <c r="B341" s="46" t="s">
        <v>623</v>
      </c>
      <c r="C341" s="46" t="s">
        <v>624</v>
      </c>
      <c r="D341" s="46" t="s">
        <v>625</v>
      </c>
      <c r="E341" s="46" t="s">
        <v>646</v>
      </c>
    </row>
    <row r="342" customFormat="false" ht="15" hidden="false" customHeight="true" outlineLevel="0" collapsed="false">
      <c r="A342" s="1" t="n">
        <v>2020</v>
      </c>
      <c r="B342" s="64" t="n">
        <f aca="false">Demand!D13</f>
        <v>784.221977495</v>
      </c>
      <c r="C342" s="64" t="n">
        <f aca="false">Demand!D14</f>
        <v>389.6270185899</v>
      </c>
      <c r="D342" s="64" t="n">
        <f aca="false">Demand!D15</f>
        <v>5865.68538653</v>
      </c>
      <c r="E342" s="64" t="n">
        <f aca="false">Demand!D17</f>
        <v>0</v>
      </c>
    </row>
    <row r="343" customFormat="false" ht="15" hidden="false" customHeight="true" outlineLevel="0" collapsed="false">
      <c r="A343" s="1" t="n">
        <v>2021</v>
      </c>
      <c r="B343" s="64" t="n">
        <f aca="false">Demand!E13</f>
        <v>794.866174398587</v>
      </c>
      <c r="C343" s="64" t="n">
        <f aca="false">Demand!E14</f>
        <v>403.932968035115</v>
      </c>
      <c r="D343" s="64" t="n">
        <f aca="false">Demand!E15</f>
        <v>5927.37444771856</v>
      </c>
      <c r="E343" s="64" t="n">
        <f aca="false">Demand!E17</f>
        <v>0</v>
      </c>
    </row>
    <row r="344" customFormat="false" ht="15" hidden="false" customHeight="true" outlineLevel="0" collapsed="false">
      <c r="A344" s="1" t="n">
        <v>2022</v>
      </c>
      <c r="B344" s="64" t="n">
        <f aca="false">Demand!F13</f>
        <v>805.384323783702</v>
      </c>
      <c r="C344" s="64" t="n">
        <f aca="false">Demand!F14</f>
        <v>418.623578068233</v>
      </c>
      <c r="D344" s="64" t="n">
        <f aca="false">Demand!F15</f>
        <v>5987.70108006336</v>
      </c>
      <c r="E344" s="64" t="n">
        <f aca="false">Demand!F17</f>
        <v>0</v>
      </c>
    </row>
    <row r="345" customFormat="false" ht="15" hidden="false" customHeight="true" outlineLevel="0" collapsed="false">
      <c r="A345" s="1" t="n">
        <v>2023</v>
      </c>
      <c r="B345" s="64" t="n">
        <f aca="false">Demand!G13</f>
        <v>815.777420020605</v>
      </c>
      <c r="C345" s="64" t="n">
        <f aca="false">Demand!G14</f>
        <v>433.707989015256</v>
      </c>
      <c r="D345" s="64" t="n">
        <f aca="false">Demand!G15</f>
        <v>6046.683134326</v>
      </c>
      <c r="E345" s="64" t="n">
        <f aca="false">Demand!G17</f>
        <v>0</v>
      </c>
    </row>
    <row r="346" customFormat="false" ht="15" hidden="false" customHeight="true" outlineLevel="0" collapsed="false">
      <c r="A346" s="1" t="n">
        <v>2024</v>
      </c>
      <c r="B346" s="64" t="n">
        <f aca="false">Demand!H13</f>
        <v>826.046450687044</v>
      </c>
      <c r="C346" s="64" t="n">
        <f aca="false">Demand!H14</f>
        <v>449.195544352525</v>
      </c>
      <c r="D346" s="64" t="n">
        <f aca="false">Demand!H15</f>
        <v>6104.33826285131</v>
      </c>
      <c r="E346" s="64" t="n">
        <f aca="false">Demand!H17</f>
        <v>0</v>
      </c>
    </row>
    <row r="347" customFormat="false" ht="15" hidden="false" customHeight="true" outlineLevel="0" collapsed="false">
      <c r="A347" s="1" t="n">
        <v>2025</v>
      </c>
      <c r="B347" s="64" t="n">
        <f aca="false">Demand!I13</f>
        <v>836.192396611319</v>
      </c>
      <c r="C347" s="64" t="n">
        <f aca="false">Demand!I14</f>
        <v>465.095795036329</v>
      </c>
      <c r="D347" s="64" t="n">
        <f aca="false">Demand!I15</f>
        <v>6160.68392159961</v>
      </c>
      <c r="E347" s="64" t="n">
        <f aca="false">Demand!I17</f>
        <v>0</v>
      </c>
    </row>
    <row r="348" customFormat="false" ht="15" hidden="false" customHeight="true" outlineLevel="0" collapsed="false">
      <c r="A348" s="1" t="n">
        <v>2026</v>
      </c>
      <c r="B348" s="64" t="n">
        <f aca="false">Demand!J13</f>
        <v>846.216231915084</v>
      </c>
      <c r="C348" s="64" t="n">
        <f aca="false">Demand!J14</f>
        <v>481.418503922153</v>
      </c>
      <c r="D348" s="64" t="n">
        <f aca="false">Demand!J15</f>
        <v>6215.73737215912</v>
      </c>
      <c r="E348" s="64" t="n">
        <f aca="false">Demand!J17</f>
        <v>0</v>
      </c>
    </row>
    <row r="349" customFormat="false" ht="15" hidden="false" customHeight="true" outlineLevel="0" collapsed="false">
      <c r="A349" s="1" t="n">
        <v>2027</v>
      </c>
      <c r="B349" s="64" t="n">
        <f aca="false">Demand!K13</f>
        <v>856.118924055895</v>
      </c>
      <c r="C349" s="64" t="n">
        <f aca="false">Demand!K14</f>
        <v>498.173650275403</v>
      </c>
      <c r="D349" s="64" t="n">
        <f aca="false">Demand!K15</f>
        <v>6269.5156837387</v>
      </c>
      <c r="E349" s="64" t="n">
        <f aca="false">Demand!K17</f>
        <v>54.75</v>
      </c>
    </row>
    <row r="350" customFormat="false" ht="15" hidden="false" customHeight="true" outlineLevel="0" collapsed="false">
      <c r="A350" s="1" t="n">
        <v>2028</v>
      </c>
      <c r="B350" s="64" t="n">
        <f aca="false">Demand!L13</f>
        <v>865.901433869501</v>
      </c>
      <c r="C350" s="64" t="n">
        <f aca="false">Demand!L14</f>
        <v>515.37143437545</v>
      </c>
      <c r="D350" s="64" t="n">
        <f aca="false">Demand!L15</f>
        <v>6322.03573514119</v>
      </c>
      <c r="E350" s="64" t="n">
        <f aca="false">Demand!L17</f>
        <v>109.5</v>
      </c>
    </row>
    <row r="351" customFormat="false" ht="15" hidden="false" customHeight="true" outlineLevel="0" collapsed="false">
      <c r="A351" s="1" t="n">
        <v>2029</v>
      </c>
      <c r="B351" s="64" t="n">
        <f aca="false">Demand!M13</f>
        <v>875.564715611869</v>
      </c>
      <c r="C351" s="64" t="n">
        <f aca="false">Demand!M14</f>
        <v>533.022282214894</v>
      </c>
      <c r="D351" s="64" t="n">
        <f aca="false">Demand!M15</f>
        <v>6373.31421671747</v>
      </c>
      <c r="E351" s="64" t="n">
        <f aca="false">Demand!M17</f>
        <v>164.25</v>
      </c>
    </row>
    <row r="352" customFormat="false" ht="15" hidden="false" customHeight="true" outlineLevel="0" collapsed="false">
      <c r="A352" s="1" t="n">
        <v>2030</v>
      </c>
      <c r="B352" s="64" t="n">
        <f aca="false">Demand!N13</f>
        <v>885.109717000968</v>
      </c>
      <c r="C352" s="64" t="n">
        <f aca="false">Demand!N14</f>
        <v>551.136850295968</v>
      </c>
      <c r="D352" s="64" t="n">
        <f aca="false">Demand!N15</f>
        <v>6423.36763230149</v>
      </c>
      <c r="E352" s="64" t="n">
        <f aca="false">Demand!N17</f>
        <v>219</v>
      </c>
    </row>
    <row r="353" customFormat="false" ht="15" hidden="false" customHeight="true" outlineLevel="0" collapsed="false">
      <c r="A353" s="1" t="n">
        <v>2031</v>
      </c>
      <c r="B353" s="64" t="n">
        <f aca="false">Demand!O13</f>
        <v>894.537379258284</v>
      </c>
      <c r="C353" s="64" t="n">
        <f aca="false">Demand!O14</f>
        <v>569.726030526055</v>
      </c>
      <c r="D353" s="64" t="n">
        <f aca="false">Demand!O15</f>
        <v>6472.21230112629</v>
      </c>
      <c r="E353" s="64" t="n">
        <f aca="false">Demand!O17</f>
        <v>273.75</v>
      </c>
    </row>
    <row r="354" customFormat="false" ht="15" hidden="false" customHeight="true" outlineLevel="0" collapsed="false">
      <c r="A354" s="1" t="n">
        <v>2032</v>
      </c>
      <c r="B354" s="64" t="n">
        <f aca="false">Demand!P13</f>
        <v>903.848637150102</v>
      </c>
      <c r="C354" s="64" t="n">
        <f aca="false">Demand!P14</f>
        <v>588.800955214323</v>
      </c>
      <c r="D354" s="64" t="n">
        <f aca="false">Demand!P15</f>
        <v>6519.86435972143</v>
      </c>
      <c r="E354" s="64" t="n">
        <f aca="false">Demand!P17</f>
        <v>328.5</v>
      </c>
    </row>
    <row r="355" customFormat="false" ht="15" hidden="false" customHeight="true" outlineLevel="0" collapsed="false">
      <c r="A355" s="1" t="n">
        <v>2033</v>
      </c>
      <c r="B355" s="64" t="n">
        <f aca="false">Demand!Q13</f>
        <v>913.044419028521</v>
      </c>
      <c r="C355" s="64" t="n">
        <f aca="false">Demand!Q14</f>
        <v>608.37300217152</v>
      </c>
      <c r="D355" s="64" t="n">
        <f aca="false">Demand!Q15</f>
        <v>6566.33976379177</v>
      </c>
      <c r="E355" s="64" t="n">
        <f aca="false">Demand!Q17</f>
        <v>383.25</v>
      </c>
    </row>
    <row r="356" customFormat="false" ht="15" hidden="false" customHeight="true" outlineLevel="0" collapsed="false">
      <c r="A356" s="1" t="n">
        <v>2034</v>
      </c>
      <c r="B356" s="64" t="n">
        <f aca="false">Demand!R13</f>
        <v>922.125646872227</v>
      </c>
      <c r="C356" s="64" t="n">
        <f aca="false">Demand!R14</f>
        <v>628.453799915024</v>
      </c>
      <c r="D356" s="64" t="n">
        <f aca="false">Demand!R15</f>
        <v>6611.65429007797</v>
      </c>
      <c r="E356" s="64" t="n">
        <f aca="false">Demand!R17</f>
        <v>438</v>
      </c>
    </row>
    <row r="357" customFormat="false" ht="15" hidden="false" customHeight="true" outlineLevel="0" collapsed="false">
      <c r="A357" s="1" t="n">
        <v>2035</v>
      </c>
      <c r="B357" s="64" t="n">
        <f aca="false">Demand!S13</f>
        <v>931.09323632702</v>
      </c>
      <c r="C357" s="64" t="n">
        <f aca="false">Demand!S14</f>
        <v>649.055232981272</v>
      </c>
      <c r="D357" s="64" t="n">
        <f aca="false">Demand!S15</f>
        <v>6655.8235381987</v>
      </c>
      <c r="E357" s="64" t="n">
        <f aca="false">Demand!S17</f>
        <v>492.75</v>
      </c>
    </row>
    <row r="358" customFormat="false" ht="15" hidden="false" customHeight="true" outlineLevel="0" collapsed="false">
      <c r="A358" s="1" t="n">
        <v>2036</v>
      </c>
      <c r="B358" s="64" t="n">
        <f aca="false">Demand!T13</f>
        <v>939.948096746093</v>
      </c>
      <c r="C358" s="64" t="n">
        <f aca="false">Demand!T14</f>
        <v>670.189447347742</v>
      </c>
      <c r="D358" s="64" t="n">
        <f aca="false">Demand!T15</f>
        <v>6698.86293247494</v>
      </c>
      <c r="E358" s="64" t="n">
        <f aca="false">Demand!T17</f>
        <v>547.5</v>
      </c>
    </row>
    <row r="359" customFormat="false" ht="15" hidden="false" customHeight="true" outlineLevel="0" collapsed="false">
      <c r="A359" s="1" t="n">
        <v>2037</v>
      </c>
      <c r="B359" s="64" t="n">
        <f aca="false">Demand!U13</f>
        <v>948.691131230068</v>
      </c>
      <c r="C359" s="64" t="n">
        <f aca="false">Demand!U14</f>
        <v>691.868855966691</v>
      </c>
      <c r="D359" s="64" t="n">
        <f aca="false">Demand!U15</f>
        <v>6740.78772373631</v>
      </c>
      <c r="E359" s="64" t="n">
        <f aca="false">Demand!U17</f>
        <v>547.5</v>
      </c>
    </row>
    <row r="360" customFormat="false" ht="15" hidden="false" customHeight="true" outlineLevel="0" collapsed="false">
      <c r="A360" s="1" t="n">
        <v>2038</v>
      </c>
      <c r="B360" s="64" t="n">
        <f aca="false">Demand!V13</f>
        <v>957.323236666784</v>
      </c>
      <c r="C360" s="64" t="n">
        <f aca="false">Demand!V14</f>
        <v>714.106144412932</v>
      </c>
      <c r="D360" s="64" t="n">
        <f aca="false">Demand!V15</f>
        <v>6781.61299110982</v>
      </c>
      <c r="E360" s="64" t="n">
        <f aca="false">Demand!V17</f>
        <v>547.5</v>
      </c>
    </row>
    <row r="361" customFormat="false" ht="15" hidden="false" customHeight="true" outlineLevel="0" collapsed="false">
      <c r="A361" s="1" t="n">
        <v>2039</v>
      </c>
      <c r="B361" s="64" t="n">
        <f aca="false">Demand!W13</f>
        <v>965.845303770852</v>
      </c>
      <c r="C361" s="64" t="n">
        <f aca="false">Demand!W14</f>
        <v>736.914276647924</v>
      </c>
      <c r="D361" s="64" t="n">
        <f aca="false">Demand!W15</f>
        <v>6821.35364379104</v>
      </c>
      <c r="E361" s="64" t="n">
        <f aca="false">Demand!W17</f>
        <v>547.5</v>
      </c>
    </row>
    <row r="362" customFormat="false" ht="15" hidden="false" customHeight="true" outlineLevel="0" collapsed="false">
      <c r="A362" s="1" t="n">
        <v>2040</v>
      </c>
      <c r="B362" s="64" t="n">
        <f aca="false">Demand!X13</f>
        <v>974.258217122963</v>
      </c>
      <c r="C362" s="64" t="n">
        <f aca="false">Demand!X14</f>
        <v>760.306500902548</v>
      </c>
      <c r="D362" s="64" t="n">
        <f aca="false">Demand!X15</f>
        <v>6860.02442279793</v>
      </c>
      <c r="E362" s="64" t="n">
        <f aca="false">Demand!X17</f>
        <v>547.5</v>
      </c>
    </row>
    <row r="363" customFormat="false" ht="15" hidden="false" customHeight="true" outlineLevel="0" collapsed="false">
      <c r="A363" s="1" t="n">
        <v>2041</v>
      </c>
      <c r="B363" s="64" t="n">
        <f aca="false">Demand!Y13</f>
        <v>982.562855208958</v>
      </c>
      <c r="C363" s="64" t="n">
        <f aca="false">Demand!Y14</f>
        <v>784.296355680951</v>
      </c>
      <c r="D363" s="64" t="n">
        <f aca="false">Demand!Y15</f>
        <v>6897.6399027075</v>
      </c>
      <c r="E363" s="64" t="n">
        <f aca="false">Demand!Y17</f>
        <v>547.5</v>
      </c>
    </row>
    <row r="364" customFormat="false" ht="15" hidden="false" customHeight="true" outlineLevel="0" collapsed="false">
      <c r="A364" s="1" t="n">
        <v>2042</v>
      </c>
      <c r="B364" s="64" t="n">
        <f aca="false">Demand!Z13</f>
        <v>990.760090458665</v>
      </c>
      <c r="C364" s="64" t="n">
        <f aca="false">Demand!Z14</f>
        <v>808.897675887909</v>
      </c>
      <c r="D364" s="64" t="n">
        <f aca="false">Demand!Z15</f>
        <v>6934.21449337546</v>
      </c>
      <c r="E364" s="64" t="n">
        <f aca="false">Demand!Z17</f>
        <v>547.5</v>
      </c>
    </row>
    <row r="365" customFormat="false" ht="15" hidden="false" customHeight="true" outlineLevel="0" collapsed="false">
      <c r="A365" s="1" t="n">
        <v>2043</v>
      </c>
      <c r="B365" s="64" t="n">
        <f aca="false">Demand!AA13</f>
        <v>998.850789284495</v>
      </c>
      <c r="C365" s="64" t="n">
        <f aca="false">Demand!AA14</f>
        <v>834.124599082191</v>
      </c>
      <c r="D365" s="64" t="n">
        <f aca="false">Demand!AA15</f>
        <v>6969.76244163896</v>
      </c>
      <c r="E365" s="64" t="n">
        <f aca="false">Demand!AA17</f>
        <v>547.5</v>
      </c>
    </row>
    <row r="366" customFormat="false" ht="15" hidden="false" customHeight="true" outlineLevel="0" collapsed="false">
      <c r="A366" s="1" t="n">
        <v>2044</v>
      </c>
      <c r="B366" s="64" t="n">
        <f aca="false">Demand!AB13</f>
        <v>1006.83581211981</v>
      </c>
      <c r="C366" s="64" t="n">
        <f aca="false">Demand!AB14</f>
        <v>859.991571858486</v>
      </c>
      <c r="D366" s="64" t="n">
        <f aca="false">Demand!AB15</f>
        <v>7004.29783300267</v>
      </c>
      <c r="E366" s="64" t="n">
        <f aca="false">Demand!AB17</f>
        <v>547.5</v>
      </c>
    </row>
    <row r="367" customFormat="false" ht="15" hidden="false" customHeight="true" outlineLevel="0" collapsed="false">
      <c r="A367" s="1" t="n">
        <v>2045</v>
      </c>
      <c r="B367" s="64" t="n">
        <f aca="false">Demand!AC13</f>
        <v>1014.71601345703</v>
      </c>
      <c r="C367" s="64" t="n">
        <f aca="false">Demand!AC14</f>
        <v>886.51335636046</v>
      </c>
      <c r="D367" s="64" t="n">
        <f aca="false">Demand!AC15</f>
        <v>7037.8345933083</v>
      </c>
      <c r="E367" s="64" t="n">
        <f aca="false">Demand!AC17</f>
        <v>547.5</v>
      </c>
    </row>
    <row r="368" customFormat="false" ht="15" hidden="false" customHeight="true" outlineLevel="0" collapsed="false">
      <c r="A368" s="1" t="n">
        <v>2046</v>
      </c>
      <c r="B368" s="64" t="n">
        <f aca="false">Demand!AD13</f>
        <v>1022.49224188558</v>
      </c>
      <c r="C368" s="64" t="n">
        <f aca="false">Demand!AD14</f>
        <v>913.705036927608</v>
      </c>
      <c r="D368" s="64" t="n">
        <f aca="false">Demand!AD15</f>
        <v>7070.38649038772</v>
      </c>
      <c r="E368" s="64" t="n">
        <f aca="false">Demand!AD17</f>
        <v>547.5</v>
      </c>
    </row>
    <row r="369" customFormat="false" ht="15" hidden="false" customHeight="true" outlineLevel="0" collapsed="false">
      <c r="A369" s="1" t="n">
        <v>2047</v>
      </c>
      <c r="B369" s="64" t="n">
        <f aca="false">Demand!AE13</f>
        <v>1030.16534012951</v>
      </c>
      <c r="C369" s="64" t="n">
        <f aca="false">Demand!AE14</f>
        <v>941.582026878579</v>
      </c>
      <c r="D369" s="64" t="n">
        <f aca="false">Demand!AE15</f>
        <v>7101.9671356999</v>
      </c>
      <c r="E369" s="64" t="n">
        <f aca="false">Demand!AE17</f>
        <v>547.5</v>
      </c>
    </row>
    <row r="370" customFormat="false" ht="15" hidden="false" customHeight="true" outlineLevel="0" collapsed="false">
      <c r="A370" s="1" t="n">
        <v>2048</v>
      </c>
      <c r="B370" s="64" t="n">
        <f aca="false">Demand!AF13</f>
        <v>1037.73614508495</v>
      </c>
      <c r="C370" s="64" t="n">
        <f aca="false">Demand!AF14</f>
        <v>970.160075433746</v>
      </c>
      <c r="D370" s="64" t="n">
        <f aca="false">Demand!AF15</f>
        <v>7132.5899859517</v>
      </c>
      <c r="E370" s="64" t="n">
        <f aca="false">Demand!AF17</f>
        <v>547.5</v>
      </c>
    </row>
    <row r="371" customFormat="false" ht="15" hidden="false" customHeight="true" outlineLevel="0" collapsed="false">
      <c r="A371" s="1" t="n">
        <v>2049</v>
      </c>
      <c r="B371" s="64" t="n">
        <f aca="false">Demand!AG13</f>
        <v>1045.20548785733</v>
      </c>
      <c r="C371" s="64" t="n">
        <f aca="false">Demand!AG14</f>
        <v>999.455274779798</v>
      </c>
      <c r="D371" s="64" t="n">
        <f aca="false">Demand!AG15</f>
        <v>7162.26834470279</v>
      </c>
      <c r="E371" s="64" t="n">
        <f aca="false">Demand!AG17</f>
        <v>547.5</v>
      </c>
    </row>
    <row r="372" customFormat="false" ht="15" hidden="false" customHeight="true" outlineLevel="0" collapsed="false">
      <c r="A372" s="1" t="n">
        <v>2050</v>
      </c>
      <c r="B372" s="64" t="n">
        <f aca="false">Demand!AH13</f>
        <v>1052.57419379837</v>
      </c>
      <c r="C372" s="64" t="n">
        <f aca="false">Demand!AH14</f>
        <v>1029.48406727925</v>
      </c>
      <c r="D372" s="64" t="n">
        <f aca="false">Demand!AH15</f>
        <v>7191.01536395476</v>
      </c>
      <c r="E372" s="64" t="n">
        <f aca="false">Demand!AH17</f>
        <v>547.5</v>
      </c>
    </row>
  </sheetData>
  <mergeCells count="2">
    <mergeCell ref="A1:E1"/>
    <mergeCell ref="B120:F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2026-04-20T15:57:50Z</dcterms:created>
  <dc:creator>openpyxl</dc:creator>
  <dc:description/>
  <dc:language>en-US</dc:language>
  <cp:lastModifiedBy/>
  <dcterms:modified xsi:type="dcterms:W3CDTF">2026-05-01T19:58:09Z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ActionId">
    <vt:lpwstr>4d6f16af-bfdc-4f2f-a097-e0e701932e36</vt:lpwstr>
  </property>
  <property fmtid="{D5CDD505-2E9C-101B-9397-08002B2CF9AE}" pid="3" name="MSIP_Label_89608d83-f952-409d-b7c5-456515bbbf5a_ContentBits">
    <vt:lpwstr>0</vt:lpwstr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Method">
    <vt:lpwstr>Privileged</vt:lpwstr>
  </property>
  <property fmtid="{D5CDD505-2E9C-101B-9397-08002B2CF9AE}" pid="6" name="MSIP_Label_89608d83-f952-409d-b7c5-456515bbbf5a_Name">
    <vt:lpwstr>Public</vt:lpwstr>
  </property>
  <property fmtid="{D5CDD505-2E9C-101B-9397-08002B2CF9AE}" pid="7" name="MSIP_Label_89608d83-f952-409d-b7c5-456515bbbf5a_SetDate">
    <vt:lpwstr>2026-04-20T16:10:11Z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Tag">
    <vt:lpwstr>50, 0, 1, 1</vt:lpwstr>
  </property>
</Properties>
</file>