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abianfuentes/git/ssp_libya/ssp_modeling/tableau/data/"/>
    </mc:Choice>
  </mc:AlternateContent>
  <xr:revisionPtr revIDLastSave="0" documentId="13_ncr:1_{6FFAEB42-7F07-A34E-B3D1-435845274D91}" xr6:coauthVersionLast="47" xr6:coauthVersionMax="47" xr10:uidLastSave="{00000000-0000-0000-0000-000000000000}"/>
  <bookViews>
    <workbookView xWindow="-44740" yWindow="600" windowWidth="28040" windowHeight="23060" tabRatio="500" activeTab="5" xr2:uid="{00000000-000D-0000-FFFF-FFFF00000000}"/>
  </bookViews>
  <sheets>
    <sheet name="Assumptions" sheetId="1" r:id="rId1"/>
    <sheet name="MMcfd" sheetId="2" r:id="rId2"/>
    <sheet name="SISEPUEDE" sheetId="3" r:id="rId3"/>
    <sheet name="Gas Recovery Revenue" sheetId="4" r:id="rId4"/>
    <sheet name="Summary" sheetId="5" r:id="rId5"/>
    <sheet name="tableau" sheetId="6" r:id="rId6"/>
    <sheet name="Sheet1" sheetId="7" r:id="rId7"/>
  </sheets>
  <definedNames>
    <definedName name="_xlnm._FilterDatabase" localSheetId="4" hidden="1">Summary!$A$3:$F$619</definedName>
    <definedName name="_xlnm._FilterDatabase" localSheetId="5" hidden="1">tableau!$A$1:$E$617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85" i="6" l="1"/>
  <c r="C785" i="6"/>
  <c r="B785" i="6"/>
  <c r="A785" i="6"/>
  <c r="E784" i="6"/>
  <c r="C784" i="6"/>
  <c r="B784" i="6"/>
  <c r="A784" i="6"/>
  <c r="E783" i="6"/>
  <c r="C783" i="6"/>
  <c r="B783" i="6"/>
  <c r="A783" i="6"/>
  <c r="E782" i="6"/>
  <c r="C782" i="6"/>
  <c r="B782" i="6"/>
  <c r="A782" i="6"/>
  <c r="E781" i="6"/>
  <c r="C781" i="6"/>
  <c r="B781" i="6"/>
  <c r="A781" i="6"/>
  <c r="E780" i="6"/>
  <c r="C780" i="6"/>
  <c r="B780" i="6"/>
  <c r="A780" i="6"/>
  <c r="E779" i="6"/>
  <c r="C779" i="6"/>
  <c r="B779" i="6"/>
  <c r="A779" i="6"/>
  <c r="E778" i="6"/>
  <c r="C778" i="6"/>
  <c r="B778" i="6"/>
  <c r="A778" i="6"/>
  <c r="E777" i="6"/>
  <c r="C777" i="6"/>
  <c r="B777" i="6"/>
  <c r="A777" i="6"/>
  <c r="E776" i="6"/>
  <c r="C776" i="6"/>
  <c r="B776" i="6"/>
  <c r="A776" i="6"/>
  <c r="E775" i="6"/>
  <c r="C775" i="6"/>
  <c r="B775" i="6"/>
  <c r="A775" i="6"/>
  <c r="E774" i="6"/>
  <c r="C774" i="6"/>
  <c r="B774" i="6"/>
  <c r="A774" i="6"/>
  <c r="E773" i="6"/>
  <c r="C773" i="6"/>
  <c r="B773" i="6"/>
  <c r="A773" i="6"/>
  <c r="E772" i="6"/>
  <c r="C772" i="6"/>
  <c r="B772" i="6"/>
  <c r="A772" i="6"/>
  <c r="E771" i="6"/>
  <c r="C771" i="6"/>
  <c r="B771" i="6"/>
  <c r="A771" i="6"/>
  <c r="E770" i="6"/>
  <c r="C770" i="6"/>
  <c r="B770" i="6"/>
  <c r="A770" i="6"/>
  <c r="E769" i="6"/>
  <c r="C769" i="6"/>
  <c r="B769" i="6"/>
  <c r="A769" i="6"/>
  <c r="E768" i="6"/>
  <c r="C768" i="6"/>
  <c r="B768" i="6"/>
  <c r="A768" i="6"/>
  <c r="E767" i="6"/>
  <c r="C767" i="6"/>
  <c r="B767" i="6"/>
  <c r="A767" i="6"/>
  <c r="E766" i="6"/>
  <c r="C766" i="6"/>
  <c r="B766" i="6"/>
  <c r="A766" i="6"/>
  <c r="E765" i="6"/>
  <c r="C765" i="6"/>
  <c r="B765" i="6"/>
  <c r="A765" i="6"/>
  <c r="E764" i="6"/>
  <c r="C764" i="6"/>
  <c r="B764" i="6"/>
  <c r="A764" i="6"/>
  <c r="E763" i="6"/>
  <c r="C763" i="6"/>
  <c r="B763" i="6"/>
  <c r="A763" i="6"/>
  <c r="E762" i="6"/>
  <c r="C762" i="6"/>
  <c r="B762" i="6"/>
  <c r="A762" i="6"/>
  <c r="E761" i="6"/>
  <c r="C761" i="6"/>
  <c r="B761" i="6"/>
  <c r="A761" i="6"/>
  <c r="E760" i="6"/>
  <c r="C760" i="6"/>
  <c r="B760" i="6"/>
  <c r="A760" i="6"/>
  <c r="E759" i="6"/>
  <c r="C759" i="6"/>
  <c r="B759" i="6"/>
  <c r="A759" i="6"/>
  <c r="E758" i="6"/>
  <c r="C758" i="6"/>
  <c r="B758" i="6"/>
  <c r="A758" i="6"/>
  <c r="E757" i="6"/>
  <c r="C757" i="6"/>
  <c r="B757" i="6"/>
  <c r="A757" i="6"/>
  <c r="E756" i="6"/>
  <c r="C756" i="6"/>
  <c r="B756" i="6"/>
  <c r="A756" i="6"/>
  <c r="E755" i="6"/>
  <c r="C755" i="6"/>
  <c r="B755" i="6"/>
  <c r="A755" i="6"/>
  <c r="E754" i="6"/>
  <c r="C754" i="6"/>
  <c r="B754" i="6"/>
  <c r="A754" i="6"/>
  <c r="E753" i="6"/>
  <c r="C753" i="6"/>
  <c r="B753" i="6"/>
  <c r="A753" i="6"/>
  <c r="E752" i="6"/>
  <c r="C752" i="6"/>
  <c r="B752" i="6"/>
  <c r="A752" i="6"/>
  <c r="E751" i="6"/>
  <c r="C751" i="6"/>
  <c r="B751" i="6"/>
  <c r="A751" i="6"/>
  <c r="E750" i="6"/>
  <c r="C750" i="6"/>
  <c r="B750" i="6"/>
  <c r="A750" i="6"/>
  <c r="E749" i="6"/>
  <c r="C749" i="6"/>
  <c r="B749" i="6"/>
  <c r="A749" i="6"/>
  <c r="E748" i="6"/>
  <c r="C748" i="6"/>
  <c r="B748" i="6"/>
  <c r="A748" i="6"/>
  <c r="E747" i="6"/>
  <c r="C747" i="6"/>
  <c r="B747" i="6"/>
  <c r="A747" i="6"/>
  <c r="E746" i="6"/>
  <c r="C746" i="6"/>
  <c r="B746" i="6"/>
  <c r="A746" i="6"/>
  <c r="E745" i="6"/>
  <c r="C745" i="6"/>
  <c r="B745" i="6"/>
  <c r="A745" i="6"/>
  <c r="E744" i="6"/>
  <c r="C744" i="6"/>
  <c r="B744" i="6"/>
  <c r="A744" i="6"/>
  <c r="E743" i="6"/>
  <c r="C743" i="6"/>
  <c r="B743" i="6"/>
  <c r="A743" i="6"/>
  <c r="E742" i="6"/>
  <c r="C742" i="6"/>
  <c r="B742" i="6"/>
  <c r="A742" i="6"/>
  <c r="E741" i="6"/>
  <c r="C741" i="6"/>
  <c r="B741" i="6"/>
  <c r="A741" i="6"/>
  <c r="E740" i="6"/>
  <c r="C740" i="6"/>
  <c r="B740" i="6"/>
  <c r="A740" i="6"/>
  <c r="E739" i="6"/>
  <c r="C739" i="6"/>
  <c r="B739" i="6"/>
  <c r="A739" i="6"/>
  <c r="E738" i="6"/>
  <c r="C738" i="6"/>
  <c r="B738" i="6"/>
  <c r="A738" i="6"/>
  <c r="E737" i="6"/>
  <c r="C737" i="6"/>
  <c r="B737" i="6"/>
  <c r="A737" i="6"/>
  <c r="E736" i="6"/>
  <c r="C736" i="6"/>
  <c r="B736" i="6"/>
  <c r="A736" i="6"/>
  <c r="E735" i="6"/>
  <c r="C735" i="6"/>
  <c r="B735" i="6"/>
  <c r="A735" i="6"/>
  <c r="E734" i="6"/>
  <c r="C734" i="6"/>
  <c r="B734" i="6"/>
  <c r="A734" i="6"/>
  <c r="E733" i="6"/>
  <c r="C733" i="6"/>
  <c r="B733" i="6"/>
  <c r="A733" i="6"/>
  <c r="E732" i="6"/>
  <c r="C732" i="6"/>
  <c r="B732" i="6"/>
  <c r="A732" i="6"/>
  <c r="E731" i="6"/>
  <c r="C731" i="6"/>
  <c r="B731" i="6"/>
  <c r="A731" i="6"/>
  <c r="E730" i="6"/>
  <c r="C730" i="6"/>
  <c r="B730" i="6"/>
  <c r="A730" i="6"/>
  <c r="E729" i="6"/>
  <c r="C729" i="6"/>
  <c r="B729" i="6"/>
  <c r="A729" i="6"/>
  <c r="E728" i="6"/>
  <c r="C728" i="6"/>
  <c r="B728" i="6"/>
  <c r="A728" i="6"/>
  <c r="E727" i="6"/>
  <c r="C727" i="6"/>
  <c r="B727" i="6"/>
  <c r="A727" i="6"/>
  <c r="E726" i="6"/>
  <c r="C726" i="6"/>
  <c r="B726" i="6"/>
  <c r="A726" i="6"/>
  <c r="E725" i="6"/>
  <c r="C725" i="6"/>
  <c r="B725" i="6"/>
  <c r="A725" i="6"/>
  <c r="E724" i="6"/>
  <c r="C724" i="6"/>
  <c r="B724" i="6"/>
  <c r="A724" i="6"/>
  <c r="E723" i="6"/>
  <c r="C723" i="6"/>
  <c r="B723" i="6"/>
  <c r="A723" i="6"/>
  <c r="E722" i="6"/>
  <c r="C722" i="6"/>
  <c r="B722" i="6"/>
  <c r="A722" i="6"/>
  <c r="E721" i="6"/>
  <c r="C721" i="6"/>
  <c r="B721" i="6"/>
  <c r="A721" i="6"/>
  <c r="E720" i="6"/>
  <c r="C720" i="6"/>
  <c r="B720" i="6"/>
  <c r="A720" i="6"/>
  <c r="E719" i="6"/>
  <c r="C719" i="6"/>
  <c r="B719" i="6"/>
  <c r="A719" i="6"/>
  <c r="E718" i="6"/>
  <c r="C718" i="6"/>
  <c r="B718" i="6"/>
  <c r="A718" i="6"/>
  <c r="E717" i="6"/>
  <c r="C717" i="6"/>
  <c r="B717" i="6"/>
  <c r="A717" i="6"/>
  <c r="E716" i="6"/>
  <c r="C716" i="6"/>
  <c r="B716" i="6"/>
  <c r="A716" i="6"/>
  <c r="E715" i="6"/>
  <c r="C715" i="6"/>
  <c r="B715" i="6"/>
  <c r="A715" i="6"/>
  <c r="E714" i="6"/>
  <c r="C714" i="6"/>
  <c r="B714" i="6"/>
  <c r="A714" i="6"/>
  <c r="E713" i="6"/>
  <c r="C713" i="6"/>
  <c r="B713" i="6"/>
  <c r="A713" i="6"/>
  <c r="E712" i="6"/>
  <c r="C712" i="6"/>
  <c r="B712" i="6"/>
  <c r="A712" i="6"/>
  <c r="E711" i="6"/>
  <c r="C711" i="6"/>
  <c r="B711" i="6"/>
  <c r="A711" i="6"/>
  <c r="E710" i="6"/>
  <c r="C710" i="6"/>
  <c r="B710" i="6"/>
  <c r="A710" i="6"/>
  <c r="E709" i="6"/>
  <c r="C709" i="6"/>
  <c r="B709" i="6"/>
  <c r="A709" i="6"/>
  <c r="E708" i="6"/>
  <c r="C708" i="6"/>
  <c r="B708" i="6"/>
  <c r="A708" i="6"/>
  <c r="E707" i="6"/>
  <c r="C707" i="6"/>
  <c r="B707" i="6"/>
  <c r="A707" i="6"/>
  <c r="E706" i="6"/>
  <c r="C706" i="6"/>
  <c r="B706" i="6"/>
  <c r="A706" i="6"/>
  <c r="E705" i="6"/>
  <c r="C705" i="6"/>
  <c r="B705" i="6"/>
  <c r="A705" i="6"/>
  <c r="E704" i="6"/>
  <c r="C704" i="6"/>
  <c r="B704" i="6"/>
  <c r="A704" i="6"/>
  <c r="E703" i="6"/>
  <c r="C703" i="6"/>
  <c r="B703" i="6"/>
  <c r="A703" i="6"/>
  <c r="E702" i="6"/>
  <c r="C702" i="6"/>
  <c r="B702" i="6"/>
  <c r="A702" i="6"/>
  <c r="E701" i="6"/>
  <c r="C701" i="6"/>
  <c r="B701" i="6"/>
  <c r="A701" i="6"/>
  <c r="E700" i="6"/>
  <c r="C700" i="6"/>
  <c r="B700" i="6"/>
  <c r="A700" i="6"/>
  <c r="E699" i="6"/>
  <c r="C699" i="6"/>
  <c r="B699" i="6"/>
  <c r="A699" i="6"/>
  <c r="E698" i="6"/>
  <c r="C698" i="6"/>
  <c r="B698" i="6"/>
  <c r="A698" i="6"/>
  <c r="E697" i="6"/>
  <c r="C697" i="6"/>
  <c r="B697" i="6"/>
  <c r="A697" i="6"/>
  <c r="E696" i="6"/>
  <c r="C696" i="6"/>
  <c r="B696" i="6"/>
  <c r="A696" i="6"/>
  <c r="E695" i="6"/>
  <c r="C695" i="6"/>
  <c r="B695" i="6"/>
  <c r="A695" i="6"/>
  <c r="E694" i="6"/>
  <c r="C694" i="6"/>
  <c r="B694" i="6"/>
  <c r="A694" i="6"/>
  <c r="E693" i="6"/>
  <c r="C693" i="6"/>
  <c r="B693" i="6"/>
  <c r="A693" i="6"/>
  <c r="E692" i="6"/>
  <c r="C692" i="6"/>
  <c r="B692" i="6"/>
  <c r="A692" i="6"/>
  <c r="E691" i="6"/>
  <c r="C691" i="6"/>
  <c r="B691" i="6"/>
  <c r="A691" i="6"/>
  <c r="E690" i="6"/>
  <c r="C690" i="6"/>
  <c r="B690" i="6"/>
  <c r="A690" i="6"/>
  <c r="E689" i="6"/>
  <c r="C689" i="6"/>
  <c r="B689" i="6"/>
  <c r="A689" i="6"/>
  <c r="E688" i="6"/>
  <c r="C688" i="6"/>
  <c r="B688" i="6"/>
  <c r="A688" i="6"/>
  <c r="E687" i="6"/>
  <c r="C687" i="6"/>
  <c r="B687" i="6"/>
  <c r="A687" i="6"/>
  <c r="E686" i="6"/>
  <c r="C686" i="6"/>
  <c r="B686" i="6"/>
  <c r="A686" i="6"/>
  <c r="E685" i="6"/>
  <c r="C685" i="6"/>
  <c r="B685" i="6"/>
  <c r="A685" i="6"/>
  <c r="E684" i="6"/>
  <c r="C684" i="6"/>
  <c r="B684" i="6"/>
  <c r="A684" i="6"/>
  <c r="E683" i="6"/>
  <c r="C683" i="6"/>
  <c r="B683" i="6"/>
  <c r="A683" i="6"/>
  <c r="E682" i="6"/>
  <c r="C682" i="6"/>
  <c r="B682" i="6"/>
  <c r="A682" i="6"/>
  <c r="E681" i="6"/>
  <c r="C681" i="6"/>
  <c r="B681" i="6"/>
  <c r="A681" i="6"/>
  <c r="E680" i="6"/>
  <c r="C680" i="6"/>
  <c r="B680" i="6"/>
  <c r="A680" i="6"/>
  <c r="E679" i="6"/>
  <c r="C679" i="6"/>
  <c r="B679" i="6"/>
  <c r="A679" i="6"/>
  <c r="E678" i="6"/>
  <c r="C678" i="6"/>
  <c r="B678" i="6"/>
  <c r="A678" i="6"/>
  <c r="E677" i="6"/>
  <c r="C677" i="6"/>
  <c r="B677" i="6"/>
  <c r="A677" i="6"/>
  <c r="E676" i="6"/>
  <c r="C676" i="6"/>
  <c r="B676" i="6"/>
  <c r="A676" i="6"/>
  <c r="E675" i="6"/>
  <c r="C675" i="6"/>
  <c r="B675" i="6"/>
  <c r="A675" i="6"/>
  <c r="E674" i="6"/>
  <c r="C674" i="6"/>
  <c r="B674" i="6"/>
  <c r="A674" i="6"/>
  <c r="E673" i="6"/>
  <c r="C673" i="6"/>
  <c r="B673" i="6"/>
  <c r="A673" i="6"/>
  <c r="E672" i="6"/>
  <c r="C672" i="6"/>
  <c r="B672" i="6"/>
  <c r="A672" i="6"/>
  <c r="E671" i="6"/>
  <c r="C671" i="6"/>
  <c r="B671" i="6"/>
  <c r="A671" i="6"/>
  <c r="E670" i="6"/>
  <c r="C670" i="6"/>
  <c r="B670" i="6"/>
  <c r="A670" i="6"/>
  <c r="E669" i="6"/>
  <c r="C669" i="6"/>
  <c r="B669" i="6"/>
  <c r="A669" i="6"/>
  <c r="E668" i="6"/>
  <c r="C668" i="6"/>
  <c r="B668" i="6"/>
  <c r="A668" i="6"/>
  <c r="E667" i="6"/>
  <c r="C667" i="6"/>
  <c r="B667" i="6"/>
  <c r="A667" i="6"/>
  <c r="E666" i="6"/>
  <c r="C666" i="6"/>
  <c r="B666" i="6"/>
  <c r="A666" i="6"/>
  <c r="E665" i="6"/>
  <c r="C665" i="6"/>
  <c r="B665" i="6"/>
  <c r="A665" i="6"/>
  <c r="E664" i="6"/>
  <c r="C664" i="6"/>
  <c r="B664" i="6"/>
  <c r="A664" i="6"/>
  <c r="E663" i="6"/>
  <c r="C663" i="6"/>
  <c r="B663" i="6"/>
  <c r="A663" i="6"/>
  <c r="E662" i="6"/>
  <c r="C662" i="6"/>
  <c r="B662" i="6"/>
  <c r="A662" i="6"/>
  <c r="E661" i="6"/>
  <c r="C661" i="6"/>
  <c r="B661" i="6"/>
  <c r="A661" i="6"/>
  <c r="E660" i="6"/>
  <c r="C660" i="6"/>
  <c r="B660" i="6"/>
  <c r="A660" i="6"/>
  <c r="E659" i="6"/>
  <c r="C659" i="6"/>
  <c r="B659" i="6"/>
  <c r="A659" i="6"/>
  <c r="E658" i="6"/>
  <c r="C658" i="6"/>
  <c r="B658" i="6"/>
  <c r="A658" i="6"/>
  <c r="E657" i="6"/>
  <c r="C657" i="6"/>
  <c r="B657" i="6"/>
  <c r="A657" i="6"/>
  <c r="E656" i="6"/>
  <c r="C656" i="6"/>
  <c r="B656" i="6"/>
  <c r="A656" i="6"/>
  <c r="E655" i="6"/>
  <c r="C655" i="6"/>
  <c r="B655" i="6"/>
  <c r="A655" i="6"/>
  <c r="E654" i="6"/>
  <c r="C654" i="6"/>
  <c r="B654" i="6"/>
  <c r="A654" i="6"/>
  <c r="E653" i="6"/>
  <c r="C653" i="6"/>
  <c r="B653" i="6"/>
  <c r="A653" i="6"/>
  <c r="E652" i="6"/>
  <c r="C652" i="6"/>
  <c r="B652" i="6"/>
  <c r="A652" i="6"/>
  <c r="E651" i="6"/>
  <c r="C651" i="6"/>
  <c r="B651" i="6"/>
  <c r="A651" i="6"/>
  <c r="E650" i="6"/>
  <c r="C650" i="6"/>
  <c r="B650" i="6"/>
  <c r="A650" i="6"/>
  <c r="E649" i="6"/>
  <c r="C649" i="6"/>
  <c r="B649" i="6"/>
  <c r="A649" i="6"/>
  <c r="E648" i="6"/>
  <c r="C648" i="6"/>
  <c r="B648" i="6"/>
  <c r="A648" i="6"/>
  <c r="E647" i="6"/>
  <c r="C647" i="6"/>
  <c r="B647" i="6"/>
  <c r="A647" i="6"/>
  <c r="E646" i="6"/>
  <c r="C646" i="6"/>
  <c r="B646" i="6"/>
  <c r="A646" i="6"/>
  <c r="E645" i="6"/>
  <c r="C645" i="6"/>
  <c r="B645" i="6"/>
  <c r="A645" i="6"/>
  <c r="E644" i="6"/>
  <c r="C644" i="6"/>
  <c r="B644" i="6"/>
  <c r="A644" i="6"/>
  <c r="E643" i="6"/>
  <c r="C643" i="6"/>
  <c r="B643" i="6"/>
  <c r="A643" i="6"/>
  <c r="E642" i="6"/>
  <c r="C642" i="6"/>
  <c r="B642" i="6"/>
  <c r="A642" i="6"/>
  <c r="E641" i="6"/>
  <c r="C641" i="6"/>
  <c r="B641" i="6"/>
  <c r="A641" i="6"/>
  <c r="E640" i="6"/>
  <c r="C640" i="6"/>
  <c r="B640" i="6"/>
  <c r="A640" i="6"/>
  <c r="E639" i="6"/>
  <c r="C639" i="6"/>
  <c r="B639" i="6"/>
  <c r="A639" i="6"/>
  <c r="E638" i="6"/>
  <c r="C638" i="6"/>
  <c r="B638" i="6"/>
  <c r="A638" i="6"/>
  <c r="E637" i="6"/>
  <c r="C637" i="6"/>
  <c r="B637" i="6"/>
  <c r="A637" i="6"/>
  <c r="E636" i="6"/>
  <c r="C636" i="6"/>
  <c r="B636" i="6"/>
  <c r="A636" i="6"/>
  <c r="E635" i="6"/>
  <c r="C635" i="6"/>
  <c r="B635" i="6"/>
  <c r="A635" i="6"/>
  <c r="E634" i="6"/>
  <c r="C634" i="6"/>
  <c r="B634" i="6"/>
  <c r="A634" i="6"/>
  <c r="E633" i="6"/>
  <c r="C633" i="6"/>
  <c r="B633" i="6"/>
  <c r="A633" i="6"/>
  <c r="E632" i="6"/>
  <c r="C632" i="6"/>
  <c r="B632" i="6"/>
  <c r="A632" i="6"/>
  <c r="E631" i="6"/>
  <c r="C631" i="6"/>
  <c r="B631" i="6"/>
  <c r="A631" i="6"/>
  <c r="E630" i="6"/>
  <c r="C630" i="6"/>
  <c r="B630" i="6"/>
  <c r="A630" i="6"/>
  <c r="E629" i="6"/>
  <c r="C629" i="6"/>
  <c r="B629" i="6"/>
  <c r="A629" i="6"/>
  <c r="E628" i="6"/>
  <c r="C628" i="6"/>
  <c r="B628" i="6"/>
  <c r="A628" i="6"/>
  <c r="E627" i="6"/>
  <c r="C627" i="6"/>
  <c r="B627" i="6"/>
  <c r="A627" i="6"/>
  <c r="E626" i="6"/>
  <c r="C626" i="6"/>
  <c r="B626" i="6"/>
  <c r="A626" i="6"/>
  <c r="E625" i="6"/>
  <c r="C625" i="6"/>
  <c r="B625" i="6"/>
  <c r="A625" i="6"/>
  <c r="E624" i="6"/>
  <c r="C624" i="6"/>
  <c r="B624" i="6"/>
  <c r="A624" i="6"/>
  <c r="E623" i="6"/>
  <c r="C623" i="6"/>
  <c r="B623" i="6"/>
  <c r="A623" i="6"/>
  <c r="E622" i="6"/>
  <c r="C622" i="6"/>
  <c r="B622" i="6"/>
  <c r="A622" i="6"/>
  <c r="E621" i="6"/>
  <c r="C621" i="6"/>
  <c r="B621" i="6"/>
  <c r="A621" i="6"/>
  <c r="E620" i="6"/>
  <c r="C620" i="6"/>
  <c r="B620" i="6"/>
  <c r="A620" i="6"/>
  <c r="E619" i="6"/>
  <c r="C619" i="6"/>
  <c r="B619" i="6"/>
  <c r="A619" i="6"/>
  <c r="E618" i="6"/>
  <c r="C618" i="6"/>
  <c r="B618" i="6"/>
  <c r="A618" i="6"/>
  <c r="E617" i="6"/>
  <c r="C617" i="6"/>
  <c r="B617" i="6"/>
  <c r="A617" i="6"/>
  <c r="E616" i="6"/>
  <c r="C616" i="6"/>
  <c r="B616" i="6"/>
  <c r="A616" i="6"/>
  <c r="E615" i="6"/>
  <c r="C615" i="6"/>
  <c r="B615" i="6"/>
  <c r="A615" i="6"/>
  <c r="E614" i="6"/>
  <c r="C614" i="6"/>
  <c r="B614" i="6"/>
  <c r="A614" i="6"/>
  <c r="E613" i="6"/>
  <c r="C613" i="6"/>
  <c r="B613" i="6"/>
  <c r="A613" i="6"/>
  <c r="E612" i="6"/>
  <c r="C612" i="6"/>
  <c r="B612" i="6"/>
  <c r="A612" i="6"/>
  <c r="E611" i="6"/>
  <c r="C611" i="6"/>
  <c r="B611" i="6"/>
  <c r="A611" i="6"/>
  <c r="E610" i="6"/>
  <c r="C610" i="6"/>
  <c r="B610" i="6"/>
  <c r="A610" i="6"/>
  <c r="E609" i="6"/>
  <c r="C609" i="6"/>
  <c r="B609" i="6"/>
  <c r="A609" i="6"/>
  <c r="E608" i="6"/>
  <c r="C608" i="6"/>
  <c r="B608" i="6"/>
  <c r="A608" i="6"/>
  <c r="E607" i="6"/>
  <c r="C607" i="6"/>
  <c r="B607" i="6"/>
  <c r="A607" i="6"/>
  <c r="E606" i="6"/>
  <c r="C606" i="6"/>
  <c r="B606" i="6"/>
  <c r="A606" i="6"/>
  <c r="E605" i="6"/>
  <c r="C605" i="6"/>
  <c r="B605" i="6"/>
  <c r="A605" i="6"/>
  <c r="E604" i="6"/>
  <c r="C604" i="6"/>
  <c r="B604" i="6"/>
  <c r="A604" i="6"/>
  <c r="E603" i="6"/>
  <c r="C603" i="6"/>
  <c r="B603" i="6"/>
  <c r="A603" i="6"/>
  <c r="E602" i="6"/>
  <c r="C602" i="6"/>
  <c r="B602" i="6"/>
  <c r="A602" i="6"/>
  <c r="E601" i="6"/>
  <c r="C601" i="6"/>
  <c r="B601" i="6"/>
  <c r="A601" i="6"/>
  <c r="E600" i="6"/>
  <c r="C600" i="6"/>
  <c r="B600" i="6"/>
  <c r="A600" i="6"/>
  <c r="E599" i="6"/>
  <c r="C599" i="6"/>
  <c r="B599" i="6"/>
  <c r="A599" i="6"/>
  <c r="E598" i="6"/>
  <c r="C598" i="6"/>
  <c r="B598" i="6"/>
  <c r="A598" i="6"/>
  <c r="E597" i="6"/>
  <c r="C597" i="6"/>
  <c r="B597" i="6"/>
  <c r="A597" i="6"/>
  <c r="E596" i="6"/>
  <c r="C596" i="6"/>
  <c r="B596" i="6"/>
  <c r="A596" i="6"/>
  <c r="E595" i="6"/>
  <c r="C595" i="6"/>
  <c r="B595" i="6"/>
  <c r="A595" i="6"/>
  <c r="E594" i="6"/>
  <c r="C594" i="6"/>
  <c r="B594" i="6"/>
  <c r="A594" i="6"/>
  <c r="E593" i="6"/>
  <c r="C593" i="6"/>
  <c r="B593" i="6"/>
  <c r="A593" i="6"/>
  <c r="E592" i="6"/>
  <c r="C592" i="6"/>
  <c r="B592" i="6"/>
  <c r="A592" i="6"/>
  <c r="E591" i="6"/>
  <c r="C591" i="6"/>
  <c r="B591" i="6"/>
  <c r="A591" i="6"/>
  <c r="E590" i="6"/>
  <c r="C590" i="6"/>
  <c r="B590" i="6"/>
  <c r="A590" i="6"/>
  <c r="E589" i="6"/>
  <c r="C589" i="6"/>
  <c r="B589" i="6"/>
  <c r="A589" i="6"/>
  <c r="E588" i="6"/>
  <c r="C588" i="6"/>
  <c r="B588" i="6"/>
  <c r="A588" i="6"/>
  <c r="E587" i="6"/>
  <c r="C587" i="6"/>
  <c r="B587" i="6"/>
  <c r="A587" i="6"/>
  <c r="E586" i="6"/>
  <c r="C586" i="6"/>
  <c r="B586" i="6"/>
  <c r="A586" i="6"/>
  <c r="E585" i="6"/>
  <c r="C585" i="6"/>
  <c r="B585" i="6"/>
  <c r="A585" i="6"/>
  <c r="E584" i="6"/>
  <c r="C584" i="6"/>
  <c r="B584" i="6"/>
  <c r="A584" i="6"/>
  <c r="E583" i="6"/>
  <c r="C583" i="6"/>
  <c r="B583" i="6"/>
  <c r="A583" i="6"/>
  <c r="E582" i="6"/>
  <c r="C582" i="6"/>
  <c r="B582" i="6"/>
  <c r="A582" i="6"/>
  <c r="E581" i="6"/>
  <c r="C581" i="6"/>
  <c r="B581" i="6"/>
  <c r="A581" i="6"/>
  <c r="E580" i="6"/>
  <c r="C580" i="6"/>
  <c r="B580" i="6"/>
  <c r="A580" i="6"/>
  <c r="E579" i="6"/>
  <c r="C579" i="6"/>
  <c r="B579" i="6"/>
  <c r="A579" i="6"/>
  <c r="E578" i="6"/>
  <c r="C578" i="6"/>
  <c r="B578" i="6"/>
  <c r="A578" i="6"/>
  <c r="E577" i="6"/>
  <c r="C577" i="6"/>
  <c r="B577" i="6"/>
  <c r="A577" i="6"/>
  <c r="E576" i="6"/>
  <c r="C576" i="6"/>
  <c r="B576" i="6"/>
  <c r="A576" i="6"/>
  <c r="E575" i="6"/>
  <c r="C575" i="6"/>
  <c r="B575" i="6"/>
  <c r="A575" i="6"/>
  <c r="E574" i="6"/>
  <c r="C574" i="6"/>
  <c r="B574" i="6"/>
  <c r="A574" i="6"/>
  <c r="E573" i="6"/>
  <c r="C573" i="6"/>
  <c r="B573" i="6"/>
  <c r="A573" i="6"/>
  <c r="E572" i="6"/>
  <c r="C572" i="6"/>
  <c r="B572" i="6"/>
  <c r="A572" i="6"/>
  <c r="E571" i="6"/>
  <c r="C571" i="6"/>
  <c r="B571" i="6"/>
  <c r="A571" i="6"/>
  <c r="E570" i="6"/>
  <c r="C570" i="6"/>
  <c r="B570" i="6"/>
  <c r="A570" i="6"/>
  <c r="E569" i="6"/>
  <c r="C569" i="6"/>
  <c r="B569" i="6"/>
  <c r="A569" i="6"/>
  <c r="E568" i="6"/>
  <c r="C568" i="6"/>
  <c r="B568" i="6"/>
  <c r="A568" i="6"/>
  <c r="E567" i="6"/>
  <c r="C567" i="6"/>
  <c r="B567" i="6"/>
  <c r="A567" i="6"/>
  <c r="E566" i="6"/>
  <c r="C566" i="6"/>
  <c r="B566" i="6"/>
  <c r="A566" i="6"/>
  <c r="E565" i="6"/>
  <c r="C565" i="6"/>
  <c r="B565" i="6"/>
  <c r="A565" i="6"/>
  <c r="E564" i="6"/>
  <c r="C564" i="6"/>
  <c r="B564" i="6"/>
  <c r="A564" i="6"/>
  <c r="E563" i="6"/>
  <c r="C563" i="6"/>
  <c r="B563" i="6"/>
  <c r="A563" i="6"/>
  <c r="E562" i="6"/>
  <c r="C562" i="6"/>
  <c r="B562" i="6"/>
  <c r="A562" i="6"/>
  <c r="E561" i="6"/>
  <c r="C561" i="6"/>
  <c r="B561" i="6"/>
  <c r="A561" i="6"/>
  <c r="E560" i="6"/>
  <c r="C560" i="6"/>
  <c r="B560" i="6"/>
  <c r="A560" i="6"/>
  <c r="E559" i="6"/>
  <c r="C559" i="6"/>
  <c r="B559" i="6"/>
  <c r="A559" i="6"/>
  <c r="E558" i="6"/>
  <c r="C558" i="6"/>
  <c r="B558" i="6"/>
  <c r="A558" i="6"/>
  <c r="E557" i="6"/>
  <c r="C557" i="6"/>
  <c r="B557" i="6"/>
  <c r="A557" i="6"/>
  <c r="E556" i="6"/>
  <c r="C556" i="6"/>
  <c r="B556" i="6"/>
  <c r="A556" i="6"/>
  <c r="E555" i="6"/>
  <c r="C555" i="6"/>
  <c r="B555" i="6"/>
  <c r="A555" i="6"/>
  <c r="E554" i="6"/>
  <c r="C554" i="6"/>
  <c r="B554" i="6"/>
  <c r="A554" i="6"/>
  <c r="E553" i="6"/>
  <c r="C553" i="6"/>
  <c r="B553" i="6"/>
  <c r="A553" i="6"/>
  <c r="E552" i="6"/>
  <c r="C552" i="6"/>
  <c r="B552" i="6"/>
  <c r="A552" i="6"/>
  <c r="E551" i="6"/>
  <c r="C551" i="6"/>
  <c r="B551" i="6"/>
  <c r="A551" i="6"/>
  <c r="E550" i="6"/>
  <c r="C550" i="6"/>
  <c r="B550" i="6"/>
  <c r="A550" i="6"/>
  <c r="E549" i="6"/>
  <c r="C549" i="6"/>
  <c r="B549" i="6"/>
  <c r="A549" i="6"/>
  <c r="E548" i="6"/>
  <c r="C548" i="6"/>
  <c r="B548" i="6"/>
  <c r="A548" i="6"/>
  <c r="E547" i="6"/>
  <c r="C547" i="6"/>
  <c r="B547" i="6"/>
  <c r="A547" i="6"/>
  <c r="E546" i="6"/>
  <c r="C546" i="6"/>
  <c r="B546" i="6"/>
  <c r="A546" i="6"/>
  <c r="E545" i="6"/>
  <c r="C545" i="6"/>
  <c r="B545" i="6"/>
  <c r="A545" i="6"/>
  <c r="E544" i="6"/>
  <c r="C544" i="6"/>
  <c r="B544" i="6"/>
  <c r="A544" i="6"/>
  <c r="E543" i="6"/>
  <c r="C543" i="6"/>
  <c r="B543" i="6"/>
  <c r="A543" i="6"/>
  <c r="E542" i="6"/>
  <c r="C542" i="6"/>
  <c r="B542" i="6"/>
  <c r="A542" i="6"/>
  <c r="E541" i="6"/>
  <c r="C541" i="6"/>
  <c r="B541" i="6"/>
  <c r="A541" i="6"/>
  <c r="E540" i="6"/>
  <c r="C540" i="6"/>
  <c r="B540" i="6"/>
  <c r="A540" i="6"/>
  <c r="E539" i="6"/>
  <c r="C539" i="6"/>
  <c r="B539" i="6"/>
  <c r="A539" i="6"/>
  <c r="E538" i="6"/>
  <c r="C538" i="6"/>
  <c r="B538" i="6"/>
  <c r="A538" i="6"/>
  <c r="E537" i="6"/>
  <c r="C537" i="6"/>
  <c r="B537" i="6"/>
  <c r="A537" i="6"/>
  <c r="E536" i="6"/>
  <c r="C536" i="6"/>
  <c r="B536" i="6"/>
  <c r="A536" i="6"/>
  <c r="E535" i="6"/>
  <c r="C535" i="6"/>
  <c r="B535" i="6"/>
  <c r="A535" i="6"/>
  <c r="E534" i="6"/>
  <c r="C534" i="6"/>
  <c r="B534" i="6"/>
  <c r="A534" i="6"/>
  <c r="E533" i="6"/>
  <c r="C533" i="6"/>
  <c r="B533" i="6"/>
  <c r="A533" i="6"/>
  <c r="E532" i="6"/>
  <c r="C532" i="6"/>
  <c r="B532" i="6"/>
  <c r="A532" i="6"/>
  <c r="E531" i="6"/>
  <c r="C531" i="6"/>
  <c r="B531" i="6"/>
  <c r="A531" i="6"/>
  <c r="E530" i="6"/>
  <c r="C530" i="6"/>
  <c r="B530" i="6"/>
  <c r="A530" i="6"/>
  <c r="E529" i="6"/>
  <c r="C529" i="6"/>
  <c r="B529" i="6"/>
  <c r="A529" i="6"/>
  <c r="E528" i="6"/>
  <c r="C528" i="6"/>
  <c r="B528" i="6"/>
  <c r="A528" i="6"/>
  <c r="E527" i="6"/>
  <c r="C527" i="6"/>
  <c r="B527" i="6"/>
  <c r="A527" i="6"/>
  <c r="E526" i="6"/>
  <c r="C526" i="6"/>
  <c r="B526" i="6"/>
  <c r="A526" i="6"/>
  <c r="E525" i="6"/>
  <c r="C525" i="6"/>
  <c r="B525" i="6"/>
  <c r="A525" i="6"/>
  <c r="E524" i="6"/>
  <c r="C524" i="6"/>
  <c r="B524" i="6"/>
  <c r="A524" i="6"/>
  <c r="E523" i="6"/>
  <c r="C523" i="6"/>
  <c r="B523" i="6"/>
  <c r="A523" i="6"/>
  <c r="E522" i="6"/>
  <c r="C522" i="6"/>
  <c r="B522" i="6"/>
  <c r="A522" i="6"/>
  <c r="E521" i="6"/>
  <c r="C521" i="6"/>
  <c r="B521" i="6"/>
  <c r="A521" i="6"/>
  <c r="E520" i="6"/>
  <c r="C520" i="6"/>
  <c r="B520" i="6"/>
  <c r="A520" i="6"/>
  <c r="E519" i="6"/>
  <c r="C519" i="6"/>
  <c r="B519" i="6"/>
  <c r="A519" i="6"/>
  <c r="E518" i="6"/>
  <c r="C518" i="6"/>
  <c r="B518" i="6"/>
  <c r="A518" i="6"/>
  <c r="E517" i="6"/>
  <c r="C517" i="6"/>
  <c r="B517" i="6"/>
  <c r="A517" i="6"/>
  <c r="E516" i="6"/>
  <c r="C516" i="6"/>
  <c r="B516" i="6"/>
  <c r="A516" i="6"/>
  <c r="E515" i="6"/>
  <c r="C515" i="6"/>
  <c r="B515" i="6"/>
  <c r="A515" i="6"/>
  <c r="E514" i="6"/>
  <c r="C514" i="6"/>
  <c r="B514" i="6"/>
  <c r="A514" i="6"/>
  <c r="E513" i="6"/>
  <c r="C513" i="6"/>
  <c r="B513" i="6"/>
  <c r="A513" i="6"/>
  <c r="E512" i="6"/>
  <c r="C512" i="6"/>
  <c r="B512" i="6"/>
  <c r="A512" i="6"/>
  <c r="E511" i="6"/>
  <c r="C511" i="6"/>
  <c r="B511" i="6"/>
  <c r="A511" i="6"/>
  <c r="E510" i="6"/>
  <c r="C510" i="6"/>
  <c r="B510" i="6"/>
  <c r="A510" i="6"/>
  <c r="E509" i="6"/>
  <c r="C509" i="6"/>
  <c r="B509" i="6"/>
  <c r="A509" i="6"/>
  <c r="E508" i="6"/>
  <c r="C508" i="6"/>
  <c r="B508" i="6"/>
  <c r="A508" i="6"/>
  <c r="E507" i="6"/>
  <c r="C507" i="6"/>
  <c r="B507" i="6"/>
  <c r="A507" i="6"/>
  <c r="E506" i="6"/>
  <c r="C506" i="6"/>
  <c r="B506" i="6"/>
  <c r="A506" i="6"/>
  <c r="E505" i="6"/>
  <c r="C505" i="6"/>
  <c r="B505" i="6"/>
  <c r="A505" i="6"/>
  <c r="E504" i="6"/>
  <c r="C504" i="6"/>
  <c r="B504" i="6"/>
  <c r="A504" i="6"/>
  <c r="E503" i="6"/>
  <c r="C503" i="6"/>
  <c r="B503" i="6"/>
  <c r="A503" i="6"/>
  <c r="E502" i="6"/>
  <c r="C502" i="6"/>
  <c r="B502" i="6"/>
  <c r="A502" i="6"/>
  <c r="E501" i="6"/>
  <c r="C501" i="6"/>
  <c r="B501" i="6"/>
  <c r="A501" i="6"/>
  <c r="E500" i="6"/>
  <c r="C500" i="6"/>
  <c r="B500" i="6"/>
  <c r="A500" i="6"/>
  <c r="E499" i="6"/>
  <c r="C499" i="6"/>
  <c r="B499" i="6"/>
  <c r="A499" i="6"/>
  <c r="E498" i="6"/>
  <c r="C498" i="6"/>
  <c r="B498" i="6"/>
  <c r="A498" i="6"/>
  <c r="E497" i="6"/>
  <c r="C497" i="6"/>
  <c r="B497" i="6"/>
  <c r="A497" i="6"/>
  <c r="E496" i="6"/>
  <c r="C496" i="6"/>
  <c r="B496" i="6"/>
  <c r="A496" i="6"/>
  <c r="E495" i="6"/>
  <c r="C495" i="6"/>
  <c r="B495" i="6"/>
  <c r="A495" i="6"/>
  <c r="E494" i="6"/>
  <c r="C494" i="6"/>
  <c r="B494" i="6"/>
  <c r="A494" i="6"/>
  <c r="E493" i="6"/>
  <c r="C493" i="6"/>
  <c r="B493" i="6"/>
  <c r="A493" i="6"/>
  <c r="E492" i="6"/>
  <c r="C492" i="6"/>
  <c r="B492" i="6"/>
  <c r="A492" i="6"/>
  <c r="E491" i="6"/>
  <c r="C491" i="6"/>
  <c r="B491" i="6"/>
  <c r="A491" i="6"/>
  <c r="E490" i="6"/>
  <c r="C490" i="6"/>
  <c r="B490" i="6"/>
  <c r="A490" i="6"/>
  <c r="E489" i="6"/>
  <c r="C489" i="6"/>
  <c r="B489" i="6"/>
  <c r="A489" i="6"/>
  <c r="E488" i="6"/>
  <c r="C488" i="6"/>
  <c r="B488" i="6"/>
  <c r="A488" i="6"/>
  <c r="E487" i="6"/>
  <c r="C487" i="6"/>
  <c r="B487" i="6"/>
  <c r="A487" i="6"/>
  <c r="E486" i="6"/>
  <c r="C486" i="6"/>
  <c r="B486" i="6"/>
  <c r="A486" i="6"/>
  <c r="E485" i="6"/>
  <c r="C485" i="6"/>
  <c r="B485" i="6"/>
  <c r="A485" i="6"/>
  <c r="E484" i="6"/>
  <c r="C484" i="6"/>
  <c r="B484" i="6"/>
  <c r="A484" i="6"/>
  <c r="E483" i="6"/>
  <c r="C483" i="6"/>
  <c r="B483" i="6"/>
  <c r="A483" i="6"/>
  <c r="E482" i="6"/>
  <c r="C482" i="6"/>
  <c r="B482" i="6"/>
  <c r="A482" i="6"/>
  <c r="E481" i="6"/>
  <c r="C481" i="6"/>
  <c r="B481" i="6"/>
  <c r="A481" i="6"/>
  <c r="E480" i="6"/>
  <c r="C480" i="6"/>
  <c r="B480" i="6"/>
  <c r="A480" i="6"/>
  <c r="E479" i="6"/>
  <c r="C479" i="6"/>
  <c r="B479" i="6"/>
  <c r="A479" i="6"/>
  <c r="E478" i="6"/>
  <c r="C478" i="6"/>
  <c r="B478" i="6"/>
  <c r="A478" i="6"/>
  <c r="E477" i="6"/>
  <c r="C477" i="6"/>
  <c r="B477" i="6"/>
  <c r="A477" i="6"/>
  <c r="E476" i="6"/>
  <c r="C476" i="6"/>
  <c r="B476" i="6"/>
  <c r="A476" i="6"/>
  <c r="E475" i="6"/>
  <c r="C475" i="6"/>
  <c r="B475" i="6"/>
  <c r="A475" i="6"/>
  <c r="E474" i="6"/>
  <c r="C474" i="6"/>
  <c r="B474" i="6"/>
  <c r="A474" i="6"/>
  <c r="E473" i="6"/>
  <c r="C473" i="6"/>
  <c r="B473" i="6"/>
  <c r="A473" i="6"/>
  <c r="E472" i="6"/>
  <c r="C472" i="6"/>
  <c r="B472" i="6"/>
  <c r="A472" i="6"/>
  <c r="E471" i="6"/>
  <c r="C471" i="6"/>
  <c r="B471" i="6"/>
  <c r="A471" i="6"/>
  <c r="E470" i="6"/>
  <c r="C470" i="6"/>
  <c r="B470" i="6"/>
  <c r="A470" i="6"/>
  <c r="E469" i="6"/>
  <c r="C469" i="6"/>
  <c r="B469" i="6"/>
  <c r="A469" i="6"/>
  <c r="E468" i="6"/>
  <c r="C468" i="6"/>
  <c r="B468" i="6"/>
  <c r="A468" i="6"/>
  <c r="E467" i="6"/>
  <c r="C467" i="6"/>
  <c r="B467" i="6"/>
  <c r="A467" i="6"/>
  <c r="E466" i="6"/>
  <c r="C466" i="6"/>
  <c r="B466" i="6"/>
  <c r="A466" i="6"/>
  <c r="E465" i="6"/>
  <c r="C465" i="6"/>
  <c r="B465" i="6"/>
  <c r="A465" i="6"/>
  <c r="E464" i="6"/>
  <c r="C464" i="6"/>
  <c r="B464" i="6"/>
  <c r="A464" i="6"/>
  <c r="E463" i="6"/>
  <c r="C463" i="6"/>
  <c r="B463" i="6"/>
  <c r="A463" i="6"/>
  <c r="E462" i="6"/>
  <c r="C462" i="6"/>
  <c r="B462" i="6"/>
  <c r="A462" i="6"/>
  <c r="E461" i="6"/>
  <c r="C461" i="6"/>
  <c r="B461" i="6"/>
  <c r="A461" i="6"/>
  <c r="E460" i="6"/>
  <c r="C460" i="6"/>
  <c r="B460" i="6"/>
  <c r="A460" i="6"/>
  <c r="E459" i="6"/>
  <c r="C459" i="6"/>
  <c r="B459" i="6"/>
  <c r="A459" i="6"/>
  <c r="E458" i="6"/>
  <c r="C458" i="6"/>
  <c r="B458" i="6"/>
  <c r="A458" i="6"/>
  <c r="E457" i="6"/>
  <c r="C457" i="6"/>
  <c r="B457" i="6"/>
  <c r="A457" i="6"/>
  <c r="E456" i="6"/>
  <c r="C456" i="6"/>
  <c r="B456" i="6"/>
  <c r="A456" i="6"/>
  <c r="E455" i="6"/>
  <c r="C455" i="6"/>
  <c r="B455" i="6"/>
  <c r="A455" i="6"/>
  <c r="E454" i="6"/>
  <c r="C454" i="6"/>
  <c r="B454" i="6"/>
  <c r="A454" i="6"/>
  <c r="E453" i="6"/>
  <c r="C453" i="6"/>
  <c r="B453" i="6"/>
  <c r="A453" i="6"/>
  <c r="E452" i="6"/>
  <c r="C452" i="6"/>
  <c r="B452" i="6"/>
  <c r="A452" i="6"/>
  <c r="E451" i="6"/>
  <c r="C451" i="6"/>
  <c r="B451" i="6"/>
  <c r="A451" i="6"/>
  <c r="E450" i="6"/>
  <c r="C450" i="6"/>
  <c r="B450" i="6"/>
  <c r="A450" i="6"/>
  <c r="E449" i="6"/>
  <c r="C449" i="6"/>
  <c r="B449" i="6"/>
  <c r="A449" i="6"/>
  <c r="E448" i="6"/>
  <c r="C448" i="6"/>
  <c r="B448" i="6"/>
  <c r="A448" i="6"/>
  <c r="E447" i="6"/>
  <c r="C447" i="6"/>
  <c r="B447" i="6"/>
  <c r="A447" i="6"/>
  <c r="E446" i="6"/>
  <c r="C446" i="6"/>
  <c r="B446" i="6"/>
  <c r="A446" i="6"/>
  <c r="E445" i="6"/>
  <c r="C445" i="6"/>
  <c r="B445" i="6"/>
  <c r="A445" i="6"/>
  <c r="E444" i="6"/>
  <c r="C444" i="6"/>
  <c r="B444" i="6"/>
  <c r="A444" i="6"/>
  <c r="E443" i="6"/>
  <c r="C443" i="6"/>
  <c r="B443" i="6"/>
  <c r="A443" i="6"/>
  <c r="E442" i="6"/>
  <c r="C442" i="6"/>
  <c r="B442" i="6"/>
  <c r="A442" i="6"/>
  <c r="E441" i="6"/>
  <c r="C441" i="6"/>
  <c r="B441" i="6"/>
  <c r="A441" i="6"/>
  <c r="E440" i="6"/>
  <c r="C440" i="6"/>
  <c r="B440" i="6"/>
  <c r="A440" i="6"/>
  <c r="E439" i="6"/>
  <c r="C439" i="6"/>
  <c r="B439" i="6"/>
  <c r="A439" i="6"/>
  <c r="E438" i="6"/>
  <c r="C438" i="6"/>
  <c r="B438" i="6"/>
  <c r="A438" i="6"/>
  <c r="E437" i="6"/>
  <c r="C437" i="6"/>
  <c r="B437" i="6"/>
  <c r="A437" i="6"/>
  <c r="E436" i="6"/>
  <c r="C436" i="6"/>
  <c r="B436" i="6"/>
  <c r="A436" i="6"/>
  <c r="E435" i="6"/>
  <c r="C435" i="6"/>
  <c r="B435" i="6"/>
  <c r="A435" i="6"/>
  <c r="E434" i="6"/>
  <c r="C434" i="6"/>
  <c r="B434" i="6"/>
  <c r="A434" i="6"/>
  <c r="E433" i="6"/>
  <c r="C433" i="6"/>
  <c r="B433" i="6"/>
  <c r="A433" i="6"/>
  <c r="E432" i="6"/>
  <c r="C432" i="6"/>
  <c r="B432" i="6"/>
  <c r="A432" i="6"/>
  <c r="E431" i="6"/>
  <c r="C431" i="6"/>
  <c r="B431" i="6"/>
  <c r="A431" i="6"/>
  <c r="E430" i="6"/>
  <c r="C430" i="6"/>
  <c r="B430" i="6"/>
  <c r="A430" i="6"/>
  <c r="E429" i="6"/>
  <c r="C429" i="6"/>
  <c r="B429" i="6"/>
  <c r="A429" i="6"/>
  <c r="E428" i="6"/>
  <c r="C428" i="6"/>
  <c r="B428" i="6"/>
  <c r="A428" i="6"/>
  <c r="E427" i="6"/>
  <c r="C427" i="6"/>
  <c r="B427" i="6"/>
  <c r="A427" i="6"/>
  <c r="E426" i="6"/>
  <c r="C426" i="6"/>
  <c r="B426" i="6"/>
  <c r="A426" i="6"/>
  <c r="E425" i="6"/>
  <c r="C425" i="6"/>
  <c r="B425" i="6"/>
  <c r="A425" i="6"/>
  <c r="E424" i="6"/>
  <c r="C424" i="6"/>
  <c r="B424" i="6"/>
  <c r="A424" i="6"/>
  <c r="E423" i="6"/>
  <c r="C423" i="6"/>
  <c r="B423" i="6"/>
  <c r="A423" i="6"/>
  <c r="E422" i="6"/>
  <c r="C422" i="6"/>
  <c r="B422" i="6"/>
  <c r="A422" i="6"/>
  <c r="E421" i="6"/>
  <c r="C421" i="6"/>
  <c r="B421" i="6"/>
  <c r="A421" i="6"/>
  <c r="E420" i="6"/>
  <c r="C420" i="6"/>
  <c r="B420" i="6"/>
  <c r="A420" i="6"/>
  <c r="E419" i="6"/>
  <c r="C419" i="6"/>
  <c r="B419" i="6"/>
  <c r="A419" i="6"/>
  <c r="E418" i="6"/>
  <c r="C418" i="6"/>
  <c r="B418" i="6"/>
  <c r="A418" i="6"/>
  <c r="E417" i="6"/>
  <c r="C417" i="6"/>
  <c r="B417" i="6"/>
  <c r="A417" i="6"/>
  <c r="E416" i="6"/>
  <c r="C416" i="6"/>
  <c r="B416" i="6"/>
  <c r="A416" i="6"/>
  <c r="E415" i="6"/>
  <c r="C415" i="6"/>
  <c r="B415" i="6"/>
  <c r="A415" i="6"/>
  <c r="E414" i="6"/>
  <c r="C414" i="6"/>
  <c r="B414" i="6"/>
  <c r="A414" i="6"/>
  <c r="E413" i="6"/>
  <c r="C413" i="6"/>
  <c r="B413" i="6"/>
  <c r="A413" i="6"/>
  <c r="E412" i="6"/>
  <c r="C412" i="6"/>
  <c r="B412" i="6"/>
  <c r="A412" i="6"/>
  <c r="E411" i="6"/>
  <c r="C411" i="6"/>
  <c r="B411" i="6"/>
  <c r="A411" i="6"/>
  <c r="E410" i="6"/>
  <c r="C410" i="6"/>
  <c r="B410" i="6"/>
  <c r="A410" i="6"/>
  <c r="E409" i="6"/>
  <c r="C409" i="6"/>
  <c r="B409" i="6"/>
  <c r="A409" i="6"/>
  <c r="E408" i="6"/>
  <c r="C408" i="6"/>
  <c r="B408" i="6"/>
  <c r="A408" i="6"/>
  <c r="E407" i="6"/>
  <c r="C407" i="6"/>
  <c r="B407" i="6"/>
  <c r="A407" i="6"/>
  <c r="E406" i="6"/>
  <c r="C406" i="6"/>
  <c r="B406" i="6"/>
  <c r="A406" i="6"/>
  <c r="E405" i="6"/>
  <c r="C405" i="6"/>
  <c r="B405" i="6"/>
  <c r="A405" i="6"/>
  <c r="E404" i="6"/>
  <c r="C404" i="6"/>
  <c r="B404" i="6"/>
  <c r="A404" i="6"/>
  <c r="E403" i="6"/>
  <c r="C403" i="6"/>
  <c r="B403" i="6"/>
  <c r="A403" i="6"/>
  <c r="E402" i="6"/>
  <c r="C402" i="6"/>
  <c r="B402" i="6"/>
  <c r="A402" i="6"/>
  <c r="E401" i="6"/>
  <c r="C401" i="6"/>
  <c r="B401" i="6"/>
  <c r="A401" i="6"/>
  <c r="E400" i="6"/>
  <c r="C400" i="6"/>
  <c r="B400" i="6"/>
  <c r="A400" i="6"/>
  <c r="E399" i="6"/>
  <c r="C399" i="6"/>
  <c r="B399" i="6"/>
  <c r="A399" i="6"/>
  <c r="E398" i="6"/>
  <c r="C398" i="6"/>
  <c r="B398" i="6"/>
  <c r="A398" i="6"/>
  <c r="E397" i="6"/>
  <c r="C397" i="6"/>
  <c r="B397" i="6"/>
  <c r="A397" i="6"/>
  <c r="E396" i="6"/>
  <c r="C396" i="6"/>
  <c r="B396" i="6"/>
  <c r="A396" i="6"/>
  <c r="E395" i="6"/>
  <c r="C395" i="6"/>
  <c r="B395" i="6"/>
  <c r="A395" i="6"/>
  <c r="E394" i="6"/>
  <c r="C394" i="6"/>
  <c r="B394" i="6"/>
  <c r="A394" i="6"/>
  <c r="E393" i="6"/>
  <c r="C393" i="6"/>
  <c r="B393" i="6"/>
  <c r="A393" i="6"/>
  <c r="E392" i="6"/>
  <c r="C392" i="6"/>
  <c r="B392" i="6"/>
  <c r="A392" i="6"/>
  <c r="E391" i="6"/>
  <c r="C391" i="6"/>
  <c r="B391" i="6"/>
  <c r="A391" i="6"/>
  <c r="E390" i="6"/>
  <c r="C390" i="6"/>
  <c r="B390" i="6"/>
  <c r="A390" i="6"/>
  <c r="E389" i="6"/>
  <c r="C389" i="6"/>
  <c r="B389" i="6"/>
  <c r="A389" i="6"/>
  <c r="E388" i="6"/>
  <c r="C388" i="6"/>
  <c r="B388" i="6"/>
  <c r="A388" i="6"/>
  <c r="E387" i="6"/>
  <c r="C387" i="6"/>
  <c r="B387" i="6"/>
  <c r="A387" i="6"/>
  <c r="E386" i="6"/>
  <c r="C386" i="6"/>
  <c r="B386" i="6"/>
  <c r="A386" i="6"/>
  <c r="E385" i="6"/>
  <c r="C385" i="6"/>
  <c r="B385" i="6"/>
  <c r="A385" i="6"/>
  <c r="E384" i="6"/>
  <c r="C384" i="6"/>
  <c r="B384" i="6"/>
  <c r="A384" i="6"/>
  <c r="E383" i="6"/>
  <c r="C383" i="6"/>
  <c r="B383" i="6"/>
  <c r="A383" i="6"/>
  <c r="E382" i="6"/>
  <c r="C382" i="6"/>
  <c r="B382" i="6"/>
  <c r="A382" i="6"/>
  <c r="E381" i="6"/>
  <c r="C381" i="6"/>
  <c r="B381" i="6"/>
  <c r="A381" i="6"/>
  <c r="E380" i="6"/>
  <c r="C380" i="6"/>
  <c r="B380" i="6"/>
  <c r="A380" i="6"/>
  <c r="E379" i="6"/>
  <c r="C379" i="6"/>
  <c r="B379" i="6"/>
  <c r="A379" i="6"/>
  <c r="E378" i="6"/>
  <c r="C378" i="6"/>
  <c r="B378" i="6"/>
  <c r="A378" i="6"/>
  <c r="E377" i="6"/>
  <c r="C377" i="6"/>
  <c r="B377" i="6"/>
  <c r="A377" i="6"/>
  <c r="E376" i="6"/>
  <c r="C376" i="6"/>
  <c r="B376" i="6"/>
  <c r="A376" i="6"/>
  <c r="E375" i="6"/>
  <c r="C375" i="6"/>
  <c r="B375" i="6"/>
  <c r="A375" i="6"/>
  <c r="E374" i="6"/>
  <c r="C374" i="6"/>
  <c r="B374" i="6"/>
  <c r="A374" i="6"/>
  <c r="E373" i="6"/>
  <c r="C373" i="6"/>
  <c r="B373" i="6"/>
  <c r="A373" i="6"/>
  <c r="E372" i="6"/>
  <c r="C372" i="6"/>
  <c r="B372" i="6"/>
  <c r="A372" i="6"/>
  <c r="E371" i="6"/>
  <c r="C371" i="6"/>
  <c r="B371" i="6"/>
  <c r="A371" i="6"/>
  <c r="E370" i="6"/>
  <c r="C370" i="6"/>
  <c r="B370" i="6"/>
  <c r="A370" i="6"/>
  <c r="E369" i="6"/>
  <c r="C369" i="6"/>
  <c r="B369" i="6"/>
  <c r="A369" i="6"/>
  <c r="E368" i="6"/>
  <c r="C368" i="6"/>
  <c r="B368" i="6"/>
  <c r="A368" i="6"/>
  <c r="E367" i="6"/>
  <c r="C367" i="6"/>
  <c r="B367" i="6"/>
  <c r="A367" i="6"/>
  <c r="E366" i="6"/>
  <c r="C366" i="6"/>
  <c r="B366" i="6"/>
  <c r="A366" i="6"/>
  <c r="E365" i="6"/>
  <c r="C365" i="6"/>
  <c r="B365" i="6"/>
  <c r="A365" i="6"/>
  <c r="E364" i="6"/>
  <c r="C364" i="6"/>
  <c r="B364" i="6"/>
  <c r="A364" i="6"/>
  <c r="E363" i="6"/>
  <c r="C363" i="6"/>
  <c r="B363" i="6"/>
  <c r="A363" i="6"/>
  <c r="E362" i="6"/>
  <c r="C362" i="6"/>
  <c r="B362" i="6"/>
  <c r="A362" i="6"/>
  <c r="E361" i="6"/>
  <c r="C361" i="6"/>
  <c r="B361" i="6"/>
  <c r="A361" i="6"/>
  <c r="E360" i="6"/>
  <c r="C360" i="6"/>
  <c r="B360" i="6"/>
  <c r="A360" i="6"/>
  <c r="E359" i="6"/>
  <c r="C359" i="6"/>
  <c r="B359" i="6"/>
  <c r="A359" i="6"/>
  <c r="E358" i="6"/>
  <c r="C358" i="6"/>
  <c r="B358" i="6"/>
  <c r="A358" i="6"/>
  <c r="E357" i="6"/>
  <c r="C357" i="6"/>
  <c r="B357" i="6"/>
  <c r="A357" i="6"/>
  <c r="E356" i="6"/>
  <c r="C356" i="6"/>
  <c r="B356" i="6"/>
  <c r="A356" i="6"/>
  <c r="E355" i="6"/>
  <c r="C355" i="6"/>
  <c r="B355" i="6"/>
  <c r="A355" i="6"/>
  <c r="E354" i="6"/>
  <c r="C354" i="6"/>
  <c r="B354" i="6"/>
  <c r="A354" i="6"/>
  <c r="E353" i="6"/>
  <c r="C353" i="6"/>
  <c r="B353" i="6"/>
  <c r="A353" i="6"/>
  <c r="E352" i="6"/>
  <c r="C352" i="6"/>
  <c r="B352" i="6"/>
  <c r="A352" i="6"/>
  <c r="E351" i="6"/>
  <c r="C351" i="6"/>
  <c r="B351" i="6"/>
  <c r="A351" i="6"/>
  <c r="E350" i="6"/>
  <c r="C350" i="6"/>
  <c r="B350" i="6"/>
  <c r="A350" i="6"/>
  <c r="E349" i="6"/>
  <c r="C349" i="6"/>
  <c r="B349" i="6"/>
  <c r="A349" i="6"/>
  <c r="E348" i="6"/>
  <c r="C348" i="6"/>
  <c r="B348" i="6"/>
  <c r="A348" i="6"/>
  <c r="E347" i="6"/>
  <c r="C347" i="6"/>
  <c r="B347" i="6"/>
  <c r="A347" i="6"/>
  <c r="E346" i="6"/>
  <c r="C346" i="6"/>
  <c r="B346" i="6"/>
  <c r="A346" i="6"/>
  <c r="E345" i="6"/>
  <c r="C345" i="6"/>
  <c r="B345" i="6"/>
  <c r="A345" i="6"/>
  <c r="E344" i="6"/>
  <c r="C344" i="6"/>
  <c r="B344" i="6"/>
  <c r="A344" i="6"/>
  <c r="E343" i="6"/>
  <c r="C343" i="6"/>
  <c r="B343" i="6"/>
  <c r="A343" i="6"/>
  <c r="E342" i="6"/>
  <c r="C342" i="6"/>
  <c r="B342" i="6"/>
  <c r="A342" i="6"/>
  <c r="E341" i="6"/>
  <c r="C341" i="6"/>
  <c r="B341" i="6"/>
  <c r="A341" i="6"/>
  <c r="E340" i="6"/>
  <c r="C340" i="6"/>
  <c r="B340" i="6"/>
  <c r="A340" i="6"/>
  <c r="E339" i="6"/>
  <c r="C339" i="6"/>
  <c r="B339" i="6"/>
  <c r="A339" i="6"/>
  <c r="E338" i="6"/>
  <c r="C338" i="6"/>
  <c r="B338" i="6"/>
  <c r="A338" i="6"/>
  <c r="E337" i="6"/>
  <c r="C337" i="6"/>
  <c r="B337" i="6"/>
  <c r="A337" i="6"/>
  <c r="E336" i="6"/>
  <c r="C336" i="6"/>
  <c r="B336" i="6"/>
  <c r="A336" i="6"/>
  <c r="E335" i="6"/>
  <c r="C335" i="6"/>
  <c r="B335" i="6"/>
  <c r="A335" i="6"/>
  <c r="E334" i="6"/>
  <c r="C334" i="6"/>
  <c r="B334" i="6"/>
  <c r="A334" i="6"/>
  <c r="E333" i="6"/>
  <c r="C333" i="6"/>
  <c r="B333" i="6"/>
  <c r="A333" i="6"/>
  <c r="E332" i="6"/>
  <c r="C332" i="6"/>
  <c r="B332" i="6"/>
  <c r="A332" i="6"/>
  <c r="E331" i="6"/>
  <c r="C331" i="6"/>
  <c r="B331" i="6"/>
  <c r="A331" i="6"/>
  <c r="E330" i="6"/>
  <c r="C330" i="6"/>
  <c r="B330" i="6"/>
  <c r="A330" i="6"/>
  <c r="E329" i="6"/>
  <c r="C329" i="6"/>
  <c r="B329" i="6"/>
  <c r="A329" i="6"/>
  <c r="E328" i="6"/>
  <c r="C328" i="6"/>
  <c r="B328" i="6"/>
  <c r="A328" i="6"/>
  <c r="E327" i="6"/>
  <c r="C327" i="6"/>
  <c r="B327" i="6"/>
  <c r="A327" i="6"/>
  <c r="E326" i="6"/>
  <c r="C326" i="6"/>
  <c r="B326" i="6"/>
  <c r="A326" i="6"/>
  <c r="E325" i="6"/>
  <c r="C325" i="6"/>
  <c r="B325" i="6"/>
  <c r="A325" i="6"/>
  <c r="E324" i="6"/>
  <c r="C324" i="6"/>
  <c r="B324" i="6"/>
  <c r="A324" i="6"/>
  <c r="E323" i="6"/>
  <c r="C323" i="6"/>
  <c r="B323" i="6"/>
  <c r="A323" i="6"/>
  <c r="E322" i="6"/>
  <c r="C322" i="6"/>
  <c r="B322" i="6"/>
  <c r="A322" i="6"/>
  <c r="E321" i="6"/>
  <c r="C321" i="6"/>
  <c r="B321" i="6"/>
  <c r="A321" i="6"/>
  <c r="E320" i="6"/>
  <c r="C320" i="6"/>
  <c r="B320" i="6"/>
  <c r="A320" i="6"/>
  <c r="E319" i="6"/>
  <c r="C319" i="6"/>
  <c r="B319" i="6"/>
  <c r="A319" i="6"/>
  <c r="E318" i="6"/>
  <c r="C318" i="6"/>
  <c r="B318" i="6"/>
  <c r="A318" i="6"/>
  <c r="E317" i="6"/>
  <c r="C317" i="6"/>
  <c r="B317" i="6"/>
  <c r="A317" i="6"/>
  <c r="E316" i="6"/>
  <c r="C316" i="6"/>
  <c r="B316" i="6"/>
  <c r="A316" i="6"/>
  <c r="E315" i="6"/>
  <c r="C315" i="6"/>
  <c r="B315" i="6"/>
  <c r="A315" i="6"/>
  <c r="E314" i="6"/>
  <c r="C314" i="6"/>
  <c r="B314" i="6"/>
  <c r="A314" i="6"/>
  <c r="E313" i="6"/>
  <c r="C313" i="6"/>
  <c r="B313" i="6"/>
  <c r="A313" i="6"/>
  <c r="E312" i="6"/>
  <c r="C312" i="6"/>
  <c r="B312" i="6"/>
  <c r="A312" i="6"/>
  <c r="E311" i="6"/>
  <c r="C311" i="6"/>
  <c r="B311" i="6"/>
  <c r="A311" i="6"/>
  <c r="E310" i="6"/>
  <c r="C310" i="6"/>
  <c r="B310" i="6"/>
  <c r="A310" i="6"/>
  <c r="E309" i="6"/>
  <c r="D309" i="6"/>
  <c r="C309" i="6"/>
  <c r="B309" i="6"/>
  <c r="A309" i="6"/>
  <c r="E308" i="6"/>
  <c r="D308" i="6"/>
  <c r="C308" i="6"/>
  <c r="B308" i="6"/>
  <c r="A308" i="6"/>
  <c r="E307" i="6"/>
  <c r="D307" i="6"/>
  <c r="C307" i="6"/>
  <c r="B307" i="6"/>
  <c r="A307" i="6"/>
  <c r="E306" i="6"/>
  <c r="D306" i="6"/>
  <c r="C306" i="6"/>
  <c r="B306" i="6"/>
  <c r="A306" i="6"/>
  <c r="E305" i="6"/>
  <c r="D305" i="6"/>
  <c r="C305" i="6"/>
  <c r="B305" i="6"/>
  <c r="A305" i="6"/>
  <c r="E304" i="6"/>
  <c r="D304" i="6"/>
  <c r="C304" i="6"/>
  <c r="B304" i="6"/>
  <c r="A304" i="6"/>
  <c r="E303" i="6"/>
  <c r="D303" i="6"/>
  <c r="C303" i="6"/>
  <c r="B303" i="6"/>
  <c r="A303" i="6"/>
  <c r="E302" i="6"/>
  <c r="D302" i="6"/>
  <c r="C302" i="6"/>
  <c r="B302" i="6"/>
  <c r="A302" i="6"/>
  <c r="E301" i="6"/>
  <c r="D301" i="6"/>
  <c r="C301" i="6"/>
  <c r="B301" i="6"/>
  <c r="A301" i="6"/>
  <c r="E300" i="6"/>
  <c r="D300" i="6"/>
  <c r="C300" i="6"/>
  <c r="B300" i="6"/>
  <c r="A300" i="6"/>
  <c r="E299" i="6"/>
  <c r="D299" i="6"/>
  <c r="C299" i="6"/>
  <c r="B299" i="6"/>
  <c r="A299" i="6"/>
  <c r="E298" i="6"/>
  <c r="D298" i="6"/>
  <c r="C298" i="6"/>
  <c r="B298" i="6"/>
  <c r="A298" i="6"/>
  <c r="E297" i="6"/>
  <c r="D297" i="6"/>
  <c r="C297" i="6"/>
  <c r="B297" i="6"/>
  <c r="A297" i="6"/>
  <c r="E296" i="6"/>
  <c r="D296" i="6"/>
  <c r="C296" i="6"/>
  <c r="B296" i="6"/>
  <c r="A296" i="6"/>
  <c r="E295" i="6"/>
  <c r="D295" i="6"/>
  <c r="C295" i="6"/>
  <c r="B295" i="6"/>
  <c r="A295" i="6"/>
  <c r="E294" i="6"/>
  <c r="D294" i="6"/>
  <c r="C294" i="6"/>
  <c r="B294" i="6"/>
  <c r="A294" i="6"/>
  <c r="E293" i="6"/>
  <c r="D293" i="6"/>
  <c r="C293" i="6"/>
  <c r="B293" i="6"/>
  <c r="A293" i="6"/>
  <c r="E292" i="6"/>
  <c r="D292" i="6"/>
  <c r="C292" i="6"/>
  <c r="B292" i="6"/>
  <c r="A292" i="6"/>
  <c r="E291" i="6"/>
  <c r="D291" i="6"/>
  <c r="C291" i="6"/>
  <c r="B291" i="6"/>
  <c r="A291" i="6"/>
  <c r="E290" i="6"/>
  <c r="D290" i="6"/>
  <c r="C290" i="6"/>
  <c r="B290" i="6"/>
  <c r="A290" i="6"/>
  <c r="E289" i="6"/>
  <c r="D289" i="6"/>
  <c r="C289" i="6"/>
  <c r="B289" i="6"/>
  <c r="A289" i="6"/>
  <c r="E288" i="6"/>
  <c r="D288" i="6"/>
  <c r="C288" i="6"/>
  <c r="B288" i="6"/>
  <c r="A288" i="6"/>
  <c r="E287" i="6"/>
  <c r="D287" i="6"/>
  <c r="C287" i="6"/>
  <c r="B287" i="6"/>
  <c r="A287" i="6"/>
  <c r="E286" i="6"/>
  <c r="D286" i="6"/>
  <c r="C286" i="6"/>
  <c r="B286" i="6"/>
  <c r="A286" i="6"/>
  <c r="E285" i="6"/>
  <c r="D285" i="6"/>
  <c r="C285" i="6"/>
  <c r="B285" i="6"/>
  <c r="A285" i="6"/>
  <c r="E284" i="6"/>
  <c r="D284" i="6"/>
  <c r="C284" i="6"/>
  <c r="B284" i="6"/>
  <c r="A284" i="6"/>
  <c r="E283" i="6"/>
  <c r="D283" i="6"/>
  <c r="C283" i="6"/>
  <c r="B283" i="6"/>
  <c r="A283" i="6"/>
  <c r="E282" i="6"/>
  <c r="D282" i="6"/>
  <c r="C282" i="6"/>
  <c r="B282" i="6"/>
  <c r="A282" i="6"/>
  <c r="E281" i="6"/>
  <c r="C281" i="6"/>
  <c r="B281" i="6"/>
  <c r="A281" i="6"/>
  <c r="E280" i="6"/>
  <c r="C280" i="6"/>
  <c r="B280" i="6"/>
  <c r="A280" i="6"/>
  <c r="E279" i="6"/>
  <c r="C279" i="6"/>
  <c r="B279" i="6"/>
  <c r="A279" i="6"/>
  <c r="E278" i="6"/>
  <c r="C278" i="6"/>
  <c r="B278" i="6"/>
  <c r="A278" i="6"/>
  <c r="E277" i="6"/>
  <c r="C277" i="6"/>
  <c r="B277" i="6"/>
  <c r="A277" i="6"/>
  <c r="E276" i="6"/>
  <c r="C276" i="6"/>
  <c r="B276" i="6"/>
  <c r="A276" i="6"/>
  <c r="E275" i="6"/>
  <c r="C275" i="6"/>
  <c r="B275" i="6"/>
  <c r="A275" i="6"/>
  <c r="E274" i="6"/>
  <c r="C274" i="6"/>
  <c r="B274" i="6"/>
  <c r="A274" i="6"/>
  <c r="E273" i="6"/>
  <c r="C273" i="6"/>
  <c r="B273" i="6"/>
  <c r="A273" i="6"/>
  <c r="E272" i="6"/>
  <c r="C272" i="6"/>
  <c r="B272" i="6"/>
  <c r="A272" i="6"/>
  <c r="E271" i="6"/>
  <c r="C271" i="6"/>
  <c r="B271" i="6"/>
  <c r="A271" i="6"/>
  <c r="E270" i="6"/>
  <c r="C270" i="6"/>
  <c r="B270" i="6"/>
  <c r="A270" i="6"/>
  <c r="E269" i="6"/>
  <c r="C269" i="6"/>
  <c r="B269" i="6"/>
  <c r="A269" i="6"/>
  <c r="E268" i="6"/>
  <c r="C268" i="6"/>
  <c r="B268" i="6"/>
  <c r="A268" i="6"/>
  <c r="E267" i="6"/>
  <c r="C267" i="6"/>
  <c r="B267" i="6"/>
  <c r="A267" i="6"/>
  <c r="E266" i="6"/>
  <c r="C266" i="6"/>
  <c r="B266" i="6"/>
  <c r="A266" i="6"/>
  <c r="E265" i="6"/>
  <c r="C265" i="6"/>
  <c r="B265" i="6"/>
  <c r="A265" i="6"/>
  <c r="E264" i="6"/>
  <c r="C264" i="6"/>
  <c r="B264" i="6"/>
  <c r="A264" i="6"/>
  <c r="E263" i="6"/>
  <c r="C263" i="6"/>
  <c r="B263" i="6"/>
  <c r="A263" i="6"/>
  <c r="E262" i="6"/>
  <c r="C262" i="6"/>
  <c r="B262" i="6"/>
  <c r="A262" i="6"/>
  <c r="E261" i="6"/>
  <c r="C261" i="6"/>
  <c r="B261" i="6"/>
  <c r="A261" i="6"/>
  <c r="E260" i="6"/>
  <c r="C260" i="6"/>
  <c r="B260" i="6"/>
  <c r="A260" i="6"/>
  <c r="E259" i="6"/>
  <c r="C259" i="6"/>
  <c r="B259" i="6"/>
  <c r="A259" i="6"/>
  <c r="E258" i="6"/>
  <c r="C258" i="6"/>
  <c r="B258" i="6"/>
  <c r="A258" i="6"/>
  <c r="E257" i="6"/>
  <c r="C257" i="6"/>
  <c r="B257" i="6"/>
  <c r="A257" i="6"/>
  <c r="E256" i="6"/>
  <c r="C256" i="6"/>
  <c r="B256" i="6"/>
  <c r="A256" i="6"/>
  <c r="E255" i="6"/>
  <c r="C255" i="6"/>
  <c r="B255" i="6"/>
  <c r="A255" i="6"/>
  <c r="E254" i="6"/>
  <c r="C254" i="6"/>
  <c r="B254" i="6"/>
  <c r="A254" i="6"/>
  <c r="E253" i="6"/>
  <c r="C253" i="6"/>
  <c r="B253" i="6"/>
  <c r="A253" i="6"/>
  <c r="E252" i="6"/>
  <c r="C252" i="6"/>
  <c r="B252" i="6"/>
  <c r="A252" i="6"/>
  <c r="E251" i="6"/>
  <c r="C251" i="6"/>
  <c r="B251" i="6"/>
  <c r="A251" i="6"/>
  <c r="E250" i="6"/>
  <c r="C250" i="6"/>
  <c r="B250" i="6"/>
  <c r="A250" i="6"/>
  <c r="E249" i="6"/>
  <c r="C249" i="6"/>
  <c r="B249" i="6"/>
  <c r="A249" i="6"/>
  <c r="E248" i="6"/>
  <c r="C248" i="6"/>
  <c r="B248" i="6"/>
  <c r="A248" i="6"/>
  <c r="E247" i="6"/>
  <c r="C247" i="6"/>
  <c r="B247" i="6"/>
  <c r="A247" i="6"/>
  <c r="E246" i="6"/>
  <c r="C246" i="6"/>
  <c r="B246" i="6"/>
  <c r="A246" i="6"/>
  <c r="E245" i="6"/>
  <c r="C245" i="6"/>
  <c r="B245" i="6"/>
  <c r="A245" i="6"/>
  <c r="E244" i="6"/>
  <c r="C244" i="6"/>
  <c r="B244" i="6"/>
  <c r="A244" i="6"/>
  <c r="E243" i="6"/>
  <c r="C243" i="6"/>
  <c r="B243" i="6"/>
  <c r="A243" i="6"/>
  <c r="E242" i="6"/>
  <c r="C242" i="6"/>
  <c r="B242" i="6"/>
  <c r="A242" i="6"/>
  <c r="E241" i="6"/>
  <c r="C241" i="6"/>
  <c r="B241" i="6"/>
  <c r="A241" i="6"/>
  <c r="E240" i="6"/>
  <c r="C240" i="6"/>
  <c r="B240" i="6"/>
  <c r="A240" i="6"/>
  <c r="E239" i="6"/>
  <c r="C239" i="6"/>
  <c r="B239" i="6"/>
  <c r="A239" i="6"/>
  <c r="E238" i="6"/>
  <c r="C238" i="6"/>
  <c r="B238" i="6"/>
  <c r="A238" i="6"/>
  <c r="E237" i="6"/>
  <c r="C237" i="6"/>
  <c r="B237" i="6"/>
  <c r="A237" i="6"/>
  <c r="E236" i="6"/>
  <c r="C236" i="6"/>
  <c r="B236" i="6"/>
  <c r="A236" i="6"/>
  <c r="E235" i="6"/>
  <c r="C235" i="6"/>
  <c r="B235" i="6"/>
  <c r="A235" i="6"/>
  <c r="E234" i="6"/>
  <c r="C234" i="6"/>
  <c r="B234" i="6"/>
  <c r="A234" i="6"/>
  <c r="E233" i="6"/>
  <c r="C233" i="6"/>
  <c r="B233" i="6"/>
  <c r="A233" i="6"/>
  <c r="E232" i="6"/>
  <c r="C232" i="6"/>
  <c r="B232" i="6"/>
  <c r="A232" i="6"/>
  <c r="E231" i="6"/>
  <c r="C231" i="6"/>
  <c r="B231" i="6"/>
  <c r="A231" i="6"/>
  <c r="E230" i="6"/>
  <c r="C230" i="6"/>
  <c r="B230" i="6"/>
  <c r="A230" i="6"/>
  <c r="E229" i="6"/>
  <c r="C229" i="6"/>
  <c r="B229" i="6"/>
  <c r="A229" i="6"/>
  <c r="E228" i="6"/>
  <c r="C228" i="6"/>
  <c r="B228" i="6"/>
  <c r="A228" i="6"/>
  <c r="E227" i="6"/>
  <c r="C227" i="6"/>
  <c r="B227" i="6"/>
  <c r="A227" i="6"/>
  <c r="E226" i="6"/>
  <c r="C226" i="6"/>
  <c r="B226" i="6"/>
  <c r="A226" i="6"/>
  <c r="E225" i="6"/>
  <c r="C225" i="6"/>
  <c r="B225" i="6"/>
  <c r="A225" i="6"/>
  <c r="E224" i="6"/>
  <c r="C224" i="6"/>
  <c r="B224" i="6"/>
  <c r="A224" i="6"/>
  <c r="E223" i="6"/>
  <c r="C223" i="6"/>
  <c r="B223" i="6"/>
  <c r="A223" i="6"/>
  <c r="E222" i="6"/>
  <c r="C222" i="6"/>
  <c r="B222" i="6"/>
  <c r="A222" i="6"/>
  <c r="E221" i="6"/>
  <c r="C221" i="6"/>
  <c r="B221" i="6"/>
  <c r="A221" i="6"/>
  <c r="E220" i="6"/>
  <c r="C220" i="6"/>
  <c r="B220" i="6"/>
  <c r="A220" i="6"/>
  <c r="E219" i="6"/>
  <c r="C219" i="6"/>
  <c r="B219" i="6"/>
  <c r="A219" i="6"/>
  <c r="E218" i="6"/>
  <c r="C218" i="6"/>
  <c r="B218" i="6"/>
  <c r="A218" i="6"/>
  <c r="E217" i="6"/>
  <c r="C217" i="6"/>
  <c r="B217" i="6"/>
  <c r="A217" i="6"/>
  <c r="E216" i="6"/>
  <c r="C216" i="6"/>
  <c r="B216" i="6"/>
  <c r="A216" i="6"/>
  <c r="E215" i="6"/>
  <c r="C215" i="6"/>
  <c r="B215" i="6"/>
  <c r="A215" i="6"/>
  <c r="E214" i="6"/>
  <c r="C214" i="6"/>
  <c r="B214" i="6"/>
  <c r="A214" i="6"/>
  <c r="E213" i="6"/>
  <c r="C213" i="6"/>
  <c r="B213" i="6"/>
  <c r="A213" i="6"/>
  <c r="E212" i="6"/>
  <c r="C212" i="6"/>
  <c r="B212" i="6"/>
  <c r="A212" i="6"/>
  <c r="E211" i="6"/>
  <c r="C211" i="6"/>
  <c r="B211" i="6"/>
  <c r="A211" i="6"/>
  <c r="E210" i="6"/>
  <c r="C210" i="6"/>
  <c r="B210" i="6"/>
  <c r="A210" i="6"/>
  <c r="E209" i="6"/>
  <c r="C209" i="6"/>
  <c r="B209" i="6"/>
  <c r="A209" i="6"/>
  <c r="E208" i="6"/>
  <c r="C208" i="6"/>
  <c r="B208" i="6"/>
  <c r="A208" i="6"/>
  <c r="E207" i="6"/>
  <c r="C207" i="6"/>
  <c r="B207" i="6"/>
  <c r="A207" i="6"/>
  <c r="E206" i="6"/>
  <c r="C206" i="6"/>
  <c r="B206" i="6"/>
  <c r="A206" i="6"/>
  <c r="E205" i="6"/>
  <c r="C205" i="6"/>
  <c r="B205" i="6"/>
  <c r="A205" i="6"/>
  <c r="E204" i="6"/>
  <c r="C204" i="6"/>
  <c r="B204" i="6"/>
  <c r="A204" i="6"/>
  <c r="E203" i="6"/>
  <c r="C203" i="6"/>
  <c r="B203" i="6"/>
  <c r="A203" i="6"/>
  <c r="E202" i="6"/>
  <c r="C202" i="6"/>
  <c r="B202" i="6"/>
  <c r="A202" i="6"/>
  <c r="E201" i="6"/>
  <c r="C201" i="6"/>
  <c r="B201" i="6"/>
  <c r="A201" i="6"/>
  <c r="E200" i="6"/>
  <c r="C200" i="6"/>
  <c r="B200" i="6"/>
  <c r="A200" i="6"/>
  <c r="E199" i="6"/>
  <c r="C199" i="6"/>
  <c r="B199" i="6"/>
  <c r="A199" i="6"/>
  <c r="E198" i="6"/>
  <c r="C198" i="6"/>
  <c r="B198" i="6"/>
  <c r="A198" i="6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B195" i="6"/>
  <c r="A195" i="6"/>
  <c r="E194" i="6"/>
  <c r="D194" i="6"/>
  <c r="C194" i="6"/>
  <c r="B194" i="6"/>
  <c r="A194" i="6"/>
  <c r="E193" i="6"/>
  <c r="D193" i="6"/>
  <c r="C193" i="6"/>
  <c r="B193" i="6"/>
  <c r="A193" i="6"/>
  <c r="E192" i="6"/>
  <c r="D192" i="6"/>
  <c r="C192" i="6"/>
  <c r="B192" i="6"/>
  <c r="A192" i="6"/>
  <c r="E191" i="6"/>
  <c r="D191" i="6"/>
  <c r="C191" i="6"/>
  <c r="B191" i="6"/>
  <c r="A191" i="6"/>
  <c r="E190" i="6"/>
  <c r="D190" i="6"/>
  <c r="C190" i="6"/>
  <c r="B190" i="6"/>
  <c r="A190" i="6"/>
  <c r="E189" i="6"/>
  <c r="D189" i="6"/>
  <c r="C189" i="6"/>
  <c r="B189" i="6"/>
  <c r="A189" i="6"/>
  <c r="E188" i="6"/>
  <c r="D188" i="6"/>
  <c r="C188" i="6"/>
  <c r="B188" i="6"/>
  <c r="A188" i="6"/>
  <c r="E187" i="6"/>
  <c r="D187" i="6"/>
  <c r="C187" i="6"/>
  <c r="B187" i="6"/>
  <c r="A187" i="6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B183" i="6"/>
  <c r="A183" i="6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B179" i="6"/>
  <c r="A179" i="6"/>
  <c r="E178" i="6"/>
  <c r="D178" i="6"/>
  <c r="C178" i="6"/>
  <c r="B178" i="6"/>
  <c r="A178" i="6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B175" i="6"/>
  <c r="A175" i="6"/>
  <c r="E174" i="6"/>
  <c r="D174" i="6"/>
  <c r="C174" i="6"/>
  <c r="B174" i="6"/>
  <c r="A174" i="6"/>
  <c r="E173" i="6"/>
  <c r="D173" i="6"/>
  <c r="C173" i="6"/>
  <c r="B173" i="6"/>
  <c r="A173" i="6"/>
  <c r="E172" i="6"/>
  <c r="D172" i="6"/>
  <c r="C172" i="6"/>
  <c r="B172" i="6"/>
  <c r="A172" i="6"/>
  <c r="E171" i="6"/>
  <c r="D171" i="6"/>
  <c r="C171" i="6"/>
  <c r="B171" i="6"/>
  <c r="A171" i="6"/>
  <c r="E170" i="6"/>
  <c r="D170" i="6"/>
  <c r="C170" i="6"/>
  <c r="B170" i="6"/>
  <c r="A170" i="6"/>
  <c r="E169" i="6"/>
  <c r="C169" i="6"/>
  <c r="B169" i="6"/>
  <c r="A169" i="6"/>
  <c r="E168" i="6"/>
  <c r="C168" i="6"/>
  <c r="B168" i="6"/>
  <c r="A168" i="6"/>
  <c r="E167" i="6"/>
  <c r="C167" i="6"/>
  <c r="B167" i="6"/>
  <c r="A167" i="6"/>
  <c r="E166" i="6"/>
  <c r="C166" i="6"/>
  <c r="B166" i="6"/>
  <c r="A166" i="6"/>
  <c r="E165" i="6"/>
  <c r="C165" i="6"/>
  <c r="B165" i="6"/>
  <c r="A165" i="6"/>
  <c r="E164" i="6"/>
  <c r="C164" i="6"/>
  <c r="B164" i="6"/>
  <c r="A164" i="6"/>
  <c r="E163" i="6"/>
  <c r="C163" i="6"/>
  <c r="B163" i="6"/>
  <c r="A163" i="6"/>
  <c r="E162" i="6"/>
  <c r="C162" i="6"/>
  <c r="B162" i="6"/>
  <c r="A162" i="6"/>
  <c r="E161" i="6"/>
  <c r="C161" i="6"/>
  <c r="B161" i="6"/>
  <c r="A161" i="6"/>
  <c r="E160" i="6"/>
  <c r="C160" i="6"/>
  <c r="B160" i="6"/>
  <c r="A160" i="6"/>
  <c r="E159" i="6"/>
  <c r="C159" i="6"/>
  <c r="B159" i="6"/>
  <c r="A159" i="6"/>
  <c r="E158" i="6"/>
  <c r="C158" i="6"/>
  <c r="B158" i="6"/>
  <c r="A158" i="6"/>
  <c r="E157" i="6"/>
  <c r="C157" i="6"/>
  <c r="B157" i="6"/>
  <c r="A157" i="6"/>
  <c r="E156" i="6"/>
  <c r="C156" i="6"/>
  <c r="B156" i="6"/>
  <c r="A156" i="6"/>
  <c r="E155" i="6"/>
  <c r="C155" i="6"/>
  <c r="B155" i="6"/>
  <c r="A155" i="6"/>
  <c r="E154" i="6"/>
  <c r="C154" i="6"/>
  <c r="B154" i="6"/>
  <c r="A154" i="6"/>
  <c r="E153" i="6"/>
  <c r="C153" i="6"/>
  <c r="B153" i="6"/>
  <c r="A153" i="6"/>
  <c r="E152" i="6"/>
  <c r="C152" i="6"/>
  <c r="B152" i="6"/>
  <c r="A152" i="6"/>
  <c r="E151" i="6"/>
  <c r="C151" i="6"/>
  <c r="B151" i="6"/>
  <c r="A151" i="6"/>
  <c r="E150" i="6"/>
  <c r="C150" i="6"/>
  <c r="B150" i="6"/>
  <c r="A150" i="6"/>
  <c r="E149" i="6"/>
  <c r="C149" i="6"/>
  <c r="B149" i="6"/>
  <c r="A149" i="6"/>
  <c r="E148" i="6"/>
  <c r="C148" i="6"/>
  <c r="B148" i="6"/>
  <c r="A148" i="6"/>
  <c r="E147" i="6"/>
  <c r="C147" i="6"/>
  <c r="B147" i="6"/>
  <c r="A147" i="6"/>
  <c r="E146" i="6"/>
  <c r="C146" i="6"/>
  <c r="B146" i="6"/>
  <c r="A146" i="6"/>
  <c r="E145" i="6"/>
  <c r="C145" i="6"/>
  <c r="B145" i="6"/>
  <c r="A145" i="6"/>
  <c r="E144" i="6"/>
  <c r="C144" i="6"/>
  <c r="B144" i="6"/>
  <c r="A144" i="6"/>
  <c r="E143" i="6"/>
  <c r="C143" i="6"/>
  <c r="B143" i="6"/>
  <c r="A143" i="6"/>
  <c r="E142" i="6"/>
  <c r="C142" i="6"/>
  <c r="B142" i="6"/>
  <c r="A142" i="6"/>
  <c r="E141" i="6"/>
  <c r="C141" i="6"/>
  <c r="B141" i="6"/>
  <c r="A141" i="6"/>
  <c r="E140" i="6"/>
  <c r="C140" i="6"/>
  <c r="B140" i="6"/>
  <c r="A140" i="6"/>
  <c r="E139" i="6"/>
  <c r="C139" i="6"/>
  <c r="B139" i="6"/>
  <c r="A139" i="6"/>
  <c r="E138" i="6"/>
  <c r="C138" i="6"/>
  <c r="B138" i="6"/>
  <c r="A138" i="6"/>
  <c r="E137" i="6"/>
  <c r="C137" i="6"/>
  <c r="B137" i="6"/>
  <c r="A137" i="6"/>
  <c r="E136" i="6"/>
  <c r="C136" i="6"/>
  <c r="B136" i="6"/>
  <c r="A136" i="6"/>
  <c r="E135" i="6"/>
  <c r="C135" i="6"/>
  <c r="B135" i="6"/>
  <c r="A135" i="6"/>
  <c r="E134" i="6"/>
  <c r="C134" i="6"/>
  <c r="B134" i="6"/>
  <c r="A134" i="6"/>
  <c r="E133" i="6"/>
  <c r="C133" i="6"/>
  <c r="B133" i="6"/>
  <c r="A133" i="6"/>
  <c r="E132" i="6"/>
  <c r="C132" i="6"/>
  <c r="B132" i="6"/>
  <c r="A132" i="6"/>
  <c r="E131" i="6"/>
  <c r="C131" i="6"/>
  <c r="B131" i="6"/>
  <c r="A131" i="6"/>
  <c r="E130" i="6"/>
  <c r="C130" i="6"/>
  <c r="B130" i="6"/>
  <c r="A130" i="6"/>
  <c r="E129" i="6"/>
  <c r="C129" i="6"/>
  <c r="B129" i="6"/>
  <c r="A129" i="6"/>
  <c r="E128" i="6"/>
  <c r="C128" i="6"/>
  <c r="B128" i="6"/>
  <c r="A128" i="6"/>
  <c r="E127" i="6"/>
  <c r="C127" i="6"/>
  <c r="B127" i="6"/>
  <c r="A127" i="6"/>
  <c r="E126" i="6"/>
  <c r="C126" i="6"/>
  <c r="B126" i="6"/>
  <c r="A126" i="6"/>
  <c r="E125" i="6"/>
  <c r="C125" i="6"/>
  <c r="B125" i="6"/>
  <c r="A125" i="6"/>
  <c r="E124" i="6"/>
  <c r="C124" i="6"/>
  <c r="B124" i="6"/>
  <c r="A124" i="6"/>
  <c r="E123" i="6"/>
  <c r="C123" i="6"/>
  <c r="B123" i="6"/>
  <c r="A123" i="6"/>
  <c r="E122" i="6"/>
  <c r="C122" i="6"/>
  <c r="B122" i="6"/>
  <c r="A122" i="6"/>
  <c r="E121" i="6"/>
  <c r="C121" i="6"/>
  <c r="B121" i="6"/>
  <c r="A121" i="6"/>
  <c r="E120" i="6"/>
  <c r="C120" i="6"/>
  <c r="B120" i="6"/>
  <c r="A120" i="6"/>
  <c r="E119" i="6"/>
  <c r="C119" i="6"/>
  <c r="B119" i="6"/>
  <c r="A119" i="6"/>
  <c r="E118" i="6"/>
  <c r="C118" i="6"/>
  <c r="B118" i="6"/>
  <c r="A118" i="6"/>
  <c r="E117" i="6"/>
  <c r="C117" i="6"/>
  <c r="B117" i="6"/>
  <c r="A117" i="6"/>
  <c r="E116" i="6"/>
  <c r="C116" i="6"/>
  <c r="B116" i="6"/>
  <c r="A116" i="6"/>
  <c r="E115" i="6"/>
  <c r="C115" i="6"/>
  <c r="B115" i="6"/>
  <c r="A115" i="6"/>
  <c r="E114" i="6"/>
  <c r="C114" i="6"/>
  <c r="B114" i="6"/>
  <c r="A114" i="6"/>
  <c r="E113" i="6"/>
  <c r="C113" i="6"/>
  <c r="B113" i="6"/>
  <c r="A113" i="6"/>
  <c r="E112" i="6"/>
  <c r="C112" i="6"/>
  <c r="B112" i="6"/>
  <c r="A112" i="6"/>
  <c r="E111" i="6"/>
  <c r="C111" i="6"/>
  <c r="B111" i="6"/>
  <c r="A111" i="6"/>
  <c r="E110" i="6"/>
  <c r="C110" i="6"/>
  <c r="B110" i="6"/>
  <c r="A110" i="6"/>
  <c r="E109" i="6"/>
  <c r="C109" i="6"/>
  <c r="B109" i="6"/>
  <c r="A109" i="6"/>
  <c r="E108" i="6"/>
  <c r="C108" i="6"/>
  <c r="B108" i="6"/>
  <c r="A108" i="6"/>
  <c r="E107" i="6"/>
  <c r="C107" i="6"/>
  <c r="B107" i="6"/>
  <c r="A107" i="6"/>
  <c r="E106" i="6"/>
  <c r="C106" i="6"/>
  <c r="B106" i="6"/>
  <c r="A106" i="6"/>
  <c r="E105" i="6"/>
  <c r="C105" i="6"/>
  <c r="B105" i="6"/>
  <c r="A105" i="6"/>
  <c r="E104" i="6"/>
  <c r="C104" i="6"/>
  <c r="B104" i="6"/>
  <c r="A104" i="6"/>
  <c r="E103" i="6"/>
  <c r="C103" i="6"/>
  <c r="B103" i="6"/>
  <c r="A103" i="6"/>
  <c r="E102" i="6"/>
  <c r="C102" i="6"/>
  <c r="B102" i="6"/>
  <c r="A102" i="6"/>
  <c r="E101" i="6"/>
  <c r="C101" i="6"/>
  <c r="B101" i="6"/>
  <c r="A101" i="6"/>
  <c r="E100" i="6"/>
  <c r="C100" i="6"/>
  <c r="B100" i="6"/>
  <c r="A100" i="6"/>
  <c r="E99" i="6"/>
  <c r="C99" i="6"/>
  <c r="B99" i="6"/>
  <c r="A99" i="6"/>
  <c r="E98" i="6"/>
  <c r="C98" i="6"/>
  <c r="B98" i="6"/>
  <c r="A98" i="6"/>
  <c r="E97" i="6"/>
  <c r="C97" i="6"/>
  <c r="B97" i="6"/>
  <c r="A97" i="6"/>
  <c r="E96" i="6"/>
  <c r="C96" i="6"/>
  <c r="B96" i="6"/>
  <c r="A96" i="6"/>
  <c r="E95" i="6"/>
  <c r="C95" i="6"/>
  <c r="B95" i="6"/>
  <c r="A95" i="6"/>
  <c r="E94" i="6"/>
  <c r="C94" i="6"/>
  <c r="B94" i="6"/>
  <c r="A94" i="6"/>
  <c r="E93" i="6"/>
  <c r="C93" i="6"/>
  <c r="B93" i="6"/>
  <c r="A93" i="6"/>
  <c r="E92" i="6"/>
  <c r="C92" i="6"/>
  <c r="B92" i="6"/>
  <c r="A92" i="6"/>
  <c r="E91" i="6"/>
  <c r="C91" i="6"/>
  <c r="B91" i="6"/>
  <c r="A91" i="6"/>
  <c r="E90" i="6"/>
  <c r="C90" i="6"/>
  <c r="B90" i="6"/>
  <c r="A90" i="6"/>
  <c r="E89" i="6"/>
  <c r="C89" i="6"/>
  <c r="B89" i="6"/>
  <c r="A89" i="6"/>
  <c r="E88" i="6"/>
  <c r="C88" i="6"/>
  <c r="B88" i="6"/>
  <c r="A88" i="6"/>
  <c r="E87" i="6"/>
  <c r="C87" i="6"/>
  <c r="B87" i="6"/>
  <c r="A87" i="6"/>
  <c r="E86" i="6"/>
  <c r="C86" i="6"/>
  <c r="B86" i="6"/>
  <c r="A86" i="6"/>
  <c r="E85" i="6"/>
  <c r="C85" i="6"/>
  <c r="B85" i="6"/>
  <c r="A85" i="6"/>
  <c r="E84" i="6"/>
  <c r="C84" i="6"/>
  <c r="B84" i="6"/>
  <c r="A84" i="6"/>
  <c r="E83" i="6"/>
  <c r="C83" i="6"/>
  <c r="B83" i="6"/>
  <c r="A83" i="6"/>
  <c r="E82" i="6"/>
  <c r="C82" i="6"/>
  <c r="B82" i="6"/>
  <c r="A82" i="6"/>
  <c r="E81" i="6"/>
  <c r="C81" i="6"/>
  <c r="B81" i="6"/>
  <c r="A81" i="6"/>
  <c r="E80" i="6"/>
  <c r="C80" i="6"/>
  <c r="B80" i="6"/>
  <c r="A80" i="6"/>
  <c r="E79" i="6"/>
  <c r="C79" i="6"/>
  <c r="B79" i="6"/>
  <c r="A79" i="6"/>
  <c r="E78" i="6"/>
  <c r="C78" i="6"/>
  <c r="B78" i="6"/>
  <c r="A78" i="6"/>
  <c r="E77" i="6"/>
  <c r="C77" i="6"/>
  <c r="B77" i="6"/>
  <c r="A77" i="6"/>
  <c r="E76" i="6"/>
  <c r="C76" i="6"/>
  <c r="B76" i="6"/>
  <c r="A76" i="6"/>
  <c r="E75" i="6"/>
  <c r="C75" i="6"/>
  <c r="B75" i="6"/>
  <c r="A75" i="6"/>
  <c r="E74" i="6"/>
  <c r="C74" i="6"/>
  <c r="B74" i="6"/>
  <c r="A74" i="6"/>
  <c r="E73" i="6"/>
  <c r="C73" i="6"/>
  <c r="B73" i="6"/>
  <c r="A73" i="6"/>
  <c r="E72" i="6"/>
  <c r="C72" i="6"/>
  <c r="B72" i="6"/>
  <c r="A72" i="6"/>
  <c r="E71" i="6"/>
  <c r="C71" i="6"/>
  <c r="B71" i="6"/>
  <c r="A71" i="6"/>
  <c r="E70" i="6"/>
  <c r="C70" i="6"/>
  <c r="B70" i="6"/>
  <c r="A70" i="6"/>
  <c r="E69" i="6"/>
  <c r="C69" i="6"/>
  <c r="B69" i="6"/>
  <c r="A69" i="6"/>
  <c r="E68" i="6"/>
  <c r="C68" i="6"/>
  <c r="B68" i="6"/>
  <c r="A68" i="6"/>
  <c r="E67" i="6"/>
  <c r="C67" i="6"/>
  <c r="B67" i="6"/>
  <c r="A67" i="6"/>
  <c r="E66" i="6"/>
  <c r="C66" i="6"/>
  <c r="B66" i="6"/>
  <c r="A66" i="6"/>
  <c r="E65" i="6"/>
  <c r="C65" i="6"/>
  <c r="B65" i="6"/>
  <c r="A65" i="6"/>
  <c r="E64" i="6"/>
  <c r="C64" i="6"/>
  <c r="B64" i="6"/>
  <c r="A64" i="6"/>
  <c r="E63" i="6"/>
  <c r="C63" i="6"/>
  <c r="B63" i="6"/>
  <c r="A63" i="6"/>
  <c r="E62" i="6"/>
  <c r="C62" i="6"/>
  <c r="B62" i="6"/>
  <c r="A62" i="6"/>
  <c r="E61" i="6"/>
  <c r="C61" i="6"/>
  <c r="B61" i="6"/>
  <c r="A61" i="6"/>
  <c r="E60" i="6"/>
  <c r="C60" i="6"/>
  <c r="B60" i="6"/>
  <c r="A60" i="6"/>
  <c r="E59" i="6"/>
  <c r="C59" i="6"/>
  <c r="B59" i="6"/>
  <c r="A59" i="6"/>
  <c r="E58" i="6"/>
  <c r="C58" i="6"/>
  <c r="B58" i="6"/>
  <c r="A58" i="6"/>
  <c r="E57" i="6"/>
  <c r="C57" i="6"/>
  <c r="B57" i="6"/>
  <c r="A57" i="6"/>
  <c r="E56" i="6"/>
  <c r="C56" i="6"/>
  <c r="B56" i="6"/>
  <c r="A56" i="6"/>
  <c r="E55" i="6"/>
  <c r="C55" i="6"/>
  <c r="B55" i="6"/>
  <c r="A55" i="6"/>
  <c r="E54" i="6"/>
  <c r="C54" i="6"/>
  <c r="B54" i="6"/>
  <c r="A54" i="6"/>
  <c r="E53" i="6"/>
  <c r="C53" i="6"/>
  <c r="B53" i="6"/>
  <c r="A53" i="6"/>
  <c r="E52" i="6"/>
  <c r="C52" i="6"/>
  <c r="B52" i="6"/>
  <c r="A52" i="6"/>
  <c r="E51" i="6"/>
  <c r="C51" i="6"/>
  <c r="B51" i="6"/>
  <c r="A51" i="6"/>
  <c r="E50" i="6"/>
  <c r="C50" i="6"/>
  <c r="B50" i="6"/>
  <c r="A50" i="6"/>
  <c r="E49" i="6"/>
  <c r="C49" i="6"/>
  <c r="B49" i="6"/>
  <c r="A49" i="6"/>
  <c r="E48" i="6"/>
  <c r="C48" i="6"/>
  <c r="B48" i="6"/>
  <c r="A48" i="6"/>
  <c r="E47" i="6"/>
  <c r="C47" i="6"/>
  <c r="B47" i="6"/>
  <c r="A47" i="6"/>
  <c r="E46" i="6"/>
  <c r="C46" i="6"/>
  <c r="B46" i="6"/>
  <c r="A46" i="6"/>
  <c r="E45" i="6"/>
  <c r="C45" i="6"/>
  <c r="B45" i="6"/>
  <c r="A45" i="6"/>
  <c r="E44" i="6"/>
  <c r="C44" i="6"/>
  <c r="B44" i="6"/>
  <c r="A44" i="6"/>
  <c r="E43" i="6"/>
  <c r="C43" i="6"/>
  <c r="B43" i="6"/>
  <c r="A43" i="6"/>
  <c r="E42" i="6"/>
  <c r="C42" i="6"/>
  <c r="B42" i="6"/>
  <c r="A42" i="6"/>
  <c r="E41" i="6"/>
  <c r="C41" i="6"/>
  <c r="B41" i="6"/>
  <c r="A41" i="6"/>
  <c r="E40" i="6"/>
  <c r="C40" i="6"/>
  <c r="B40" i="6"/>
  <c r="A40" i="6"/>
  <c r="E39" i="6"/>
  <c r="C39" i="6"/>
  <c r="B39" i="6"/>
  <c r="A39" i="6"/>
  <c r="E38" i="6"/>
  <c r="C38" i="6"/>
  <c r="B38" i="6"/>
  <c r="A38" i="6"/>
  <c r="E37" i="6"/>
  <c r="C37" i="6"/>
  <c r="B37" i="6"/>
  <c r="A37" i="6"/>
  <c r="E36" i="6"/>
  <c r="C36" i="6"/>
  <c r="B36" i="6"/>
  <c r="A36" i="6"/>
  <c r="E35" i="6"/>
  <c r="C35" i="6"/>
  <c r="B35" i="6"/>
  <c r="A35" i="6"/>
  <c r="E34" i="6"/>
  <c r="C34" i="6"/>
  <c r="B34" i="6"/>
  <c r="A34" i="6"/>
  <c r="E33" i="6"/>
  <c r="C33" i="6"/>
  <c r="B33" i="6"/>
  <c r="A33" i="6"/>
  <c r="E32" i="6"/>
  <c r="C32" i="6"/>
  <c r="B32" i="6"/>
  <c r="A32" i="6"/>
  <c r="E31" i="6"/>
  <c r="C31" i="6"/>
  <c r="B31" i="6"/>
  <c r="A31" i="6"/>
  <c r="E30" i="6"/>
  <c r="C30" i="6"/>
  <c r="B30" i="6"/>
  <c r="A30" i="6"/>
  <c r="E29" i="6"/>
  <c r="C29" i="6"/>
  <c r="B29" i="6"/>
  <c r="A29" i="6"/>
  <c r="E28" i="6"/>
  <c r="C28" i="6"/>
  <c r="B28" i="6"/>
  <c r="A28" i="6"/>
  <c r="E27" i="6"/>
  <c r="C27" i="6"/>
  <c r="B27" i="6"/>
  <c r="A27" i="6"/>
  <c r="E26" i="6"/>
  <c r="C26" i="6"/>
  <c r="B26" i="6"/>
  <c r="A26" i="6"/>
  <c r="E25" i="6"/>
  <c r="C25" i="6"/>
  <c r="B25" i="6"/>
  <c r="A25" i="6"/>
  <c r="E24" i="6"/>
  <c r="C24" i="6"/>
  <c r="B24" i="6"/>
  <c r="A24" i="6"/>
  <c r="E23" i="6"/>
  <c r="C23" i="6"/>
  <c r="B23" i="6"/>
  <c r="A23" i="6"/>
  <c r="E22" i="6"/>
  <c r="C22" i="6"/>
  <c r="B22" i="6"/>
  <c r="A22" i="6"/>
  <c r="E21" i="6"/>
  <c r="C21" i="6"/>
  <c r="B21" i="6"/>
  <c r="A21" i="6"/>
  <c r="E20" i="6"/>
  <c r="C20" i="6"/>
  <c r="B20" i="6"/>
  <c r="A20" i="6"/>
  <c r="E19" i="6"/>
  <c r="C19" i="6"/>
  <c r="B19" i="6"/>
  <c r="A19" i="6"/>
  <c r="E18" i="6"/>
  <c r="C18" i="6"/>
  <c r="B18" i="6"/>
  <c r="A18" i="6"/>
  <c r="E17" i="6"/>
  <c r="C17" i="6"/>
  <c r="B17" i="6"/>
  <c r="A17" i="6"/>
  <c r="E16" i="6"/>
  <c r="C16" i="6"/>
  <c r="B16" i="6"/>
  <c r="A16" i="6"/>
  <c r="E15" i="6"/>
  <c r="C15" i="6"/>
  <c r="B15" i="6"/>
  <c r="A15" i="6"/>
  <c r="E14" i="6"/>
  <c r="C14" i="6"/>
  <c r="B14" i="6"/>
  <c r="A14" i="6"/>
  <c r="E13" i="6"/>
  <c r="C13" i="6"/>
  <c r="B13" i="6"/>
  <c r="A13" i="6"/>
  <c r="E12" i="6"/>
  <c r="C12" i="6"/>
  <c r="B12" i="6"/>
  <c r="A12" i="6"/>
  <c r="E11" i="6"/>
  <c r="C11" i="6"/>
  <c r="B11" i="6"/>
  <c r="A11" i="6"/>
  <c r="E10" i="6"/>
  <c r="C10" i="6"/>
  <c r="B10" i="6"/>
  <c r="A10" i="6"/>
  <c r="E9" i="6"/>
  <c r="C9" i="6"/>
  <c r="B9" i="6"/>
  <c r="A9" i="6"/>
  <c r="E8" i="6"/>
  <c r="C8" i="6"/>
  <c r="B8" i="6"/>
  <c r="A8" i="6"/>
  <c r="E7" i="6"/>
  <c r="C7" i="6"/>
  <c r="B7" i="6"/>
  <c r="A7" i="6"/>
  <c r="E6" i="6"/>
  <c r="C6" i="6"/>
  <c r="B6" i="6"/>
  <c r="A6" i="6"/>
  <c r="E5" i="6"/>
  <c r="C5" i="6"/>
  <c r="B5" i="6"/>
  <c r="A5" i="6"/>
  <c r="E4" i="6"/>
  <c r="C4" i="6"/>
  <c r="B4" i="6"/>
  <c r="A4" i="6"/>
  <c r="E3" i="6"/>
  <c r="C3" i="6"/>
  <c r="B3" i="6"/>
  <c r="A3" i="6"/>
  <c r="E2" i="6"/>
  <c r="C2" i="6"/>
  <c r="B2" i="6"/>
  <c r="A2" i="6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1" i="6" s="1"/>
  <c r="D282" i="5"/>
  <c r="D280" i="6" s="1"/>
  <c r="D281" i="5"/>
  <c r="D279" i="6" s="1"/>
  <c r="D280" i="5"/>
  <c r="D278" i="6" s="1"/>
  <c r="D279" i="5"/>
  <c r="D277" i="6" s="1"/>
  <c r="D278" i="5"/>
  <c r="D276" i="6" s="1"/>
  <c r="D277" i="5"/>
  <c r="D275" i="6" s="1"/>
  <c r="D276" i="5"/>
  <c r="D274" i="6" s="1"/>
  <c r="D275" i="5"/>
  <c r="D273" i="6" s="1"/>
  <c r="D274" i="5"/>
  <c r="D272" i="6" s="1"/>
  <c r="D273" i="5"/>
  <c r="D271" i="6" s="1"/>
  <c r="D272" i="5"/>
  <c r="D270" i="6" s="1"/>
  <c r="D271" i="5"/>
  <c r="D269" i="6" s="1"/>
  <c r="D270" i="5"/>
  <c r="D268" i="6" s="1"/>
  <c r="D269" i="5"/>
  <c r="D267" i="6" s="1"/>
  <c r="D268" i="5"/>
  <c r="D266" i="6" s="1"/>
  <c r="D267" i="5"/>
  <c r="D265" i="6" s="1"/>
  <c r="D266" i="5"/>
  <c r="D264" i="6" s="1"/>
  <c r="D265" i="5"/>
  <c r="D263" i="6" s="1"/>
  <c r="D264" i="5"/>
  <c r="D262" i="6" s="1"/>
  <c r="D263" i="5"/>
  <c r="D261" i="6" s="1"/>
  <c r="D262" i="5"/>
  <c r="D260" i="6" s="1"/>
  <c r="D261" i="5"/>
  <c r="D259" i="6" s="1"/>
  <c r="D260" i="5"/>
  <c r="D258" i="6" s="1"/>
  <c r="D259" i="5"/>
  <c r="D257" i="6" s="1"/>
  <c r="D258" i="5"/>
  <c r="D256" i="6" s="1"/>
  <c r="D257" i="5"/>
  <c r="D255" i="6" s="1"/>
  <c r="D256" i="5"/>
  <c r="D254" i="6" s="1"/>
  <c r="D255" i="5"/>
  <c r="D253" i="6" s="1"/>
  <c r="D254" i="5"/>
  <c r="D252" i="6" s="1"/>
  <c r="D253" i="5"/>
  <c r="D251" i="6" s="1"/>
  <c r="D252" i="5"/>
  <c r="D250" i="6" s="1"/>
  <c r="D251" i="5"/>
  <c r="D249" i="6" s="1"/>
  <c r="D250" i="5"/>
  <c r="D248" i="6" s="1"/>
  <c r="D249" i="5"/>
  <c r="D247" i="6" s="1"/>
  <c r="D248" i="5"/>
  <c r="D246" i="6" s="1"/>
  <c r="D247" i="5"/>
  <c r="D245" i="6" s="1"/>
  <c r="D246" i="5"/>
  <c r="D244" i="6" s="1"/>
  <c r="D245" i="5"/>
  <c r="D243" i="6" s="1"/>
  <c r="D244" i="5"/>
  <c r="D242" i="6" s="1"/>
  <c r="D243" i="5"/>
  <c r="D241" i="6" s="1"/>
  <c r="D242" i="5"/>
  <c r="D240" i="6" s="1"/>
  <c r="D241" i="5"/>
  <c r="D239" i="6" s="1"/>
  <c r="D240" i="5"/>
  <c r="D238" i="6" s="1"/>
  <c r="D239" i="5"/>
  <c r="D237" i="6" s="1"/>
  <c r="D238" i="5"/>
  <c r="D236" i="6" s="1"/>
  <c r="D237" i="5"/>
  <c r="D235" i="6" s="1"/>
  <c r="D236" i="5"/>
  <c r="D234" i="6" s="1"/>
  <c r="D235" i="5"/>
  <c r="D233" i="6" s="1"/>
  <c r="D234" i="5"/>
  <c r="D232" i="6" s="1"/>
  <c r="D233" i="5"/>
  <c r="D231" i="6" s="1"/>
  <c r="D232" i="5"/>
  <c r="D230" i="6" s="1"/>
  <c r="D231" i="5"/>
  <c r="D229" i="6" s="1"/>
  <c r="D230" i="5"/>
  <c r="D228" i="6" s="1"/>
  <c r="D229" i="5"/>
  <c r="D227" i="6" s="1"/>
  <c r="D228" i="5"/>
  <c r="D226" i="6" s="1"/>
  <c r="D227" i="5"/>
  <c r="D225" i="6" s="1"/>
  <c r="D226" i="5"/>
  <c r="D224" i="6" s="1"/>
  <c r="D225" i="5"/>
  <c r="D223" i="6" s="1"/>
  <c r="D224" i="5"/>
  <c r="D222" i="6" s="1"/>
  <c r="D223" i="5"/>
  <c r="D221" i="6" s="1"/>
  <c r="D222" i="5"/>
  <c r="D220" i="6" s="1"/>
  <c r="D221" i="5"/>
  <c r="D219" i="6" s="1"/>
  <c r="D220" i="5"/>
  <c r="D218" i="6" s="1"/>
  <c r="D219" i="5"/>
  <c r="D217" i="6" s="1"/>
  <c r="D218" i="5"/>
  <c r="D216" i="6" s="1"/>
  <c r="D217" i="5"/>
  <c r="D215" i="6" s="1"/>
  <c r="D216" i="5"/>
  <c r="D214" i="6" s="1"/>
  <c r="D215" i="5"/>
  <c r="D213" i="6" s="1"/>
  <c r="D214" i="5"/>
  <c r="D212" i="6" s="1"/>
  <c r="D213" i="5"/>
  <c r="D211" i="6" s="1"/>
  <c r="D212" i="5"/>
  <c r="D210" i="6" s="1"/>
  <c r="D211" i="5"/>
  <c r="D209" i="6" s="1"/>
  <c r="D210" i="5"/>
  <c r="D208" i="6" s="1"/>
  <c r="D209" i="5"/>
  <c r="D207" i="6" s="1"/>
  <c r="D208" i="5"/>
  <c r="D206" i="6" s="1"/>
  <c r="D207" i="5"/>
  <c r="D205" i="6" s="1"/>
  <c r="D206" i="5"/>
  <c r="D204" i="6" s="1"/>
  <c r="D205" i="5"/>
  <c r="D203" i="6" s="1"/>
  <c r="D204" i="5"/>
  <c r="D202" i="6" s="1"/>
  <c r="D203" i="5"/>
  <c r="D201" i="6" s="1"/>
  <c r="D202" i="5"/>
  <c r="D200" i="6" s="1"/>
  <c r="D201" i="5"/>
  <c r="D199" i="6" s="1"/>
  <c r="D200" i="5"/>
  <c r="D198" i="6" s="1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69" i="6" s="1"/>
  <c r="D170" i="5"/>
  <c r="D168" i="6" s="1"/>
  <c r="D169" i="5"/>
  <c r="D167" i="6" s="1"/>
  <c r="D168" i="5"/>
  <c r="D166" i="6" s="1"/>
  <c r="D167" i="5"/>
  <c r="D165" i="6" s="1"/>
  <c r="D166" i="5"/>
  <c r="D164" i="6" s="1"/>
  <c r="L165" i="5"/>
  <c r="K165" i="5"/>
  <c r="J165" i="5"/>
  <c r="I165" i="5"/>
  <c r="D165" i="5"/>
  <c r="D163" i="6" s="1"/>
  <c r="D164" i="5"/>
  <c r="D162" i="6" s="1"/>
  <c r="D163" i="5"/>
  <c r="D161" i="6" s="1"/>
  <c r="D162" i="5"/>
  <c r="D160" i="6" s="1"/>
  <c r="D161" i="5"/>
  <c r="D159" i="6" s="1"/>
  <c r="D160" i="5"/>
  <c r="D158" i="6" s="1"/>
  <c r="D159" i="5"/>
  <c r="D157" i="6" s="1"/>
  <c r="D158" i="5"/>
  <c r="D156" i="6" s="1"/>
  <c r="D157" i="5"/>
  <c r="D155" i="6" s="1"/>
  <c r="D156" i="5"/>
  <c r="D154" i="6" s="1"/>
  <c r="D155" i="5"/>
  <c r="D153" i="6" s="1"/>
  <c r="D154" i="5"/>
  <c r="D152" i="6" s="1"/>
  <c r="D153" i="5"/>
  <c r="D151" i="6" s="1"/>
  <c r="D152" i="5"/>
  <c r="D150" i="6" s="1"/>
  <c r="D151" i="5"/>
  <c r="D149" i="6" s="1"/>
  <c r="D150" i="5"/>
  <c r="D148" i="6" s="1"/>
  <c r="D149" i="5"/>
  <c r="D147" i="6" s="1"/>
  <c r="D148" i="5"/>
  <c r="D146" i="6" s="1"/>
  <c r="D147" i="5"/>
  <c r="D145" i="6" s="1"/>
  <c r="D146" i="5"/>
  <c r="D144" i="6" s="1"/>
  <c r="D145" i="5"/>
  <c r="D143" i="6" s="1"/>
  <c r="D144" i="5"/>
  <c r="D142" i="6" s="1"/>
  <c r="D143" i="5"/>
  <c r="D141" i="6" s="1"/>
  <c r="D142" i="5"/>
  <c r="D140" i="6" s="1"/>
  <c r="D141" i="5"/>
  <c r="D139" i="6" s="1"/>
  <c r="D140" i="5"/>
  <c r="D138" i="6" s="1"/>
  <c r="D139" i="5"/>
  <c r="D137" i="6" s="1"/>
  <c r="D138" i="5"/>
  <c r="D136" i="6" s="1"/>
  <c r="D137" i="5"/>
  <c r="D135" i="6" s="1"/>
  <c r="D136" i="5"/>
  <c r="D134" i="6" s="1"/>
  <c r="D135" i="5"/>
  <c r="D133" i="6" s="1"/>
  <c r="D134" i="5"/>
  <c r="D132" i="6" s="1"/>
  <c r="L133" i="5"/>
  <c r="K133" i="5"/>
  <c r="J133" i="5"/>
  <c r="I133" i="5"/>
  <c r="D133" i="5"/>
  <c r="D131" i="6" s="1"/>
  <c r="D132" i="5"/>
  <c r="D130" i="6" s="1"/>
  <c r="D131" i="5"/>
  <c r="D129" i="6" s="1"/>
  <c r="D130" i="5"/>
  <c r="D128" i="6" s="1"/>
  <c r="D129" i="5"/>
  <c r="D127" i="6" s="1"/>
  <c r="D128" i="5"/>
  <c r="D126" i="6" s="1"/>
  <c r="D127" i="5"/>
  <c r="D125" i="6" s="1"/>
  <c r="D126" i="5"/>
  <c r="D124" i="6" s="1"/>
  <c r="D125" i="5"/>
  <c r="D123" i="6" s="1"/>
  <c r="D124" i="5"/>
  <c r="D122" i="6" s="1"/>
  <c r="D123" i="5"/>
  <c r="D121" i="6" s="1"/>
  <c r="D122" i="5"/>
  <c r="D120" i="6" s="1"/>
  <c r="D121" i="5"/>
  <c r="D119" i="6" s="1"/>
  <c r="D120" i="5"/>
  <c r="D118" i="6" s="1"/>
  <c r="D119" i="5"/>
  <c r="D117" i="6" s="1"/>
  <c r="D118" i="5"/>
  <c r="D116" i="6" s="1"/>
  <c r="D117" i="5"/>
  <c r="D115" i="6" s="1"/>
  <c r="D116" i="5"/>
  <c r="D114" i="6" s="1"/>
  <c r="D115" i="5"/>
  <c r="D113" i="6" s="1"/>
  <c r="D114" i="5"/>
  <c r="D112" i="6" s="1"/>
  <c r="D113" i="5"/>
  <c r="D111" i="6" s="1"/>
  <c r="D112" i="5"/>
  <c r="D110" i="6" s="1"/>
  <c r="D111" i="5"/>
  <c r="D109" i="6" s="1"/>
  <c r="D110" i="5"/>
  <c r="D108" i="6" s="1"/>
  <c r="D109" i="5"/>
  <c r="D107" i="6" s="1"/>
  <c r="D108" i="5"/>
  <c r="D106" i="6" s="1"/>
  <c r="D107" i="5"/>
  <c r="D105" i="6" s="1"/>
  <c r="D106" i="5"/>
  <c r="D104" i="6" s="1"/>
  <c r="D105" i="5"/>
  <c r="D103" i="6" s="1"/>
  <c r="D104" i="5"/>
  <c r="D102" i="6" s="1"/>
  <c r="D103" i="5"/>
  <c r="D101" i="6" s="1"/>
  <c r="D102" i="5"/>
  <c r="D100" i="6" s="1"/>
  <c r="K101" i="5"/>
  <c r="J101" i="5"/>
  <c r="I101" i="5"/>
  <c r="D101" i="5"/>
  <c r="D99" i="6" s="1"/>
  <c r="D100" i="5"/>
  <c r="D98" i="6" s="1"/>
  <c r="D99" i="5"/>
  <c r="D97" i="6" s="1"/>
  <c r="D98" i="5"/>
  <c r="D96" i="6" s="1"/>
  <c r="D97" i="5"/>
  <c r="D95" i="6" s="1"/>
  <c r="L96" i="5"/>
  <c r="K96" i="5"/>
  <c r="J96" i="5"/>
  <c r="I96" i="5"/>
  <c r="D96" i="5"/>
  <c r="D94" i="6" s="1"/>
  <c r="L95" i="5"/>
  <c r="K95" i="5"/>
  <c r="J95" i="5"/>
  <c r="I95" i="5"/>
  <c r="D95" i="5"/>
  <c r="D93" i="6" s="1"/>
  <c r="L94" i="5"/>
  <c r="K94" i="5"/>
  <c r="J94" i="5"/>
  <c r="I94" i="5"/>
  <c r="D94" i="5"/>
  <c r="D92" i="6" s="1"/>
  <c r="L93" i="5"/>
  <c r="K93" i="5"/>
  <c r="J93" i="5"/>
  <c r="I93" i="5"/>
  <c r="D93" i="5"/>
  <c r="D91" i="6" s="1"/>
  <c r="L92" i="5"/>
  <c r="K92" i="5"/>
  <c r="J92" i="5"/>
  <c r="I92" i="5"/>
  <c r="D92" i="5"/>
  <c r="D90" i="6" s="1"/>
  <c r="L91" i="5"/>
  <c r="K91" i="5"/>
  <c r="J91" i="5"/>
  <c r="I91" i="5"/>
  <c r="D91" i="5"/>
  <c r="D89" i="6" s="1"/>
  <c r="L90" i="5"/>
  <c r="K90" i="5"/>
  <c r="J90" i="5"/>
  <c r="I90" i="5"/>
  <c r="D90" i="5"/>
  <c r="D88" i="6" s="1"/>
  <c r="L89" i="5"/>
  <c r="K89" i="5"/>
  <c r="J89" i="5"/>
  <c r="I89" i="5"/>
  <c r="D89" i="5"/>
  <c r="D87" i="6" s="1"/>
  <c r="L88" i="5"/>
  <c r="K88" i="5"/>
  <c r="J88" i="5"/>
  <c r="I88" i="5"/>
  <c r="D88" i="5"/>
  <c r="D86" i="6" s="1"/>
  <c r="L87" i="5"/>
  <c r="K87" i="5"/>
  <c r="J87" i="5"/>
  <c r="I87" i="5"/>
  <c r="D87" i="5"/>
  <c r="D85" i="6" s="1"/>
  <c r="L86" i="5"/>
  <c r="K86" i="5"/>
  <c r="J86" i="5"/>
  <c r="I86" i="5"/>
  <c r="D86" i="5"/>
  <c r="D84" i="6" s="1"/>
  <c r="L85" i="5"/>
  <c r="K85" i="5"/>
  <c r="J85" i="5"/>
  <c r="I85" i="5"/>
  <c r="D85" i="5"/>
  <c r="D83" i="6" s="1"/>
  <c r="L84" i="5"/>
  <c r="K84" i="5"/>
  <c r="J84" i="5"/>
  <c r="I84" i="5"/>
  <c r="D84" i="5"/>
  <c r="D82" i="6" s="1"/>
  <c r="L83" i="5"/>
  <c r="K83" i="5"/>
  <c r="J83" i="5"/>
  <c r="I83" i="5"/>
  <c r="D83" i="5"/>
  <c r="D81" i="6" s="1"/>
  <c r="L82" i="5"/>
  <c r="K82" i="5"/>
  <c r="J82" i="5"/>
  <c r="I82" i="5"/>
  <c r="D82" i="5"/>
  <c r="D80" i="6" s="1"/>
  <c r="L81" i="5"/>
  <c r="K81" i="5"/>
  <c r="J81" i="5"/>
  <c r="I81" i="5"/>
  <c r="D81" i="5"/>
  <c r="D79" i="6" s="1"/>
  <c r="L80" i="5"/>
  <c r="K80" i="5"/>
  <c r="J80" i="5"/>
  <c r="I80" i="5"/>
  <c r="D80" i="5"/>
  <c r="D78" i="6" s="1"/>
  <c r="L79" i="5"/>
  <c r="K79" i="5"/>
  <c r="J79" i="5"/>
  <c r="I79" i="5"/>
  <c r="D79" i="5"/>
  <c r="D77" i="6" s="1"/>
  <c r="L78" i="5"/>
  <c r="K78" i="5"/>
  <c r="J78" i="5"/>
  <c r="I78" i="5"/>
  <c r="D78" i="5"/>
  <c r="D76" i="6" s="1"/>
  <c r="L77" i="5"/>
  <c r="K77" i="5"/>
  <c r="J77" i="5"/>
  <c r="I77" i="5"/>
  <c r="D77" i="5"/>
  <c r="D75" i="6" s="1"/>
  <c r="L76" i="5"/>
  <c r="K76" i="5"/>
  <c r="J76" i="5"/>
  <c r="I76" i="5"/>
  <c r="D76" i="5"/>
  <c r="D74" i="6" s="1"/>
  <c r="L75" i="5"/>
  <c r="K75" i="5"/>
  <c r="J75" i="5"/>
  <c r="I75" i="5"/>
  <c r="D75" i="5"/>
  <c r="D73" i="6" s="1"/>
  <c r="L74" i="5"/>
  <c r="K74" i="5"/>
  <c r="J74" i="5"/>
  <c r="I74" i="5"/>
  <c r="D74" i="5"/>
  <c r="D72" i="6" s="1"/>
  <c r="L73" i="5"/>
  <c r="K73" i="5"/>
  <c r="J73" i="5"/>
  <c r="I73" i="5"/>
  <c r="D73" i="5"/>
  <c r="D71" i="6" s="1"/>
  <c r="L72" i="5"/>
  <c r="K72" i="5"/>
  <c r="J72" i="5"/>
  <c r="I72" i="5"/>
  <c r="D72" i="5"/>
  <c r="D70" i="6" s="1"/>
  <c r="L71" i="5"/>
  <c r="K71" i="5"/>
  <c r="J71" i="5"/>
  <c r="I71" i="5"/>
  <c r="D71" i="5"/>
  <c r="D69" i="6" s="1"/>
  <c r="L70" i="5"/>
  <c r="K70" i="5"/>
  <c r="J70" i="5"/>
  <c r="I70" i="5"/>
  <c r="D70" i="5"/>
  <c r="D68" i="6" s="1"/>
  <c r="L69" i="5"/>
  <c r="K69" i="5"/>
  <c r="J69" i="5"/>
  <c r="I69" i="5"/>
  <c r="D69" i="5"/>
  <c r="D67" i="6" s="1"/>
  <c r="D68" i="5"/>
  <c r="D66" i="6" s="1"/>
  <c r="D67" i="5"/>
  <c r="D65" i="6" s="1"/>
  <c r="D66" i="5"/>
  <c r="D64" i="6" s="1"/>
  <c r="D65" i="5"/>
  <c r="D63" i="6" s="1"/>
  <c r="L64" i="5"/>
  <c r="K64" i="5"/>
  <c r="J64" i="5"/>
  <c r="I64" i="5"/>
  <c r="D64" i="5"/>
  <c r="D62" i="6" s="1"/>
  <c r="L63" i="5"/>
  <c r="K63" i="5"/>
  <c r="J63" i="5"/>
  <c r="I63" i="5"/>
  <c r="D63" i="5"/>
  <c r="D61" i="6" s="1"/>
  <c r="L62" i="5"/>
  <c r="K62" i="5"/>
  <c r="J62" i="5"/>
  <c r="I62" i="5"/>
  <c r="D62" i="5"/>
  <c r="D60" i="6" s="1"/>
  <c r="L61" i="5"/>
  <c r="K61" i="5"/>
  <c r="J61" i="5"/>
  <c r="I61" i="5"/>
  <c r="D61" i="5"/>
  <c r="D59" i="6" s="1"/>
  <c r="L60" i="5"/>
  <c r="K60" i="5"/>
  <c r="J60" i="5"/>
  <c r="I60" i="5"/>
  <c r="D60" i="5"/>
  <c r="D58" i="6" s="1"/>
  <c r="L59" i="5"/>
  <c r="K59" i="5"/>
  <c r="J59" i="5"/>
  <c r="I59" i="5"/>
  <c r="D59" i="5"/>
  <c r="D57" i="6" s="1"/>
  <c r="L58" i="5"/>
  <c r="K58" i="5"/>
  <c r="J58" i="5"/>
  <c r="I58" i="5"/>
  <c r="D58" i="5"/>
  <c r="D56" i="6" s="1"/>
  <c r="L57" i="5"/>
  <c r="K57" i="5"/>
  <c r="J57" i="5"/>
  <c r="I57" i="5"/>
  <c r="D57" i="5"/>
  <c r="D55" i="6" s="1"/>
  <c r="L56" i="5"/>
  <c r="K56" i="5"/>
  <c r="J56" i="5"/>
  <c r="I56" i="5"/>
  <c r="D56" i="5"/>
  <c r="D54" i="6" s="1"/>
  <c r="L55" i="5"/>
  <c r="K55" i="5"/>
  <c r="J55" i="5"/>
  <c r="I55" i="5"/>
  <c r="D55" i="5"/>
  <c r="D53" i="6" s="1"/>
  <c r="L54" i="5"/>
  <c r="K54" i="5"/>
  <c r="J54" i="5"/>
  <c r="I54" i="5"/>
  <c r="D54" i="5"/>
  <c r="D52" i="6" s="1"/>
  <c r="L53" i="5"/>
  <c r="K53" i="5"/>
  <c r="J53" i="5"/>
  <c r="I53" i="5"/>
  <c r="D53" i="5"/>
  <c r="D51" i="6" s="1"/>
  <c r="L52" i="5"/>
  <c r="K52" i="5"/>
  <c r="J52" i="5"/>
  <c r="I52" i="5"/>
  <c r="D52" i="5"/>
  <c r="D50" i="6" s="1"/>
  <c r="L51" i="5"/>
  <c r="K51" i="5"/>
  <c r="J51" i="5"/>
  <c r="I51" i="5"/>
  <c r="D51" i="5"/>
  <c r="D49" i="6" s="1"/>
  <c r="L50" i="5"/>
  <c r="K50" i="5"/>
  <c r="J50" i="5"/>
  <c r="I50" i="5"/>
  <c r="D50" i="5"/>
  <c r="D48" i="6" s="1"/>
  <c r="L49" i="5"/>
  <c r="K49" i="5"/>
  <c r="J49" i="5"/>
  <c r="I49" i="5"/>
  <c r="D49" i="5"/>
  <c r="D47" i="6" s="1"/>
  <c r="L48" i="5"/>
  <c r="K48" i="5"/>
  <c r="J48" i="5"/>
  <c r="I48" i="5"/>
  <c r="D48" i="5"/>
  <c r="D46" i="6" s="1"/>
  <c r="L47" i="5"/>
  <c r="K47" i="5"/>
  <c r="J47" i="5"/>
  <c r="I47" i="5"/>
  <c r="D47" i="5"/>
  <c r="D45" i="6" s="1"/>
  <c r="L46" i="5"/>
  <c r="K46" i="5"/>
  <c r="J46" i="5"/>
  <c r="I46" i="5"/>
  <c r="D46" i="5"/>
  <c r="D44" i="6" s="1"/>
  <c r="L45" i="5"/>
  <c r="K45" i="5"/>
  <c r="J45" i="5"/>
  <c r="I45" i="5"/>
  <c r="D45" i="5"/>
  <c r="D43" i="6" s="1"/>
  <c r="L44" i="5"/>
  <c r="K44" i="5"/>
  <c r="J44" i="5"/>
  <c r="I44" i="5"/>
  <c r="D44" i="5"/>
  <c r="D42" i="6" s="1"/>
  <c r="L43" i="5"/>
  <c r="K43" i="5"/>
  <c r="J43" i="5"/>
  <c r="I43" i="5"/>
  <c r="D43" i="5"/>
  <c r="D41" i="6" s="1"/>
  <c r="L42" i="5"/>
  <c r="K42" i="5"/>
  <c r="J42" i="5"/>
  <c r="I42" i="5"/>
  <c r="D42" i="5"/>
  <c r="D40" i="6" s="1"/>
  <c r="L41" i="5"/>
  <c r="K41" i="5"/>
  <c r="J41" i="5"/>
  <c r="I41" i="5"/>
  <c r="D41" i="5"/>
  <c r="D39" i="6" s="1"/>
  <c r="L40" i="5"/>
  <c r="K40" i="5"/>
  <c r="J40" i="5"/>
  <c r="I40" i="5"/>
  <c r="D40" i="5"/>
  <c r="D38" i="6" s="1"/>
  <c r="L39" i="5"/>
  <c r="K39" i="5"/>
  <c r="J39" i="5"/>
  <c r="I39" i="5"/>
  <c r="D39" i="5"/>
  <c r="D37" i="6" s="1"/>
  <c r="L38" i="5"/>
  <c r="K38" i="5"/>
  <c r="J38" i="5"/>
  <c r="I38" i="5"/>
  <c r="D38" i="5"/>
  <c r="D36" i="6" s="1"/>
  <c r="L37" i="5"/>
  <c r="K37" i="5"/>
  <c r="J37" i="5"/>
  <c r="I37" i="5"/>
  <c r="D37" i="5"/>
  <c r="D35" i="6" s="1"/>
  <c r="D36" i="5"/>
  <c r="D34" i="6" s="1"/>
  <c r="D35" i="5"/>
  <c r="D33" i="6" s="1"/>
  <c r="D34" i="5"/>
  <c r="D32" i="6" s="1"/>
  <c r="D33" i="5"/>
  <c r="D31" i="6" s="1"/>
  <c r="K32" i="5"/>
  <c r="J32" i="5"/>
  <c r="I32" i="5"/>
  <c r="D32" i="5"/>
  <c r="D30" i="6" s="1"/>
  <c r="K31" i="5"/>
  <c r="J31" i="5"/>
  <c r="I31" i="5"/>
  <c r="D31" i="5"/>
  <c r="D29" i="6" s="1"/>
  <c r="K30" i="5"/>
  <c r="J30" i="5"/>
  <c r="I30" i="5"/>
  <c r="D30" i="5"/>
  <c r="D28" i="6" s="1"/>
  <c r="K29" i="5"/>
  <c r="J29" i="5"/>
  <c r="I29" i="5"/>
  <c r="D29" i="5"/>
  <c r="D27" i="6" s="1"/>
  <c r="K28" i="5"/>
  <c r="J28" i="5"/>
  <c r="I28" i="5"/>
  <c r="D28" i="5"/>
  <c r="D26" i="6" s="1"/>
  <c r="K27" i="5"/>
  <c r="J27" i="5"/>
  <c r="I27" i="5"/>
  <c r="D27" i="5"/>
  <c r="D25" i="6" s="1"/>
  <c r="K26" i="5"/>
  <c r="J26" i="5"/>
  <c r="I26" i="5"/>
  <c r="D26" i="5"/>
  <c r="D24" i="6" s="1"/>
  <c r="K25" i="5"/>
  <c r="J25" i="5"/>
  <c r="I25" i="5"/>
  <c r="D25" i="5"/>
  <c r="D23" i="6" s="1"/>
  <c r="K24" i="5"/>
  <c r="J24" i="5"/>
  <c r="I24" i="5"/>
  <c r="D24" i="5"/>
  <c r="D22" i="6" s="1"/>
  <c r="K23" i="5"/>
  <c r="J23" i="5"/>
  <c r="I23" i="5"/>
  <c r="D23" i="5"/>
  <c r="D21" i="6" s="1"/>
  <c r="K22" i="5"/>
  <c r="J22" i="5"/>
  <c r="I22" i="5"/>
  <c r="D22" i="5"/>
  <c r="D20" i="6" s="1"/>
  <c r="K21" i="5"/>
  <c r="J21" i="5"/>
  <c r="I21" i="5"/>
  <c r="D21" i="5"/>
  <c r="D19" i="6" s="1"/>
  <c r="K20" i="5"/>
  <c r="J20" i="5"/>
  <c r="I20" i="5"/>
  <c r="D20" i="5"/>
  <c r="D18" i="6" s="1"/>
  <c r="K19" i="5"/>
  <c r="J19" i="5"/>
  <c r="I19" i="5"/>
  <c r="D19" i="5"/>
  <c r="D17" i="6" s="1"/>
  <c r="K18" i="5"/>
  <c r="J18" i="5"/>
  <c r="I18" i="5"/>
  <c r="D18" i="5"/>
  <c r="D16" i="6" s="1"/>
  <c r="K17" i="5"/>
  <c r="J17" i="5"/>
  <c r="I17" i="5"/>
  <c r="D17" i="5"/>
  <c r="D15" i="6" s="1"/>
  <c r="K16" i="5"/>
  <c r="J16" i="5"/>
  <c r="I16" i="5"/>
  <c r="D16" i="5"/>
  <c r="D14" i="6" s="1"/>
  <c r="K15" i="5"/>
  <c r="J15" i="5"/>
  <c r="I15" i="5"/>
  <c r="D15" i="5"/>
  <c r="D13" i="6" s="1"/>
  <c r="K14" i="5"/>
  <c r="J14" i="5"/>
  <c r="I14" i="5"/>
  <c r="D14" i="5"/>
  <c r="D12" i="6" s="1"/>
  <c r="K13" i="5"/>
  <c r="J13" i="5"/>
  <c r="I13" i="5"/>
  <c r="D13" i="5"/>
  <c r="D11" i="6" s="1"/>
  <c r="K12" i="5"/>
  <c r="J12" i="5"/>
  <c r="I12" i="5"/>
  <c r="D12" i="5"/>
  <c r="D10" i="6" s="1"/>
  <c r="K11" i="5"/>
  <c r="J11" i="5"/>
  <c r="I11" i="5"/>
  <c r="D11" i="5"/>
  <c r="D9" i="6" s="1"/>
  <c r="K10" i="5"/>
  <c r="J10" i="5"/>
  <c r="I10" i="5"/>
  <c r="D10" i="5"/>
  <c r="D8" i="6" s="1"/>
  <c r="K9" i="5"/>
  <c r="J9" i="5"/>
  <c r="I9" i="5"/>
  <c r="D9" i="5"/>
  <c r="D7" i="6" s="1"/>
  <c r="K8" i="5"/>
  <c r="J8" i="5"/>
  <c r="I8" i="5"/>
  <c r="D8" i="5"/>
  <c r="D6" i="6" s="1"/>
  <c r="K7" i="5"/>
  <c r="J7" i="5"/>
  <c r="I7" i="5"/>
  <c r="D7" i="5"/>
  <c r="D5" i="6" s="1"/>
  <c r="K6" i="5"/>
  <c r="J6" i="5"/>
  <c r="I6" i="5"/>
  <c r="D6" i="5"/>
  <c r="D4" i="6" s="1"/>
  <c r="K5" i="5"/>
  <c r="J5" i="5"/>
  <c r="I5" i="5"/>
  <c r="D5" i="5"/>
  <c r="D3" i="6" s="1"/>
  <c r="D4" i="5"/>
  <c r="D2" i="6" s="1"/>
  <c r="B19" i="1"/>
  <c r="B21" i="1" s="1"/>
  <c r="B18" i="1"/>
  <c r="B20" i="1" s="1"/>
  <c r="B13" i="1"/>
  <c r="B12" i="1"/>
  <c r="B54" i="1" l="1"/>
  <c r="B26" i="2" s="1"/>
  <c r="B44" i="1"/>
  <c r="B16" i="2" s="1"/>
  <c r="B48" i="1"/>
  <c r="B20" i="2" s="1"/>
  <c r="B58" i="1"/>
  <c r="B30" i="2" s="1"/>
  <c r="B45" i="1"/>
  <c r="B17" i="2" s="1"/>
  <c r="B50" i="1"/>
  <c r="B22" i="2" s="1"/>
  <c r="B56" i="1"/>
  <c r="B28" i="2" s="1"/>
  <c r="B46" i="1"/>
  <c r="B18" i="2" s="1"/>
  <c r="B51" i="1"/>
  <c r="B23" i="2" s="1"/>
  <c r="B43" i="1"/>
  <c r="B15" i="2" s="1"/>
  <c r="B47" i="1"/>
  <c r="B19" i="2" s="1"/>
  <c r="B57" i="1"/>
  <c r="B29" i="2" s="1"/>
  <c r="B49" i="1"/>
  <c r="B21" i="2" s="1"/>
  <c r="B59" i="1"/>
  <c r="B31" i="2" s="1"/>
  <c r="B40" i="1"/>
  <c r="B12" i="2" s="1"/>
  <c r="B52" i="1"/>
  <c r="B24" i="2" s="1"/>
  <c r="B60" i="1"/>
  <c r="B32" i="2" s="1"/>
  <c r="B41" i="1"/>
  <c r="B13" i="2" s="1"/>
  <c r="B55" i="1"/>
  <c r="B27" i="2" s="1"/>
  <c r="B42" i="1"/>
  <c r="B14" i="2" s="1"/>
  <c r="B53" i="1"/>
  <c r="B25" i="2" s="1"/>
  <c r="B39" i="1"/>
  <c r="B11" i="2" s="1"/>
  <c r="B37" i="1"/>
  <c r="B9" i="2" s="1"/>
  <c r="B38" i="1"/>
  <c r="B10" i="2" s="1"/>
  <c r="B34" i="1"/>
  <c r="B6" i="2" s="1"/>
  <c r="B36" i="1"/>
  <c r="B8" i="2" s="1"/>
  <c r="B35" i="1"/>
  <c r="B7" i="2" s="1"/>
  <c r="B33" i="1"/>
  <c r="B5" i="2" s="1"/>
  <c r="G16" i="2"/>
  <c r="K30" i="2"/>
  <c r="D561" i="5" s="1"/>
  <c r="D559" i="6" s="1"/>
  <c r="G17" i="2"/>
  <c r="D16" i="2"/>
  <c r="K15" i="2"/>
  <c r="D546" i="5" s="1"/>
  <c r="D544" i="6" s="1"/>
  <c r="K17" i="2"/>
  <c r="D548" i="5" s="1"/>
  <c r="D546" i="6" s="1"/>
  <c r="K6" i="2"/>
  <c r="D537" i="5" s="1"/>
  <c r="D535" i="6" s="1"/>
  <c r="D18" i="2"/>
  <c r="G18" i="2"/>
  <c r="K16" i="2"/>
  <c r="D547" i="5" s="1"/>
  <c r="D545" i="6" s="1"/>
  <c r="K18" i="2"/>
  <c r="D549" i="5" s="1"/>
  <c r="D547" i="6" s="1"/>
  <c r="D15" i="2"/>
  <c r="G11" i="2"/>
  <c r="K8" i="2"/>
  <c r="D539" i="5" s="1"/>
  <c r="D537" i="6" s="1"/>
  <c r="D7" i="2"/>
  <c r="D19" i="2"/>
  <c r="G19" i="2"/>
  <c r="K19" i="2"/>
  <c r="D550" i="5" s="1"/>
  <c r="D548" i="6" s="1"/>
  <c r="D9" i="2"/>
  <c r="D20" i="2"/>
  <c r="G20" i="2"/>
  <c r="G15" i="2"/>
  <c r="G13" i="2"/>
  <c r="K20" i="2"/>
  <c r="D551" i="5" s="1"/>
  <c r="D549" i="6" s="1"/>
  <c r="G8" i="2"/>
  <c r="D21" i="2"/>
  <c r="G5" i="2"/>
  <c r="K13" i="2"/>
  <c r="D544" i="5" s="1"/>
  <c r="D542" i="6" s="1"/>
  <c r="G21" i="2"/>
  <c r="G6" i="2"/>
  <c r="D6" i="2"/>
  <c r="D5" i="2"/>
  <c r="K21" i="2"/>
  <c r="D552" i="5" s="1"/>
  <c r="D550" i="6" s="1"/>
  <c r="D22" i="2"/>
  <c r="G22" i="2"/>
  <c r="K22" i="2"/>
  <c r="D553" i="5" s="1"/>
  <c r="D551" i="6" s="1"/>
  <c r="D23" i="2"/>
  <c r="G23" i="2"/>
  <c r="K23" i="2"/>
  <c r="D554" i="5" s="1"/>
  <c r="D552" i="6" s="1"/>
  <c r="K7" i="2"/>
  <c r="D538" i="5" s="1"/>
  <c r="D536" i="6" s="1"/>
  <c r="D24" i="2"/>
  <c r="G24" i="2"/>
  <c r="G10" i="2"/>
  <c r="K10" i="2"/>
  <c r="D541" i="5" s="1"/>
  <c r="D539" i="6" s="1"/>
  <c r="D11" i="2"/>
  <c r="K11" i="2"/>
  <c r="D542" i="5" s="1"/>
  <c r="D540" i="6" s="1"/>
  <c r="K24" i="2"/>
  <c r="D555" i="5" s="1"/>
  <c r="D553" i="6" s="1"/>
  <c r="D25" i="2"/>
  <c r="D14" i="2"/>
  <c r="G14" i="2"/>
  <c r="K14" i="2"/>
  <c r="D545" i="5" s="1"/>
  <c r="D543" i="6" s="1"/>
  <c r="G25" i="2"/>
  <c r="K5" i="2"/>
  <c r="D536" i="5" s="1"/>
  <c r="D534" i="6" s="1"/>
  <c r="G9" i="2"/>
  <c r="D10" i="2"/>
  <c r="K25" i="2"/>
  <c r="D556" i="5" s="1"/>
  <c r="D554" i="6" s="1"/>
  <c r="D26" i="2"/>
  <c r="G12" i="2"/>
  <c r="K12" i="2"/>
  <c r="D543" i="5" s="1"/>
  <c r="D541" i="6" s="1"/>
  <c r="G26" i="2"/>
  <c r="D8" i="2"/>
  <c r="K26" i="2"/>
  <c r="D557" i="5" s="1"/>
  <c r="D555" i="6" s="1"/>
  <c r="D17" i="2"/>
  <c r="D27" i="2"/>
  <c r="D12" i="2"/>
  <c r="G7" i="2"/>
  <c r="G27" i="2"/>
  <c r="K27" i="2"/>
  <c r="D558" i="5" s="1"/>
  <c r="D556" i="6" s="1"/>
  <c r="D28" i="2"/>
  <c r="K9" i="2"/>
  <c r="D540" i="5" s="1"/>
  <c r="D538" i="6" s="1"/>
  <c r="G28" i="2"/>
  <c r="K28" i="2"/>
  <c r="D559" i="5" s="1"/>
  <c r="D557" i="6" s="1"/>
  <c r="K32" i="2"/>
  <c r="D563" i="5" s="1"/>
  <c r="D561" i="6" s="1"/>
  <c r="D29" i="2"/>
  <c r="G32" i="2"/>
  <c r="D451" i="5" s="1"/>
  <c r="D449" i="6" s="1"/>
  <c r="G29" i="2"/>
  <c r="D32" i="2"/>
  <c r="D367" i="5" s="1"/>
  <c r="D365" i="6" s="1"/>
  <c r="K29" i="2"/>
  <c r="D560" i="5" s="1"/>
  <c r="D558" i="6" s="1"/>
  <c r="K31" i="2"/>
  <c r="D562" i="5" s="1"/>
  <c r="D560" i="6" s="1"/>
  <c r="D30" i="2"/>
  <c r="G31" i="2"/>
  <c r="G30" i="2"/>
  <c r="D31" i="2"/>
  <c r="D13" i="2"/>
  <c r="C31" i="2"/>
  <c r="C17" i="2"/>
  <c r="F31" i="2"/>
  <c r="F30" i="2"/>
  <c r="J31" i="2"/>
  <c r="C30" i="2"/>
  <c r="C32" i="2"/>
  <c r="J29" i="2"/>
  <c r="F32" i="2"/>
  <c r="F29" i="2"/>
  <c r="J32" i="2"/>
  <c r="C29" i="2"/>
  <c r="J10" i="2"/>
  <c r="J28" i="2"/>
  <c r="F10" i="2"/>
  <c r="F28" i="2"/>
  <c r="F9" i="2"/>
  <c r="C28" i="2"/>
  <c r="C8" i="2"/>
  <c r="J27" i="2"/>
  <c r="J7" i="2"/>
  <c r="F27" i="2"/>
  <c r="J13" i="2"/>
  <c r="C27" i="2"/>
  <c r="J11" i="2"/>
  <c r="J26" i="2"/>
  <c r="F14" i="2"/>
  <c r="F26" i="2"/>
  <c r="C12" i="2"/>
  <c r="C26" i="2"/>
  <c r="C11" i="2"/>
  <c r="J25" i="2"/>
  <c r="F16" i="2"/>
  <c r="F25" i="2"/>
  <c r="J12" i="2"/>
  <c r="C25" i="2"/>
  <c r="F12" i="2"/>
  <c r="J24" i="2"/>
  <c r="C10" i="2"/>
  <c r="F24" i="2"/>
  <c r="F8" i="2"/>
  <c r="C24" i="2"/>
  <c r="F7" i="2"/>
  <c r="J23" i="2"/>
  <c r="J5" i="2"/>
  <c r="F23" i="2"/>
  <c r="J16" i="2"/>
  <c r="C23" i="2"/>
  <c r="C16" i="2"/>
  <c r="J22" i="2"/>
  <c r="C15" i="2"/>
  <c r="F22" i="2"/>
  <c r="J14" i="2"/>
  <c r="C22" i="2"/>
  <c r="C14" i="2"/>
  <c r="J21" i="2"/>
  <c r="C9" i="2"/>
  <c r="F21" i="2"/>
  <c r="F6" i="2"/>
  <c r="C21" i="2"/>
  <c r="F11" i="2"/>
  <c r="J20" i="2"/>
  <c r="J6" i="2"/>
  <c r="F20" i="2"/>
  <c r="C7" i="2"/>
  <c r="C20" i="2"/>
  <c r="F15" i="2"/>
  <c r="J19" i="2"/>
  <c r="C5" i="2"/>
  <c r="F19" i="2"/>
  <c r="F5" i="2"/>
  <c r="C19" i="2"/>
  <c r="J15" i="2"/>
  <c r="J18" i="2"/>
  <c r="F13" i="2"/>
  <c r="F18" i="2"/>
  <c r="C6" i="2"/>
  <c r="C18" i="2"/>
  <c r="J8" i="2"/>
  <c r="J17" i="2"/>
  <c r="J9" i="2"/>
  <c r="F17" i="2"/>
  <c r="C13" i="2"/>
  <c r="J30" i="2"/>
  <c r="E26" i="2" l="1"/>
  <c r="D389" i="5" s="1"/>
  <c r="D387" i="6" s="1"/>
  <c r="H26" i="2"/>
  <c r="I26" i="2"/>
  <c r="L26" i="2"/>
  <c r="D585" i="5" s="1"/>
  <c r="D583" i="6" s="1"/>
  <c r="M26" i="2"/>
  <c r="I123" i="5"/>
  <c r="I113" i="5"/>
  <c r="L16" i="2"/>
  <c r="D575" i="5" s="1"/>
  <c r="D573" i="6" s="1"/>
  <c r="M16" i="2"/>
  <c r="E16" i="2"/>
  <c r="D379" i="5" s="1"/>
  <c r="D377" i="6" s="1"/>
  <c r="H16" i="2"/>
  <c r="I16" i="2"/>
  <c r="E20" i="2"/>
  <c r="D383" i="5" s="1"/>
  <c r="D381" i="6" s="1"/>
  <c r="H20" i="2"/>
  <c r="I20" i="2"/>
  <c r="L20" i="2"/>
  <c r="D579" i="5" s="1"/>
  <c r="D577" i="6" s="1"/>
  <c r="M20" i="2"/>
  <c r="I117" i="5"/>
  <c r="E30" i="2"/>
  <c r="H30" i="2"/>
  <c r="I30" i="2"/>
  <c r="L30" i="2"/>
  <c r="M30" i="2"/>
  <c r="I127" i="5"/>
  <c r="E17" i="2"/>
  <c r="H17" i="2"/>
  <c r="I17" i="2"/>
  <c r="L17" i="2"/>
  <c r="M17" i="2"/>
  <c r="I114" i="5"/>
  <c r="E22" i="2"/>
  <c r="H22" i="2"/>
  <c r="I22" i="2"/>
  <c r="L22" i="2"/>
  <c r="M22" i="2"/>
  <c r="I119" i="5"/>
  <c r="E28" i="2"/>
  <c r="H28" i="2"/>
  <c r="I28" i="2"/>
  <c r="L28" i="2"/>
  <c r="M28" i="2"/>
  <c r="I125" i="5"/>
  <c r="E18" i="2"/>
  <c r="H18" i="2"/>
  <c r="O18" i="2" s="1"/>
  <c r="K179" i="5" s="1"/>
  <c r="I18" i="2"/>
  <c r="L18" i="2"/>
  <c r="M18" i="2"/>
  <c r="I115" i="5"/>
  <c r="E23" i="2"/>
  <c r="H23" i="2"/>
  <c r="I23" i="2"/>
  <c r="L23" i="2"/>
  <c r="M23" i="2"/>
  <c r="I120" i="5"/>
  <c r="H15" i="2"/>
  <c r="O15" i="2" s="1"/>
  <c r="K176" i="5" s="1"/>
  <c r="M15" i="2"/>
  <c r="I112" i="5"/>
  <c r="I15" i="2"/>
  <c r="L15" i="2"/>
  <c r="E15" i="2"/>
  <c r="E19" i="2"/>
  <c r="H19" i="2"/>
  <c r="O19" i="2" s="1"/>
  <c r="K180" i="5" s="1"/>
  <c r="I19" i="2"/>
  <c r="L19" i="2"/>
  <c r="M19" i="2"/>
  <c r="I116" i="5"/>
  <c r="E29" i="2"/>
  <c r="H29" i="2"/>
  <c r="O29" i="2" s="1"/>
  <c r="K190" i="5" s="1"/>
  <c r="I29" i="2"/>
  <c r="L29" i="2"/>
  <c r="M29" i="2"/>
  <c r="I126" i="5"/>
  <c r="E21" i="2"/>
  <c r="H21" i="2"/>
  <c r="I21" i="2"/>
  <c r="L21" i="2"/>
  <c r="M21" i="2"/>
  <c r="I118" i="5"/>
  <c r="E31" i="2"/>
  <c r="H31" i="2"/>
  <c r="I31" i="2"/>
  <c r="L31" i="2"/>
  <c r="M31" i="2"/>
  <c r="I128" i="5"/>
  <c r="I12" i="2"/>
  <c r="M12" i="2"/>
  <c r="H12" i="2"/>
  <c r="O12" i="2" s="1"/>
  <c r="K173" i="5" s="1"/>
  <c r="L12" i="2"/>
  <c r="I109" i="5"/>
  <c r="E12" i="2"/>
  <c r="E24" i="2"/>
  <c r="H24" i="2"/>
  <c r="I24" i="2"/>
  <c r="L24" i="2"/>
  <c r="M24" i="2"/>
  <c r="I121" i="5"/>
  <c r="E32" i="2"/>
  <c r="H32" i="2"/>
  <c r="I32" i="2"/>
  <c r="L32" i="2"/>
  <c r="M32" i="2"/>
  <c r="I13" i="2"/>
  <c r="E13" i="2"/>
  <c r="I110" i="5"/>
  <c r="L13" i="2"/>
  <c r="M13" i="2"/>
  <c r="H13" i="2"/>
  <c r="O13" i="2" s="1"/>
  <c r="K174" i="5" s="1"/>
  <c r="E27" i="2"/>
  <c r="H27" i="2"/>
  <c r="I27" i="2"/>
  <c r="L27" i="2"/>
  <c r="M27" i="2"/>
  <c r="I124" i="5"/>
  <c r="I14" i="2"/>
  <c r="E14" i="2"/>
  <c r="I111" i="5"/>
  <c r="L14" i="2"/>
  <c r="M14" i="2"/>
  <c r="H14" i="2"/>
  <c r="O14" i="2" s="1"/>
  <c r="K175" i="5" s="1"/>
  <c r="E25" i="2"/>
  <c r="H25" i="2"/>
  <c r="I25" i="2"/>
  <c r="L25" i="2"/>
  <c r="M25" i="2"/>
  <c r="I122" i="5"/>
  <c r="I108" i="5"/>
  <c r="L11" i="2"/>
  <c r="H11" i="2"/>
  <c r="M11" i="2"/>
  <c r="E11" i="2"/>
  <c r="I11" i="2"/>
  <c r="H9" i="2"/>
  <c r="L9" i="2"/>
  <c r="I106" i="5"/>
  <c r="E9" i="2"/>
  <c r="I9" i="2"/>
  <c r="M9" i="2"/>
  <c r="I107" i="5"/>
  <c r="E10" i="2"/>
  <c r="M10" i="2"/>
  <c r="I10" i="2"/>
  <c r="H10" i="2"/>
  <c r="O10" i="2" s="1"/>
  <c r="K171" i="5" s="1"/>
  <c r="L10" i="2"/>
  <c r="I6" i="2"/>
  <c r="M6" i="2"/>
  <c r="H6" i="2"/>
  <c r="O6" i="2" s="1"/>
  <c r="K167" i="5" s="1"/>
  <c r="E6" i="2"/>
  <c r="L6" i="2"/>
  <c r="I103" i="5"/>
  <c r="E8" i="2"/>
  <c r="I105" i="5"/>
  <c r="L8" i="2"/>
  <c r="I8" i="2"/>
  <c r="H8" i="2"/>
  <c r="O8" i="2" s="1"/>
  <c r="K169" i="5" s="1"/>
  <c r="M8" i="2"/>
  <c r="I7" i="2"/>
  <c r="L7" i="2"/>
  <c r="I104" i="5"/>
  <c r="E7" i="2"/>
  <c r="M7" i="2"/>
  <c r="H7" i="2"/>
  <c r="O7" i="2" s="1"/>
  <c r="K168" i="5" s="1"/>
  <c r="E5" i="2"/>
  <c r="H5" i="2"/>
  <c r="L5" i="2"/>
  <c r="M5" i="2"/>
  <c r="I5" i="2"/>
  <c r="I102" i="5"/>
  <c r="I145" i="5"/>
  <c r="D435" i="5"/>
  <c r="D433" i="6" s="1"/>
  <c r="I146" i="5"/>
  <c r="D436" i="5"/>
  <c r="D434" i="6" s="1"/>
  <c r="K113" i="5"/>
  <c r="D351" i="5"/>
  <c r="D349" i="6" s="1"/>
  <c r="K115" i="5"/>
  <c r="D353" i="5"/>
  <c r="D351" i="6" s="1"/>
  <c r="I147" i="5"/>
  <c r="D437" i="5"/>
  <c r="D435" i="6" s="1"/>
  <c r="K112" i="5"/>
  <c r="D350" i="5"/>
  <c r="D348" i="6" s="1"/>
  <c r="I140" i="5"/>
  <c r="D430" i="5"/>
  <c r="D428" i="6" s="1"/>
  <c r="K104" i="5"/>
  <c r="D342" i="5"/>
  <c r="D340" i="6" s="1"/>
  <c r="K116" i="5"/>
  <c r="D354" i="5"/>
  <c r="D352" i="6" s="1"/>
  <c r="I148" i="5"/>
  <c r="D438" i="5"/>
  <c r="D436" i="6" s="1"/>
  <c r="K106" i="5"/>
  <c r="D344" i="5"/>
  <c r="D342" i="6" s="1"/>
  <c r="K117" i="5"/>
  <c r="D355" i="5"/>
  <c r="D353" i="6" s="1"/>
  <c r="I149" i="5"/>
  <c r="D439" i="5"/>
  <c r="D437" i="6" s="1"/>
  <c r="I144" i="5"/>
  <c r="D434" i="5"/>
  <c r="D432" i="6" s="1"/>
  <c r="I142" i="5"/>
  <c r="D432" i="5"/>
  <c r="D430" i="6" s="1"/>
  <c r="I137" i="5"/>
  <c r="D427" i="5"/>
  <c r="D425" i="6" s="1"/>
  <c r="K118" i="5"/>
  <c r="D356" i="5"/>
  <c r="D354" i="6" s="1"/>
  <c r="I134" i="5"/>
  <c r="D424" i="5"/>
  <c r="D422" i="6" s="1"/>
  <c r="I150" i="5"/>
  <c r="D440" i="5"/>
  <c r="D438" i="6" s="1"/>
  <c r="I135" i="5"/>
  <c r="D425" i="5"/>
  <c r="D423" i="6" s="1"/>
  <c r="K103" i="5"/>
  <c r="D341" i="5"/>
  <c r="D339" i="6" s="1"/>
  <c r="K102" i="5"/>
  <c r="D340" i="5"/>
  <c r="D338" i="6" s="1"/>
  <c r="K119" i="5"/>
  <c r="D357" i="5"/>
  <c r="D355" i="6" s="1"/>
  <c r="I151" i="5"/>
  <c r="D441" i="5"/>
  <c r="D439" i="6" s="1"/>
  <c r="K120" i="5"/>
  <c r="D358" i="5"/>
  <c r="D356" i="6" s="1"/>
  <c r="I152" i="5"/>
  <c r="D442" i="5"/>
  <c r="D440" i="6" s="1"/>
  <c r="K121" i="5"/>
  <c r="D359" i="5"/>
  <c r="D357" i="6" s="1"/>
  <c r="I153" i="5"/>
  <c r="D443" i="5"/>
  <c r="D441" i="6" s="1"/>
  <c r="I139" i="5"/>
  <c r="D429" i="5"/>
  <c r="D427" i="6" s="1"/>
  <c r="K108" i="5"/>
  <c r="D346" i="5"/>
  <c r="D344" i="6" s="1"/>
  <c r="K122" i="5"/>
  <c r="D360" i="5"/>
  <c r="D358" i="6" s="1"/>
  <c r="K111" i="5"/>
  <c r="D349" i="5"/>
  <c r="D347" i="6" s="1"/>
  <c r="I143" i="5"/>
  <c r="D433" i="5"/>
  <c r="D431" i="6" s="1"/>
  <c r="I154" i="5"/>
  <c r="D444" i="5"/>
  <c r="D442" i="6" s="1"/>
  <c r="I138" i="5"/>
  <c r="D428" i="5"/>
  <c r="D426" i="6" s="1"/>
  <c r="K107" i="5"/>
  <c r="D345" i="5"/>
  <c r="D343" i="6" s="1"/>
  <c r="K123" i="5"/>
  <c r="D361" i="5"/>
  <c r="D359" i="6" s="1"/>
  <c r="I141" i="5"/>
  <c r="D431" i="5"/>
  <c r="D429" i="6" s="1"/>
  <c r="I155" i="5"/>
  <c r="D445" i="5"/>
  <c r="D443" i="6" s="1"/>
  <c r="K105" i="5"/>
  <c r="D343" i="5"/>
  <c r="D341" i="6" s="1"/>
  <c r="K114" i="5"/>
  <c r="D352" i="5"/>
  <c r="D350" i="6" s="1"/>
  <c r="K124" i="5"/>
  <c r="D362" i="5"/>
  <c r="D360" i="6" s="1"/>
  <c r="K109" i="5"/>
  <c r="D347" i="5"/>
  <c r="D345" i="6" s="1"/>
  <c r="I136" i="5"/>
  <c r="D426" i="5"/>
  <c r="D424" i="6" s="1"/>
  <c r="I156" i="5"/>
  <c r="D446" i="5"/>
  <c r="D444" i="6" s="1"/>
  <c r="K125" i="5"/>
  <c r="D363" i="5"/>
  <c r="D361" i="6" s="1"/>
  <c r="I157" i="5"/>
  <c r="D447" i="5"/>
  <c r="D445" i="6" s="1"/>
  <c r="K126" i="5"/>
  <c r="D364" i="5"/>
  <c r="D362" i="6" s="1"/>
  <c r="I158" i="5"/>
  <c r="D448" i="5"/>
  <c r="D446" i="6" s="1"/>
  <c r="K127" i="5"/>
  <c r="D365" i="5"/>
  <c r="D363" i="6" s="1"/>
  <c r="I160" i="5"/>
  <c r="D450" i="5"/>
  <c r="D448" i="6" s="1"/>
  <c r="I159" i="5"/>
  <c r="D449" i="5"/>
  <c r="D447" i="6" s="1"/>
  <c r="K128" i="5"/>
  <c r="D366" i="5"/>
  <c r="D364" i="6" s="1"/>
  <c r="K110" i="5"/>
  <c r="D348" i="5"/>
  <c r="D346" i="6" s="1"/>
  <c r="J128" i="5"/>
  <c r="D338" i="5"/>
  <c r="D336" i="6" s="1"/>
  <c r="J114" i="5"/>
  <c r="D324" i="5"/>
  <c r="D322" i="6" s="1"/>
  <c r="D422" i="5"/>
  <c r="D420" i="6" s="1"/>
  <c r="D421" i="5"/>
  <c r="D419" i="6" s="1"/>
  <c r="L160" i="5"/>
  <c r="D534" i="5"/>
  <c r="D532" i="6" s="1"/>
  <c r="J127" i="5"/>
  <c r="D337" i="5"/>
  <c r="D335" i="6" s="1"/>
  <c r="D339" i="5"/>
  <c r="D337" i="6" s="1"/>
  <c r="L158" i="5"/>
  <c r="D532" i="5"/>
  <c r="D530" i="6" s="1"/>
  <c r="D423" i="5"/>
  <c r="D421" i="6" s="1"/>
  <c r="D420" i="5"/>
  <c r="D418" i="6" s="1"/>
  <c r="D535" i="5"/>
  <c r="D533" i="6" s="1"/>
  <c r="J126" i="5"/>
  <c r="D336" i="5"/>
  <c r="D334" i="6" s="1"/>
  <c r="L139" i="5"/>
  <c r="D513" i="5"/>
  <c r="D511" i="6" s="1"/>
  <c r="L157" i="5"/>
  <c r="D531" i="5"/>
  <c r="D529" i="6" s="1"/>
  <c r="D401" i="5"/>
  <c r="D399" i="6" s="1"/>
  <c r="D419" i="5"/>
  <c r="D417" i="6" s="1"/>
  <c r="D400" i="5"/>
  <c r="D398" i="6" s="1"/>
  <c r="J125" i="5"/>
  <c r="D335" i="5"/>
  <c r="D333" i="6" s="1"/>
  <c r="J105" i="5"/>
  <c r="D315" i="5"/>
  <c r="D313" i="6" s="1"/>
  <c r="L156" i="5"/>
  <c r="D530" i="5"/>
  <c r="D528" i="6" s="1"/>
  <c r="L136" i="5"/>
  <c r="D510" i="5"/>
  <c r="D508" i="6" s="1"/>
  <c r="D418" i="5"/>
  <c r="D416" i="6" s="1"/>
  <c r="L142" i="5"/>
  <c r="D516" i="5"/>
  <c r="D514" i="6" s="1"/>
  <c r="J124" i="5"/>
  <c r="D334" i="5"/>
  <c r="D332" i="6" s="1"/>
  <c r="L140" i="5"/>
  <c r="D514" i="5"/>
  <c r="D512" i="6" s="1"/>
  <c r="P26" i="2"/>
  <c r="L187" i="5" s="1"/>
  <c r="L155" i="5"/>
  <c r="D529" i="5"/>
  <c r="D527" i="6" s="1"/>
  <c r="D405" i="5"/>
  <c r="D403" i="6" s="1"/>
  <c r="O26" i="2"/>
  <c r="K187" i="5" s="1"/>
  <c r="D417" i="5"/>
  <c r="D415" i="6" s="1"/>
  <c r="J109" i="5"/>
  <c r="D319" i="5"/>
  <c r="D317" i="6" s="1"/>
  <c r="N26" i="2"/>
  <c r="J187" i="5" s="1"/>
  <c r="J123" i="5"/>
  <c r="D333" i="5"/>
  <c r="D331" i="6" s="1"/>
  <c r="J108" i="5"/>
  <c r="D318" i="5"/>
  <c r="D316" i="6" s="1"/>
  <c r="L154" i="5"/>
  <c r="D528" i="5"/>
  <c r="D526" i="6" s="1"/>
  <c r="O16" i="2"/>
  <c r="K177" i="5" s="1"/>
  <c r="D407" i="5"/>
  <c r="D405" i="6" s="1"/>
  <c r="D416" i="5"/>
  <c r="D414" i="6" s="1"/>
  <c r="L141" i="5"/>
  <c r="D515" i="5"/>
  <c r="D513" i="6" s="1"/>
  <c r="J122" i="5"/>
  <c r="D332" i="5"/>
  <c r="D330" i="6" s="1"/>
  <c r="D403" i="5"/>
  <c r="D401" i="6" s="1"/>
  <c r="L153" i="5"/>
  <c r="D527" i="5"/>
  <c r="D525" i="6" s="1"/>
  <c r="J107" i="5"/>
  <c r="D317" i="5"/>
  <c r="D315" i="6" s="1"/>
  <c r="D415" i="5"/>
  <c r="D413" i="6" s="1"/>
  <c r="D399" i="5"/>
  <c r="D397" i="6" s="1"/>
  <c r="J121" i="5"/>
  <c r="D331" i="5"/>
  <c r="D329" i="6" s="1"/>
  <c r="D398" i="5"/>
  <c r="D396" i="6" s="1"/>
  <c r="L152" i="5"/>
  <c r="D526" i="5"/>
  <c r="D524" i="6" s="1"/>
  <c r="L134" i="5"/>
  <c r="D508" i="5"/>
  <c r="D506" i="6" s="1"/>
  <c r="D414" i="5"/>
  <c r="D412" i="6" s="1"/>
  <c r="P16" i="2"/>
  <c r="L177" i="5" s="1"/>
  <c r="L145" i="5"/>
  <c r="D519" i="5"/>
  <c r="D517" i="6" s="1"/>
  <c r="J120" i="5"/>
  <c r="D330" i="5"/>
  <c r="D328" i="6" s="1"/>
  <c r="N16" i="2"/>
  <c r="J177" i="5" s="1"/>
  <c r="J113" i="5"/>
  <c r="D323" i="5"/>
  <c r="D321" i="6" s="1"/>
  <c r="L151" i="5"/>
  <c r="D525" i="5"/>
  <c r="D523" i="6" s="1"/>
  <c r="J112" i="5"/>
  <c r="D322" i="5"/>
  <c r="D320" i="6" s="1"/>
  <c r="D413" i="5"/>
  <c r="D411" i="6" s="1"/>
  <c r="L143" i="5"/>
  <c r="D517" i="5"/>
  <c r="D515" i="6" s="1"/>
  <c r="J119" i="5"/>
  <c r="D329" i="5"/>
  <c r="D327" i="6" s="1"/>
  <c r="J111" i="5"/>
  <c r="D321" i="5"/>
  <c r="D319" i="6" s="1"/>
  <c r="L150" i="5"/>
  <c r="D524" i="5"/>
  <c r="D522" i="6" s="1"/>
  <c r="J106" i="5"/>
  <c r="D316" i="5"/>
  <c r="D314" i="6" s="1"/>
  <c r="D412" i="5"/>
  <c r="D410" i="6" s="1"/>
  <c r="D397" i="5"/>
  <c r="D395" i="6" s="1"/>
  <c r="J118" i="5"/>
  <c r="D328" i="5"/>
  <c r="D326" i="6" s="1"/>
  <c r="D402" i="5"/>
  <c r="D400" i="6" s="1"/>
  <c r="P20" i="2"/>
  <c r="L181" i="5" s="1"/>
  <c r="L149" i="5"/>
  <c r="D523" i="5"/>
  <c r="D521" i="6" s="1"/>
  <c r="L135" i="5"/>
  <c r="D509" i="5"/>
  <c r="D507" i="6" s="1"/>
  <c r="O20" i="2"/>
  <c r="K181" i="5" s="1"/>
  <c r="D411" i="5"/>
  <c r="D409" i="6" s="1"/>
  <c r="J104" i="5"/>
  <c r="D314" i="5"/>
  <c r="D312" i="6" s="1"/>
  <c r="N20" i="2"/>
  <c r="J181" i="5" s="1"/>
  <c r="J117" i="5"/>
  <c r="D327" i="5"/>
  <c r="D325" i="6" s="1"/>
  <c r="D406" i="5"/>
  <c r="D404" i="6" s="1"/>
  <c r="L148" i="5"/>
  <c r="D522" i="5"/>
  <c r="D520" i="6" s="1"/>
  <c r="J102" i="5"/>
  <c r="D312" i="5"/>
  <c r="D310" i="6" s="1"/>
  <c r="D410" i="5"/>
  <c r="D408" i="6" s="1"/>
  <c r="D396" i="5"/>
  <c r="D394" i="6" s="1"/>
  <c r="J116" i="5"/>
  <c r="D326" i="5"/>
  <c r="D324" i="6" s="1"/>
  <c r="L144" i="5"/>
  <c r="D518" i="5"/>
  <c r="D516" i="6" s="1"/>
  <c r="L147" i="5"/>
  <c r="D521" i="5"/>
  <c r="D519" i="6" s="1"/>
  <c r="D404" i="5"/>
  <c r="D402" i="6" s="1"/>
  <c r="D409" i="5"/>
  <c r="D407" i="6" s="1"/>
  <c r="J103" i="5"/>
  <c r="D313" i="5"/>
  <c r="D311" i="6" s="1"/>
  <c r="J115" i="5"/>
  <c r="D325" i="5"/>
  <c r="D323" i="6" s="1"/>
  <c r="L137" i="5"/>
  <c r="D511" i="5"/>
  <c r="D509" i="6" s="1"/>
  <c r="L146" i="5"/>
  <c r="D520" i="5"/>
  <c r="D518" i="6" s="1"/>
  <c r="L138" i="5"/>
  <c r="D512" i="5"/>
  <c r="D510" i="6" s="1"/>
  <c r="D408" i="5"/>
  <c r="D406" i="6" s="1"/>
  <c r="J110" i="5"/>
  <c r="D320" i="5"/>
  <c r="D318" i="6" s="1"/>
  <c r="L159" i="5"/>
  <c r="D533" i="5"/>
  <c r="D531" i="6" s="1"/>
  <c r="O30" i="2" l="1"/>
  <c r="K191" i="5" s="1"/>
  <c r="O17" i="2"/>
  <c r="K178" i="5" s="1"/>
  <c r="O22" i="2"/>
  <c r="K183" i="5" s="1"/>
  <c r="O28" i="2"/>
  <c r="K189" i="5" s="1"/>
  <c r="O23" i="2"/>
  <c r="K184" i="5" s="1"/>
  <c r="O31" i="2"/>
  <c r="K192" i="5" s="1"/>
  <c r="O24" i="2"/>
  <c r="K185" i="5" s="1"/>
  <c r="O27" i="2"/>
  <c r="K188" i="5" s="1"/>
  <c r="O25" i="2"/>
  <c r="K186" i="5" s="1"/>
  <c r="O21" i="2"/>
  <c r="K182" i="5" s="1"/>
  <c r="D393" i="5"/>
  <c r="D391" i="6" s="1"/>
  <c r="N30" i="2"/>
  <c r="J191" i="5" s="1"/>
  <c r="O5" i="2"/>
  <c r="K166" i="5" s="1"/>
  <c r="O11" i="2"/>
  <c r="K172" i="5" s="1"/>
  <c r="O9" i="2"/>
  <c r="K170" i="5" s="1"/>
  <c r="D589" i="5"/>
  <c r="D587" i="6" s="1"/>
  <c r="P30" i="2"/>
  <c r="L191" i="5" s="1"/>
  <c r="D380" i="5"/>
  <c r="D378" i="6" s="1"/>
  <c r="N17" i="2"/>
  <c r="J178" i="5" s="1"/>
  <c r="D576" i="5"/>
  <c r="D574" i="6" s="1"/>
  <c r="P17" i="2"/>
  <c r="L178" i="5" s="1"/>
  <c r="D581" i="5"/>
  <c r="D579" i="6" s="1"/>
  <c r="P22" i="2"/>
  <c r="L183" i="5" s="1"/>
  <c r="D391" i="5"/>
  <c r="D389" i="6" s="1"/>
  <c r="N28" i="2"/>
  <c r="J189" i="5" s="1"/>
  <c r="D587" i="5"/>
  <c r="D585" i="6" s="1"/>
  <c r="P28" i="2"/>
  <c r="L189" i="5" s="1"/>
  <c r="D381" i="5"/>
  <c r="D379" i="6" s="1"/>
  <c r="N18" i="2"/>
  <c r="J179" i="5" s="1"/>
  <c r="D577" i="5"/>
  <c r="D575" i="6" s="1"/>
  <c r="P18" i="2"/>
  <c r="L179" i="5" s="1"/>
  <c r="D386" i="5"/>
  <c r="D384" i="6" s="1"/>
  <c r="N23" i="2"/>
  <c r="J184" i="5" s="1"/>
  <c r="D582" i="5"/>
  <c r="D580" i="6" s="1"/>
  <c r="P23" i="2"/>
  <c r="L184" i="5" s="1"/>
  <c r="D574" i="5"/>
  <c r="D572" i="6" s="1"/>
  <c r="P15" i="2"/>
  <c r="L176" i="5" s="1"/>
  <c r="D382" i="5"/>
  <c r="D380" i="6" s="1"/>
  <c r="N19" i="2"/>
  <c r="J180" i="5" s="1"/>
  <c r="D578" i="5"/>
  <c r="D576" i="6" s="1"/>
  <c r="P19" i="2"/>
  <c r="L180" i="5" s="1"/>
  <c r="D392" i="5"/>
  <c r="D390" i="6" s="1"/>
  <c r="N29" i="2"/>
  <c r="J190" i="5" s="1"/>
  <c r="D588" i="5"/>
  <c r="D586" i="6" s="1"/>
  <c r="P29" i="2"/>
  <c r="L190" i="5" s="1"/>
  <c r="D394" i="5"/>
  <c r="D392" i="6" s="1"/>
  <c r="N31" i="2"/>
  <c r="J192" i="5" s="1"/>
  <c r="D590" i="5"/>
  <c r="D588" i="6" s="1"/>
  <c r="P31" i="2"/>
  <c r="L192" i="5" s="1"/>
  <c r="D571" i="5"/>
  <c r="D569" i="6" s="1"/>
  <c r="P12" i="2"/>
  <c r="L173" i="5" s="1"/>
  <c r="D387" i="5"/>
  <c r="D385" i="6" s="1"/>
  <c r="N24" i="2"/>
  <c r="J185" i="5" s="1"/>
  <c r="D583" i="5"/>
  <c r="D581" i="6" s="1"/>
  <c r="P24" i="2"/>
  <c r="L185" i="5" s="1"/>
  <c r="D395" i="5"/>
  <c r="D393" i="6" s="1"/>
  <c r="N32" i="2"/>
  <c r="D479" i="5"/>
  <c r="D477" i="6" s="1"/>
  <c r="O32" i="2"/>
  <c r="D591" i="5"/>
  <c r="D589" i="6" s="1"/>
  <c r="P32" i="2"/>
  <c r="D376" i="5"/>
  <c r="D374" i="6" s="1"/>
  <c r="N13" i="2"/>
  <c r="J174" i="5" s="1"/>
  <c r="D569" i="5"/>
  <c r="D567" i="6" s="1"/>
  <c r="P10" i="2"/>
  <c r="L171" i="5" s="1"/>
  <c r="J155" i="5"/>
  <c r="D473" i="5"/>
  <c r="D471" i="6" s="1"/>
  <c r="B43" i="4"/>
  <c r="D43" i="4" s="1"/>
  <c r="K155" i="5"/>
  <c r="D501" i="5"/>
  <c r="D499" i="6" s="1"/>
  <c r="C43" i="4"/>
  <c r="E43" i="4" s="1"/>
  <c r="I187" i="5"/>
  <c r="D613" i="5"/>
  <c r="D611" i="6" s="1"/>
  <c r="C33" i="4"/>
  <c r="E33" i="4" s="1"/>
  <c r="I177" i="5"/>
  <c r="D603" i="5"/>
  <c r="D601" i="6" s="1"/>
  <c r="J145" i="5"/>
  <c r="D463" i="5"/>
  <c r="D461" i="6" s="1"/>
  <c r="B33" i="4"/>
  <c r="D33" i="4" s="1"/>
  <c r="K145" i="5"/>
  <c r="D491" i="5"/>
  <c r="D489" i="6" s="1"/>
  <c r="J149" i="5"/>
  <c r="D467" i="5"/>
  <c r="D465" i="6" s="1"/>
  <c r="B37" i="4"/>
  <c r="D37" i="4" s="1"/>
  <c r="K149" i="5"/>
  <c r="D495" i="5"/>
  <c r="D493" i="6" s="1"/>
  <c r="C37" i="4"/>
  <c r="E37" i="4" s="1"/>
  <c r="I181" i="5"/>
  <c r="D607" i="5"/>
  <c r="D605" i="6" s="1"/>
  <c r="J159" i="5"/>
  <c r="D477" i="5"/>
  <c r="D475" i="6" s="1"/>
  <c r="B47" i="4"/>
  <c r="D47" i="4" s="1"/>
  <c r="K159" i="5"/>
  <c r="D505" i="5"/>
  <c r="D503" i="6" s="1"/>
  <c r="C47" i="4"/>
  <c r="E47" i="4" s="1"/>
  <c r="I191" i="5"/>
  <c r="D617" i="5"/>
  <c r="D615" i="6" s="1"/>
  <c r="J146" i="5"/>
  <c r="D464" i="5"/>
  <c r="D462" i="6" s="1"/>
  <c r="B34" i="4"/>
  <c r="D34" i="4" s="1"/>
  <c r="K146" i="5"/>
  <c r="D492" i="5"/>
  <c r="D490" i="6" s="1"/>
  <c r="C34" i="4"/>
  <c r="E34" i="4" s="1"/>
  <c r="I178" i="5"/>
  <c r="D604" i="5"/>
  <c r="D602" i="6" s="1"/>
  <c r="J151" i="5"/>
  <c r="D469" i="5"/>
  <c r="D467" i="6" s="1"/>
  <c r="B39" i="4"/>
  <c r="D39" i="4" s="1"/>
  <c r="K151" i="5"/>
  <c r="D497" i="5"/>
  <c r="D495" i="6" s="1"/>
  <c r="C39" i="4"/>
  <c r="E39" i="4" s="1"/>
  <c r="I183" i="5"/>
  <c r="D609" i="5"/>
  <c r="D607" i="6" s="1"/>
  <c r="J157" i="5"/>
  <c r="D475" i="5"/>
  <c r="D473" i="6" s="1"/>
  <c r="B45" i="4"/>
  <c r="D45" i="4" s="1"/>
  <c r="K157" i="5"/>
  <c r="D503" i="5"/>
  <c r="D501" i="6" s="1"/>
  <c r="C45" i="4"/>
  <c r="E45" i="4" s="1"/>
  <c r="I189" i="5"/>
  <c r="D615" i="5"/>
  <c r="D613" i="6" s="1"/>
  <c r="J147" i="5"/>
  <c r="D465" i="5"/>
  <c r="D463" i="6" s="1"/>
  <c r="B35" i="4"/>
  <c r="D35" i="4" s="1"/>
  <c r="K147" i="5"/>
  <c r="D493" i="5"/>
  <c r="D491" i="6" s="1"/>
  <c r="C35" i="4"/>
  <c r="E35" i="4" s="1"/>
  <c r="I179" i="5"/>
  <c r="D605" i="5"/>
  <c r="D603" i="6" s="1"/>
  <c r="J152" i="5"/>
  <c r="D470" i="5"/>
  <c r="D468" i="6" s="1"/>
  <c r="B40" i="4"/>
  <c r="D40" i="4" s="1"/>
  <c r="K152" i="5"/>
  <c r="D498" i="5"/>
  <c r="D496" i="6" s="1"/>
  <c r="C40" i="4"/>
  <c r="E40" i="4" s="1"/>
  <c r="I184" i="5"/>
  <c r="D610" i="5"/>
  <c r="D608" i="6" s="1"/>
  <c r="J144" i="5"/>
  <c r="D462" i="5"/>
  <c r="D460" i="6" s="1"/>
  <c r="C32" i="4"/>
  <c r="E32" i="4" s="1"/>
  <c r="I176" i="5"/>
  <c r="D602" i="5"/>
  <c r="D600" i="6" s="1"/>
  <c r="B32" i="4"/>
  <c r="D32" i="4" s="1"/>
  <c r="K144" i="5"/>
  <c r="D490" i="5"/>
  <c r="D488" i="6" s="1"/>
  <c r="J148" i="5"/>
  <c r="D466" i="5"/>
  <c r="D464" i="6" s="1"/>
  <c r="B36" i="4"/>
  <c r="D36" i="4" s="1"/>
  <c r="K148" i="5"/>
  <c r="D494" i="5"/>
  <c r="D492" i="6" s="1"/>
  <c r="C36" i="4"/>
  <c r="E36" i="4" s="1"/>
  <c r="I180" i="5"/>
  <c r="D606" i="5"/>
  <c r="D604" i="6" s="1"/>
  <c r="J158" i="5"/>
  <c r="D476" i="5"/>
  <c r="D474" i="6" s="1"/>
  <c r="B46" i="4"/>
  <c r="D46" i="4" s="1"/>
  <c r="K158" i="5"/>
  <c r="D504" i="5"/>
  <c r="D502" i="6" s="1"/>
  <c r="C46" i="4"/>
  <c r="E46" i="4" s="1"/>
  <c r="I190" i="5"/>
  <c r="D616" i="5"/>
  <c r="D614" i="6" s="1"/>
  <c r="J150" i="5"/>
  <c r="D468" i="5"/>
  <c r="D466" i="6" s="1"/>
  <c r="B38" i="4"/>
  <c r="D38" i="4" s="1"/>
  <c r="K150" i="5"/>
  <c r="D496" i="5"/>
  <c r="D494" i="6" s="1"/>
  <c r="C38" i="4"/>
  <c r="E38" i="4" s="1"/>
  <c r="I182" i="5"/>
  <c r="D608" i="5"/>
  <c r="D606" i="6" s="1"/>
  <c r="J160" i="5"/>
  <c r="D478" i="5"/>
  <c r="D476" i="6" s="1"/>
  <c r="B48" i="4"/>
  <c r="D48" i="4" s="1"/>
  <c r="K160" i="5"/>
  <c r="D506" i="5"/>
  <c r="D504" i="6" s="1"/>
  <c r="C48" i="4"/>
  <c r="E48" i="4" s="1"/>
  <c r="I192" i="5"/>
  <c r="D618" i="5"/>
  <c r="D616" i="6" s="1"/>
  <c r="B29" i="4"/>
  <c r="K141" i="5"/>
  <c r="D487" i="5"/>
  <c r="D485" i="6" s="1"/>
  <c r="C29" i="4"/>
  <c r="I173" i="5"/>
  <c r="D599" i="5"/>
  <c r="D597" i="6" s="1"/>
  <c r="J141" i="5"/>
  <c r="D459" i="5"/>
  <c r="D457" i="6" s="1"/>
  <c r="J153" i="5"/>
  <c r="D471" i="5"/>
  <c r="D469" i="6" s="1"/>
  <c r="B41" i="4"/>
  <c r="D41" i="4" s="1"/>
  <c r="K153" i="5"/>
  <c r="D499" i="5"/>
  <c r="D497" i="6" s="1"/>
  <c r="C41" i="4"/>
  <c r="E41" i="4" s="1"/>
  <c r="I185" i="5"/>
  <c r="D611" i="5"/>
  <c r="D609" i="6" s="1"/>
  <c r="B49" i="4"/>
  <c r="D49" i="4" s="1"/>
  <c r="D507" i="5"/>
  <c r="D505" i="6" s="1"/>
  <c r="C49" i="4"/>
  <c r="E49" i="4" s="1"/>
  <c r="D619" i="5"/>
  <c r="D617" i="6" s="1"/>
  <c r="B30" i="4"/>
  <c r="D30" i="4" s="1"/>
  <c r="K142" i="5"/>
  <c r="D488" i="5"/>
  <c r="D486" i="6" s="1"/>
  <c r="C30" i="4"/>
  <c r="E30" i="4" s="1"/>
  <c r="I174" i="5"/>
  <c r="D600" i="5"/>
  <c r="D598" i="6" s="1"/>
  <c r="J142" i="5"/>
  <c r="D460" i="5"/>
  <c r="D458" i="6" s="1"/>
  <c r="J156" i="5"/>
  <c r="D474" i="5"/>
  <c r="D472" i="6" s="1"/>
  <c r="B44" i="4"/>
  <c r="D44" i="4" s="1"/>
  <c r="K156" i="5"/>
  <c r="D502" i="5"/>
  <c r="D500" i="6" s="1"/>
  <c r="C44" i="4"/>
  <c r="E44" i="4" s="1"/>
  <c r="I188" i="5"/>
  <c r="D614" i="5"/>
  <c r="D612" i="6" s="1"/>
  <c r="B31" i="4"/>
  <c r="D31" i="4" s="1"/>
  <c r="K143" i="5"/>
  <c r="D489" i="5"/>
  <c r="D487" i="6" s="1"/>
  <c r="C31" i="4"/>
  <c r="E31" i="4" s="1"/>
  <c r="I175" i="5"/>
  <c r="D601" i="5"/>
  <c r="D599" i="6" s="1"/>
  <c r="J143" i="5"/>
  <c r="D461" i="5"/>
  <c r="D459" i="6" s="1"/>
  <c r="J154" i="5"/>
  <c r="D472" i="5"/>
  <c r="D470" i="6" s="1"/>
  <c r="B42" i="4"/>
  <c r="D42" i="4" s="1"/>
  <c r="K154" i="5"/>
  <c r="D500" i="5"/>
  <c r="D498" i="6" s="1"/>
  <c r="C42" i="4"/>
  <c r="E42" i="4" s="1"/>
  <c r="I186" i="5"/>
  <c r="D612" i="5"/>
  <c r="D610" i="6" s="1"/>
  <c r="J140" i="5"/>
  <c r="D458" i="5"/>
  <c r="D456" i="6" s="1"/>
  <c r="C28" i="4"/>
  <c r="E28" i="4" s="1"/>
  <c r="I172" i="5"/>
  <c r="D598" i="5"/>
  <c r="D596" i="6" s="1"/>
  <c r="B28" i="4"/>
  <c r="D28" i="4" s="1"/>
  <c r="K140" i="5"/>
  <c r="D486" i="5"/>
  <c r="D484" i="6" s="1"/>
  <c r="J138" i="5"/>
  <c r="D456" i="5"/>
  <c r="D454" i="6" s="1"/>
  <c r="B26" i="4"/>
  <c r="D26" i="4" s="1"/>
  <c r="K138" i="5"/>
  <c r="D484" i="5"/>
  <c r="D482" i="6" s="1"/>
  <c r="C26" i="4"/>
  <c r="E26" i="4" s="1"/>
  <c r="I170" i="5"/>
  <c r="D596" i="5"/>
  <c r="D594" i="6" s="1"/>
  <c r="C27" i="4"/>
  <c r="E27" i="4" s="1"/>
  <c r="I171" i="5"/>
  <c r="D597" i="5"/>
  <c r="D595" i="6" s="1"/>
  <c r="B27" i="4"/>
  <c r="D27" i="4" s="1"/>
  <c r="K139" i="5"/>
  <c r="D485" i="5"/>
  <c r="D483" i="6" s="1"/>
  <c r="J139" i="5"/>
  <c r="D457" i="5"/>
  <c r="D455" i="6" s="1"/>
  <c r="B23" i="4"/>
  <c r="K135" i="5"/>
  <c r="D481" i="5"/>
  <c r="D479" i="6" s="1"/>
  <c r="C23" i="4"/>
  <c r="E23" i="4" s="1"/>
  <c r="K23" i="4" s="1"/>
  <c r="I167" i="5"/>
  <c r="D593" i="5"/>
  <c r="D591" i="6" s="1"/>
  <c r="J135" i="5"/>
  <c r="D453" i="5"/>
  <c r="D451" i="6" s="1"/>
  <c r="B25" i="4"/>
  <c r="D25" i="4" s="1"/>
  <c r="K137" i="5"/>
  <c r="D483" i="5"/>
  <c r="D481" i="6" s="1"/>
  <c r="J137" i="5"/>
  <c r="D455" i="5"/>
  <c r="D453" i="6" s="1"/>
  <c r="C25" i="4"/>
  <c r="E25" i="4" s="1"/>
  <c r="I169" i="5"/>
  <c r="D595" i="5"/>
  <c r="D593" i="6" s="1"/>
  <c r="B24" i="4"/>
  <c r="D24" i="4" s="1"/>
  <c r="K136" i="5"/>
  <c r="D482" i="5"/>
  <c r="D480" i="6" s="1"/>
  <c r="C24" i="4"/>
  <c r="E24" i="4" s="1"/>
  <c r="I168" i="5"/>
  <c r="D594" i="5"/>
  <c r="D592" i="6" s="1"/>
  <c r="J136" i="5"/>
  <c r="D454" i="5"/>
  <c r="D452" i="6" s="1"/>
  <c r="J134" i="5"/>
  <c r="D452" i="5"/>
  <c r="D450" i="6" s="1"/>
  <c r="C22" i="4"/>
  <c r="E22" i="4" s="1"/>
  <c r="I166" i="5"/>
  <c r="D592" i="5"/>
  <c r="D590" i="6" s="1"/>
  <c r="B22" i="4"/>
  <c r="D22" i="4" s="1"/>
  <c r="K134" i="5"/>
  <c r="D480" i="5"/>
  <c r="D478" i="6" s="1"/>
  <c r="D385" i="5"/>
  <c r="D383" i="6" s="1"/>
  <c r="N22" i="2"/>
  <c r="J183" i="5" s="1"/>
  <c r="D378" i="5"/>
  <c r="D376" i="6" s="1"/>
  <c r="N15" i="2"/>
  <c r="J176" i="5" s="1"/>
  <c r="D384" i="5"/>
  <c r="D382" i="6" s="1"/>
  <c r="N21" i="2"/>
  <c r="J182" i="5" s="1"/>
  <c r="D580" i="5"/>
  <c r="D578" i="6" s="1"/>
  <c r="P21" i="2"/>
  <c r="L182" i="5" s="1"/>
  <c r="D375" i="5"/>
  <c r="D373" i="6" s="1"/>
  <c r="N12" i="2"/>
  <c r="J173" i="5" s="1"/>
  <c r="D572" i="5"/>
  <c r="D570" i="6" s="1"/>
  <c r="P13" i="2"/>
  <c r="L174" i="5" s="1"/>
  <c r="D390" i="5"/>
  <c r="D388" i="6" s="1"/>
  <c r="N27" i="2"/>
  <c r="J188" i="5" s="1"/>
  <c r="D586" i="5"/>
  <c r="D584" i="6" s="1"/>
  <c r="P27" i="2"/>
  <c r="L188" i="5" s="1"/>
  <c r="D377" i="5"/>
  <c r="D375" i="6" s="1"/>
  <c r="N14" i="2"/>
  <c r="J175" i="5" s="1"/>
  <c r="D573" i="5"/>
  <c r="D571" i="6" s="1"/>
  <c r="P14" i="2"/>
  <c r="L175" i="5" s="1"/>
  <c r="D388" i="5"/>
  <c r="D386" i="6" s="1"/>
  <c r="N25" i="2"/>
  <c r="J186" i="5" s="1"/>
  <c r="D584" i="5"/>
  <c r="D582" i="6" s="1"/>
  <c r="P25" i="2"/>
  <c r="L186" i="5" s="1"/>
  <c r="D570" i="5"/>
  <c r="D568" i="6" s="1"/>
  <c r="P11" i="2"/>
  <c r="L172" i="5" s="1"/>
  <c r="D374" i="5"/>
  <c r="D372" i="6" s="1"/>
  <c r="N11" i="2"/>
  <c r="J172" i="5" s="1"/>
  <c r="D568" i="5"/>
  <c r="D566" i="6" s="1"/>
  <c r="P9" i="2"/>
  <c r="L170" i="5" s="1"/>
  <c r="D372" i="5"/>
  <c r="D370" i="6" s="1"/>
  <c r="N9" i="2"/>
  <c r="J170" i="5" s="1"/>
  <c r="D373" i="5"/>
  <c r="D371" i="6" s="1"/>
  <c r="N10" i="2"/>
  <c r="J171" i="5" s="1"/>
  <c r="D369" i="5"/>
  <c r="D367" i="6" s="1"/>
  <c r="N6" i="2"/>
  <c r="J167" i="5" s="1"/>
  <c r="D565" i="5"/>
  <c r="D563" i="6" s="1"/>
  <c r="P6" i="2"/>
  <c r="L167" i="5" s="1"/>
  <c r="D371" i="5"/>
  <c r="D369" i="6" s="1"/>
  <c r="N8" i="2"/>
  <c r="J169" i="5" s="1"/>
  <c r="D567" i="5"/>
  <c r="D565" i="6" s="1"/>
  <c r="P8" i="2"/>
  <c r="L169" i="5" s="1"/>
  <c r="D566" i="5"/>
  <c r="D564" i="6" s="1"/>
  <c r="P7" i="2"/>
  <c r="L168" i="5" s="1"/>
  <c r="D370" i="5"/>
  <c r="D368" i="6" s="1"/>
  <c r="N7" i="2"/>
  <c r="J168" i="5" s="1"/>
  <c r="D368" i="5"/>
  <c r="D366" i="6" s="1"/>
  <c r="N5" i="2"/>
  <c r="J166" i="5" s="1"/>
  <c r="D564" i="5"/>
  <c r="D562" i="6" s="1"/>
  <c r="P5" i="2"/>
  <c r="L166" i="5" s="1"/>
  <c r="F43" i="4" l="1"/>
  <c r="D643" i="5" s="1"/>
  <c r="D639" i="6" s="1"/>
  <c r="G43" i="4"/>
  <c r="D671" i="5" s="1"/>
  <c r="D667" i="6" s="1"/>
  <c r="H43" i="4"/>
  <c r="D699" i="5" s="1"/>
  <c r="D695" i="6" s="1"/>
  <c r="I43" i="4"/>
  <c r="D727" i="5" s="1"/>
  <c r="D723" i="6" s="1"/>
  <c r="J43" i="4"/>
  <c r="D755" i="5" s="1"/>
  <c r="D751" i="6" s="1"/>
  <c r="K43" i="4"/>
  <c r="D783" i="5" s="1"/>
  <c r="D779" i="6" s="1"/>
  <c r="I33" i="4"/>
  <c r="D717" i="5" s="1"/>
  <c r="D713" i="6" s="1"/>
  <c r="J33" i="4"/>
  <c r="D745" i="5" s="1"/>
  <c r="D741" i="6" s="1"/>
  <c r="K33" i="4"/>
  <c r="D773" i="5" s="1"/>
  <c r="D769" i="6" s="1"/>
  <c r="F33" i="4"/>
  <c r="D633" i="5" s="1"/>
  <c r="D629" i="6" s="1"/>
  <c r="G33" i="4"/>
  <c r="D661" i="5" s="1"/>
  <c r="D657" i="6" s="1"/>
  <c r="H33" i="4"/>
  <c r="D689" i="5" s="1"/>
  <c r="D685" i="6" s="1"/>
  <c r="F37" i="4"/>
  <c r="D637" i="5" s="1"/>
  <c r="D633" i="6" s="1"/>
  <c r="G37" i="4"/>
  <c r="D665" i="5" s="1"/>
  <c r="D661" i="6" s="1"/>
  <c r="H37" i="4"/>
  <c r="D693" i="5" s="1"/>
  <c r="D689" i="6" s="1"/>
  <c r="I37" i="4"/>
  <c r="D721" i="5" s="1"/>
  <c r="D717" i="6" s="1"/>
  <c r="J37" i="4"/>
  <c r="D749" i="5" s="1"/>
  <c r="D745" i="6" s="1"/>
  <c r="K37" i="4"/>
  <c r="D777" i="5" s="1"/>
  <c r="D773" i="6" s="1"/>
  <c r="F47" i="4"/>
  <c r="D647" i="5" s="1"/>
  <c r="D643" i="6" s="1"/>
  <c r="G47" i="4"/>
  <c r="D675" i="5" s="1"/>
  <c r="D671" i="6" s="1"/>
  <c r="H47" i="4"/>
  <c r="D703" i="5" s="1"/>
  <c r="D699" i="6" s="1"/>
  <c r="I47" i="4"/>
  <c r="D731" i="5" s="1"/>
  <c r="D727" i="6" s="1"/>
  <c r="J47" i="4"/>
  <c r="D759" i="5" s="1"/>
  <c r="D755" i="6" s="1"/>
  <c r="K47" i="4"/>
  <c r="D787" i="5" s="1"/>
  <c r="D783" i="6" s="1"/>
  <c r="F34" i="4"/>
  <c r="D634" i="5" s="1"/>
  <c r="D630" i="6" s="1"/>
  <c r="G34" i="4"/>
  <c r="D662" i="5" s="1"/>
  <c r="D658" i="6" s="1"/>
  <c r="H34" i="4"/>
  <c r="D690" i="5" s="1"/>
  <c r="D686" i="6" s="1"/>
  <c r="I34" i="4"/>
  <c r="D718" i="5" s="1"/>
  <c r="D714" i="6" s="1"/>
  <c r="J34" i="4"/>
  <c r="D746" i="5" s="1"/>
  <c r="D742" i="6" s="1"/>
  <c r="K34" i="4"/>
  <c r="D774" i="5" s="1"/>
  <c r="D770" i="6" s="1"/>
  <c r="F39" i="4"/>
  <c r="D639" i="5" s="1"/>
  <c r="D635" i="6" s="1"/>
  <c r="G39" i="4"/>
  <c r="D667" i="5" s="1"/>
  <c r="D663" i="6" s="1"/>
  <c r="H39" i="4"/>
  <c r="D695" i="5" s="1"/>
  <c r="D691" i="6" s="1"/>
  <c r="I39" i="4"/>
  <c r="D723" i="5" s="1"/>
  <c r="D719" i="6" s="1"/>
  <c r="J39" i="4"/>
  <c r="D751" i="5" s="1"/>
  <c r="D747" i="6" s="1"/>
  <c r="K39" i="4"/>
  <c r="D779" i="5" s="1"/>
  <c r="D775" i="6" s="1"/>
  <c r="F45" i="4"/>
  <c r="D645" i="5" s="1"/>
  <c r="D641" i="6" s="1"/>
  <c r="G45" i="4"/>
  <c r="D673" i="5" s="1"/>
  <c r="D669" i="6" s="1"/>
  <c r="H45" i="4"/>
  <c r="D701" i="5" s="1"/>
  <c r="D697" i="6" s="1"/>
  <c r="I45" i="4"/>
  <c r="D729" i="5" s="1"/>
  <c r="D725" i="6" s="1"/>
  <c r="J45" i="4"/>
  <c r="D757" i="5" s="1"/>
  <c r="D753" i="6" s="1"/>
  <c r="K45" i="4"/>
  <c r="D785" i="5" s="1"/>
  <c r="D781" i="6" s="1"/>
  <c r="F35" i="4"/>
  <c r="D635" i="5" s="1"/>
  <c r="D631" i="6" s="1"/>
  <c r="G35" i="4"/>
  <c r="D663" i="5" s="1"/>
  <c r="D659" i="6" s="1"/>
  <c r="H35" i="4"/>
  <c r="D691" i="5" s="1"/>
  <c r="D687" i="6" s="1"/>
  <c r="I35" i="4"/>
  <c r="D719" i="5" s="1"/>
  <c r="D715" i="6" s="1"/>
  <c r="J35" i="4"/>
  <c r="D747" i="5" s="1"/>
  <c r="D743" i="6" s="1"/>
  <c r="K35" i="4"/>
  <c r="D775" i="5" s="1"/>
  <c r="D771" i="6" s="1"/>
  <c r="F40" i="4"/>
  <c r="D640" i="5" s="1"/>
  <c r="D636" i="6" s="1"/>
  <c r="G40" i="4"/>
  <c r="D668" i="5" s="1"/>
  <c r="D664" i="6" s="1"/>
  <c r="H40" i="4"/>
  <c r="D696" i="5" s="1"/>
  <c r="D692" i="6" s="1"/>
  <c r="I40" i="4"/>
  <c r="D724" i="5" s="1"/>
  <c r="D720" i="6" s="1"/>
  <c r="J40" i="4"/>
  <c r="D752" i="5" s="1"/>
  <c r="D748" i="6" s="1"/>
  <c r="K40" i="4"/>
  <c r="D780" i="5" s="1"/>
  <c r="D776" i="6" s="1"/>
  <c r="I32" i="4"/>
  <c r="D716" i="5" s="1"/>
  <c r="D712" i="6" s="1"/>
  <c r="J32" i="4"/>
  <c r="D744" i="5" s="1"/>
  <c r="D740" i="6" s="1"/>
  <c r="K32" i="4"/>
  <c r="D772" i="5" s="1"/>
  <c r="D768" i="6" s="1"/>
  <c r="F32" i="4"/>
  <c r="D632" i="5" s="1"/>
  <c r="D628" i="6" s="1"/>
  <c r="G32" i="4"/>
  <c r="D660" i="5" s="1"/>
  <c r="D656" i="6" s="1"/>
  <c r="H32" i="4"/>
  <c r="D688" i="5" s="1"/>
  <c r="D684" i="6" s="1"/>
  <c r="F36" i="4"/>
  <c r="D636" i="5" s="1"/>
  <c r="D632" i="6" s="1"/>
  <c r="G36" i="4"/>
  <c r="D664" i="5" s="1"/>
  <c r="D660" i="6" s="1"/>
  <c r="H36" i="4"/>
  <c r="D692" i="5" s="1"/>
  <c r="D688" i="6" s="1"/>
  <c r="I36" i="4"/>
  <c r="D720" i="5" s="1"/>
  <c r="D716" i="6" s="1"/>
  <c r="J36" i="4"/>
  <c r="D748" i="5" s="1"/>
  <c r="D744" i="6" s="1"/>
  <c r="K36" i="4"/>
  <c r="D776" i="5" s="1"/>
  <c r="D772" i="6" s="1"/>
  <c r="F46" i="4"/>
  <c r="D646" i="5" s="1"/>
  <c r="D642" i="6" s="1"/>
  <c r="G46" i="4"/>
  <c r="D674" i="5" s="1"/>
  <c r="D670" i="6" s="1"/>
  <c r="H46" i="4"/>
  <c r="D702" i="5" s="1"/>
  <c r="D698" i="6" s="1"/>
  <c r="I46" i="4"/>
  <c r="D730" i="5" s="1"/>
  <c r="D726" i="6" s="1"/>
  <c r="J46" i="4"/>
  <c r="D758" i="5" s="1"/>
  <c r="D754" i="6" s="1"/>
  <c r="K46" i="4"/>
  <c r="D786" i="5" s="1"/>
  <c r="D782" i="6" s="1"/>
  <c r="F38" i="4"/>
  <c r="D638" i="5" s="1"/>
  <c r="D634" i="6" s="1"/>
  <c r="G38" i="4"/>
  <c r="D666" i="5" s="1"/>
  <c r="D662" i="6" s="1"/>
  <c r="H38" i="4"/>
  <c r="D694" i="5" s="1"/>
  <c r="D690" i="6" s="1"/>
  <c r="I38" i="4"/>
  <c r="D722" i="5" s="1"/>
  <c r="D718" i="6" s="1"/>
  <c r="J38" i="4"/>
  <c r="D750" i="5" s="1"/>
  <c r="D746" i="6" s="1"/>
  <c r="K38" i="4"/>
  <c r="D778" i="5" s="1"/>
  <c r="D774" i="6" s="1"/>
  <c r="F48" i="4"/>
  <c r="D648" i="5" s="1"/>
  <c r="D644" i="6" s="1"/>
  <c r="G48" i="4"/>
  <c r="D676" i="5" s="1"/>
  <c r="D672" i="6" s="1"/>
  <c r="H48" i="4"/>
  <c r="D704" i="5" s="1"/>
  <c r="D700" i="6" s="1"/>
  <c r="I48" i="4"/>
  <c r="D732" i="5" s="1"/>
  <c r="D728" i="6" s="1"/>
  <c r="J48" i="4"/>
  <c r="D760" i="5" s="1"/>
  <c r="D756" i="6" s="1"/>
  <c r="K48" i="4"/>
  <c r="D788" i="5" s="1"/>
  <c r="D784" i="6" s="1"/>
  <c r="D29" i="4"/>
  <c r="B54" i="4"/>
  <c r="D54" i="4"/>
  <c r="E29" i="4"/>
  <c r="C54" i="4"/>
  <c r="E54" i="4"/>
  <c r="F41" i="4"/>
  <c r="D641" i="5" s="1"/>
  <c r="D637" i="6" s="1"/>
  <c r="G41" i="4"/>
  <c r="D669" i="5" s="1"/>
  <c r="D665" i="6" s="1"/>
  <c r="H41" i="4"/>
  <c r="D697" i="5" s="1"/>
  <c r="D693" i="6" s="1"/>
  <c r="I41" i="4"/>
  <c r="D725" i="5" s="1"/>
  <c r="D721" i="6" s="1"/>
  <c r="J41" i="4"/>
  <c r="D753" i="5" s="1"/>
  <c r="D749" i="6" s="1"/>
  <c r="K41" i="4"/>
  <c r="D781" i="5" s="1"/>
  <c r="D777" i="6" s="1"/>
  <c r="F49" i="4"/>
  <c r="D649" i="5" s="1"/>
  <c r="D645" i="6" s="1"/>
  <c r="G49" i="4"/>
  <c r="D677" i="5" s="1"/>
  <c r="D673" i="6" s="1"/>
  <c r="H49" i="4"/>
  <c r="D705" i="5" s="1"/>
  <c r="D701" i="6" s="1"/>
  <c r="I49" i="4"/>
  <c r="D733" i="5" s="1"/>
  <c r="D729" i="6" s="1"/>
  <c r="J49" i="4"/>
  <c r="D761" i="5" s="1"/>
  <c r="D757" i="6" s="1"/>
  <c r="K49" i="4"/>
  <c r="D789" i="5" s="1"/>
  <c r="D785" i="6" s="1"/>
  <c r="F30" i="4"/>
  <c r="D630" i="5" s="1"/>
  <c r="D626" i="6" s="1"/>
  <c r="G30" i="4"/>
  <c r="D658" i="5" s="1"/>
  <c r="D654" i="6" s="1"/>
  <c r="H30" i="4"/>
  <c r="D686" i="5" s="1"/>
  <c r="D682" i="6" s="1"/>
  <c r="I30" i="4"/>
  <c r="D714" i="5" s="1"/>
  <c r="D710" i="6" s="1"/>
  <c r="J30" i="4"/>
  <c r="D742" i="5" s="1"/>
  <c r="D738" i="6" s="1"/>
  <c r="K30" i="4"/>
  <c r="D770" i="5" s="1"/>
  <c r="D766" i="6" s="1"/>
  <c r="F44" i="4"/>
  <c r="D644" i="5" s="1"/>
  <c r="D640" i="6" s="1"/>
  <c r="G44" i="4"/>
  <c r="D672" i="5" s="1"/>
  <c r="D668" i="6" s="1"/>
  <c r="H44" i="4"/>
  <c r="D700" i="5" s="1"/>
  <c r="D696" i="6" s="1"/>
  <c r="I44" i="4"/>
  <c r="D728" i="5" s="1"/>
  <c r="D724" i="6" s="1"/>
  <c r="J44" i="4"/>
  <c r="D756" i="5" s="1"/>
  <c r="D752" i="6" s="1"/>
  <c r="K44" i="4"/>
  <c r="D784" i="5" s="1"/>
  <c r="D780" i="6" s="1"/>
  <c r="F31" i="4"/>
  <c r="D631" i="5" s="1"/>
  <c r="D627" i="6" s="1"/>
  <c r="G31" i="4"/>
  <c r="D659" i="5" s="1"/>
  <c r="D655" i="6" s="1"/>
  <c r="H31" i="4"/>
  <c r="D687" i="5" s="1"/>
  <c r="D683" i="6" s="1"/>
  <c r="I31" i="4"/>
  <c r="D715" i="5" s="1"/>
  <c r="D711" i="6" s="1"/>
  <c r="J31" i="4"/>
  <c r="D743" i="5" s="1"/>
  <c r="D739" i="6" s="1"/>
  <c r="K31" i="4"/>
  <c r="D771" i="5" s="1"/>
  <c r="D767" i="6" s="1"/>
  <c r="F42" i="4"/>
  <c r="D642" i="5" s="1"/>
  <c r="D638" i="6" s="1"/>
  <c r="G42" i="4"/>
  <c r="D670" i="5" s="1"/>
  <c r="D666" i="6" s="1"/>
  <c r="H42" i="4"/>
  <c r="D698" i="5" s="1"/>
  <c r="D694" i="6" s="1"/>
  <c r="I42" i="4"/>
  <c r="D726" i="5" s="1"/>
  <c r="D722" i="6" s="1"/>
  <c r="J42" i="4"/>
  <c r="D754" i="5" s="1"/>
  <c r="D750" i="6" s="1"/>
  <c r="K42" i="4"/>
  <c r="D782" i="5" s="1"/>
  <c r="D778" i="6" s="1"/>
  <c r="I28" i="4"/>
  <c r="D712" i="5" s="1"/>
  <c r="D708" i="6" s="1"/>
  <c r="J28" i="4"/>
  <c r="D740" i="5" s="1"/>
  <c r="D736" i="6" s="1"/>
  <c r="K28" i="4"/>
  <c r="D768" i="5" s="1"/>
  <c r="D764" i="6" s="1"/>
  <c r="F28" i="4"/>
  <c r="D628" i="5" s="1"/>
  <c r="D624" i="6" s="1"/>
  <c r="G28" i="4"/>
  <c r="D656" i="5" s="1"/>
  <c r="D652" i="6" s="1"/>
  <c r="H28" i="4"/>
  <c r="D684" i="5" s="1"/>
  <c r="D680" i="6" s="1"/>
  <c r="F26" i="4"/>
  <c r="D626" i="5" s="1"/>
  <c r="D622" i="6" s="1"/>
  <c r="G26" i="4"/>
  <c r="D654" i="5" s="1"/>
  <c r="D650" i="6" s="1"/>
  <c r="H26" i="4"/>
  <c r="D682" i="5" s="1"/>
  <c r="D678" i="6" s="1"/>
  <c r="I26" i="4"/>
  <c r="D710" i="5" s="1"/>
  <c r="D706" i="6" s="1"/>
  <c r="J26" i="4"/>
  <c r="D738" i="5" s="1"/>
  <c r="D734" i="6" s="1"/>
  <c r="K26" i="4"/>
  <c r="D766" i="5" s="1"/>
  <c r="D762" i="6" s="1"/>
  <c r="I27" i="4"/>
  <c r="D711" i="5" s="1"/>
  <c r="D707" i="6" s="1"/>
  <c r="J27" i="4"/>
  <c r="D739" i="5" s="1"/>
  <c r="D735" i="6" s="1"/>
  <c r="K27" i="4"/>
  <c r="D767" i="5" s="1"/>
  <c r="D763" i="6" s="1"/>
  <c r="F27" i="4"/>
  <c r="D627" i="5" s="1"/>
  <c r="D623" i="6" s="1"/>
  <c r="G27" i="4"/>
  <c r="D655" i="5" s="1"/>
  <c r="D651" i="6" s="1"/>
  <c r="H27" i="4"/>
  <c r="D683" i="5" s="1"/>
  <c r="D679" i="6" s="1"/>
  <c r="D23" i="4"/>
  <c r="B55" i="4"/>
  <c r="D55" i="4"/>
  <c r="B56" i="4"/>
  <c r="D56" i="4"/>
  <c r="C55" i="4"/>
  <c r="E55" i="4"/>
  <c r="C56" i="4"/>
  <c r="E56" i="4"/>
  <c r="F25" i="4"/>
  <c r="D625" i="5" s="1"/>
  <c r="D621" i="6" s="1"/>
  <c r="G25" i="4"/>
  <c r="D653" i="5" s="1"/>
  <c r="D649" i="6" s="1"/>
  <c r="H25" i="4"/>
  <c r="D681" i="5" s="1"/>
  <c r="D677" i="6" s="1"/>
  <c r="I25" i="4"/>
  <c r="D709" i="5" s="1"/>
  <c r="D705" i="6" s="1"/>
  <c r="J25" i="4"/>
  <c r="D737" i="5" s="1"/>
  <c r="D733" i="6" s="1"/>
  <c r="K25" i="4"/>
  <c r="D765" i="5" s="1"/>
  <c r="D761" i="6" s="1"/>
  <c r="F24" i="4"/>
  <c r="D624" i="5" s="1"/>
  <c r="D620" i="6" s="1"/>
  <c r="G24" i="4"/>
  <c r="D652" i="5" s="1"/>
  <c r="D648" i="6" s="1"/>
  <c r="H24" i="4"/>
  <c r="D680" i="5" s="1"/>
  <c r="D676" i="6" s="1"/>
  <c r="I24" i="4"/>
  <c r="D708" i="5" s="1"/>
  <c r="D704" i="6" s="1"/>
  <c r="J24" i="4"/>
  <c r="D736" i="5" s="1"/>
  <c r="D732" i="6" s="1"/>
  <c r="K24" i="4"/>
  <c r="D764" i="5" s="1"/>
  <c r="D760" i="6" s="1"/>
  <c r="I22" i="4"/>
  <c r="D706" i="5" s="1"/>
  <c r="D702" i="6" s="1"/>
  <c r="J22" i="4"/>
  <c r="D734" i="5" s="1"/>
  <c r="D730" i="6" s="1"/>
  <c r="K22" i="4"/>
  <c r="D762" i="5" s="1"/>
  <c r="D758" i="6" s="1"/>
  <c r="F22" i="4"/>
  <c r="D622" i="5" s="1"/>
  <c r="D618" i="6" s="1"/>
  <c r="G22" i="4"/>
  <c r="D650" i="5" s="1"/>
  <c r="D646" i="6" s="1"/>
  <c r="H22" i="4"/>
  <c r="D678" i="5" s="1"/>
  <c r="D674" i="6" s="1"/>
  <c r="F29" i="4" l="1"/>
  <c r="G29" i="4"/>
  <c r="H29" i="4"/>
  <c r="I29" i="4"/>
  <c r="J29" i="4"/>
  <c r="K29" i="4"/>
  <c r="F23" i="4"/>
  <c r="G23" i="4"/>
  <c r="H23" i="4"/>
  <c r="I23" i="4"/>
  <c r="J23" i="4"/>
  <c r="F54" i="4" l="1"/>
  <c r="D629" i="5"/>
  <c r="D625" i="6" s="1"/>
  <c r="G54" i="4"/>
  <c r="D657" i="5"/>
  <c r="D653" i="6" s="1"/>
  <c r="H54" i="4"/>
  <c r="D685" i="5"/>
  <c r="D681" i="6" s="1"/>
  <c r="I54" i="4"/>
  <c r="D713" i="5"/>
  <c r="D709" i="6" s="1"/>
  <c r="J54" i="4"/>
  <c r="D741" i="5"/>
  <c r="D737" i="6" s="1"/>
  <c r="K54" i="4"/>
  <c r="D769" i="5"/>
  <c r="D765" i="6" s="1"/>
  <c r="F55" i="4"/>
  <c r="F56" i="4"/>
  <c r="D623" i="5"/>
  <c r="D619" i="6" s="1"/>
  <c r="G55" i="4"/>
  <c r="G56" i="4"/>
  <c r="D651" i="5"/>
  <c r="D647" i="6" s="1"/>
  <c r="H55" i="4"/>
  <c r="H56" i="4"/>
  <c r="D679" i="5"/>
  <c r="D675" i="6" s="1"/>
  <c r="I55" i="4"/>
  <c r="I56" i="4"/>
  <c r="D707" i="5"/>
  <c r="D703" i="6" s="1"/>
  <c r="J55" i="4"/>
  <c r="J56" i="4"/>
  <c r="D735" i="5"/>
  <c r="D731" i="6" s="1"/>
  <c r="K55" i="4"/>
  <c r="K56" i="4"/>
  <c r="D763" i="5"/>
  <c r="D759" i="6" s="1"/>
</calcChain>
</file>

<file path=xl/sharedStrings.xml><?xml version="1.0" encoding="utf-8"?>
<sst xmlns="http://schemas.openxmlformats.org/spreadsheetml/2006/main" count="3591" uniqueCount="194">
  <si>
    <t>CONVERSION ASSUMPTIONS — MtCO2e to MMcfd (v2, CCD-anchored)</t>
  </si>
  <si>
    <t>A. PHYSICS — CH4 conversion (used for Fugitive and Venting)</t>
  </si>
  <si>
    <t>Parameter</t>
  </si>
  <si>
    <t>Value</t>
  </si>
  <si>
    <t>Unit</t>
  </si>
  <si>
    <t>Source / Note</t>
  </si>
  <si>
    <t>GWP100 CH4 (AR5)</t>
  </si>
  <si>
    <t>kg CO2e / kg CH4</t>
  </si>
  <si>
    <t>IPCC AR5 WG1 Ch.8, Table 8.7 (consistent with UNFCCC reporting)</t>
  </si>
  <si>
    <t>CH4 share — Fugitive emissions</t>
  </si>
  <si>
    <t>fraction</t>
  </si>
  <si>
    <t>IPCC 2006 GL Vol.2 Ch.4 — typical natural-gas fugitive composition</t>
  </si>
  <si>
    <t>CH4 share — Venting emissions</t>
  </si>
  <si>
    <t>IPCC 2006 GL Vol.2 Ch.4 — venting from associated gas operations</t>
  </si>
  <si>
    <t>CH4 density (std cond.)</t>
  </si>
  <si>
    <t>kg / scf</t>
  </si>
  <si>
    <t>Pure CH4 at 60°F, 14.73 psia (US standard)</t>
  </si>
  <si>
    <t>Days per year</t>
  </si>
  <si>
    <t>days</t>
  </si>
  <si>
    <t>Annual to daily conversion</t>
  </si>
  <si>
    <t>Mt to kg</t>
  </si>
  <si>
    <t>kg / Mt</t>
  </si>
  <si>
    <t>1 Mt = 1e9 kg</t>
  </si>
  <si>
    <t>scf to MMcf</t>
  </si>
  <si>
    <t>scf / MMcf</t>
  </si>
  <si>
    <t>1 MMcf = 1e6 scf</t>
  </si>
  <si>
    <t>Derived: CH4 factor — Fugitive (k_F)</t>
  </si>
  <si>
    <t>MMcfd / MtCO2e</t>
  </si>
  <si>
    <t>k_F = 1e9 / GWP / share_F / ρ_CH4 / 365 / 1e6  ≈ 5.41 MMcfd/MtCO2e</t>
  </si>
  <si>
    <t>Derived: CH4 factor — Venting (k_V)</t>
  </si>
  <si>
    <t>Same physics as k_F; share_V = 0.95</t>
  </si>
  <si>
    <t>B. CCD ANCHORS — Flaring (BAU)</t>
  </si>
  <si>
    <t>BAU 2024 flaring volume (CCD reference)</t>
  </si>
  <si>
    <t>MMcfd</t>
  </si>
  <si>
    <t>CCD §B.1: "Libya flared approximately 6.3 Bcm of natural gas, or 607 MMcfd" (2024)</t>
  </si>
  <si>
    <t>BAU 2030 flaring volume (CCD reference)</t>
  </si>
  <si>
    <t>CCD §B.2: "could increase from 607 MMcfd in 2024, to nearly 1 Bcfd by 2030" (rounded to 991)</t>
  </si>
  <si>
    <t>SISEPUEDE BAU 2024 flaring (MtCO2e)</t>
  </si>
  <si>
    <t>MtCO2e</t>
  </si>
  <si>
    <t>Reference value used to back out implied EF for 2024</t>
  </si>
  <si>
    <t>SISEPUEDE BAU 2030 flaring (MtCO2e)</t>
  </si>
  <si>
    <t>Reference value used to back out implied EF for 2030</t>
  </si>
  <si>
    <t>Implied flaring factor — 2024 (k_Fl_24)</t>
  </si>
  <si>
    <t>CCD vol(2024) divided by SISEPUEDE BAU Fl MtCO2e(2024). Higher than 2030 EF (heavier CH4 slip in current flare operations).</t>
  </si>
  <si>
    <t>Implied flaring factor — 2030 (k_Fl_30)</t>
  </si>
  <si>
    <t>CCD vol(2030) divided by SISEPUEDE BAU Fl MtCO2e(2030). The two anchors are interpolated linearly 2024 to 2030.</t>
  </si>
  <si>
    <t>C. METHODOLOGY (v2)</t>
  </si>
  <si>
    <t>Fugitive volume (MMcfd)</t>
  </si>
  <si>
    <t>MtCO2e_F  × k_F     (physics: CH4 mass / density)</t>
  </si>
  <si>
    <t>Venting  volume (MMcfd)</t>
  </si>
  <si>
    <t>MtCO2e_V  × k_V     (physics: CH4 mass / density)</t>
  </si>
  <si>
    <t>Flaring volume (MMcfd)</t>
  </si>
  <si>
    <t>MtCO2e_Fl × k_Fl(t)  (CCD-calibrated, time-varying)</t>
  </si>
  <si>
    <t>Gas Recovery vol. (MMcfd)</t>
  </si>
  <si>
    <t>MtCO2e_GR × k_Fl(t)  (recovered gas ≈ NG-quality, same EF as flared)</t>
  </si>
  <si>
    <t>Flaring factor k_Fl(t)</t>
  </si>
  <si>
    <t>2023 ≤ t ≤ 2024 → k_Fl_24 ; 2024&lt;t&lt;2030 → linear interp ; t ≥ 2030 → k_Fl_30</t>
  </si>
  <si>
    <t>D. YEAR-BY-YEAR FLARING FACTOR k_Fl(t)</t>
  </si>
  <si>
    <t>Year</t>
  </si>
  <si>
    <t>k_Fl(t)</t>
  </si>
  <si>
    <t>Logic</t>
  </si>
  <si>
    <t>Held flat at 2024 anchor (extrapolation)</t>
  </si>
  <si>
    <t>Anchor: matches CCD 607 MMcfd by construction</t>
  </si>
  <si>
    <t>Linear interpolation between anchors</t>
  </si>
  <si>
    <t>Anchor: matches CCD 991 MMcfd by construction</t>
  </si>
  <si>
    <t>Held flat at 2030 anchor (extrapolation)</t>
  </si>
  <si>
    <t>E. RATIONALE</t>
  </si>
  <si>
    <t>1) Fugitive and venting are dominantly CH4 leaks. The volume of leaked gas is determined by physics:</t>
  </si>
  <si>
    <t xml:space="preserve">   mass of CH4 implied by the MtCO2e value, divided by CH4 density at standard conditions.</t>
  </si>
  <si>
    <t xml:space="preserve">   k_F ≈ k_V ≈ 5.4 MMcfd / MtCO2e independent of any external calibration.</t>
  </si>
  <si>
    <t>2) Flaring is full combustion of natural gas (mostly CH4 + light hydrocarbons). The implied EF</t>
  </si>
  <si>
    <t xml:space="preserve">   (kg CO2e per scf flared) depends on combustion efficiency and gas composition. Rather than</t>
  </si>
  <si>
    <t xml:space="preserve">   pick a single EPA-style default, we calibrate directly to the CCD reference projections so</t>
  </si>
  <si>
    <t xml:space="preserve">   that BAU 2024 = 607 MMcfd and BAU 2030 = 991 MMcfd hold by construction (yellow cells).</t>
  </si>
  <si>
    <t>3) Gas Recovery represents associated gas that would otherwise have been flared or vented.</t>
  </si>
  <si>
    <t xml:space="preserve">   We apply k_Fl(t) — the same factor as flaring — because recovered gas has near-NG composition</t>
  </si>
  <si>
    <t xml:space="preserve">   and is sold/used as natural gas. This is a deliberate simplification; a more granular split</t>
  </si>
  <si>
    <t xml:space="preserve">   between would-have-been-flared (NG) and would-have-been-vented (CH4) is documented as an</t>
  </si>
  <si>
    <t xml:space="preserve">   improvement avenue in the README memo.</t>
  </si>
  <si>
    <t>4) Mass balance in MtCO2e holds within SISEPUEDE (BAU = scenario_F + V + Fl + GR). The volumetric</t>
  </si>
  <si>
    <t xml:space="preserve">   sums do NOT have to balance exactly because each category has its own physical conversion.</t>
  </si>
  <si>
    <t>VOLUMETRIC ESTIMATES — MMcfd (v2, CCD-anchored, category-specific factors)</t>
  </si>
  <si>
    <t>Year-specific</t>
  </si>
  <si>
    <t>BAU</t>
  </si>
  <si>
    <t>Unconditional</t>
  </si>
  <si>
    <t>Conditional</t>
  </si>
  <si>
    <t>Totals (MMcfd)</t>
  </si>
  <si>
    <t>Fugitive</t>
  </si>
  <si>
    <t>Venting</t>
  </si>
  <si>
    <t>Flaring</t>
  </si>
  <si>
    <t>Gas Recovery</t>
  </si>
  <si>
    <t>BAU total</t>
  </si>
  <si>
    <t>Uncond total</t>
  </si>
  <si>
    <t>Cond total</t>
  </si>
  <si>
    <t>Units: MMcfd. Yellow cells are CCD-calibrated anchors (BAU flaring 2024 = 607 MMcfd; 2030 = 991 MMcfd).</t>
  </si>
  <si>
    <t>Fugitive &amp; Venting use the physics-based CH4 factor (Assumptions!B12, B13). Flaring &amp; Gas Recovery use k_Fl(t) from Assumptions column B.</t>
  </si>
  <si>
    <t>Mass conservation in MtCO2e holds in the SISEPUEDE sheet (BAU = scenario_F + V + Fl + GR). Volumetric totals are not required to match across scenarios.</t>
  </si>
  <si>
    <t>MTCO2</t>
  </si>
  <si>
    <t>Metric</t>
  </si>
  <si>
    <t>Strategy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</si>
  <si>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</si>
  <si>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</si>
  <si>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</si>
  <si>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</si>
  <si>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</si>
  <si>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</si>
  <si>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</si>
  <si>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</si>
  <si>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</si>
  <si>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</si>
  <si>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</si>
  <si>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</si>
  <si>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</si>
  <si>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</si>
  <si>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</si>
  <si>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</si>
  <si>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</si>
  <si>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</si>
  <si>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</si>
  <si>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</si>
  <si>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</si>
  <si>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</si>
  <si>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</si>
  <si>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</si>
  <si>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</si>
  <si>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</si>
  <si>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</si>
  <si>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GAS RECOVERY — REVENUE FROM SELLING RECOVERED GAS AT NATURAL-GAS PRICES</t>
  </si>
  <si>
    <t>INPUTS (yellow cells are user-editable)</t>
  </si>
  <si>
    <t>NG heating value (HHV)</t>
  </si>
  <si>
    <t>MMBtu / Mcf</t>
  </si>
  <si>
    <t>EPA AP-42 / EIA — typical pipeline natural gas (≈1,030 Btu/scf)</t>
  </si>
  <si>
    <t>Mcf per MMcf</t>
  </si>
  <si>
    <t>Mcf / MMcf</t>
  </si>
  <si>
    <t>Reference NG price — Low (Henry Hub long-term)</t>
  </si>
  <si>
    <t>USD / MMBtu</t>
  </si>
  <si>
    <t>EIA AEO 2025 reference Henry Hub avg 2025-2050 (≈$3.5-4.5)</t>
  </si>
  <si>
    <t>Reference NG price — Central (TTF/NBP medium-term)</t>
  </si>
  <si>
    <t>IEA WEO 2024 European import price 2030 ≈ $8/MMBtu (real)</t>
  </si>
  <si>
    <t>Reference NG price — High (Stress / current EU)</t>
  </si>
  <si>
    <t>IEA WEO 2024 high-price scenario / 2024 NBP avg ≈ $10.7/MMBtu (CCD §B.1)</t>
  </si>
  <si>
    <t>HOW THE REVENUE IS COMPUTED</t>
  </si>
  <si>
    <t>Annual recovered volume (MMcf/yr) = MMcfd × 365</t>
  </si>
  <si>
    <t>Annual energy (MMBtu/yr)         = Annual volume (Mcf/yr) × HHV (MMBtu/Mcf) = MMcfd × 365 × 1,000 × 1.030</t>
  </si>
  <si>
    <t>Annual revenue (USD/yr)          = Annual energy × NG price (USD/MMBtu)</t>
  </si>
  <si>
    <t>Cumulative revenue 2024-2030 / 2024-2050 are reported in the bottom block.</t>
  </si>
  <si>
    <t>ANNUAL REVENUE (USD millions)</t>
  </si>
  <si>
    <t>GR volume (MMcfd)</t>
  </si>
  <si>
    <t>Annual energy (M MMBtu)</t>
  </si>
  <si>
    <t>Unconditional revenue ($M)</t>
  </si>
  <si>
    <t>Conditional revenue ($M)</t>
  </si>
  <si>
    <t>Uncond.</t>
  </si>
  <si>
    <t>Cond.</t>
  </si>
  <si>
    <t>Low</t>
  </si>
  <si>
    <t>Central</t>
  </si>
  <si>
    <t>High</t>
  </si>
  <si>
    <t>HEADLINE REVENUE NUMBERS</t>
  </si>
  <si>
    <t>Volume context</t>
  </si>
  <si>
    <t>Unconditional ($M, USD)</t>
  </si>
  <si>
    <t>Conditional ($M, USD)</t>
  </si>
  <si>
    <t>Uncond MMcfd</t>
  </si>
  <si>
    <t>Cond MMcfd</t>
  </si>
  <si>
    <t>Uncond Bcf/yr</t>
  </si>
  <si>
    <t>Cond Bcf/yr</t>
  </si>
  <si>
    <t>2030 (point)</t>
  </si>
  <si>
    <t>Cumulative 2024-2030 ($M)</t>
  </si>
  <si>
    <t>Cumulative 2024-2050 ($M)</t>
  </si>
  <si>
    <t>SANITY CHECK vs. CCD report</t>
  </si>
  <si>
    <t>CCD: 2024 lost value (Bcf flared × $10.70/MMBtu)</t>
  </si>
  <si>
    <t>$1.8 billion (BAU 2024)</t>
  </si>
  <si>
    <t>Implied price benchmark (CCD 2024 NBP)</t>
  </si>
  <si>
    <t>$10.70 / MMBtu — falls between Central ($8) and High ($12)</t>
  </si>
  <si>
    <t>CCD: cumulative BAU lost value to 2030</t>
  </si>
  <si>
    <t>$32.1 billion (entire decade ending 2030)</t>
  </si>
  <si>
    <t>CCD: ZRF annual lost value 2030</t>
  </si>
  <si>
    <t>$376 million (corresponds to residual 91 MMcfd at NBP price)</t>
  </si>
  <si>
    <t>Our model: GR Cond 2030 revenue (Central, $8/MMBtu)</t>
  </si>
  <si>
    <t>See Cumulative 2024-2050 row above (Cond, Central). Multi-billion range.</t>
  </si>
  <si>
    <t>Long-format summary: emissions and volumetric estimates</t>
  </si>
  <si>
    <t>Category</t>
  </si>
  <si>
    <t>Source</t>
  </si>
  <si>
    <t>BAU - MtCO2e</t>
  </si>
  <si>
    <t>SISEPUEDE</t>
  </si>
  <si>
    <t>Unconditional - MtCO2e</t>
  </si>
  <si>
    <t>Conditional - MtCO2e</t>
  </si>
  <si>
    <t>BAU - MMcfd</t>
  </si>
  <si>
    <t>Unconditional - MMcfd</t>
  </si>
  <si>
    <t>Conditional - MMcfd</t>
  </si>
  <si>
    <t>Long format: filter by Strategy/Category/Unit. Section below = Gas Recovery Revenue ($M USD).</t>
  </si>
  <si>
    <t>Gas Recovery Revenue (Low, $4/MMBtu)</t>
  </si>
  <si>
    <t>USD millions</t>
  </si>
  <si>
    <t>Gas Recovery Revenue</t>
  </si>
  <si>
    <t>Gas Recovery Revenue (Central, $8/MMBtu)</t>
  </si>
  <si>
    <t>Gas Recovery Revenue (High, $12/MMBtu)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</si>
</sst>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#,##0.0"/>
    <numFmt numFmtId="167" formatCode="#,##0.0000"/>
    <numFmt numFmtId="168" formatCode="#,##0.0000;\(#,##0.0000\);\-"/>
    <numFmt numFmtId="169" formatCode="#,##0.00;\(#,##0.00\);\-"/>
  </numFmts>
  <fonts count="15" x14ac:knownFonts="1">
    <font>
      <sz val="11"/>
      <name val="Calibri"/>
      <charset val="1"/>
    </font>
    <font>
      <b/>
      <sz val="14"/>
      <color rgb="FFFFFFFF"/>
      <name val="Arial"/>
      <family val="2"/>
      <charset val="1"/>
    </font>
    <font>
      <b/>
      <sz val="1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color rgb="FF008000"/>
      <name val="Arial"/>
      <family val="2"/>
      <charset val="1"/>
    </font>
    <font>
      <sz val="11"/>
      <name val="Calibri"/>
      <family val="2"/>
      <charset val="1"/>
    </font>
    <font>
      <sz val="9"/>
      <color rgb="FF000000"/>
      <name val="Arial"/>
      <family val="2"/>
      <charset val="1"/>
    </font>
    <font>
      <b/>
      <sz val="13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family val="2"/>
    </font>
    <font>
      <sz val="10"/>
      <color rgb="FF008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/>
    <xf numFmtId="0" fontId="6" fillId="0" borderId="0" xfId="0" applyFont="1"/>
    <xf numFmtId="0" fontId="2" fillId="3" borderId="0" xfId="0" applyFont="1" applyFill="1" applyAlignment="1">
      <alignment horizontal="center"/>
    </xf>
    <xf numFmtId="0" fontId="4" fillId="0" borderId="0" xfId="0" applyFont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3" fontId="5" fillId="0" borderId="0" xfId="0" applyNumberFormat="1" applyFont="1"/>
    <xf numFmtId="164" fontId="5" fillId="0" borderId="0" xfId="0" applyNumberFormat="1" applyFont="1"/>
    <xf numFmtId="165" fontId="2" fillId="0" borderId="0" xfId="0" applyNumberFormat="1" applyFont="1"/>
    <xf numFmtId="3" fontId="5" fillId="4" borderId="0" xfId="0" applyNumberFormat="1" applyFont="1" applyFill="1"/>
    <xf numFmtId="165" fontId="7" fillId="0" borderId="0" xfId="0" applyNumberFormat="1" applyFont="1"/>
    <xf numFmtId="165" fontId="4" fillId="0" borderId="0" xfId="0" applyNumberFormat="1" applyFont="1"/>
    <xf numFmtId="0" fontId="3" fillId="2" borderId="0" xfId="0" applyFont="1" applyFill="1" applyAlignment="1">
      <alignment horizontal="center" wrapText="1"/>
    </xf>
    <xf numFmtId="166" fontId="4" fillId="0" borderId="0" xfId="0" applyNumberFormat="1" applyFont="1"/>
    <xf numFmtId="166" fontId="4" fillId="5" borderId="0" xfId="0" applyNumberFormat="1" applyFont="1" applyFill="1"/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7" fontId="9" fillId="4" borderId="0" xfId="0" applyNumberFormat="1" applyFont="1" applyFill="1" applyAlignment="1">
      <alignment vertical="center"/>
    </xf>
    <xf numFmtId="165" fontId="5" fillId="4" borderId="0" xfId="0" applyNumberFormat="1" applyFont="1" applyFill="1"/>
    <xf numFmtId="0" fontId="2" fillId="0" borderId="0" xfId="0" applyFont="1"/>
    <xf numFmtId="166" fontId="7" fillId="0" borderId="0" xfId="0" applyNumberFormat="1" applyFont="1"/>
    <xf numFmtId="3" fontId="4" fillId="0" borderId="0" xfId="0" applyNumberFormat="1" applyFont="1"/>
    <xf numFmtId="166" fontId="4" fillId="6" borderId="0" xfId="0" applyNumberFormat="1" applyFont="1" applyFill="1"/>
    <xf numFmtId="3" fontId="4" fillId="6" borderId="0" xfId="0" applyNumberFormat="1" applyFont="1" applyFill="1"/>
    <xf numFmtId="0" fontId="1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68" fontId="4" fillId="0" borderId="0" xfId="0" applyNumberFormat="1" applyFont="1"/>
    <xf numFmtId="0" fontId="11" fillId="3" borderId="0" xfId="0" applyFont="1" applyFill="1"/>
    <xf numFmtId="169" fontId="4" fillId="0" borderId="0" xfId="0" applyNumberFormat="1" applyFont="1"/>
    <xf numFmtId="0" fontId="12" fillId="0" borderId="0" xfId="0" applyFont="1"/>
    <xf numFmtId="166" fontId="13" fillId="0" borderId="0" xfId="0" applyNumberFormat="1" applyFont="1"/>
    <xf numFmtId="0" fontId="13" fillId="0" borderId="0" xfId="0" applyFont="1"/>
    <xf numFmtId="4" fontId="14" fillId="0" borderId="0" xfId="0" applyNumberFormat="1" applyFont="1" applyAlignment="1">
      <alignment vertical="center"/>
    </xf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/>
    <xf numFmtId="0" fontId="4" fillId="0" borderId="0" xfId="0" applyFont="1"/>
    <xf numFmtId="0" fontId="2" fillId="3" borderId="0" xfId="0" applyFont="1" applyFill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15D29"/>
      <rgbColor rgb="FFFFF2CC"/>
      <rgbColor rgb="FFD9E1F2"/>
      <rgbColor rgb="FF660066"/>
      <rgbColor rgb="FFEC907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0B4A4"/>
      <rgbColor rgb="FFCC99FF"/>
      <rgbColor rgb="FFF2BEB1"/>
      <rgbColor rgb="FF3366FF"/>
      <rgbColor rgb="FF33CCCC"/>
      <rgbColor rgb="FF99CC00"/>
      <rgbColor rgb="FFFFCC00"/>
      <rgbColor rgb="FFDA692E"/>
      <rgbColor rgb="FFE97132"/>
      <rgbColor rgb="FF595959"/>
      <rgbColor rgb="FF969696"/>
      <rgbColor rgb="FF003366"/>
      <rgbColor rgb="FF339966"/>
      <rgbColor rgb="FF003300"/>
      <rgbColor rgb="FF333300"/>
      <rgbColor rgb="FFB75927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BAU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Summary!$I$4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C15D2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Summary!$H$5:$H$32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Summary!$I$5:$I$32</c:f>
              <c:numCache>
                <c:formatCode>#,##0.00;\(#,##0.00\);\-</c:formatCode>
                <c:ptCount val="28"/>
                <c:pt idx="0">
                  <c:v>5.0812639999999991</c:v>
                </c:pt>
                <c:pt idx="1">
                  <c:v>5.0556700113012329</c:v>
                </c:pt>
                <c:pt idx="2">
                  <c:v>5.0626536647226734</c:v>
                </c:pt>
                <c:pt idx="3">
                  <c:v>5.9497827861877486</c:v>
                </c:pt>
                <c:pt idx="4">
                  <c:v>6.1263994546520095</c:v>
                </c:pt>
                <c:pt idx="5">
                  <c:v>6.2776822458090731</c:v>
                </c:pt>
                <c:pt idx="6">
                  <c:v>6.3957649619436019</c:v>
                </c:pt>
                <c:pt idx="7">
                  <c:v>6.4904661177445542</c:v>
                </c:pt>
                <c:pt idx="8">
                  <c:v>6.303531248105279</c:v>
                </c:pt>
                <c:pt idx="9">
                  <c:v>6.1122969569214547</c:v>
                </c:pt>
                <c:pt idx="10">
                  <c:v>5.9167057438771558</c:v>
                </c:pt>
                <c:pt idx="11">
                  <c:v>5.7166996350524268</c:v>
                </c:pt>
                <c:pt idx="12">
                  <c:v>5.5122204177566445</c:v>
                </c:pt>
                <c:pt idx="13">
                  <c:v>5.3032094985221567</c:v>
                </c:pt>
                <c:pt idx="14">
                  <c:v>5.0896079167097241</c:v>
                </c:pt>
                <c:pt idx="15">
                  <c:v>4.8713564729616401</c:v>
                </c:pt>
                <c:pt idx="16">
                  <c:v>4.6483957754308429</c:v>
                </c:pt>
                <c:pt idx="17">
                  <c:v>4.4226033301378882</c:v>
                </c:pt>
                <c:pt idx="18">
                  <c:v>4.1931284949893941</c:v>
                </c:pt>
                <c:pt idx="19">
                  <c:v>3.9584798185772119</c:v>
                </c:pt>
                <c:pt idx="20">
                  <c:v>3.7185724106231031</c:v>
                </c:pt>
                <c:pt idx="21">
                  <c:v>3.4733200859608067</c:v>
                </c:pt>
                <c:pt idx="22">
                  <c:v>3.222635378153849</c:v>
                </c:pt>
                <c:pt idx="23">
                  <c:v>2.9664294537495777</c:v>
                </c:pt>
                <c:pt idx="24">
                  <c:v>2.7046121905244416</c:v>
                </c:pt>
                <c:pt idx="25">
                  <c:v>2.437092049069971</c:v>
                </c:pt>
                <c:pt idx="26">
                  <c:v>2.1637761390695225</c:v>
                </c:pt>
                <c:pt idx="27">
                  <c:v>1.8845701433356825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8-2942-9B95-8DBF6866F192}"/>
            </c:ext>
          </c:extLst>
        </c:ser>
        <c:ser>
          <c:idx val="1"/>
          <c:order val="1"/>
          <c:tx>
            <c:strRef>
              <c:f>Summary!$J$4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Summary!$H$5:$H$32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Summary!$J$5:$J$32</c:f>
              <c:numCache>
                <c:formatCode>#,##0.00;\(#,##0.00\);\-</c:formatCode>
                <c:ptCount val="28"/>
                <c:pt idx="0">
                  <c:v>15.67624</c:v>
                </c:pt>
                <c:pt idx="1">
                  <c:v>15.721238160046342</c:v>
                </c:pt>
                <c:pt idx="2">
                  <c:v>15.745493018461996</c:v>
                </c:pt>
                <c:pt idx="3">
                  <c:v>16.26219771599159</c:v>
                </c:pt>
                <c:pt idx="4">
                  <c:v>16.730890555064448</c:v>
                </c:pt>
                <c:pt idx="5">
                  <c:v>17.102304246803666</c:v>
                </c:pt>
                <c:pt idx="6">
                  <c:v>17.338510360856802</c:v>
                </c:pt>
                <c:pt idx="7">
                  <c:v>17.414389576445195</c:v>
                </c:pt>
                <c:pt idx="8">
                  <c:v>17.320072608368257</c:v>
                </c:pt>
                <c:pt idx="9">
                  <c:v>17.064835891597166</c:v>
                </c:pt>
                <c:pt idx="10">
                  <c:v>16.668473978539065</c:v>
                </c:pt>
                <c:pt idx="11">
                  <c:v>16.155069933031275</c:v>
                </c:pt>
                <c:pt idx="12">
                  <c:v>15.548827951448544</c:v>
                </c:pt>
                <c:pt idx="13">
                  <c:v>14.871560844629334</c:v>
                </c:pt>
                <c:pt idx="14">
                  <c:v>14.141422879873993</c:v>
                </c:pt>
                <c:pt idx="15">
                  <c:v>13.37251821555089</c:v>
                </c:pt>
                <c:pt idx="16">
                  <c:v>12.575076010877041</c:v>
                </c:pt>
                <c:pt idx="17">
                  <c:v>11.755950671828895</c:v>
                </c:pt>
                <c:pt idx="18">
                  <c:v>10.919270152958502</c:v>
                </c:pt>
                <c:pt idx="19">
                  <c:v>10.067213570215966</c:v>
                </c:pt>
                <c:pt idx="20">
                  <c:v>9.200799436044985</c:v>
                </c:pt>
                <c:pt idx="21">
                  <c:v>8.3205652448813154</c:v>
                </c:pt>
                <c:pt idx="22">
                  <c:v>7.4271128938107136</c:v>
                </c:pt>
                <c:pt idx="23">
                  <c:v>6.5215022375582308</c:v>
                </c:pt>
                <c:pt idx="24">
                  <c:v>5.6054737961335253</c:v>
                </c:pt>
                <c:pt idx="25">
                  <c:v>4.6814737887024798</c:v>
                </c:pt>
                <c:pt idx="26">
                  <c:v>3.7524431061174703</c:v>
                </c:pt>
                <c:pt idx="27">
                  <c:v>2.8213198498065131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8-2942-9B95-8DBF6866F192}"/>
            </c:ext>
          </c:extLst>
        </c:ser>
        <c:ser>
          <c:idx val="2"/>
          <c:order val="2"/>
          <c:tx>
            <c:strRef>
              <c:f>Summary!$K$4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F0B4A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Summary!$H$5:$H$32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Summary!$K$5:$K$32</c:f>
              <c:numCache>
                <c:formatCode>#,##0.00;\(#,##0.00\);\-</c:formatCode>
                <c:ptCount val="28"/>
                <c:pt idx="0">
                  <c:v>6.2704959999999996</c:v>
                </c:pt>
                <c:pt idx="1">
                  <c:v>6.2913515251461725</c:v>
                </c:pt>
                <c:pt idx="2">
                  <c:v>6.3020224517049908</c:v>
                </c:pt>
                <c:pt idx="3">
                  <c:v>7.6133347025133533</c:v>
                </c:pt>
                <c:pt idx="4">
                  <c:v>8.0973357943553683</c:v>
                </c:pt>
                <c:pt idx="5">
                  <c:v>9.1742311689267044</c:v>
                </c:pt>
                <c:pt idx="6">
                  <c:v>10.339134623164217</c:v>
                </c:pt>
                <c:pt idx="7">
                  <c:v>11.586339432720507</c:v>
                </c:pt>
                <c:pt idx="8">
                  <c:v>12.416791087598595</c:v>
                </c:pt>
                <c:pt idx="9">
                  <c:v>13.268254402891788</c:v>
                </c:pt>
                <c:pt idx="10">
                  <c:v>14.141225355492093</c:v>
                </c:pt>
                <c:pt idx="11">
                  <c:v>15.036211405091976</c:v>
                </c:pt>
                <c:pt idx="12">
                  <c:v>15.953732064187022</c:v>
                </c:pt>
                <c:pt idx="13">
                  <c:v>16.894318937684275</c:v>
                </c:pt>
                <c:pt idx="14">
                  <c:v>17.85851591124537</c:v>
                </c:pt>
                <c:pt idx="15">
                  <c:v>18.846879654282031</c:v>
                </c:pt>
                <c:pt idx="16">
                  <c:v>19.859980044000771</c:v>
                </c:pt>
                <c:pt idx="17">
                  <c:v>20.906939507815643</c:v>
                </c:pt>
                <c:pt idx="18">
                  <c:v>21.987178838414273</c:v>
                </c:pt>
                <c:pt idx="19">
                  <c:v>23.095769760713566</c:v>
                </c:pt>
                <c:pt idx="20">
                  <c:v>24.233435170067708</c:v>
                </c:pt>
                <c:pt idx="21">
                  <c:v>25.400916288939115</c:v>
                </c:pt>
                <c:pt idx="22">
                  <c:v>26.598973090093061</c:v>
                </c:pt>
                <c:pt idx="23">
                  <c:v>27.828384778101295</c:v>
                </c:pt>
                <c:pt idx="24">
                  <c:v>29.089950348817737</c:v>
                </c:pt>
                <c:pt idx="25">
                  <c:v>30.384488815334755</c:v>
                </c:pt>
                <c:pt idx="26">
                  <c:v>31.712840048691348</c:v>
                </c:pt>
                <c:pt idx="27">
                  <c:v>33.075864925792246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68-2942-9B95-8DBF6866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04170"/>
        <c:axId val="11293610"/>
      </c:areaChart>
      <c:catAx>
        <c:axId val="73004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11293610"/>
        <c:crosses val="autoZero"/>
        <c:auto val="1"/>
        <c:lblAlgn val="ctr"/>
        <c:lblOffset val="100"/>
        <c:noMultiLvlLbl val="0"/>
      </c:catAx>
      <c:valAx>
        <c:axId val="112936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73004170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Unconditional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Summary!$I$36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Summary!$H$37:$H$64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Summary!$I$37:$I$64</c:f>
              <c:numCache>
                <c:formatCode>#,##0.00;\(#,##0.00\);\-</c:formatCode>
                <c:ptCount val="28"/>
                <c:pt idx="0">
                  <c:v>5.0812639999999991</c:v>
                </c:pt>
                <c:pt idx="1">
                  <c:v>5.0554929125757013</c:v>
                </c:pt>
                <c:pt idx="2">
                  <c:v>5.0622945995669477</c:v>
                </c:pt>
                <c:pt idx="3">
                  <c:v>5.8302237384679616</c:v>
                </c:pt>
                <c:pt idx="4">
                  <c:v>5.8805971559034429</c:v>
                </c:pt>
                <c:pt idx="5">
                  <c:v>5.8961376400055379</c:v>
                </c:pt>
                <c:pt idx="6">
                  <c:v>5.8762266125440599</c:v>
                </c:pt>
                <c:pt idx="7">
                  <c:v>5.8313374143293748</c:v>
                </c:pt>
                <c:pt idx="8">
                  <c:v>5.5355106496291047</c:v>
                </c:pt>
                <c:pt idx="9">
                  <c:v>5.2440168821295661</c:v>
                </c:pt>
                <c:pt idx="10">
                  <c:v>4.9569560464703928</c:v>
                </c:pt>
                <c:pt idx="11">
                  <c:v>4.6744521737537585</c:v>
                </c:pt>
                <c:pt idx="12">
                  <c:v>4.396649180829443</c:v>
                </c:pt>
                <c:pt idx="13">
                  <c:v>4.125295940583392</c:v>
                </c:pt>
                <c:pt idx="14">
                  <c:v>3.8601313706487974</c:v>
                </c:pt>
                <c:pt idx="15">
                  <c:v>3.5997798709709588</c:v>
                </c:pt>
                <c:pt idx="16">
                  <c:v>3.3444744168386413</c:v>
                </c:pt>
                <c:pt idx="17">
                  <c:v>3.094453534567164</c:v>
                </c:pt>
                <c:pt idx="18">
                  <c:v>2.8499620991433217</c:v>
                </c:pt>
                <c:pt idx="19">
                  <c:v>2.6112490533857033</c:v>
                </c:pt>
                <c:pt idx="20">
                  <c:v>2.3785700007366923</c:v>
                </c:pt>
                <c:pt idx="21">
                  <c:v>2.1521864850567276</c:v>
                </c:pt>
                <c:pt idx="22">
                  <c:v>1.932366081330795</c:v>
                </c:pt>
                <c:pt idx="23">
                  <c:v>1.7193825163451795</c:v>
                </c:pt>
                <c:pt idx="24">
                  <c:v>1.5135158035244487</c:v>
                </c:pt>
                <c:pt idx="25">
                  <c:v>1.3150523350657415</c:v>
                </c:pt>
                <c:pt idx="26">
                  <c:v>1.1242850237007964</c:v>
                </c:pt>
                <c:pt idx="27">
                  <c:v>0.94151340942248374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7-5749-93B8-C305879D6224}"/>
            </c:ext>
          </c:extLst>
        </c:ser>
        <c:ser>
          <c:idx val="1"/>
          <c:order val="1"/>
          <c:tx>
            <c:strRef>
              <c:f>Summary!$J$36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Summary!$H$37:$H$64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Summary!$J$37:$J$64</c:f>
              <c:numCache>
                <c:formatCode>#,##0.00;\(#,##0.00\);\-</c:formatCode>
                <c:ptCount val="28"/>
                <c:pt idx="0">
                  <c:v>15.67624</c:v>
                </c:pt>
                <c:pt idx="1">
                  <c:v>15.733978360933722</c:v>
                </c:pt>
                <c:pt idx="2">
                  <c:v>15.771248926677117</c:v>
                </c:pt>
                <c:pt idx="3">
                  <c:v>16.824658329671518</c:v>
                </c:pt>
                <c:pt idx="4">
                  <c:v>17.848905018652367</c:v>
                </c:pt>
                <c:pt idx="5">
                  <c:v>18.817323816317582</c:v>
                </c:pt>
                <c:pt idx="6">
                  <c:v>19.702110659693862</c:v>
                </c:pt>
                <c:pt idx="7">
                  <c:v>20.478781272991448</c:v>
                </c:pt>
                <c:pt idx="8">
                  <c:v>21.131818980069081</c:v>
                </c:pt>
                <c:pt idx="9">
                  <c:v>21.661958784840174</c:v>
                </c:pt>
                <c:pt idx="10">
                  <c:v>22.079547852238832</c:v>
                </c:pt>
                <c:pt idx="11">
                  <c:v>22.399570841894242</c:v>
                </c:pt>
                <c:pt idx="12">
                  <c:v>22.638161588986645</c:v>
                </c:pt>
                <c:pt idx="13">
                  <c:v>22.810344166559247</c:v>
                </c:pt>
                <c:pt idx="14">
                  <c:v>22.928726223547468</c:v>
                </c:pt>
                <c:pt idx="15">
                  <c:v>23.003035395058813</c:v>
                </c:pt>
                <c:pt idx="16">
                  <c:v>23.040266930032885</c:v>
                </c:pt>
                <c:pt idx="17">
                  <c:v>23.045129101680335</c:v>
                </c:pt>
                <c:pt idx="18">
                  <c:v>23.02065972134103</c:v>
                </c:pt>
                <c:pt idx="19">
                  <c:v>22.968924571800088</c:v>
                </c:pt>
                <c:pt idx="20">
                  <c:v>22.891505500839489</c:v>
                </c:pt>
                <c:pt idx="21">
                  <c:v>22.789961962343789</c:v>
                </c:pt>
                <c:pt idx="22">
                  <c:v>22.666227906653596</c:v>
                </c:pt>
                <c:pt idx="23">
                  <c:v>22.522906052004387</c:v>
                </c:pt>
                <c:pt idx="24">
                  <c:v>22.363415192403039</c:v>
                </c:pt>
                <c:pt idx="25">
                  <c:v>22.191935051991738</c:v>
                </c:pt>
                <c:pt idx="26">
                  <c:v>22.013079773768595</c:v>
                </c:pt>
                <c:pt idx="27">
                  <c:v>21.831218866602864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27-5749-93B8-C305879D6224}"/>
            </c:ext>
          </c:extLst>
        </c:ser>
        <c:ser>
          <c:idx val="2"/>
          <c:order val="2"/>
          <c:tx>
            <c:strRef>
              <c:f>Summary!$K$36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Summary!$H$37:$H$64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Summary!$K$37:$K$64</c:f>
              <c:numCache>
                <c:formatCode>#,##0.00;\(#,##0.00\);\-</c:formatCode>
                <c:ptCount val="28"/>
                <c:pt idx="0">
                  <c:v>6.2704959999999996</c:v>
                </c:pt>
                <c:pt idx="1">
                  <c:v>6.3013604815893833</c:v>
                </c:pt>
                <c:pt idx="2">
                  <c:v>6.3222579979439164</c:v>
                </c:pt>
                <c:pt idx="3">
                  <c:v>7.4910381072915913</c:v>
                </c:pt>
                <c:pt idx="4">
                  <c:v>7.8129490184501567</c:v>
                </c:pt>
                <c:pt idx="5">
                  <c:v>7.7864676496162932</c:v>
                </c:pt>
                <c:pt idx="6">
                  <c:v>7.7241024754960321</c:v>
                </c:pt>
                <c:pt idx="7">
                  <c:v>7.6204535034863472</c:v>
                </c:pt>
                <c:pt idx="8">
                  <c:v>7.1920565276446293</c:v>
                </c:pt>
                <c:pt idx="9">
                  <c:v>6.7631528437757247</c:v>
                </c:pt>
                <c:pt idx="10">
                  <c:v>6.3349962345965363</c:v>
                </c:pt>
                <c:pt idx="11">
                  <c:v>5.9087047004094293</c:v>
                </c:pt>
                <c:pt idx="12">
                  <c:v>5.4852902850906133</c:v>
                </c:pt>
                <c:pt idx="13">
                  <c:v>5.067486522937414</c:v>
                </c:pt>
                <c:pt idx="14">
                  <c:v>4.6555492938026442</c:v>
                </c:pt>
                <c:pt idx="15">
                  <c:v>4.2484855234250247</c:v>
                </c:pt>
                <c:pt idx="16">
                  <c:v>3.8471136970630262</c:v>
                </c:pt>
                <c:pt idx="17">
                  <c:v>3.4522136887905894</c:v>
                </c:pt>
                <c:pt idx="18">
                  <c:v>3.0613521706113276</c:v>
                </c:pt>
                <c:pt idx="19">
                  <c:v>2.6792301372920067</c:v>
                </c:pt>
                <c:pt idx="20">
                  <c:v>2.3065214243695498</c:v>
                </c:pt>
                <c:pt idx="21">
                  <c:v>1.9438859947845379</c:v>
                </c:pt>
                <c:pt idx="22">
                  <c:v>1.5919726297625401</c:v>
                </c:pt>
                <c:pt idx="23">
                  <c:v>1.2514205869513972</c:v>
                </c:pt>
                <c:pt idx="24">
                  <c:v>0.92286013749261331</c:v>
                </c:pt>
                <c:pt idx="25">
                  <c:v>0.60691175470431658</c:v>
                </c:pt>
                <c:pt idx="26">
                  <c:v>0.30418356678740666</c:v>
                </c:pt>
                <c:pt idx="27">
                  <c:v>1.5266284023020034E-2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7-5749-93B8-C305879D6224}"/>
            </c:ext>
          </c:extLst>
        </c:ser>
        <c:ser>
          <c:idx val="3"/>
          <c:order val="3"/>
          <c:tx>
            <c:strRef>
              <c:f>Summary!$L$36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Summary!$H$37:$H$64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Summary!$L$37:$L$64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0.30934943758655098</c:v>
                </c:pt>
                <c:pt idx="2">
                  <c:v>0.63272025832568402</c:v>
                </c:pt>
                <c:pt idx="3">
                  <c:v>0.98856707825508405</c:v>
                </c:pt>
                <c:pt idx="4">
                  <c:v>1.3898016778167599</c:v>
                </c:pt>
                <c:pt idx="5">
                  <c:v>1.84214978694815</c:v>
                </c:pt>
                <c:pt idx="6">
                  <c:v>2.3421410430488598</c:v>
                </c:pt>
                <c:pt idx="7">
                  <c:v>2.8805418326832202</c:v>
                </c:pt>
                <c:pt idx="8">
                  <c:v>3.4459888715190199</c:v>
                </c:pt>
                <c:pt idx="9">
                  <c:v>4.0289862863409898</c:v>
                </c:pt>
                <c:pt idx="10">
                  <c:v>4.6225837410291497</c:v>
                </c:pt>
                <c:pt idx="11">
                  <c:v>5.2224606858407201</c:v>
                </c:pt>
                <c:pt idx="12">
                  <c:v>5.8266534420748597</c:v>
                </c:pt>
                <c:pt idx="13">
                  <c:v>6.4351093443777803</c:v>
                </c:pt>
                <c:pt idx="14">
                  <c:v>7.0491969973373099</c:v>
                </c:pt>
                <c:pt idx="15">
                  <c:v>7.6712511211205898</c:v>
                </c:pt>
                <c:pt idx="16">
                  <c:v>8.3040644986158796</c:v>
                </c:pt>
                <c:pt idx="17">
                  <c:v>8.9503327154504895</c:v>
                </c:pt>
                <c:pt idx="18">
                  <c:v>9.6121720811953502</c:v>
                </c:pt>
                <c:pt idx="19">
                  <c:v>10.290680431615201</c:v>
                </c:pt>
                <c:pt idx="20">
                  <c:v>10.985936387668501</c:v>
                </c:pt>
                <c:pt idx="21">
                  <c:v>11.697142303796801</c:v>
                </c:pt>
                <c:pt idx="22">
                  <c:v>12.422762226444499</c:v>
                </c:pt>
                <c:pt idx="23">
                  <c:v>13.160659821578999</c:v>
                </c:pt>
                <c:pt idx="24">
                  <c:v>13.908251467663799</c:v>
                </c:pt>
                <c:pt idx="25">
                  <c:v>14.6626985549319</c:v>
                </c:pt>
                <c:pt idx="26">
                  <c:v>15.3042081342761</c:v>
                </c:pt>
                <c:pt idx="27">
                  <c:v>15.740535788417301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27-5749-93B8-C305879D6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61217"/>
        <c:axId val="22420363"/>
      </c:areaChart>
      <c:catAx>
        <c:axId val="57161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22420363"/>
        <c:crosses val="autoZero"/>
        <c:auto val="1"/>
        <c:lblAlgn val="ctr"/>
        <c:lblOffset val="100"/>
        <c:noMultiLvlLbl val="0"/>
      </c:catAx>
      <c:valAx>
        <c:axId val="224203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571612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Conditional - Total emissions (MtCO2e)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Summary!$I$68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Summary!$H$69:$H$96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Summary!$I$69:$I$96</c:f>
              <c:numCache>
                <c:formatCode>#,##0.00;\(#,##0.00\);\-</c:formatCode>
                <c:ptCount val="28"/>
                <c:pt idx="0">
                  <c:v>5.0812639999999991</c:v>
                </c:pt>
                <c:pt idx="1">
                  <c:v>5.0553704440111638</c:v>
                </c:pt>
                <c:pt idx="2">
                  <c:v>5.0620465006012836</c:v>
                </c:pt>
                <c:pt idx="3">
                  <c:v>4.7591110960076604</c:v>
                </c:pt>
                <c:pt idx="4">
                  <c:v>3.6752816771891643</c:v>
                </c:pt>
                <c:pt idx="5">
                  <c:v>2.5089175239259625</c:v>
                </c:pt>
                <c:pt idx="6">
                  <c:v>1.277917052765873</c:v>
                </c:pt>
                <c:pt idx="7">
                  <c:v>1.2769885578680419E-3</c:v>
                </c:pt>
                <c:pt idx="8">
                  <c:v>1.2115076660049015E-3</c:v>
                </c:pt>
                <c:pt idx="9">
                  <c:v>1.1469655333959656E-3</c:v>
                </c:pt>
                <c:pt idx="10">
                  <c:v>1.0835024658937705E-3</c:v>
                </c:pt>
                <c:pt idx="11">
                  <c:v>1.0212322900121904E-3</c:v>
                </c:pt>
                <c:pt idx="12">
                  <c:v>9.6021577626406946E-4</c:v>
                </c:pt>
                <c:pt idx="13">
                  <c:v>9.0048168217851036E-4</c:v>
                </c:pt>
                <c:pt idx="14">
                  <c:v>8.4155550425929222E-4</c:v>
                </c:pt>
                <c:pt idx="15">
                  <c:v>7.841967112931197E-4</c:v>
                </c:pt>
                <c:pt idx="16">
                  <c:v>7.2840273008067686E-4</c:v>
                </c:pt>
                <c:pt idx="17">
                  <c:v>6.7420795402641258E-4</c:v>
                </c:pt>
                <c:pt idx="18">
                  <c:v>6.2282581299725418E-4</c:v>
                </c:pt>
                <c:pt idx="19">
                  <c:v>5.7295207815288146E-4</c:v>
                </c:pt>
                <c:pt idx="20">
                  <c:v>5.3326856312041644E-4</c:v>
                </c:pt>
                <c:pt idx="21">
                  <c:v>4.934036947358459E-4</c:v>
                </c:pt>
                <c:pt idx="22">
                  <c:v>4.5338320664467855E-4</c:v>
                </c:pt>
                <c:pt idx="23">
                  <c:v>4.1322977074693989E-4</c:v>
                </c:pt>
                <c:pt idx="24">
                  <c:v>3.729731553399491E-4</c:v>
                </c:pt>
                <c:pt idx="25">
                  <c:v>3.3263918721367888E-4</c:v>
                </c:pt>
                <c:pt idx="26">
                  <c:v>2.9225373081426194E-4</c:v>
                </c:pt>
                <c:pt idx="27">
                  <c:v>2.5184032437704587E-4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C-5C43-A4E3-40C98786736B}"/>
            </c:ext>
          </c:extLst>
        </c:ser>
        <c:ser>
          <c:idx val="1"/>
          <c:order val="1"/>
          <c:tx>
            <c:strRef>
              <c:f>Summary!$J$68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Summary!$H$69:$H$96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Summary!$J$69:$J$96</c:f>
              <c:numCache>
                <c:formatCode>#,##0.00;\(#,##0.00\);\-</c:formatCode>
                <c:ptCount val="28"/>
                <c:pt idx="0">
                  <c:v>15.67624</c:v>
                </c:pt>
                <c:pt idx="1">
                  <c:v>15.736640853369334</c:v>
                </c:pt>
                <c:pt idx="2">
                  <c:v>15.776636434903947</c:v>
                </c:pt>
                <c:pt idx="3">
                  <c:v>13.176014060524061</c:v>
                </c:pt>
                <c:pt idx="4">
                  <c:v>10.532474121144864</c:v>
                </c:pt>
                <c:pt idx="5">
                  <c:v>7.8702805724203584</c:v>
                </c:pt>
                <c:pt idx="6">
                  <c:v>5.2977570405695804</c:v>
                </c:pt>
                <c:pt idx="7">
                  <c:v>2.9669799487139477</c:v>
                </c:pt>
                <c:pt idx="8">
                  <c:v>1.0143066418962705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C-5C43-A4E3-40C98786736B}"/>
            </c:ext>
          </c:extLst>
        </c:ser>
        <c:ser>
          <c:idx val="2"/>
          <c:order val="2"/>
          <c:tx>
            <c:strRef>
              <c:f>Summary!$K$68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Summary!$H$69:$H$96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Summary!$K$69:$K$96</c:f>
              <c:numCache>
                <c:formatCode>#,##0.00;\(#,##0.00\);\-</c:formatCode>
                <c:ptCount val="28"/>
                <c:pt idx="0">
                  <c:v>6.2704959999999996</c:v>
                </c:pt>
                <c:pt idx="1">
                  <c:v>6.3035504274794398</c:v>
                </c:pt>
                <c:pt idx="2">
                  <c:v>6.3266896421547862</c:v>
                </c:pt>
                <c:pt idx="3">
                  <c:v>2.6300293210626839</c:v>
                </c:pt>
                <c:pt idx="4">
                  <c:v>0.27227935321020302</c:v>
                </c:pt>
                <c:pt idx="5">
                  <c:v>2.2826172082418772E-2</c:v>
                </c:pt>
                <c:pt idx="6">
                  <c:v>4.3303547812141878E-3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C-5C43-A4E3-40C98786736B}"/>
            </c:ext>
          </c:extLst>
        </c:ser>
        <c:ser>
          <c:idx val="3"/>
          <c:order val="3"/>
          <c:tx>
            <c:strRef>
              <c:f>Summary!$L$68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Summary!$H$69:$H$96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Summary!$L$69:$L$96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5.78877265775556</c:v>
                </c:pt>
                <c:pt idx="2">
                  <c:v>11.5727133660859</c:v>
                </c:pt>
                <c:pt idx="3">
                  <c:v>17.255370357480299</c:v>
                </c:pt>
                <c:pt idx="4">
                  <c:v>22.561828097014899</c:v>
                </c:pt>
                <c:pt idx="5">
                  <c:v>27.2312397878366</c:v>
                </c:pt>
                <c:pt idx="6">
                  <c:v>31.124606066559799</c:v>
                </c:pt>
                <c:pt idx="7">
                  <c:v>34.204875814614802</c:v>
                </c:pt>
                <c:pt idx="8">
                  <c:v>36.499458925161001</c:v>
                </c:pt>
                <c:pt idx="9">
                  <c:v>37.818073904894902</c:v>
                </c:pt>
                <c:pt idx="10">
                  <c:v>38.530993474604898</c:v>
                </c:pt>
                <c:pt idx="11">
                  <c:v>38.826108415039997</c:v>
                </c:pt>
                <c:pt idx="12">
                  <c:v>39.004081737619899</c:v>
                </c:pt>
                <c:pt idx="13">
                  <c:v>39.0957903598499</c:v>
                </c:pt>
                <c:pt idx="14">
                  <c:v>39.128371408076902</c:v>
                </c:pt>
                <c:pt idx="15">
                  <c:v>39.124330955843398</c:v>
                </c:pt>
                <c:pt idx="16">
                  <c:v>39.1013911901969</c:v>
                </c:pt>
                <c:pt idx="17">
                  <c:v>39.072776490196901</c:v>
                </c:pt>
                <c:pt idx="18">
                  <c:v>39.047704515824201</c:v>
                </c:pt>
                <c:pt idx="19">
                  <c:v>39.0319104788218</c:v>
                </c:pt>
                <c:pt idx="20">
                  <c:v>39.026922876920999</c:v>
                </c:pt>
                <c:pt idx="21">
                  <c:v>39.029483939141102</c:v>
                </c:pt>
                <c:pt idx="22">
                  <c:v>39.0483420347555</c:v>
                </c:pt>
                <c:pt idx="23">
                  <c:v>39.081127491351502</c:v>
                </c:pt>
                <c:pt idx="24">
                  <c:v>39.102199211104498</c:v>
                </c:pt>
                <c:pt idx="25">
                  <c:v>39.128554321752397</c:v>
                </c:pt>
                <c:pt idx="26">
                  <c:v>39.161792812600901</c:v>
                </c:pt>
                <c:pt idx="27">
                  <c:v>39.197643072294603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C-5C43-A4E3-40C98786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46608"/>
        <c:axId val="52558651"/>
      </c:areaChart>
      <c:catAx>
        <c:axId val="3704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52558651"/>
        <c:crosses val="autoZero"/>
        <c:auto val="1"/>
        <c:lblAlgn val="ctr"/>
        <c:lblOffset val="100"/>
        <c:noMultiLvlLbl val="0"/>
      </c:catAx>
      <c:valAx>
        <c:axId val="525586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37046608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BAU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Summary!$I$100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C15D29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Summary!$H$101:$H$128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Summary!$I$101:$I$128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96.481653834451265</c:v>
                </c:pt>
                <c:pt idx="2">
                  <c:v>96.481653834451265</c:v>
                </c:pt>
                <c:pt idx="3">
                  <c:v>94.656671476377838</c:v>
                </c:pt>
                <c:pt idx="4">
                  <c:v>92.831689118304411</c:v>
                </c:pt>
                <c:pt idx="5">
                  <c:v>91.006706760230983</c:v>
                </c:pt>
                <c:pt idx="6">
                  <c:v>89.181724402157556</c:v>
                </c:pt>
                <c:pt idx="7">
                  <c:v>87.356742044084129</c:v>
                </c:pt>
                <c:pt idx="8">
                  <c:v>85.531759686010702</c:v>
                </c:pt>
                <c:pt idx="9">
                  <c:v>85.531759686010702</c:v>
                </c:pt>
                <c:pt idx="10">
                  <c:v>85.531759686010702</c:v>
                </c:pt>
                <c:pt idx="11">
                  <c:v>85.531759686010702</c:v>
                </c:pt>
                <c:pt idx="12">
                  <c:v>85.531759686010702</c:v>
                </c:pt>
                <c:pt idx="13">
                  <c:v>85.531759686010702</c:v>
                </c:pt>
                <c:pt idx="14">
                  <c:v>85.531759686010702</c:v>
                </c:pt>
                <c:pt idx="15">
                  <c:v>85.531759686010702</c:v>
                </c:pt>
                <c:pt idx="16">
                  <c:v>85.531759686010702</c:v>
                </c:pt>
                <c:pt idx="17">
                  <c:v>85.531759686010702</c:v>
                </c:pt>
                <c:pt idx="18">
                  <c:v>85.531759686010702</c:v>
                </c:pt>
                <c:pt idx="19">
                  <c:v>85.531759686010702</c:v>
                </c:pt>
                <c:pt idx="20">
                  <c:v>85.531759686010702</c:v>
                </c:pt>
                <c:pt idx="21">
                  <c:v>85.531759686010702</c:v>
                </c:pt>
                <c:pt idx="22">
                  <c:v>85.531759686010702</c:v>
                </c:pt>
                <c:pt idx="23">
                  <c:v>85.531759686010702</c:v>
                </c:pt>
                <c:pt idx="24">
                  <c:v>85.531759686010702</c:v>
                </c:pt>
                <c:pt idx="25">
                  <c:v>85.531759686010702</c:v>
                </c:pt>
                <c:pt idx="26">
                  <c:v>85.531759686010702</c:v>
                </c:pt>
                <c:pt idx="27">
                  <c:v>85.531759686010702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F-BB49-9770-D5D933B14AAD}"/>
            </c:ext>
          </c:extLst>
        </c:ser>
        <c:ser>
          <c:idx val="1"/>
          <c:order val="1"/>
          <c:tx>
            <c:strRef>
              <c:f>Summary!$J$100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E97132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Summary!$H$101:$H$128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Summary!$J$101:$J$128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27.400840910279712</c:v>
                </c:pt>
                <c:pt idx="2">
                  <c:v>27.26282469766128</c:v>
                </c:pt>
                <c:pt idx="3">
                  <c:v>27.300484220247277</c:v>
                </c:pt>
                <c:pt idx="4">
                  <c:v>32.084349794667489</c:v>
                </c:pt>
                <c:pt idx="5">
                  <c:v>33.036759516872991</c:v>
                </c:pt>
                <c:pt idx="6">
                  <c:v>33.85255568352715</c:v>
                </c:pt>
                <c:pt idx="7">
                  <c:v>34.489319630264802</c:v>
                </c:pt>
                <c:pt idx="8">
                  <c:v>34.999997938678121</c:v>
                </c:pt>
                <c:pt idx="9">
                  <c:v>33.991947063232629</c:v>
                </c:pt>
                <c:pt idx="10">
                  <c:v>32.960711451519074</c:v>
                </c:pt>
                <c:pt idx="11">
                  <c:v>31.905981031671679</c:v>
                </c:pt>
                <c:pt idx="12">
                  <c:v>30.827443177903309</c:v>
                </c:pt>
                <c:pt idx="13">
                  <c:v>29.724783976850134</c:v>
                </c:pt>
                <c:pt idx="14">
                  <c:v>28.597687461798856</c:v>
                </c:pt>
                <c:pt idx="15">
                  <c:v>27.445835686054362</c:v>
                </c:pt>
                <c:pt idx="16">
                  <c:v>26.268909415626354</c:v>
                </c:pt>
                <c:pt idx="17">
                  <c:v>25.066588378520944</c:v>
                </c:pt>
                <c:pt idx="18">
                  <c:v>23.848997072063479</c:v>
                </c:pt>
                <c:pt idx="19">
                  <c:v>22.611548387874556</c:v>
                </c:pt>
                <c:pt idx="20">
                  <c:v>21.346199637607317</c:v>
                </c:pt>
                <c:pt idx="21">
                  <c:v>20.05249304835155</c:v>
                </c:pt>
                <c:pt idx="22">
                  <c:v>18.729963864481583</c:v>
                </c:pt>
                <c:pt idx="23">
                  <c:v>17.378140421090645</c:v>
                </c:pt>
                <c:pt idx="24">
                  <c:v>15.996543681603661</c:v>
                </c:pt>
                <c:pt idx="25">
                  <c:v>14.584687659716826</c:v>
                </c:pt>
                <c:pt idx="26">
                  <c:v>13.142078726921861</c:v>
                </c:pt>
                <c:pt idx="27">
                  <c:v>11.668215969904981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0F-BB49-9770-D5D933B14AAD}"/>
            </c:ext>
          </c:extLst>
        </c:ser>
        <c:ser>
          <c:idx val="2"/>
          <c:order val="2"/>
          <c:tx>
            <c:strRef>
              <c:f>Summary!$K$100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F0B4A4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Summary!$H$101:$H$128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Summary!$K$101:$K$128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84.534509191288493</c:v>
                </c:pt>
                <c:pt idx="2">
                  <c:v>84.777162874443931</c:v>
                </c:pt>
                <c:pt idx="3">
                  <c:v>84.907957794123107</c:v>
                </c:pt>
                <c:pt idx="4">
                  <c:v>87.694300565253002</c:v>
                </c:pt>
                <c:pt idx="5">
                  <c:v>90.221738210536287</c:v>
                </c:pt>
                <c:pt idx="6">
                  <c:v>92.224595664753579</c:v>
                </c:pt>
                <c:pt idx="7">
                  <c:v>93.498342935748624</c:v>
                </c:pt>
                <c:pt idx="8">
                  <c:v>93.907523469319486</c:v>
                </c:pt>
                <c:pt idx="9">
                  <c:v>93.398916902643137</c:v>
                </c:pt>
                <c:pt idx="10">
                  <c:v>92.022546639120762</c:v>
                </c:pt>
                <c:pt idx="11">
                  <c:v>89.885155288740393</c:v>
                </c:pt>
                <c:pt idx="12">
                  <c:v>87.116611364698457</c:v>
                </c:pt>
                <c:pt idx="13">
                  <c:v>83.847436590374372</c:v>
                </c:pt>
                <c:pt idx="14">
                  <c:v>80.195257083913262</c:v>
                </c:pt>
                <c:pt idx="15">
                  <c:v>76.2579701775812</c:v>
                </c:pt>
                <c:pt idx="16">
                  <c:v>72.111632891762284</c:v>
                </c:pt>
                <c:pt idx="17">
                  <c:v>67.811406218751216</c:v>
                </c:pt>
                <c:pt idx="18">
                  <c:v>63.394252711112735</c:v>
                </c:pt>
                <c:pt idx="19">
                  <c:v>58.882432465146778</c:v>
                </c:pt>
                <c:pt idx="20">
                  <c:v>54.287696417131009</c:v>
                </c:pt>
                <c:pt idx="21">
                  <c:v>49.615536920431609</c:v>
                </c:pt>
                <c:pt idx="22">
                  <c:v>44.868852426993662</c:v>
                </c:pt>
                <c:pt idx="23">
                  <c:v>40.050888681634056</c:v>
                </c:pt>
                <c:pt idx="24">
                  <c:v>35.167360976986494</c:v>
                </c:pt>
                <c:pt idx="25">
                  <c:v>30.227655109948323</c:v>
                </c:pt>
                <c:pt idx="26">
                  <c:v>25.244962377448033</c:v>
                </c:pt>
                <c:pt idx="27">
                  <c:v>20.235141605632119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0F-BB49-9770-D5D933B14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17909"/>
        <c:axId val="90225590"/>
      </c:areaChart>
      <c:catAx>
        <c:axId val="695179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90225590"/>
        <c:crosses val="autoZero"/>
        <c:auto val="1"/>
        <c:lblAlgn val="ctr"/>
        <c:lblOffset val="100"/>
        <c:noMultiLvlLbl val="0"/>
      </c:catAx>
      <c:valAx>
        <c:axId val="902255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6951790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Unconditional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Summary!$I$132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Summary!$H$133:$H$160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Summary!$I$133:$I$160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84.534509191288493</c:v>
                </c:pt>
                <c:pt idx="2">
                  <c:v>84.845864720614514</c:v>
                </c:pt>
                <c:pt idx="3">
                  <c:v>85.046847161710048</c:v>
                </c:pt>
                <c:pt idx="4">
                  <c:v>90.727383237938781</c:v>
                </c:pt>
                <c:pt idx="5">
                  <c:v>96.250658662645108</c:v>
                </c:pt>
                <c:pt idx="6">
                  <c:v>101.47288081236002</c:v>
                </c:pt>
                <c:pt idx="7">
                  <c:v>106.2441155946626</c:v>
                </c:pt>
                <c:pt idx="8">
                  <c:v>110.43233095104962</c:v>
                </c:pt>
                <c:pt idx="9">
                  <c:v>113.95385282435676</c:v>
                </c:pt>
                <c:pt idx="10">
                  <c:v>116.81264474123796</c:v>
                </c:pt>
                <c:pt idx="11">
                  <c:v>119.06450404271546</c:v>
                </c:pt>
                <c:pt idx="12">
                  <c:v>120.79023587384644</c:v>
                </c:pt>
                <c:pt idx="13">
                  <c:v>122.07684233706971</c:v>
                </c:pt>
                <c:pt idx="14">
                  <c:v>123.00534111524553</c:v>
                </c:pt>
                <c:pt idx="15">
                  <c:v>123.64371926488819</c:v>
                </c:pt>
                <c:pt idx="16">
                  <c:v>124.04443329721501</c:v>
                </c:pt>
                <c:pt idx="17">
                  <c:v>124.24520526392841</c:v>
                </c:pt>
                <c:pt idx="18">
                  <c:v>124.2714246439469</c:v>
                </c:pt>
                <c:pt idx="19">
                  <c:v>124.13947290952601</c:v>
                </c:pt>
                <c:pt idx="20">
                  <c:v>123.86048984506786</c:v>
                </c:pt>
                <c:pt idx="21">
                  <c:v>123.44300560358522</c:v>
                </c:pt>
                <c:pt idx="22">
                  <c:v>122.89542957844905</c:v>
                </c:pt>
                <c:pt idx="23">
                  <c:v>122.22819064436676</c:v>
                </c:pt>
                <c:pt idx="24">
                  <c:v>121.4553240233431</c:v>
                </c:pt>
                <c:pt idx="25">
                  <c:v>120.59526564602197</c:v>
                </c:pt>
                <c:pt idx="26">
                  <c:v>119.67055477748956</c:v>
                </c:pt>
                <c:pt idx="27">
                  <c:v>118.70607329718148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2-5A40-BB5F-5362C86F8736}"/>
            </c:ext>
          </c:extLst>
        </c:ser>
        <c:ser>
          <c:idx val="1"/>
          <c:order val="1"/>
          <c:tx>
            <c:strRef>
              <c:f>Summary!$J$132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Summary!$H$133:$H$160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Summary!$J$133:$J$160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604.98782444231131</c:v>
                </c:pt>
                <c:pt idx="2">
                  <c:v>607.96568067079795</c:v>
                </c:pt>
                <c:pt idx="3">
                  <c:v>598.44389830027956</c:v>
                </c:pt>
                <c:pt idx="4">
                  <c:v>695.40572074946454</c:v>
                </c:pt>
                <c:pt idx="5">
                  <c:v>711.03076025472785</c:v>
                </c:pt>
                <c:pt idx="6">
                  <c:v>694.41061199439582</c:v>
                </c:pt>
                <c:pt idx="7">
                  <c:v>674.75242747397851</c:v>
                </c:pt>
                <c:pt idx="8">
                  <c:v>651.7907977586126</c:v>
                </c:pt>
                <c:pt idx="9">
                  <c:v>615.14925057070502</c:v>
                </c:pt>
                <c:pt idx="10">
                  <c:v>578.46436375358519</c:v>
                </c:pt>
                <c:pt idx="11">
                  <c:v>541.84337554929357</c:v>
                </c:pt>
                <c:pt idx="12">
                  <c:v>505.38191049102119</c:v>
                </c:pt>
                <c:pt idx="13">
                  <c:v>469.16653047237946</c:v>
                </c:pt>
                <c:pt idx="14">
                  <c:v>433.43103949198087</c:v>
                </c:pt>
                <c:pt idx="15">
                  <c:v>398.19732340390459</c:v>
                </c:pt>
                <c:pt idx="16">
                  <c:v>363.38044281908458</c:v>
                </c:pt>
                <c:pt idx="17">
                  <c:v>329.05040422195492</c:v>
                </c:pt>
                <c:pt idx="18">
                  <c:v>295.27391161439323</c:v>
                </c:pt>
                <c:pt idx="19">
                  <c:v>261.84283817097531</c:v>
                </c:pt>
                <c:pt idx="20">
                  <c:v>229.15926824637737</c:v>
                </c:pt>
                <c:pt idx="21">
                  <c:v>197.28083617981144</c:v>
                </c:pt>
                <c:pt idx="22">
                  <c:v>166.26398976291296</c:v>
                </c:pt>
                <c:pt idx="23">
                  <c:v>136.16422039555607</c:v>
                </c:pt>
                <c:pt idx="24">
                  <c:v>107.03620490925337</c:v>
                </c:pt>
                <c:pt idx="25">
                  <c:v>78.933851503816996</c:v>
                </c:pt>
                <c:pt idx="26">
                  <c:v>51.91023035398468</c:v>
                </c:pt>
                <c:pt idx="27">
                  <c:v>26.017355734894053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B2-5A40-BB5F-5362C86F8736}"/>
            </c:ext>
          </c:extLst>
        </c:ser>
        <c:ser>
          <c:idx val="2"/>
          <c:order val="2"/>
          <c:tx>
            <c:strRef>
              <c:f>Summary!$K$132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Summary!$H$133:$H$160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Summary!$K$133:$K$160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29.8465453511078</c:v>
                </c:pt>
                <c:pt idx="3">
                  <c:v>59.891193628783192</c:v>
                </c:pt>
                <c:pt idx="4">
                  <c:v>91.770351681166474</c:v>
                </c:pt>
                <c:pt idx="5">
                  <c:v>126.48127374794689</c:v>
                </c:pt>
                <c:pt idx="6">
                  <c:v>164.28609460710317</c:v>
                </c:pt>
                <c:pt idx="7">
                  <c:v>204.6018109284814</c:v>
                </c:pt>
                <c:pt idx="8">
                  <c:v>246.37781179856202</c:v>
                </c:pt>
                <c:pt idx="9">
                  <c:v>294.74149203943199</c:v>
                </c:pt>
                <c:pt idx="10">
                  <c:v>344.60628682155021</c:v>
                </c:pt>
                <c:pt idx="11">
                  <c:v>395.37772166616554</c:v>
                </c:pt>
                <c:pt idx="12">
                  <c:v>446.6862523509671</c:v>
                </c:pt>
                <c:pt idx="13">
                  <c:v>498.36392198121399</c:v>
                </c:pt>
                <c:pt idx="14">
                  <c:v>550.40622599652215</c:v>
                </c:pt>
                <c:pt idx="15">
                  <c:v>602.93022355560299</c:v>
                </c:pt>
                <c:pt idx="16">
                  <c:v>656.13560738272645</c:v>
                </c:pt>
                <c:pt idx="17">
                  <c:v>710.26124911274633</c:v>
                </c:pt>
                <c:pt idx="18">
                  <c:v>765.53770692775083</c:v>
                </c:pt>
                <c:pt idx="19">
                  <c:v>822.14599250938204</c:v>
                </c:pt>
                <c:pt idx="20">
                  <c:v>880.18000568244418</c:v>
                </c:pt>
                <c:pt idx="21">
                  <c:v>939.64647103586265</c:v>
                </c:pt>
                <c:pt idx="22">
                  <c:v>1000.4771645414176</c:v>
                </c:pt>
                <c:pt idx="23">
                  <c:v>1062.5407133887022</c:v>
                </c:pt>
                <c:pt idx="24">
                  <c:v>1125.6543931686315</c:v>
                </c:pt>
                <c:pt idx="25">
                  <c:v>1189.5972221848258</c:v>
                </c:pt>
                <c:pt idx="26">
                  <c:v>1254.1264091488517</c:v>
                </c:pt>
                <c:pt idx="27">
                  <c:v>1308.9958523255937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B2-5A40-BB5F-5362C86F8736}"/>
            </c:ext>
          </c:extLst>
        </c:ser>
        <c:ser>
          <c:idx val="3"/>
          <c:order val="3"/>
          <c:tx>
            <c:strRef>
              <c:f>Summary!$L$132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Summary!$H$133:$H$160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Summary!$L$133:$L$160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27.400840910279712</c:v>
                </c:pt>
                <c:pt idx="2">
                  <c:v>27.261209273692536</c:v>
                </c:pt>
                <c:pt idx="3">
                  <c:v>27.297210072811399</c:v>
                </c:pt>
                <c:pt idx="4">
                  <c:v>25.663623463778471</c:v>
                </c:pt>
                <c:pt idx="5">
                  <c:v>19.819046705136028</c:v>
                </c:pt>
                <c:pt idx="6">
                  <c:v>13.529399364037808</c:v>
                </c:pt>
                <c:pt idx="7">
                  <c:v>6.8911990912834318</c:v>
                </c:pt>
                <c:pt idx="8">
                  <c:v>6.8861921597440602E-3</c:v>
                </c:pt>
                <c:pt idx="9">
                  <c:v>6.5330848422330747E-3</c:v>
                </c:pt>
                <c:pt idx="10">
                  <c:v>6.1850398070552861E-3</c:v>
                </c:pt>
                <c:pt idx="11">
                  <c:v>5.8428136569662554E-3</c:v>
                </c:pt>
                <c:pt idx="12">
                  <c:v>5.5070202042375024E-3</c:v>
                </c:pt>
                <c:pt idx="13">
                  <c:v>5.1779871553519971E-3</c:v>
                </c:pt>
                <c:pt idx="14">
                  <c:v>4.8558695859916793E-3</c:v>
                </c:pt>
                <c:pt idx="15">
                  <c:v>4.5381087243998915E-3</c:v>
                </c:pt>
                <c:pt idx="16">
                  <c:v>4.2288000246606602E-3</c:v>
                </c:pt>
                <c:pt idx="17">
                  <c:v>3.9279296107334796E-3</c:v>
                </c:pt>
                <c:pt idx="18">
                  <c:v>3.6356829498965047E-3</c:v>
                </c:pt>
                <c:pt idx="19">
                  <c:v>3.3586034925076492E-3</c:v>
                </c:pt>
                <c:pt idx="20">
                  <c:v>3.0896581525150547E-3</c:v>
                </c:pt>
                <c:pt idx="21">
                  <c:v>2.8756638231188123E-3</c:v>
                </c:pt>
                <c:pt idx="22">
                  <c:v>2.6606915413175014E-3</c:v>
                </c:pt>
                <c:pt idx="23">
                  <c:v>2.4448800764265174E-3</c:v>
                </c:pt>
                <c:pt idx="24">
                  <c:v>2.2283516872235449E-3</c:v>
                </c:pt>
                <c:pt idx="25">
                  <c:v>2.0112668999829547E-3</c:v>
                </c:pt>
                <c:pt idx="26">
                  <c:v>1.7937649863039523E-3</c:v>
                </c:pt>
                <c:pt idx="27">
                  <c:v>1.5759854208475105E-3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B2-5A40-BB5F-5362C86F8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59973"/>
        <c:axId val="88835959"/>
      </c:areaChart>
      <c:catAx>
        <c:axId val="295599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88835959"/>
        <c:crosses val="autoZero"/>
        <c:auto val="1"/>
        <c:lblAlgn val="ctr"/>
        <c:lblOffset val="100"/>
        <c:noMultiLvlLbl val="0"/>
      </c:catAx>
      <c:valAx>
        <c:axId val="888359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29559973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Aptos Narrow"/>
              </a:rPr>
              <a:t>Conditional - Total emissions (MMcfd)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Summary!$I$164</c:f>
              <c:strCache>
                <c:ptCount val="1"/>
                <c:pt idx="0">
                  <c:v>Fugitive</c:v>
                </c:pt>
              </c:strCache>
            </c:strRef>
          </c:tx>
          <c:spPr>
            <a:solidFill>
              <a:srgbClr val="B75927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Summary!$H$165:$H$192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Summary!$I$165:$I$192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558.51035969190832</c:v>
                </c:pt>
                <c:pt idx="3">
                  <c:v>1095.4345271838797</c:v>
                </c:pt>
                <c:pt idx="4">
                  <c:v>1601.8451766468163</c:v>
                </c:pt>
                <c:pt idx="5">
                  <c:v>2053.277673599775</c:v>
                </c:pt>
                <c:pt idx="6">
                  <c:v>2428.5289218879111</c:v>
                </c:pt>
                <c:pt idx="7">
                  <c:v>2718.9441833802002</c:v>
                </c:pt>
                <c:pt idx="8">
                  <c:v>2925.6032182654726</c:v>
                </c:pt>
                <c:pt idx="9">
                  <c:v>3121.8629494562892</c:v>
                </c:pt>
                <c:pt idx="10">
                  <c:v>3234.646409021263</c:v>
                </c:pt>
                <c:pt idx="11">
                  <c:v>3295.6236743331528</c:v>
                </c:pt>
                <c:pt idx="12">
                  <c:v>3320.8653744981989</c:v>
                </c:pt>
                <c:pt idx="13">
                  <c:v>3336.0877459556241</c:v>
                </c:pt>
                <c:pt idx="14">
                  <c:v>3343.9317457933357</c:v>
                </c:pt>
                <c:pt idx="15">
                  <c:v>3346.7184601806057</c:v>
                </c:pt>
                <c:pt idx="16">
                  <c:v>3346.3728731911469</c:v>
                </c:pt>
                <c:pt idx="17">
                  <c:v>3344.4107946686172</c:v>
                </c:pt>
                <c:pt idx="18">
                  <c:v>3341.9633290247302</c:v>
                </c:pt>
                <c:pt idx="19">
                  <c:v>3339.8188789378305</c:v>
                </c:pt>
                <c:pt idx="20">
                  <c:v>3338.467987160469</c:v>
                </c:pt>
                <c:pt idx="21">
                  <c:v>3338.0413887932805</c:v>
                </c:pt>
                <c:pt idx="22">
                  <c:v>3338.2604409516312</c:v>
                </c:pt>
                <c:pt idx="23">
                  <c:v>3339.8734070538576</c:v>
                </c:pt>
                <c:pt idx="24">
                  <c:v>3342.6776048486231</c:v>
                </c:pt>
                <c:pt idx="25">
                  <c:v>3344.4799061187073</c:v>
                </c:pt>
                <c:pt idx="26">
                  <c:v>3346.7341051091416</c:v>
                </c:pt>
                <c:pt idx="27">
                  <c:v>3349.5770517207216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B1-6342-AD1F-DA6DA59AD767}"/>
            </c:ext>
          </c:extLst>
        </c:ser>
        <c:ser>
          <c:idx val="1"/>
          <c:order val="1"/>
          <c:tx>
            <c:strRef>
              <c:f>Summary!$J$164</c:f>
              <c:strCache>
                <c:ptCount val="1"/>
                <c:pt idx="0">
                  <c:v>Venting</c:v>
                </c:pt>
              </c:strCache>
            </c:strRef>
          </c:tx>
          <c:spPr>
            <a:solidFill>
              <a:srgbClr val="DA692E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Summary!$H$165:$H$192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Summary!$J$165:$J$192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716.92317454387955</c:v>
                </c:pt>
                <c:pt idx="2">
                  <c:v>719.03998757210525</c:v>
                </c:pt>
                <c:pt idx="3">
                  <c:v>708.73691086216684</c:v>
                </c:pt>
                <c:pt idx="4">
                  <c:v>826.53737061723871</c:v>
                </c:pt>
                <c:pt idx="5">
                  <c:v>860.17036190343026</c:v>
                </c:pt>
                <c:pt idx="6">
                  <c:v>944.25090705718583</c:v>
                </c:pt>
                <c:pt idx="7">
                  <c:v>1031.1807788008289</c:v>
                </c:pt>
                <c:pt idx="8">
                  <c:v>1119.9075214079976</c:v>
                </c:pt>
                <c:pt idx="9">
                  <c:v>1189.4208553417582</c:v>
                </c:pt>
                <c:pt idx="10">
                  <c:v>1259.8404051316336</c:v>
                </c:pt>
                <c:pt idx="11">
                  <c:v>1331.315025092083</c:v>
                </c:pt>
                <c:pt idx="12">
                  <c:v>1404.017675030982</c:v>
                </c:pt>
                <c:pt idx="13">
                  <c:v>1478.1229975762724</c:v>
                </c:pt>
                <c:pt idx="14">
                  <c:v>1553.7937719825431</c:v>
                </c:pt>
                <c:pt idx="15">
                  <c:v>1631.174097133073</c:v>
                </c:pt>
                <c:pt idx="16">
                  <c:v>1710.3873237286036</c:v>
                </c:pt>
                <c:pt idx="17">
                  <c:v>1791.5370350897144</c:v>
                </c:pt>
                <c:pt idx="18">
                  <c:v>1875.4505755356267</c:v>
                </c:pt>
                <c:pt idx="19">
                  <c:v>1962.0960774336108</c:v>
                </c:pt>
                <c:pt idx="20">
                  <c:v>2051.0557249915241</c:v>
                </c:pt>
                <c:pt idx="21">
                  <c:v>2142.3963833015341</c:v>
                </c:pt>
                <c:pt idx="22">
                  <c:v>2236.1838841214903</c:v>
                </c:pt>
                <c:pt idx="23">
                  <c:v>2332.4860033392297</c:v>
                </c:pt>
                <c:pt idx="24">
                  <c:v>2431.3746239489883</c:v>
                </c:pt>
                <c:pt idx="25">
                  <c:v>2532.9269852827269</c:v>
                </c:pt>
                <c:pt idx="26">
                  <c:v>2637.2258366398623</c:v>
                </c:pt>
                <c:pt idx="27">
                  <c:v>2744.3583715811014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B1-6342-AD1F-DA6DA59AD767}"/>
            </c:ext>
          </c:extLst>
        </c:ser>
        <c:ser>
          <c:idx val="2"/>
          <c:order val="2"/>
          <c:tx>
            <c:strRef>
              <c:f>Summary!$K$164</c:f>
              <c:strCache>
                <c:ptCount val="1"/>
                <c:pt idx="0">
                  <c:v>Flaring</c:v>
                </c:pt>
              </c:strCache>
            </c:strRef>
          </c:tx>
          <c:spPr>
            <a:solidFill>
              <a:srgbClr val="EC9073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Summary!$H$165:$H$192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Summary!$K$165:$K$192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716.92317454387955</c:v>
                </c:pt>
                <c:pt idx="2">
                  <c:v>749.9199604309548</c:v>
                </c:pt>
                <c:pt idx="3">
                  <c:v>770.68048704334956</c:v>
                </c:pt>
                <c:pt idx="4">
                  <c:v>909.34308036216908</c:v>
                </c:pt>
                <c:pt idx="5">
                  <c:v>965.47395724955595</c:v>
                </c:pt>
                <c:pt idx="6">
                  <c:v>991.96465444027285</c:v>
                </c:pt>
                <c:pt idx="7">
                  <c:v>1017.2860503189573</c:v>
                </c:pt>
                <c:pt idx="8">
                  <c:v>1040.046570726257</c:v>
                </c:pt>
                <c:pt idx="9">
                  <c:v>1053.6949725586987</c:v>
                </c:pt>
                <c:pt idx="10">
                  <c:v>1068.1617851405692</c:v>
                </c:pt>
                <c:pt idx="11">
                  <c:v>1083.0161084761787</c:v>
                </c:pt>
                <c:pt idx="12">
                  <c:v>1098.0654968622287</c:v>
                </c:pt>
                <c:pt idx="13">
                  <c:v>1113.3163334751753</c:v>
                </c:pt>
                <c:pt idx="14">
                  <c:v>1129.0883662760955</c:v>
                </c:pt>
                <c:pt idx="15">
                  <c:v>1145.5871194412189</c:v>
                </c:pt>
                <c:pt idx="16">
                  <c:v>1162.9723848598887</c:v>
                </c:pt>
                <c:pt idx="17">
                  <c:v>1181.5920190280615</c:v>
                </c:pt>
                <c:pt idx="18">
                  <c:v>1201.7699598676347</c:v>
                </c:pt>
                <c:pt idx="19">
                  <c:v>1223.4967942014621</c:v>
                </c:pt>
                <c:pt idx="20">
                  <c:v>1247.2809884236892</c:v>
                </c:pt>
                <c:pt idx="21">
                  <c:v>1273.1968099633066</c:v>
                </c:pt>
                <c:pt idx="22">
                  <c:v>1301.2423023587912</c:v>
                </c:pt>
                <c:pt idx="23">
                  <c:v>1331.3534559789964</c:v>
                </c:pt>
                <c:pt idx="24">
                  <c:v>1363.417734546771</c:v>
                </c:pt>
                <c:pt idx="25">
                  <c:v>1397.2880104754611</c:v>
                </c:pt>
                <c:pt idx="26">
                  <c:v>1432.7986462934134</c:v>
                </c:pt>
                <c:pt idx="27">
                  <c:v>1459.7820159591847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B1-6342-AD1F-DA6DA59AD767}"/>
            </c:ext>
          </c:extLst>
        </c:ser>
        <c:ser>
          <c:idx val="3"/>
          <c:order val="3"/>
          <c:tx>
            <c:strRef>
              <c:f>Summary!$L$164</c:f>
              <c:strCache>
                <c:ptCount val="1"/>
                <c:pt idx="0">
                  <c:v>Gas Recovery</c:v>
                </c:pt>
              </c:strCache>
            </c:strRef>
          </c:tx>
          <c:spPr>
            <a:solidFill>
              <a:srgbClr val="F2BEB1"/>
            </a:solidFill>
            <a:ln w="0">
              <a:solidFill>
                <a:srgbClr val="00000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Summary!$H$165:$H$192</c:f>
              <c:numCache>
                <c:formatCode>General</c:formatCode>
                <c:ptCount val="2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  <c:pt idx="13">
                  <c:v>2036</c:v>
                </c:pt>
                <c:pt idx="14">
                  <c:v>2037</c:v>
                </c:pt>
                <c:pt idx="15">
                  <c:v>2038</c:v>
                </c:pt>
                <c:pt idx="16">
                  <c:v>2039</c:v>
                </c:pt>
                <c:pt idx="17">
                  <c:v>2040</c:v>
                </c:pt>
                <c:pt idx="18">
                  <c:v>2041</c:v>
                </c:pt>
                <c:pt idx="19">
                  <c:v>2042</c:v>
                </c:pt>
                <c:pt idx="20">
                  <c:v>2043</c:v>
                </c:pt>
                <c:pt idx="21">
                  <c:v>2044</c:v>
                </c:pt>
                <c:pt idx="22">
                  <c:v>2045</c:v>
                </c:pt>
                <c:pt idx="23">
                  <c:v>2046</c:v>
                </c:pt>
                <c:pt idx="24">
                  <c:v>2047</c:v>
                </c:pt>
                <c:pt idx="25">
                  <c:v>2048</c:v>
                </c:pt>
                <c:pt idx="26">
                  <c:v>2049</c:v>
                </c:pt>
                <c:pt idx="27">
                  <c:v>2050</c:v>
                </c:pt>
              </c:numCache>
            </c:numRef>
          </c:cat>
          <c:val>
            <c:numRef>
              <c:f>Summary!$L$165:$L$192</c:f>
              <c:numCache>
                <c:formatCode>#,##0.00;\(#,##0.00\);\-</c:formatCode>
                <c:ptCount val="28"/>
                <c:pt idx="0">
                  <c:v>0</c:v>
                </c:pt>
                <c:pt idx="1">
                  <c:v>716.92317454387955</c:v>
                </c:pt>
                <c:pt idx="2">
                  <c:v>1278.8087615141408</c:v>
                </c:pt>
                <c:pt idx="3">
                  <c:v>1806.6710196792737</c:v>
                </c:pt>
                <c:pt idx="4">
                  <c:v>1942.7108438253642</c:v>
                </c:pt>
                <c:pt idx="5">
                  <c:v>2154.6725929236823</c:v>
                </c:pt>
                <c:pt idx="6">
                  <c:v>2486.5346799120089</c:v>
                </c:pt>
                <c:pt idx="7">
                  <c:v>2754.7819531054488</c:v>
                </c:pt>
                <c:pt idx="8">
                  <c:v>2941.6096166968509</c:v>
                </c:pt>
                <c:pt idx="9">
                  <c:v>3127.3391560178175</c:v>
                </c:pt>
                <c:pt idx="10">
                  <c:v>3234.65259406107</c:v>
                </c:pt>
                <c:pt idx="11">
                  <c:v>3295.62951714681</c:v>
                </c:pt>
                <c:pt idx="12">
                  <c:v>3320.8708815184032</c:v>
                </c:pt>
                <c:pt idx="13">
                  <c:v>3336.0929239427796</c:v>
                </c:pt>
                <c:pt idx="14">
                  <c:v>3343.9366016629219</c:v>
                </c:pt>
                <c:pt idx="15">
                  <c:v>3346.72299828933</c:v>
                </c:pt>
                <c:pt idx="16">
                  <c:v>3346.3771019911715</c:v>
                </c:pt>
                <c:pt idx="17">
                  <c:v>3344.4147225982279</c:v>
                </c:pt>
                <c:pt idx="18">
                  <c:v>3341.9669647076803</c:v>
                </c:pt>
                <c:pt idx="19">
                  <c:v>3339.8222375413229</c:v>
                </c:pt>
                <c:pt idx="20">
                  <c:v>3338.4710768186214</c:v>
                </c:pt>
                <c:pt idx="21">
                  <c:v>3338.0442644571035</c:v>
                </c:pt>
                <c:pt idx="22">
                  <c:v>3338.2631016431724</c:v>
                </c:pt>
                <c:pt idx="23">
                  <c:v>3339.875851933934</c:v>
                </c:pt>
                <c:pt idx="24">
                  <c:v>3342.6798332003104</c:v>
                </c:pt>
                <c:pt idx="25">
                  <c:v>3344.4819173856072</c:v>
                </c:pt>
                <c:pt idx="26">
                  <c:v>3346.735898874128</c:v>
                </c:pt>
                <c:pt idx="27">
                  <c:v>3349.5786277061425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B1-6342-AD1F-DA6DA59A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018611"/>
        <c:axId val="79991725"/>
      </c:areaChart>
      <c:catAx>
        <c:axId val="720186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79991725"/>
        <c:crosses val="autoZero"/>
        <c:auto val="1"/>
        <c:lblAlgn val="ctr"/>
        <c:lblOffset val="100"/>
        <c:noMultiLvlLbl val="0"/>
      </c:catAx>
      <c:valAx>
        <c:axId val="799917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;\(#,##0.0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ptos Narrow"/>
              </a:defRPr>
            </a:pPr>
            <a:endParaRPr lang="en-MX"/>
          </a:p>
        </c:txPr>
        <c:crossAx val="7201861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ptos Narrow"/>
            </a:defRPr>
          </a:pPr>
          <a:endParaRPr lang="en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1</xdr:row>
      <xdr:rowOff>175680</xdr:rowOff>
    </xdr:from>
    <xdr:to>
      <xdr:col>23</xdr:col>
      <xdr:colOff>1800</xdr:colOff>
      <xdr:row>18</xdr:row>
      <xdr:rowOff>174240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176040</xdr:rowOff>
    </xdr:from>
    <xdr:to>
      <xdr:col>23</xdr:col>
      <xdr:colOff>1800</xdr:colOff>
      <xdr:row>37</xdr:row>
      <xdr:rowOff>174600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0</xdr:colOff>
      <xdr:row>39</xdr:row>
      <xdr:rowOff>176040</xdr:rowOff>
    </xdr:from>
    <xdr:to>
      <xdr:col>23</xdr:col>
      <xdr:colOff>1800</xdr:colOff>
      <xdr:row>56</xdr:row>
      <xdr:rowOff>174600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58</xdr:row>
      <xdr:rowOff>176040</xdr:rowOff>
    </xdr:from>
    <xdr:to>
      <xdr:col>23</xdr:col>
      <xdr:colOff>1800</xdr:colOff>
      <xdr:row>75</xdr:row>
      <xdr:rowOff>174600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77</xdr:row>
      <xdr:rowOff>176040</xdr:rowOff>
    </xdr:from>
    <xdr:to>
      <xdr:col>23</xdr:col>
      <xdr:colOff>1800</xdr:colOff>
      <xdr:row>94</xdr:row>
      <xdr:rowOff>174600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0</xdr:colOff>
      <xdr:row>96</xdr:row>
      <xdr:rowOff>175680</xdr:rowOff>
    </xdr:from>
    <xdr:to>
      <xdr:col>23</xdr:col>
      <xdr:colOff>1800</xdr:colOff>
      <xdr:row>113</xdr:row>
      <xdr:rowOff>174600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zoomScaleNormal="100" workbookViewId="0">
      <selection activeCell="B33" sqref="B33:B60"/>
    </sheetView>
  </sheetViews>
  <sheetFormatPr baseColWidth="10" defaultColWidth="8.6640625" defaultRowHeight="15" x14ac:dyDescent="0.2"/>
  <cols>
    <col min="1" max="1" width="42" customWidth="1"/>
    <col min="2" max="2" width="18" customWidth="1"/>
    <col min="3" max="3" width="22" customWidth="1"/>
    <col min="4" max="4" width="70" customWidth="1"/>
  </cols>
  <sheetData>
    <row r="1" spans="1:4" ht="17.25" customHeight="1" x14ac:dyDescent="0.2">
      <c r="A1" s="36" t="s">
        <v>0</v>
      </c>
      <c r="B1" s="36"/>
      <c r="C1" s="36"/>
      <c r="D1" s="36"/>
    </row>
    <row r="3" spans="1:4" ht="15" customHeight="1" x14ac:dyDescent="0.2">
      <c r="A3" s="37" t="s">
        <v>1</v>
      </c>
      <c r="B3" s="37"/>
      <c r="C3" s="37"/>
      <c r="D3" s="37"/>
    </row>
    <row r="4" spans="1:4" ht="15" customHeight="1" x14ac:dyDescent="0.2">
      <c r="A4" s="6" t="s">
        <v>2</v>
      </c>
      <c r="B4" s="6" t="s">
        <v>3</v>
      </c>
      <c r="C4" s="6" t="s">
        <v>4</v>
      </c>
      <c r="D4" s="6" t="s">
        <v>5</v>
      </c>
    </row>
    <row r="5" spans="1:4" ht="15" customHeight="1" x14ac:dyDescent="0.2">
      <c r="A5" s="4" t="s">
        <v>6</v>
      </c>
      <c r="B5" s="7">
        <v>28</v>
      </c>
      <c r="C5" s="4" t="s">
        <v>7</v>
      </c>
      <c r="D5" s="4" t="s">
        <v>8</v>
      </c>
    </row>
    <row r="6" spans="1:4" ht="15" customHeight="1" x14ac:dyDescent="0.2">
      <c r="A6" s="4" t="s">
        <v>9</v>
      </c>
      <c r="B6" s="8">
        <v>0.95</v>
      </c>
      <c r="C6" s="4" t="s">
        <v>10</v>
      </c>
      <c r="D6" s="4" t="s">
        <v>11</v>
      </c>
    </row>
    <row r="7" spans="1:4" ht="15" customHeight="1" x14ac:dyDescent="0.2">
      <c r="A7" s="4" t="s">
        <v>12</v>
      </c>
      <c r="B7" s="8">
        <v>0.95</v>
      </c>
      <c r="C7" s="4" t="s">
        <v>10</v>
      </c>
      <c r="D7" s="4" t="s">
        <v>13</v>
      </c>
    </row>
    <row r="8" spans="1:4" ht="15" customHeight="1" x14ac:dyDescent="0.2">
      <c r="A8" s="4" t="s">
        <v>14</v>
      </c>
      <c r="B8" s="8">
        <v>1.9099999999999999E-2</v>
      </c>
      <c r="C8" s="4" t="s">
        <v>15</v>
      </c>
      <c r="D8" s="4" t="s">
        <v>16</v>
      </c>
    </row>
    <row r="9" spans="1:4" ht="15" customHeight="1" x14ac:dyDescent="0.2">
      <c r="A9" s="4" t="s">
        <v>17</v>
      </c>
      <c r="B9" s="7">
        <v>365</v>
      </c>
      <c r="C9" s="4" t="s">
        <v>18</v>
      </c>
      <c r="D9" s="4" t="s">
        <v>19</v>
      </c>
    </row>
    <row r="10" spans="1:4" ht="15" customHeight="1" x14ac:dyDescent="0.2">
      <c r="A10" s="4" t="s">
        <v>20</v>
      </c>
      <c r="B10" s="7">
        <v>1000000000</v>
      </c>
      <c r="C10" s="4" t="s">
        <v>21</v>
      </c>
      <c r="D10" s="4" t="s">
        <v>22</v>
      </c>
    </row>
    <row r="11" spans="1:4" ht="15" customHeight="1" x14ac:dyDescent="0.2">
      <c r="A11" s="4" t="s">
        <v>23</v>
      </c>
      <c r="B11" s="7">
        <v>1000000</v>
      </c>
      <c r="C11" s="4" t="s">
        <v>24</v>
      </c>
      <c r="D11" s="4" t="s">
        <v>25</v>
      </c>
    </row>
    <row r="12" spans="1:4" ht="15" customHeight="1" x14ac:dyDescent="0.2">
      <c r="A12" s="4" t="s">
        <v>26</v>
      </c>
      <c r="B12" s="9">
        <f>B10/B5/B6/B8/B9/B11</f>
        <v>5.3925245589049728</v>
      </c>
      <c r="C12" s="4" t="s">
        <v>27</v>
      </c>
      <c r="D12" s="2" t="s">
        <v>28</v>
      </c>
    </row>
    <row r="13" spans="1:4" ht="15" customHeight="1" x14ac:dyDescent="0.2">
      <c r="A13" s="4" t="s">
        <v>29</v>
      </c>
      <c r="B13" s="9">
        <f>B10/B5/B7/B8/B9/B11</f>
        <v>5.3925245589049728</v>
      </c>
      <c r="C13" s="4" t="s">
        <v>27</v>
      </c>
      <c r="D13" s="2" t="s">
        <v>30</v>
      </c>
    </row>
    <row r="15" spans="1:4" ht="15" customHeight="1" x14ac:dyDescent="0.2">
      <c r="A15" s="37" t="s">
        <v>31</v>
      </c>
      <c r="B15" s="37"/>
      <c r="C15" s="37"/>
      <c r="D15" s="37"/>
    </row>
    <row r="16" spans="1:4" ht="15" customHeight="1" x14ac:dyDescent="0.2">
      <c r="A16" t="s">
        <v>32</v>
      </c>
      <c r="B16" s="10">
        <v>607</v>
      </c>
      <c r="C16" t="s">
        <v>33</v>
      </c>
      <c r="D16" t="s">
        <v>34</v>
      </c>
    </row>
    <row r="17" spans="1:4" ht="15" customHeight="1" x14ac:dyDescent="0.2">
      <c r="A17" t="s">
        <v>35</v>
      </c>
      <c r="B17" s="10">
        <v>991</v>
      </c>
      <c r="C17" t="s">
        <v>33</v>
      </c>
      <c r="D17" t="s">
        <v>36</v>
      </c>
    </row>
    <row r="18" spans="1:4" ht="15" customHeight="1" x14ac:dyDescent="0.2">
      <c r="A18" t="s">
        <v>37</v>
      </c>
      <c r="B18" s="11">
        <f>SISEPUEDE!D5</f>
        <v>6.2913515251461725</v>
      </c>
      <c r="C18" t="s">
        <v>38</v>
      </c>
      <c r="D18" t="s">
        <v>39</v>
      </c>
    </row>
    <row r="19" spans="1:4" ht="15" customHeight="1" x14ac:dyDescent="0.2">
      <c r="A19" t="s">
        <v>40</v>
      </c>
      <c r="B19" s="11">
        <f>SISEPUEDE!D11</f>
        <v>11.586339432720507</v>
      </c>
      <c r="C19" t="s">
        <v>38</v>
      </c>
      <c r="D19" t="s">
        <v>41</v>
      </c>
    </row>
    <row r="20" spans="1:4" ht="15" customHeight="1" x14ac:dyDescent="0.2">
      <c r="A20" t="s">
        <v>42</v>
      </c>
      <c r="B20" s="9">
        <f>B16/B18</f>
        <v>96.481653834451265</v>
      </c>
      <c r="C20" t="s">
        <v>27</v>
      </c>
      <c r="D20" t="s">
        <v>43</v>
      </c>
    </row>
    <row r="21" spans="1:4" ht="15" customHeight="1" x14ac:dyDescent="0.2">
      <c r="A21" t="s">
        <v>44</v>
      </c>
      <c r="B21" s="9">
        <f>B17/B19</f>
        <v>85.531759686010702</v>
      </c>
      <c r="C21" t="s">
        <v>27</v>
      </c>
      <c r="D21" t="s">
        <v>45</v>
      </c>
    </row>
    <row r="23" spans="1:4" ht="15" customHeight="1" x14ac:dyDescent="0.2">
      <c r="A23" s="37" t="s">
        <v>46</v>
      </c>
      <c r="B23" s="37"/>
      <c r="C23" s="37"/>
      <c r="D23" s="37"/>
    </row>
    <row r="24" spans="1:4" ht="15" customHeight="1" x14ac:dyDescent="0.2">
      <c r="A24" s="4" t="s">
        <v>47</v>
      </c>
      <c r="B24" s="39" t="s">
        <v>48</v>
      </c>
      <c r="C24" s="39"/>
      <c r="D24" s="39"/>
    </row>
    <row r="25" spans="1:4" ht="15" customHeight="1" x14ac:dyDescent="0.2">
      <c r="A25" s="4" t="s">
        <v>49</v>
      </c>
      <c r="B25" s="39" t="s">
        <v>50</v>
      </c>
      <c r="C25" s="39"/>
      <c r="D25" s="39"/>
    </row>
    <row r="26" spans="1:4" ht="15" customHeight="1" x14ac:dyDescent="0.2">
      <c r="A26" s="4" t="s">
        <v>51</v>
      </c>
      <c r="B26" s="39" t="s">
        <v>52</v>
      </c>
      <c r="C26" s="39"/>
      <c r="D26" s="39"/>
    </row>
    <row r="27" spans="1:4" ht="15" customHeight="1" x14ac:dyDescent="0.2">
      <c r="A27" s="4" t="s">
        <v>53</v>
      </c>
      <c r="B27" s="39" t="s">
        <v>54</v>
      </c>
      <c r="C27" s="39"/>
      <c r="D27" s="39"/>
    </row>
    <row r="28" spans="1:4" ht="15" customHeight="1" x14ac:dyDescent="0.2">
      <c r="A28" s="4" t="s">
        <v>55</v>
      </c>
      <c r="B28" s="39" t="s">
        <v>56</v>
      </c>
      <c r="C28" s="39"/>
      <c r="D28" s="39"/>
    </row>
    <row r="31" spans="1:4" ht="15" customHeight="1" x14ac:dyDescent="0.2">
      <c r="A31" s="37" t="s">
        <v>57</v>
      </c>
      <c r="B31" s="37"/>
      <c r="C31" s="37"/>
      <c r="D31" s="37"/>
    </row>
    <row r="32" spans="1:4" ht="15" customHeight="1" x14ac:dyDescent="0.2">
      <c r="A32" s="6" t="s">
        <v>58</v>
      </c>
      <c r="B32" s="6" t="s">
        <v>59</v>
      </c>
      <c r="C32" s="6" t="s">
        <v>4</v>
      </c>
      <c r="D32" s="6" t="s">
        <v>60</v>
      </c>
    </row>
    <row r="33" spans="1:4" ht="15" customHeight="1" x14ac:dyDescent="0.2">
      <c r="A33" s="4">
        <v>2023</v>
      </c>
      <c r="B33" s="12">
        <f t="shared" ref="B33:B60" si="0">IF(A33&lt;=2024,$B$20,IF(A33&gt;=2030,$B$21,$B$20+($B$21-$B$20)*(A33-2024)/(2030-2024)))</f>
        <v>96.481653834451265</v>
      </c>
      <c r="C33" s="4" t="s">
        <v>27</v>
      </c>
      <c r="D33" s="2" t="s">
        <v>61</v>
      </c>
    </row>
    <row r="34" spans="1:4" ht="15" customHeight="1" x14ac:dyDescent="0.2">
      <c r="A34" s="4">
        <v>2024</v>
      </c>
      <c r="B34" s="12">
        <f t="shared" si="0"/>
        <v>96.481653834451265</v>
      </c>
      <c r="C34" s="4" t="s">
        <v>27</v>
      </c>
      <c r="D34" s="2" t="s">
        <v>62</v>
      </c>
    </row>
    <row r="35" spans="1:4" ht="15" customHeight="1" x14ac:dyDescent="0.2">
      <c r="A35" s="4">
        <v>2025</v>
      </c>
      <c r="B35" s="12">
        <f t="shared" si="0"/>
        <v>94.656671476377838</v>
      </c>
      <c r="C35" s="4" t="s">
        <v>27</v>
      </c>
      <c r="D35" s="2" t="s">
        <v>63</v>
      </c>
    </row>
    <row r="36" spans="1:4" ht="15" customHeight="1" x14ac:dyDescent="0.2">
      <c r="A36" s="4">
        <v>2026</v>
      </c>
      <c r="B36" s="12">
        <f t="shared" si="0"/>
        <v>92.831689118304411</v>
      </c>
      <c r="C36" s="4" t="s">
        <v>27</v>
      </c>
      <c r="D36" s="2" t="s">
        <v>63</v>
      </c>
    </row>
    <row r="37" spans="1:4" ht="15" customHeight="1" x14ac:dyDescent="0.2">
      <c r="A37" s="4">
        <v>2027</v>
      </c>
      <c r="B37" s="12">
        <f t="shared" si="0"/>
        <v>91.006706760230983</v>
      </c>
      <c r="C37" s="4" t="s">
        <v>27</v>
      </c>
      <c r="D37" s="2" t="s">
        <v>63</v>
      </c>
    </row>
    <row r="38" spans="1:4" ht="15" customHeight="1" x14ac:dyDescent="0.2">
      <c r="A38" s="4">
        <v>2028</v>
      </c>
      <c r="B38" s="12">
        <f t="shared" si="0"/>
        <v>89.181724402157556</v>
      </c>
      <c r="C38" s="4" t="s">
        <v>27</v>
      </c>
      <c r="D38" s="2" t="s">
        <v>63</v>
      </c>
    </row>
    <row r="39" spans="1:4" ht="15" customHeight="1" x14ac:dyDescent="0.2">
      <c r="A39" s="4">
        <v>2029</v>
      </c>
      <c r="B39" s="12">
        <f t="shared" si="0"/>
        <v>87.356742044084129</v>
      </c>
      <c r="C39" s="4" t="s">
        <v>27</v>
      </c>
      <c r="D39" s="2" t="s">
        <v>63</v>
      </c>
    </row>
    <row r="40" spans="1:4" ht="15" customHeight="1" x14ac:dyDescent="0.2">
      <c r="A40" s="4">
        <v>2030</v>
      </c>
      <c r="B40" s="12">
        <f t="shared" si="0"/>
        <v>85.531759686010702</v>
      </c>
      <c r="C40" s="4" t="s">
        <v>27</v>
      </c>
      <c r="D40" s="2" t="s">
        <v>64</v>
      </c>
    </row>
    <row r="41" spans="1:4" ht="15" customHeight="1" x14ac:dyDescent="0.2">
      <c r="A41" s="4">
        <v>2031</v>
      </c>
      <c r="B41" s="12">
        <f t="shared" si="0"/>
        <v>85.531759686010702</v>
      </c>
      <c r="C41" s="4" t="s">
        <v>27</v>
      </c>
      <c r="D41" s="2" t="s">
        <v>65</v>
      </c>
    </row>
    <row r="42" spans="1:4" ht="15" customHeight="1" x14ac:dyDescent="0.2">
      <c r="A42" s="4">
        <v>2032</v>
      </c>
      <c r="B42" s="12">
        <f t="shared" si="0"/>
        <v>85.531759686010702</v>
      </c>
      <c r="C42" s="4" t="s">
        <v>27</v>
      </c>
      <c r="D42" s="2" t="s">
        <v>65</v>
      </c>
    </row>
    <row r="43" spans="1:4" ht="15" customHeight="1" x14ac:dyDescent="0.2">
      <c r="A43" s="4">
        <v>2033</v>
      </c>
      <c r="B43" s="12">
        <f t="shared" si="0"/>
        <v>85.531759686010702</v>
      </c>
      <c r="C43" s="4" t="s">
        <v>27</v>
      </c>
      <c r="D43" s="2" t="s">
        <v>65</v>
      </c>
    </row>
    <row r="44" spans="1:4" ht="15" customHeight="1" x14ac:dyDescent="0.2">
      <c r="A44" s="4">
        <v>2034</v>
      </c>
      <c r="B44" s="12">
        <f t="shared" si="0"/>
        <v>85.531759686010702</v>
      </c>
      <c r="C44" s="4" t="s">
        <v>27</v>
      </c>
      <c r="D44" s="2" t="s">
        <v>65</v>
      </c>
    </row>
    <row r="45" spans="1:4" ht="15" customHeight="1" x14ac:dyDescent="0.2">
      <c r="A45" s="4">
        <v>2035</v>
      </c>
      <c r="B45" s="12">
        <f t="shared" si="0"/>
        <v>85.531759686010702</v>
      </c>
      <c r="C45" s="4" t="s">
        <v>27</v>
      </c>
      <c r="D45" s="2" t="s">
        <v>65</v>
      </c>
    </row>
    <row r="46" spans="1:4" ht="15" customHeight="1" x14ac:dyDescent="0.2">
      <c r="A46" s="4">
        <v>2036</v>
      </c>
      <c r="B46" s="12">
        <f t="shared" si="0"/>
        <v>85.531759686010702</v>
      </c>
      <c r="C46" s="4" t="s">
        <v>27</v>
      </c>
      <c r="D46" s="2" t="s">
        <v>65</v>
      </c>
    </row>
    <row r="47" spans="1:4" ht="15" customHeight="1" x14ac:dyDescent="0.2">
      <c r="A47" s="4">
        <v>2037</v>
      </c>
      <c r="B47" s="12">
        <f t="shared" si="0"/>
        <v>85.531759686010702</v>
      </c>
      <c r="C47" s="4" t="s">
        <v>27</v>
      </c>
      <c r="D47" s="2" t="s">
        <v>65</v>
      </c>
    </row>
    <row r="48" spans="1:4" ht="15" customHeight="1" x14ac:dyDescent="0.2">
      <c r="A48" s="4">
        <v>2038</v>
      </c>
      <c r="B48" s="12">
        <f t="shared" si="0"/>
        <v>85.531759686010702</v>
      </c>
      <c r="C48" s="4" t="s">
        <v>27</v>
      </c>
      <c r="D48" s="2" t="s">
        <v>65</v>
      </c>
    </row>
    <row r="49" spans="1:4" ht="15" customHeight="1" x14ac:dyDescent="0.2">
      <c r="A49" s="4">
        <v>2039</v>
      </c>
      <c r="B49" s="12">
        <f t="shared" si="0"/>
        <v>85.531759686010702</v>
      </c>
      <c r="C49" s="4" t="s">
        <v>27</v>
      </c>
      <c r="D49" s="2" t="s">
        <v>65</v>
      </c>
    </row>
    <row r="50" spans="1:4" ht="15" customHeight="1" x14ac:dyDescent="0.2">
      <c r="A50" s="4">
        <v>2040</v>
      </c>
      <c r="B50" s="12">
        <f t="shared" si="0"/>
        <v>85.531759686010702</v>
      </c>
      <c r="C50" s="4" t="s">
        <v>27</v>
      </c>
      <c r="D50" s="2" t="s">
        <v>65</v>
      </c>
    </row>
    <row r="51" spans="1:4" ht="15" customHeight="1" x14ac:dyDescent="0.2">
      <c r="A51" s="4">
        <v>2041</v>
      </c>
      <c r="B51" s="12">
        <f t="shared" si="0"/>
        <v>85.531759686010702</v>
      </c>
      <c r="C51" s="4" t="s">
        <v>27</v>
      </c>
      <c r="D51" s="2" t="s">
        <v>65</v>
      </c>
    </row>
    <row r="52" spans="1:4" ht="15" customHeight="1" x14ac:dyDescent="0.2">
      <c r="A52" s="4">
        <v>2042</v>
      </c>
      <c r="B52" s="12">
        <f t="shared" si="0"/>
        <v>85.531759686010702</v>
      </c>
      <c r="C52" s="4" t="s">
        <v>27</v>
      </c>
      <c r="D52" s="2" t="s">
        <v>65</v>
      </c>
    </row>
    <row r="53" spans="1:4" ht="15" customHeight="1" x14ac:dyDescent="0.2">
      <c r="A53" s="4">
        <v>2043</v>
      </c>
      <c r="B53" s="12">
        <f t="shared" si="0"/>
        <v>85.531759686010702</v>
      </c>
      <c r="C53" s="4" t="s">
        <v>27</v>
      </c>
      <c r="D53" s="2" t="s">
        <v>65</v>
      </c>
    </row>
    <row r="54" spans="1:4" ht="15" customHeight="1" x14ac:dyDescent="0.2">
      <c r="A54" s="4">
        <v>2044</v>
      </c>
      <c r="B54" s="12">
        <f t="shared" si="0"/>
        <v>85.531759686010702</v>
      </c>
      <c r="C54" s="4" t="s">
        <v>27</v>
      </c>
      <c r="D54" s="2" t="s">
        <v>65</v>
      </c>
    </row>
    <row r="55" spans="1:4" ht="15" customHeight="1" x14ac:dyDescent="0.2">
      <c r="A55" s="4">
        <v>2045</v>
      </c>
      <c r="B55" s="12">
        <f t="shared" si="0"/>
        <v>85.531759686010702</v>
      </c>
      <c r="C55" s="4" t="s">
        <v>27</v>
      </c>
      <c r="D55" s="2" t="s">
        <v>65</v>
      </c>
    </row>
    <row r="56" spans="1:4" ht="15" customHeight="1" x14ac:dyDescent="0.2">
      <c r="A56" s="4">
        <v>2046</v>
      </c>
      <c r="B56" s="12">
        <f t="shared" si="0"/>
        <v>85.531759686010702</v>
      </c>
      <c r="C56" s="4" t="s">
        <v>27</v>
      </c>
      <c r="D56" s="2" t="s">
        <v>65</v>
      </c>
    </row>
    <row r="57" spans="1:4" ht="15" customHeight="1" x14ac:dyDescent="0.2">
      <c r="A57" s="4">
        <v>2047</v>
      </c>
      <c r="B57" s="12">
        <f t="shared" si="0"/>
        <v>85.531759686010702</v>
      </c>
      <c r="C57" s="4" t="s">
        <v>27</v>
      </c>
      <c r="D57" s="2" t="s">
        <v>65</v>
      </c>
    </row>
    <row r="58" spans="1:4" ht="15" customHeight="1" x14ac:dyDescent="0.2">
      <c r="A58" s="4">
        <v>2048</v>
      </c>
      <c r="B58" s="12">
        <f t="shared" si="0"/>
        <v>85.531759686010702</v>
      </c>
      <c r="C58" s="4" t="s">
        <v>27</v>
      </c>
      <c r="D58" s="2" t="s">
        <v>65</v>
      </c>
    </row>
    <row r="59" spans="1:4" ht="15" customHeight="1" x14ac:dyDescent="0.2">
      <c r="A59" s="4">
        <v>2049</v>
      </c>
      <c r="B59" s="12">
        <f t="shared" si="0"/>
        <v>85.531759686010702</v>
      </c>
      <c r="C59" s="4" t="s">
        <v>27</v>
      </c>
      <c r="D59" s="2" t="s">
        <v>65</v>
      </c>
    </row>
    <row r="60" spans="1:4" ht="15" customHeight="1" x14ac:dyDescent="0.2">
      <c r="A60" s="4">
        <v>2050</v>
      </c>
      <c r="B60" s="12">
        <f t="shared" si="0"/>
        <v>85.531759686010702</v>
      </c>
      <c r="C60" s="4" t="s">
        <v>27</v>
      </c>
      <c r="D60" s="2" t="s">
        <v>65</v>
      </c>
    </row>
    <row r="63" spans="1:4" ht="15" customHeight="1" x14ac:dyDescent="0.2">
      <c r="A63" s="37" t="s">
        <v>66</v>
      </c>
      <c r="B63" s="37"/>
      <c r="C63" s="37"/>
      <c r="D63" s="37"/>
    </row>
    <row r="64" spans="1:4" ht="15" customHeight="1" x14ac:dyDescent="0.2">
      <c r="A64" s="39" t="s">
        <v>67</v>
      </c>
      <c r="B64" s="39"/>
      <c r="C64" s="39"/>
      <c r="D64" s="39"/>
    </row>
    <row r="65" spans="1:4" ht="15" customHeight="1" x14ac:dyDescent="0.2">
      <c r="A65" s="39" t="s">
        <v>68</v>
      </c>
      <c r="B65" s="39"/>
      <c r="C65" s="39"/>
      <c r="D65" s="39"/>
    </row>
    <row r="66" spans="1:4" ht="15" customHeight="1" x14ac:dyDescent="0.2">
      <c r="A66" s="39" t="s">
        <v>69</v>
      </c>
      <c r="B66" s="39"/>
      <c r="C66" s="39"/>
      <c r="D66" s="39"/>
    </row>
    <row r="67" spans="1:4" ht="15" customHeight="1" x14ac:dyDescent="0.2">
      <c r="A67" s="39"/>
      <c r="B67" s="39"/>
      <c r="C67" s="39"/>
      <c r="D67" s="39"/>
    </row>
    <row r="68" spans="1:4" ht="15" customHeight="1" x14ac:dyDescent="0.2">
      <c r="A68" s="39" t="s">
        <v>70</v>
      </c>
      <c r="B68" s="39"/>
      <c r="C68" s="39"/>
      <c r="D68" s="39"/>
    </row>
    <row r="69" spans="1:4" ht="15" customHeight="1" x14ac:dyDescent="0.2">
      <c r="A69" s="39" t="s">
        <v>71</v>
      </c>
      <c r="B69" s="39"/>
      <c r="C69" s="39"/>
      <c r="D69" s="39"/>
    </row>
    <row r="70" spans="1:4" ht="15" customHeight="1" x14ac:dyDescent="0.2">
      <c r="A70" s="39" t="s">
        <v>72</v>
      </c>
      <c r="B70" s="39"/>
      <c r="C70" s="39"/>
      <c r="D70" s="39"/>
    </row>
    <row r="71" spans="1:4" ht="15" customHeight="1" x14ac:dyDescent="0.2">
      <c r="A71" s="39" t="s">
        <v>73</v>
      </c>
      <c r="B71" s="39"/>
      <c r="C71" s="39"/>
      <c r="D71" s="39"/>
    </row>
    <row r="72" spans="1:4" ht="15" customHeight="1" x14ac:dyDescent="0.2">
      <c r="A72" s="39"/>
      <c r="B72" s="39"/>
      <c r="C72" s="39"/>
      <c r="D72" s="39"/>
    </row>
    <row r="73" spans="1:4" ht="15" customHeight="1" x14ac:dyDescent="0.2">
      <c r="A73" s="39" t="s">
        <v>74</v>
      </c>
      <c r="B73" s="39"/>
      <c r="C73" s="39"/>
      <c r="D73" s="39"/>
    </row>
    <row r="74" spans="1:4" ht="15" customHeight="1" x14ac:dyDescent="0.2">
      <c r="A74" s="39" t="s">
        <v>75</v>
      </c>
      <c r="B74" s="39"/>
      <c r="C74" s="39"/>
      <c r="D74" s="39"/>
    </row>
    <row r="75" spans="1:4" ht="15" customHeight="1" x14ac:dyDescent="0.2">
      <c r="A75" s="39" t="s">
        <v>76</v>
      </c>
      <c r="B75" s="39"/>
      <c r="C75" s="39"/>
      <c r="D75" s="39"/>
    </row>
    <row r="76" spans="1:4" ht="15" customHeight="1" x14ac:dyDescent="0.2">
      <c r="A76" s="39" t="s">
        <v>77</v>
      </c>
      <c r="B76" s="39"/>
      <c r="C76" s="39"/>
      <c r="D76" s="39"/>
    </row>
    <row r="77" spans="1:4" ht="15" customHeight="1" x14ac:dyDescent="0.2">
      <c r="A77" s="39" t="s">
        <v>78</v>
      </c>
      <c r="B77" s="39"/>
      <c r="C77" s="39"/>
      <c r="D77" s="39"/>
    </row>
    <row r="78" spans="1:4" ht="15" customHeight="1" x14ac:dyDescent="0.2">
      <c r="A78" s="39"/>
      <c r="B78" s="39"/>
      <c r="C78" s="39"/>
      <c r="D78" s="39"/>
    </row>
    <row r="79" spans="1:4" ht="15" customHeight="1" x14ac:dyDescent="0.2">
      <c r="A79" s="39" t="s">
        <v>79</v>
      </c>
      <c r="B79" s="39"/>
      <c r="C79" s="39"/>
      <c r="D79" s="39"/>
    </row>
    <row r="80" spans="1:4" ht="15" customHeight="1" x14ac:dyDescent="0.2">
      <c r="A80" s="39" t="s">
        <v>80</v>
      </c>
      <c r="B80" s="39"/>
      <c r="C80" s="39"/>
      <c r="D80" s="39"/>
    </row>
  </sheetData>
  <mergeCells count="28">
    <mergeCell ref="A78:D78"/>
    <mergeCell ref="A79:D79"/>
    <mergeCell ref="A80:D80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B25:D25"/>
    <mergeCell ref="B26:D26"/>
    <mergeCell ref="B27:D27"/>
    <mergeCell ref="B28:D28"/>
    <mergeCell ref="A31:D31"/>
    <mergeCell ref="A1:D1"/>
    <mergeCell ref="A3:D3"/>
    <mergeCell ref="A15:D15"/>
    <mergeCell ref="A23:D23"/>
    <mergeCell ref="B24:D2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8.6640625" defaultRowHeight="15" x14ac:dyDescent="0.2"/>
  <cols>
    <col min="1" max="1" width="7" customWidth="1"/>
    <col min="2" max="2" width="11" customWidth="1"/>
    <col min="3" max="17" width="12" customWidth="1"/>
  </cols>
  <sheetData>
    <row r="1" spans="1:17" ht="17.25" customHeight="1" x14ac:dyDescent="0.2">
      <c r="A1" s="36" t="s">
        <v>81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3" spans="1:17" ht="15" customHeight="1" x14ac:dyDescent="0.2">
      <c r="B3" s="5" t="s">
        <v>82</v>
      </c>
      <c r="C3" s="40" t="s">
        <v>83</v>
      </c>
      <c r="D3" s="40"/>
      <c r="E3" s="40"/>
      <c r="F3" s="40" t="s">
        <v>84</v>
      </c>
      <c r="G3" s="40"/>
      <c r="H3" s="40"/>
      <c r="I3" s="40"/>
      <c r="J3" s="40" t="s">
        <v>85</v>
      </c>
      <c r="K3" s="40"/>
      <c r="L3" s="40"/>
      <c r="M3" s="40"/>
      <c r="N3" s="40" t="s">
        <v>86</v>
      </c>
      <c r="O3" s="40"/>
      <c r="P3" s="40"/>
    </row>
    <row r="4" spans="1:17" ht="30" customHeight="1" x14ac:dyDescent="0.2">
      <c r="A4" s="13" t="s">
        <v>58</v>
      </c>
      <c r="B4" s="13" t="s">
        <v>59</v>
      </c>
      <c r="C4" s="13" t="s">
        <v>87</v>
      </c>
      <c r="D4" s="13" t="s">
        <v>88</v>
      </c>
      <c r="E4" s="13" t="s">
        <v>89</v>
      </c>
      <c r="F4" s="13" t="s">
        <v>87</v>
      </c>
      <c r="G4" s="13" t="s">
        <v>88</v>
      </c>
      <c r="H4" s="13" t="s">
        <v>89</v>
      </c>
      <c r="I4" s="13" t="s">
        <v>90</v>
      </c>
      <c r="J4" s="13" t="s">
        <v>87</v>
      </c>
      <c r="K4" s="13" t="s">
        <v>88</v>
      </c>
      <c r="L4" s="13" t="s">
        <v>89</v>
      </c>
      <c r="M4" s="13" t="s">
        <v>90</v>
      </c>
      <c r="N4" s="13" t="s">
        <v>91</v>
      </c>
      <c r="O4" s="13" t="s">
        <v>92</v>
      </c>
      <c r="P4" s="13" t="s">
        <v>93</v>
      </c>
    </row>
    <row r="5" spans="1:17" ht="15" customHeight="1" x14ac:dyDescent="0.2">
      <c r="A5" s="4">
        <v>2023</v>
      </c>
      <c r="B5" s="11">
        <f>Assumptions!B33</f>
        <v>96.481653834451265</v>
      </c>
      <c r="C5" s="14">
        <f>SISEPUEDE!B4*Assumptions!$B$12</f>
        <v>27.400840910279712</v>
      </c>
      <c r="D5" s="14">
        <f>SISEPUEDE!C4*Assumptions!$B$13</f>
        <v>84.534509191288493</v>
      </c>
      <c r="E5" s="14">
        <f>SISEPUEDE!D4*B5</f>
        <v>604.98782444231131</v>
      </c>
      <c r="F5" s="14">
        <f>SISEPUEDE!B32*Assumptions!$B$12</f>
        <v>27.400840910279712</v>
      </c>
      <c r="G5" s="14">
        <f>SISEPUEDE!C32*Assumptions!$B$13</f>
        <v>84.534509191288493</v>
      </c>
      <c r="H5" s="14">
        <f>SISEPUEDE!D32*B5</f>
        <v>604.98782444231131</v>
      </c>
      <c r="I5" s="14">
        <f>SISEPUEDE!E32*B5</f>
        <v>0</v>
      </c>
      <c r="J5" s="14">
        <f>SISEPUEDE!B60*Assumptions!$B$12</f>
        <v>27.400840910279712</v>
      </c>
      <c r="K5" s="14">
        <f>SISEPUEDE!C60*Assumptions!$B$13</f>
        <v>84.534509191288493</v>
      </c>
      <c r="L5" s="14">
        <f>SISEPUEDE!D60*B5</f>
        <v>604.98782444231131</v>
      </c>
      <c r="M5" s="14">
        <f>SISEPUEDE!E60*B5</f>
        <v>0</v>
      </c>
      <c r="N5" s="14">
        <f t="shared" ref="N5:N32" si="0">SUM(C5:E5)</f>
        <v>716.92317454387955</v>
      </c>
      <c r="O5" s="14">
        <f t="shared" ref="O5:O32" si="1">SUM(F5:I5)</f>
        <v>716.92317454387955</v>
      </c>
      <c r="P5" s="14">
        <f t="shared" ref="P5:P32" si="2">SUM(J5:M5)</f>
        <v>716.92317454387955</v>
      </c>
    </row>
    <row r="6" spans="1:17" ht="15" customHeight="1" x14ac:dyDescent="0.2">
      <c r="A6" s="4">
        <v>2024</v>
      </c>
      <c r="B6" s="11">
        <f>Assumptions!B34</f>
        <v>96.481653834451265</v>
      </c>
      <c r="C6" s="14">
        <f>SISEPUEDE!B5*Assumptions!$B$12</f>
        <v>27.26282469766128</v>
      </c>
      <c r="D6" s="14">
        <f>SISEPUEDE!C5*Assumptions!$B$13</f>
        <v>84.777162874443931</v>
      </c>
      <c r="E6" s="15">
        <f>SISEPUEDE!D5*B6</f>
        <v>607</v>
      </c>
      <c r="F6" s="14">
        <f>SISEPUEDE!B33*Assumptions!$B$12</f>
        <v>27.261869688434501</v>
      </c>
      <c r="G6" s="14">
        <f>SISEPUEDE!C33*Assumptions!$B$13</f>
        <v>84.845864720614514</v>
      </c>
      <c r="H6" s="14">
        <f>SISEPUEDE!D33*B6</f>
        <v>607.96568067079795</v>
      </c>
      <c r="I6" s="14">
        <f>SISEPUEDE!E33*B6</f>
        <v>29.8465453511078</v>
      </c>
      <c r="J6" s="14">
        <f>SISEPUEDE!B61*Assumptions!$B$12</f>
        <v>27.261209273692536</v>
      </c>
      <c r="K6" s="14">
        <f>SISEPUEDE!C61*Assumptions!$B$13</f>
        <v>84.860222276461442</v>
      </c>
      <c r="L6" s="14">
        <f>SISEPUEDE!D61*B6</f>
        <v>608.17697027207862</v>
      </c>
      <c r="M6" s="14">
        <f>SISEPUEDE!E61*B6</f>
        <v>558.51035969190832</v>
      </c>
      <c r="N6" s="14">
        <f t="shared" si="0"/>
        <v>719.03998757210525</v>
      </c>
      <c r="O6" s="14">
        <f t="shared" si="1"/>
        <v>749.9199604309548</v>
      </c>
      <c r="P6" s="14">
        <f t="shared" si="2"/>
        <v>1278.8087615141408</v>
      </c>
    </row>
    <row r="7" spans="1:17" ht="15" customHeight="1" x14ac:dyDescent="0.2">
      <c r="A7" s="4">
        <v>2025</v>
      </c>
      <c r="B7" s="11">
        <f>Assumptions!B35</f>
        <v>94.656671476377838</v>
      </c>
      <c r="C7" s="14">
        <f>SISEPUEDE!B6*Assumptions!$B$12</f>
        <v>27.300484220247277</v>
      </c>
      <c r="D7" s="14">
        <f>SISEPUEDE!C6*Assumptions!$B$13</f>
        <v>84.907957794123107</v>
      </c>
      <c r="E7" s="14">
        <f>SISEPUEDE!D6*B7</f>
        <v>596.52846884779649</v>
      </c>
      <c r="F7" s="14">
        <f>SISEPUEDE!B34*Assumptions!$B$12</f>
        <v>27.298547952576779</v>
      </c>
      <c r="G7" s="14">
        <f>SISEPUEDE!C34*Assumptions!$B$13</f>
        <v>85.046847161710048</v>
      </c>
      <c r="H7" s="14">
        <f>SISEPUEDE!D34*B7</f>
        <v>598.44389830027956</v>
      </c>
      <c r="I7" s="14">
        <f>SISEPUEDE!E34*B7</f>
        <v>59.891193628783192</v>
      </c>
      <c r="J7" s="14">
        <f>SISEPUEDE!B62*Assumptions!$B$12</f>
        <v>27.297210072811399</v>
      </c>
      <c r="K7" s="14">
        <f>SISEPUEDE!C62*Assumptions!$B$13</f>
        <v>85.075899432134534</v>
      </c>
      <c r="L7" s="14">
        <f>SISEPUEDE!D62*B7</f>
        <v>598.86338299044803</v>
      </c>
      <c r="M7" s="14">
        <f>SISEPUEDE!E62*B7</f>
        <v>1095.4345271838797</v>
      </c>
      <c r="N7" s="14">
        <f t="shared" si="0"/>
        <v>708.73691086216684</v>
      </c>
      <c r="O7" s="14">
        <f t="shared" si="1"/>
        <v>770.68048704334956</v>
      </c>
      <c r="P7" s="14">
        <f t="shared" si="2"/>
        <v>1806.6710196792737</v>
      </c>
    </row>
    <row r="8" spans="1:17" ht="15" customHeight="1" x14ac:dyDescent="0.2">
      <c r="A8" s="4">
        <v>2026</v>
      </c>
      <c r="B8" s="11">
        <f>Assumptions!B36</f>
        <v>92.831689118304411</v>
      </c>
      <c r="C8" s="14">
        <f>SISEPUEDE!B7*Assumptions!$B$12</f>
        <v>32.084349794667489</v>
      </c>
      <c r="D8" s="14">
        <f>SISEPUEDE!C7*Assumptions!$B$13</f>
        <v>87.694300565253002</v>
      </c>
      <c r="E8" s="14">
        <f>SISEPUEDE!D7*B8</f>
        <v>706.75872025731826</v>
      </c>
      <c r="F8" s="14">
        <f>SISEPUEDE!B35*Assumptions!$B$12</f>
        <v>31.439624693599246</v>
      </c>
      <c r="G8" s="14">
        <f>SISEPUEDE!C35*Assumptions!$B$13</f>
        <v>90.727383237938781</v>
      </c>
      <c r="H8" s="14">
        <f>SISEPUEDE!D35*B8</f>
        <v>695.40572074946454</v>
      </c>
      <c r="I8" s="14">
        <f>SISEPUEDE!E35*B8</f>
        <v>91.770351681166474</v>
      </c>
      <c r="J8" s="14">
        <f>SISEPUEDE!B63*Assumptions!$B$12</f>
        <v>25.663623463778471</v>
      </c>
      <c r="K8" s="14">
        <f>SISEPUEDE!C63*Assumptions!$B$13</f>
        <v>71.051979409853232</v>
      </c>
      <c r="L8" s="14">
        <f>SISEPUEDE!D63*B8</f>
        <v>244.1500643049163</v>
      </c>
      <c r="M8" s="14">
        <f>SISEPUEDE!E63*B8</f>
        <v>1601.8451766468163</v>
      </c>
      <c r="N8" s="14">
        <f t="shared" si="0"/>
        <v>826.53737061723871</v>
      </c>
      <c r="O8" s="14">
        <f t="shared" si="1"/>
        <v>909.34308036216908</v>
      </c>
      <c r="P8" s="14">
        <f t="shared" si="2"/>
        <v>1942.7108438253642</v>
      </c>
    </row>
    <row r="9" spans="1:17" ht="15" customHeight="1" x14ac:dyDescent="0.2">
      <c r="A9" s="4">
        <v>2027</v>
      </c>
      <c r="B9" s="11">
        <f>Assumptions!B37</f>
        <v>91.006706760230983</v>
      </c>
      <c r="C9" s="14">
        <f>SISEPUEDE!B8*Assumptions!$B$12</f>
        <v>33.036759516872991</v>
      </c>
      <c r="D9" s="14">
        <f>SISEPUEDE!C8*Assumptions!$B$13</f>
        <v>90.221738210536287</v>
      </c>
      <c r="E9" s="14">
        <f>SISEPUEDE!D8*B9</f>
        <v>736.91186417602103</v>
      </c>
      <c r="F9" s="14">
        <f>SISEPUEDE!B36*Assumptions!$B$12</f>
        <v>31.711264584236051</v>
      </c>
      <c r="G9" s="14">
        <f>SISEPUEDE!C36*Assumptions!$B$13</f>
        <v>96.250658662645108</v>
      </c>
      <c r="H9" s="14">
        <f>SISEPUEDE!D36*B9</f>
        <v>711.03076025472785</v>
      </c>
      <c r="I9" s="14">
        <f>SISEPUEDE!E36*B9</f>
        <v>126.48127374794689</v>
      </c>
      <c r="J9" s="14">
        <f>SISEPUEDE!B64*Assumptions!$B$12</f>
        <v>19.819046705136028</v>
      </c>
      <c r="K9" s="14">
        <f>SISEPUEDE!C64*Assumptions!$B$13</f>
        <v>56.796625364304745</v>
      </c>
      <c r="L9" s="14">
        <f>SISEPUEDE!D64*B9</f>
        <v>24.779247254466302</v>
      </c>
      <c r="M9" s="14">
        <f>SISEPUEDE!E64*B9</f>
        <v>2053.277673599775</v>
      </c>
      <c r="N9" s="14">
        <f t="shared" si="0"/>
        <v>860.17036190343026</v>
      </c>
      <c r="O9" s="14">
        <f t="shared" si="1"/>
        <v>965.47395724955595</v>
      </c>
      <c r="P9" s="14">
        <f t="shared" si="2"/>
        <v>2154.6725929236823</v>
      </c>
    </row>
    <row r="10" spans="1:17" ht="15" customHeight="1" x14ac:dyDescent="0.2">
      <c r="A10" s="4">
        <v>2028</v>
      </c>
      <c r="B10" s="11">
        <f>Assumptions!B38</f>
        <v>89.181724402157556</v>
      </c>
      <c r="C10" s="14">
        <f>SISEPUEDE!B9*Assumptions!$B$12</f>
        <v>33.85255568352715</v>
      </c>
      <c r="D10" s="14">
        <f>SISEPUEDE!C9*Assumptions!$B$13</f>
        <v>92.224595664753579</v>
      </c>
      <c r="E10" s="14">
        <f>SISEPUEDE!D9*B10</f>
        <v>818.17375570890511</v>
      </c>
      <c r="F10" s="14">
        <f>SISEPUEDE!B37*Assumptions!$B$12</f>
        <v>31.795067026413872</v>
      </c>
      <c r="G10" s="14">
        <f>SISEPUEDE!C37*Assumptions!$B$13</f>
        <v>101.47288081236002</v>
      </c>
      <c r="H10" s="14">
        <f>SISEPUEDE!D37*B10</f>
        <v>694.41061199439582</v>
      </c>
      <c r="I10" s="14">
        <f>SISEPUEDE!E37*B10</f>
        <v>164.28609460710317</v>
      </c>
      <c r="J10" s="14">
        <f>SISEPUEDE!B65*Assumptions!$B$12</f>
        <v>13.529399364037808</v>
      </c>
      <c r="K10" s="14">
        <f>SISEPUEDE!C65*Assumptions!$B$13</f>
        <v>42.440681272249471</v>
      </c>
      <c r="L10" s="14">
        <f>SISEPUEDE!D65*B10</f>
        <v>2.0356773878104937</v>
      </c>
      <c r="M10" s="14">
        <f>SISEPUEDE!E65*B10</f>
        <v>2428.5289218879111</v>
      </c>
      <c r="N10" s="14">
        <f t="shared" si="0"/>
        <v>944.25090705718583</v>
      </c>
      <c r="O10" s="14">
        <f t="shared" si="1"/>
        <v>991.96465444027285</v>
      </c>
      <c r="P10" s="14">
        <f t="shared" si="2"/>
        <v>2486.5346799120089</v>
      </c>
    </row>
    <row r="11" spans="1:17" ht="15" customHeight="1" x14ac:dyDescent="0.2">
      <c r="A11" s="4">
        <v>2029</v>
      </c>
      <c r="B11" s="11">
        <f>Assumptions!B39</f>
        <v>87.356742044084129</v>
      </c>
      <c r="C11" s="14">
        <f>SISEPUEDE!B10*Assumptions!$B$12</f>
        <v>34.489319630264802</v>
      </c>
      <c r="D11" s="14">
        <f>SISEPUEDE!C10*Assumptions!$B$13</f>
        <v>93.498342935748624</v>
      </c>
      <c r="E11" s="14">
        <f>SISEPUEDE!D10*B11</f>
        <v>903.19311623481542</v>
      </c>
      <c r="F11" s="14">
        <f>SISEPUEDE!B38*Assumptions!$B$12</f>
        <v>31.687696321834821</v>
      </c>
      <c r="G11" s="14">
        <f>SISEPUEDE!C38*Assumptions!$B$13</f>
        <v>106.2441155946626</v>
      </c>
      <c r="H11" s="14">
        <f>SISEPUEDE!D38*B11</f>
        <v>674.75242747397851</v>
      </c>
      <c r="I11" s="14">
        <f>SISEPUEDE!E38*B11</f>
        <v>204.6018109284814</v>
      </c>
      <c r="J11" s="14">
        <f>SISEPUEDE!B66*Assumptions!$B$12</f>
        <v>6.8911990912834318</v>
      </c>
      <c r="K11" s="14">
        <f>SISEPUEDE!C66*Assumptions!$B$13</f>
        <v>28.568284948383191</v>
      </c>
      <c r="L11" s="14">
        <f>SISEPUEDE!D66*B11</f>
        <v>0.37828568558189418</v>
      </c>
      <c r="M11" s="14">
        <f>SISEPUEDE!E66*B11</f>
        <v>2718.9441833802002</v>
      </c>
      <c r="N11" s="14">
        <f t="shared" si="0"/>
        <v>1031.1807788008289</v>
      </c>
      <c r="O11" s="14">
        <f t="shared" si="1"/>
        <v>1017.2860503189573</v>
      </c>
      <c r="P11" s="14">
        <f t="shared" si="2"/>
        <v>2754.7819531054488</v>
      </c>
    </row>
    <row r="12" spans="1:17" ht="15" customHeight="1" x14ac:dyDescent="0.2">
      <c r="A12" s="4">
        <v>2030</v>
      </c>
      <c r="B12" s="11">
        <f>Assumptions!B40</f>
        <v>85.531759686010702</v>
      </c>
      <c r="C12" s="14">
        <f>SISEPUEDE!B11*Assumptions!$B$12</f>
        <v>34.999997938678121</v>
      </c>
      <c r="D12" s="14">
        <f>SISEPUEDE!C11*Assumptions!$B$13</f>
        <v>93.907523469319486</v>
      </c>
      <c r="E12" s="15">
        <f>SISEPUEDE!D11*B12</f>
        <v>991</v>
      </c>
      <c r="F12" s="14">
        <f>SISEPUEDE!B39*Assumptions!$B$12</f>
        <v>31.445630218032576</v>
      </c>
      <c r="G12" s="14">
        <f>SISEPUEDE!C39*Assumptions!$B$13</f>
        <v>110.43233095104962</v>
      </c>
      <c r="H12" s="14">
        <f>SISEPUEDE!D39*B12</f>
        <v>651.7907977586126</v>
      </c>
      <c r="I12" s="14">
        <f>SISEPUEDE!E39*B12</f>
        <v>246.37781179856202</v>
      </c>
      <c r="J12" s="14">
        <f>SISEPUEDE!B67*Assumptions!$B$12</f>
        <v>6.8861921597440602E-3</v>
      </c>
      <c r="K12" s="14">
        <f>SISEPUEDE!C67*Assumptions!$B$13</f>
        <v>15.99951223921858</v>
      </c>
      <c r="L12" s="14">
        <f>SISEPUEDE!D67*B12</f>
        <v>0</v>
      </c>
      <c r="M12" s="14">
        <f>SISEPUEDE!E67*B12</f>
        <v>2925.6032182654726</v>
      </c>
      <c r="N12" s="14">
        <f t="shared" si="0"/>
        <v>1119.9075214079976</v>
      </c>
      <c r="O12" s="14">
        <f t="shared" si="1"/>
        <v>1040.046570726257</v>
      </c>
      <c r="P12" s="14">
        <f t="shared" si="2"/>
        <v>2941.6096166968509</v>
      </c>
    </row>
    <row r="13" spans="1:17" ht="15" customHeight="1" x14ac:dyDescent="0.2">
      <c r="A13" s="4">
        <v>2031</v>
      </c>
      <c r="B13" s="11">
        <f>Assumptions!B41</f>
        <v>85.531759686010702</v>
      </c>
      <c r="C13" s="14">
        <f>SISEPUEDE!B12*Assumptions!$B$12</f>
        <v>33.991947063232629</v>
      </c>
      <c r="D13" s="14">
        <f>SISEPUEDE!C12*Assumptions!$B$13</f>
        <v>93.398916902643137</v>
      </c>
      <c r="E13" s="14">
        <f>SISEPUEDE!D12*B13</f>
        <v>1062.0299913758824</v>
      </c>
      <c r="F13" s="14">
        <f>SISEPUEDE!B40*Assumptions!$B$12</f>
        <v>29.850377124204968</v>
      </c>
      <c r="G13" s="14">
        <f>SISEPUEDE!C40*Assumptions!$B$13</f>
        <v>113.95385282435676</v>
      </c>
      <c r="H13" s="14">
        <f>SISEPUEDE!D40*B13</f>
        <v>615.14925057070502</v>
      </c>
      <c r="I13" s="14">
        <f>SISEPUEDE!E40*B13</f>
        <v>294.74149203943199</v>
      </c>
      <c r="J13" s="14">
        <f>SISEPUEDE!B68*Assumptions!$B$12</f>
        <v>6.5330848422330747E-3</v>
      </c>
      <c r="K13" s="14">
        <f>SISEPUEDE!C68*Assumptions!$B$13</f>
        <v>5.4696734766860704</v>
      </c>
      <c r="L13" s="14">
        <f>SISEPUEDE!D68*B13</f>
        <v>0</v>
      </c>
      <c r="M13" s="14">
        <f>SISEPUEDE!E68*B13</f>
        <v>3121.8629494562892</v>
      </c>
      <c r="N13" s="14">
        <f t="shared" si="0"/>
        <v>1189.4208553417582</v>
      </c>
      <c r="O13" s="14">
        <f t="shared" si="1"/>
        <v>1053.6949725586987</v>
      </c>
      <c r="P13" s="14">
        <f t="shared" si="2"/>
        <v>3127.3391560178175</v>
      </c>
    </row>
    <row r="14" spans="1:17" ht="15" customHeight="1" x14ac:dyDescent="0.2">
      <c r="A14" s="4">
        <v>2032</v>
      </c>
      <c r="B14" s="11">
        <f>Assumptions!B42</f>
        <v>85.531759686010702</v>
      </c>
      <c r="C14" s="14">
        <f>SISEPUEDE!B13*Assumptions!$B$12</f>
        <v>32.960711451519074</v>
      </c>
      <c r="D14" s="14">
        <f>SISEPUEDE!C13*Assumptions!$B$13</f>
        <v>92.022546639120762</v>
      </c>
      <c r="E14" s="14">
        <f>SISEPUEDE!D13*B14</f>
        <v>1134.8571470409938</v>
      </c>
      <c r="F14" s="14">
        <f>SISEPUEDE!B41*Assumptions!$B$12</f>
        <v>28.278489824195969</v>
      </c>
      <c r="G14" s="14">
        <f>SISEPUEDE!C41*Assumptions!$B$13</f>
        <v>116.81264474123796</v>
      </c>
      <c r="H14" s="14">
        <f>SISEPUEDE!D41*B14</f>
        <v>578.46436375358519</v>
      </c>
      <c r="I14" s="14">
        <f>SISEPUEDE!E41*B14</f>
        <v>344.60628682155021</v>
      </c>
      <c r="J14" s="14">
        <f>SISEPUEDE!B69*Assumptions!$B$12</f>
        <v>6.1850398070552861E-3</v>
      </c>
      <c r="K14" s="14">
        <f>SISEPUEDE!C69*Assumptions!$B$13</f>
        <v>0</v>
      </c>
      <c r="L14" s="14">
        <f>SISEPUEDE!D69*B14</f>
        <v>0</v>
      </c>
      <c r="M14" s="14">
        <f>SISEPUEDE!E69*B14</f>
        <v>3234.646409021263</v>
      </c>
      <c r="N14" s="14">
        <f t="shared" si="0"/>
        <v>1259.8404051316336</v>
      </c>
      <c r="O14" s="14">
        <f t="shared" si="1"/>
        <v>1068.1617851405692</v>
      </c>
      <c r="P14" s="14">
        <f t="shared" si="2"/>
        <v>3234.65259406107</v>
      </c>
    </row>
    <row r="15" spans="1:17" ht="15" customHeight="1" x14ac:dyDescent="0.2">
      <c r="A15" s="4">
        <v>2033</v>
      </c>
      <c r="B15" s="11">
        <f>Assumptions!B43</f>
        <v>85.531759686010702</v>
      </c>
      <c r="C15" s="14">
        <f>SISEPUEDE!B14*Assumptions!$B$12</f>
        <v>31.905981031671679</v>
      </c>
      <c r="D15" s="14">
        <f>SISEPUEDE!C14*Assumptions!$B$13</f>
        <v>89.885155288740393</v>
      </c>
      <c r="E15" s="14">
        <f>SISEPUEDE!D14*B15</f>
        <v>1209.523888771671</v>
      </c>
      <c r="F15" s="14">
        <f>SISEPUEDE!B42*Assumptions!$B$12</f>
        <v>26.730507218004092</v>
      </c>
      <c r="G15" s="14">
        <f>SISEPUEDE!C42*Assumptions!$B$13</f>
        <v>119.06450404271546</v>
      </c>
      <c r="H15" s="14">
        <f>SISEPUEDE!D42*B15</f>
        <v>541.84337554929357</v>
      </c>
      <c r="I15" s="14">
        <f>SISEPUEDE!E42*B15</f>
        <v>395.37772166616554</v>
      </c>
      <c r="J15" s="14">
        <f>SISEPUEDE!B70*Assumptions!$B$12</f>
        <v>5.8428136569662554E-3</v>
      </c>
      <c r="K15" s="14">
        <f>SISEPUEDE!C70*Assumptions!$B$13</f>
        <v>0</v>
      </c>
      <c r="L15" s="14">
        <f>SISEPUEDE!D70*B15</f>
        <v>0</v>
      </c>
      <c r="M15" s="14">
        <f>SISEPUEDE!E70*B15</f>
        <v>3295.6236743331528</v>
      </c>
      <c r="N15" s="14">
        <f t="shared" si="0"/>
        <v>1331.315025092083</v>
      </c>
      <c r="O15" s="14">
        <f t="shared" si="1"/>
        <v>1083.0161084761787</v>
      </c>
      <c r="P15" s="14">
        <f t="shared" si="2"/>
        <v>3295.62951714681</v>
      </c>
    </row>
    <row r="16" spans="1:17" ht="15" customHeight="1" x14ac:dyDescent="0.2">
      <c r="A16" s="4">
        <v>2034</v>
      </c>
      <c r="B16" s="11">
        <f>Assumptions!B44</f>
        <v>85.531759686010702</v>
      </c>
      <c r="C16" s="14">
        <f>SISEPUEDE!B15*Assumptions!$B$12</f>
        <v>30.827443177903309</v>
      </c>
      <c r="D16" s="14">
        <f>SISEPUEDE!C15*Assumptions!$B$13</f>
        <v>87.116611364698457</v>
      </c>
      <c r="E16" s="14">
        <f>SISEPUEDE!D15*B16</f>
        <v>1286.0736204883801</v>
      </c>
      <c r="F16" s="14">
        <f>SISEPUEDE!B43*Assumptions!$B$12</f>
        <v>25.207098146393879</v>
      </c>
      <c r="G16" s="14">
        <f>SISEPUEDE!C43*Assumptions!$B$13</f>
        <v>120.79023587384644</v>
      </c>
      <c r="H16" s="14">
        <f>SISEPUEDE!D43*B16</f>
        <v>505.38191049102119</v>
      </c>
      <c r="I16" s="14">
        <f>SISEPUEDE!E43*B16</f>
        <v>446.6862523509671</v>
      </c>
      <c r="J16" s="14">
        <f>SISEPUEDE!B71*Assumptions!$B$12</f>
        <v>5.5070202042375024E-3</v>
      </c>
      <c r="K16" s="14">
        <f>SISEPUEDE!C71*Assumptions!$B$13</f>
        <v>0</v>
      </c>
      <c r="L16" s="14">
        <f>SISEPUEDE!D71*B16</f>
        <v>0</v>
      </c>
      <c r="M16" s="14">
        <f>SISEPUEDE!E71*B16</f>
        <v>3320.8653744981989</v>
      </c>
      <c r="N16" s="14">
        <f t="shared" si="0"/>
        <v>1404.017675030982</v>
      </c>
      <c r="O16" s="14">
        <f t="shared" si="1"/>
        <v>1098.0654968622287</v>
      </c>
      <c r="P16" s="14">
        <f t="shared" si="2"/>
        <v>3320.8708815184032</v>
      </c>
    </row>
    <row r="17" spans="1:16" ht="15" customHeight="1" x14ac:dyDescent="0.2">
      <c r="A17" s="4">
        <v>2035</v>
      </c>
      <c r="B17" s="11">
        <f>Assumptions!B45</f>
        <v>85.531759686010702</v>
      </c>
      <c r="C17" s="14">
        <f>SISEPUEDE!B16*Assumptions!$B$12</f>
        <v>29.724783976850134</v>
      </c>
      <c r="D17" s="14">
        <f>SISEPUEDE!C16*Assumptions!$B$13</f>
        <v>83.847436590374372</v>
      </c>
      <c r="E17" s="14">
        <f>SISEPUEDE!D16*B17</f>
        <v>1364.5507770090478</v>
      </c>
      <c r="F17" s="14">
        <f>SISEPUEDE!B44*Assumptions!$B$12</f>
        <v>23.709038684512201</v>
      </c>
      <c r="G17" s="14">
        <f>SISEPUEDE!C44*Assumptions!$B$13</f>
        <v>122.07684233706971</v>
      </c>
      <c r="H17" s="14">
        <f>SISEPUEDE!D44*B17</f>
        <v>469.16653047237946</v>
      </c>
      <c r="I17" s="14">
        <f>SISEPUEDE!E44*B17</f>
        <v>498.36392198121399</v>
      </c>
      <c r="J17" s="14">
        <f>SISEPUEDE!B72*Assumptions!$B$12</f>
        <v>5.1779871553519971E-3</v>
      </c>
      <c r="K17" s="14">
        <f>SISEPUEDE!C72*Assumptions!$B$13</f>
        <v>0</v>
      </c>
      <c r="L17" s="14">
        <f>SISEPUEDE!D72*B17</f>
        <v>0</v>
      </c>
      <c r="M17" s="14">
        <f>SISEPUEDE!E72*B17</f>
        <v>3336.0877459556241</v>
      </c>
      <c r="N17" s="14">
        <f t="shared" si="0"/>
        <v>1478.1229975762724</v>
      </c>
      <c r="O17" s="14">
        <f t="shared" si="1"/>
        <v>1113.3163334751753</v>
      </c>
      <c r="P17" s="14">
        <f t="shared" si="2"/>
        <v>3336.0929239427796</v>
      </c>
    </row>
    <row r="18" spans="1:16" ht="15" customHeight="1" x14ac:dyDescent="0.2">
      <c r="A18" s="4">
        <v>2036</v>
      </c>
      <c r="B18" s="11">
        <f>Assumptions!B46</f>
        <v>85.531759686010702</v>
      </c>
      <c r="C18" s="14">
        <f>SISEPUEDE!B17*Assumptions!$B$12</f>
        <v>28.597687461798856</v>
      </c>
      <c r="D18" s="14">
        <f>SISEPUEDE!C17*Assumptions!$B$13</f>
        <v>80.195257083913262</v>
      </c>
      <c r="E18" s="14">
        <f>SISEPUEDE!D17*B18</f>
        <v>1445.0008274368311</v>
      </c>
      <c r="F18" s="14">
        <f>SISEPUEDE!B45*Assumptions!$B$12</f>
        <v>22.245759672346932</v>
      </c>
      <c r="G18" s="14">
        <f>SISEPUEDE!C45*Assumptions!$B$13</f>
        <v>123.00534111524553</v>
      </c>
      <c r="H18" s="14">
        <f>SISEPUEDE!D45*B18</f>
        <v>433.43103949198087</v>
      </c>
      <c r="I18" s="14">
        <f>SISEPUEDE!E45*B18</f>
        <v>550.40622599652215</v>
      </c>
      <c r="J18" s="14">
        <f>SISEPUEDE!B73*Assumptions!$B$12</f>
        <v>4.8558695859916793E-3</v>
      </c>
      <c r="K18" s="14">
        <f>SISEPUEDE!C73*Assumptions!$B$13</f>
        <v>0</v>
      </c>
      <c r="L18" s="14">
        <f>SISEPUEDE!D73*B18</f>
        <v>0</v>
      </c>
      <c r="M18" s="14">
        <f>SISEPUEDE!E73*B18</f>
        <v>3343.9317457933357</v>
      </c>
      <c r="N18" s="14">
        <f t="shared" si="0"/>
        <v>1553.7937719825431</v>
      </c>
      <c r="O18" s="14">
        <f t="shared" si="1"/>
        <v>1129.0883662760955</v>
      </c>
      <c r="P18" s="14">
        <f t="shared" si="2"/>
        <v>3343.9366016629219</v>
      </c>
    </row>
    <row r="19" spans="1:16" ht="15" customHeight="1" x14ac:dyDescent="0.2">
      <c r="A19" s="4">
        <v>2037</v>
      </c>
      <c r="B19" s="11">
        <f>Assumptions!B47</f>
        <v>85.531759686010702</v>
      </c>
      <c r="C19" s="14">
        <f>SISEPUEDE!B18*Assumptions!$B$12</f>
        <v>27.445835686054362</v>
      </c>
      <c r="D19" s="14">
        <f>SISEPUEDE!C18*Assumptions!$B$13</f>
        <v>76.2579701775812</v>
      </c>
      <c r="E19" s="14">
        <f>SISEPUEDE!D18*B19</f>
        <v>1527.4702912694374</v>
      </c>
      <c r="F19" s="14">
        <f>SISEPUEDE!B46*Assumptions!$B$12</f>
        <v>20.815853216823154</v>
      </c>
      <c r="G19" s="14">
        <f>SISEPUEDE!C46*Assumptions!$B$13</f>
        <v>123.64371926488819</v>
      </c>
      <c r="H19" s="14">
        <f>SISEPUEDE!D46*B19</f>
        <v>398.19732340390459</v>
      </c>
      <c r="I19" s="14">
        <f>SISEPUEDE!E46*B19</f>
        <v>602.93022355560299</v>
      </c>
      <c r="J19" s="14">
        <f>SISEPUEDE!B74*Assumptions!$B$12</f>
        <v>4.5381087243998915E-3</v>
      </c>
      <c r="K19" s="14">
        <f>SISEPUEDE!C74*Assumptions!$B$13</f>
        <v>0</v>
      </c>
      <c r="L19" s="14">
        <f>SISEPUEDE!D74*B19</f>
        <v>0</v>
      </c>
      <c r="M19" s="14">
        <f>SISEPUEDE!E74*B19</f>
        <v>3346.7184601806057</v>
      </c>
      <c r="N19" s="14">
        <f t="shared" si="0"/>
        <v>1631.174097133073</v>
      </c>
      <c r="O19" s="14">
        <f t="shared" si="1"/>
        <v>1145.5871194412189</v>
      </c>
      <c r="P19" s="14">
        <f t="shared" si="2"/>
        <v>3346.72299828933</v>
      </c>
    </row>
    <row r="20" spans="1:16" ht="15" customHeight="1" x14ac:dyDescent="0.2">
      <c r="A20" s="4">
        <v>2038</v>
      </c>
      <c r="B20" s="11">
        <f>Assumptions!B48</f>
        <v>85.531759686010702</v>
      </c>
      <c r="C20" s="14">
        <f>SISEPUEDE!B19*Assumptions!$B$12</f>
        <v>26.268909415626354</v>
      </c>
      <c r="D20" s="14">
        <f>SISEPUEDE!C19*Assumptions!$B$13</f>
        <v>72.111632891762284</v>
      </c>
      <c r="E20" s="14">
        <f>SISEPUEDE!D19*B20</f>
        <v>1612.006781421215</v>
      </c>
      <c r="F20" s="14">
        <f>SISEPUEDE!B47*Assumptions!$B$12</f>
        <v>19.411901360862668</v>
      </c>
      <c r="G20" s="14">
        <f>SISEPUEDE!C47*Assumptions!$B$13</f>
        <v>124.04443329721501</v>
      </c>
      <c r="H20" s="14">
        <f>SISEPUEDE!D47*B20</f>
        <v>363.38044281908458</v>
      </c>
      <c r="I20" s="14">
        <f>SISEPUEDE!E47*B20</f>
        <v>656.13560738272645</v>
      </c>
      <c r="J20" s="14">
        <f>SISEPUEDE!B75*Assumptions!$B$12</f>
        <v>4.2288000246606602E-3</v>
      </c>
      <c r="K20" s="14">
        <f>SISEPUEDE!C75*Assumptions!$B$13</f>
        <v>0</v>
      </c>
      <c r="L20" s="14">
        <f>SISEPUEDE!D75*B20</f>
        <v>0</v>
      </c>
      <c r="M20" s="14">
        <f>SISEPUEDE!E75*B20</f>
        <v>3346.3728731911469</v>
      </c>
      <c r="N20" s="14">
        <f t="shared" si="0"/>
        <v>1710.3873237286036</v>
      </c>
      <c r="O20" s="14">
        <f t="shared" si="1"/>
        <v>1162.9723848598887</v>
      </c>
      <c r="P20" s="14">
        <f t="shared" si="2"/>
        <v>3346.3771019911715</v>
      </c>
    </row>
    <row r="21" spans="1:16" ht="15" customHeight="1" x14ac:dyDescent="0.2">
      <c r="A21" s="4">
        <v>2039</v>
      </c>
      <c r="B21" s="11">
        <f>Assumptions!B49</f>
        <v>85.531759686010702</v>
      </c>
      <c r="C21" s="14">
        <f>SISEPUEDE!B20*Assumptions!$B$12</f>
        <v>25.066588378520944</v>
      </c>
      <c r="D21" s="14">
        <f>SISEPUEDE!C20*Assumptions!$B$13</f>
        <v>67.811406218751216</v>
      </c>
      <c r="E21" s="14">
        <f>SISEPUEDE!D20*B21</f>
        <v>1698.6590404924423</v>
      </c>
      <c r="F21" s="14">
        <f>SISEPUEDE!B48*Assumptions!$B$12</f>
        <v>18.035160429431759</v>
      </c>
      <c r="G21" s="14">
        <f>SISEPUEDE!C48*Assumptions!$B$13</f>
        <v>124.24520526392841</v>
      </c>
      <c r="H21" s="14">
        <f>SISEPUEDE!D48*B21</f>
        <v>329.05040422195492</v>
      </c>
      <c r="I21" s="14">
        <f>SISEPUEDE!E48*B21</f>
        <v>710.26124911274633</v>
      </c>
      <c r="J21" s="14">
        <f>SISEPUEDE!B76*Assumptions!$B$12</f>
        <v>3.9279296107334796E-3</v>
      </c>
      <c r="K21" s="14">
        <f>SISEPUEDE!C76*Assumptions!$B$13</f>
        <v>0</v>
      </c>
      <c r="L21" s="14">
        <f>SISEPUEDE!D76*B21</f>
        <v>0</v>
      </c>
      <c r="M21" s="14">
        <f>SISEPUEDE!E76*B21</f>
        <v>3344.4107946686172</v>
      </c>
      <c r="N21" s="14">
        <f t="shared" si="0"/>
        <v>1791.5370350897144</v>
      </c>
      <c r="O21" s="14">
        <f t="shared" si="1"/>
        <v>1181.5920190280615</v>
      </c>
      <c r="P21" s="14">
        <f t="shared" si="2"/>
        <v>3344.4147225982279</v>
      </c>
    </row>
    <row r="22" spans="1:16" ht="15" customHeight="1" x14ac:dyDescent="0.2">
      <c r="A22" s="4">
        <v>2040</v>
      </c>
      <c r="B22" s="11">
        <f>Assumptions!B50</f>
        <v>85.531759686010702</v>
      </c>
      <c r="C22" s="14">
        <f>SISEPUEDE!B21*Assumptions!$B$12</f>
        <v>23.848997072063479</v>
      </c>
      <c r="D22" s="14">
        <f>SISEPUEDE!C21*Assumptions!$B$13</f>
        <v>63.394252711112735</v>
      </c>
      <c r="E22" s="14">
        <f>SISEPUEDE!D21*B22</f>
        <v>1788.2073257524505</v>
      </c>
      <c r="F22" s="14">
        <f>SISEPUEDE!B49*Assumptions!$B$12</f>
        <v>16.686916681543732</v>
      </c>
      <c r="G22" s="14">
        <f>SISEPUEDE!C49*Assumptions!$B$13</f>
        <v>124.2714246439469</v>
      </c>
      <c r="H22" s="14">
        <f>SISEPUEDE!D49*B22</f>
        <v>295.27391161439323</v>
      </c>
      <c r="I22" s="14">
        <f>SISEPUEDE!E49*B22</f>
        <v>765.53770692775083</v>
      </c>
      <c r="J22" s="14">
        <f>SISEPUEDE!B77*Assumptions!$B$12</f>
        <v>3.6356829498965047E-3</v>
      </c>
      <c r="K22" s="14">
        <f>SISEPUEDE!C77*Assumptions!$B$13</f>
        <v>0</v>
      </c>
      <c r="L22" s="14">
        <f>SISEPUEDE!D77*B22</f>
        <v>0</v>
      </c>
      <c r="M22" s="14">
        <f>SISEPUEDE!E77*B22</f>
        <v>3341.9633290247302</v>
      </c>
      <c r="N22" s="14">
        <f t="shared" si="0"/>
        <v>1875.4505755356267</v>
      </c>
      <c r="O22" s="14">
        <f t="shared" si="1"/>
        <v>1201.7699598676347</v>
      </c>
      <c r="P22" s="14">
        <f t="shared" si="2"/>
        <v>3341.9669647076803</v>
      </c>
    </row>
    <row r="23" spans="1:16" ht="15" customHeight="1" x14ac:dyDescent="0.2">
      <c r="A23" s="4">
        <v>2041</v>
      </c>
      <c r="B23" s="11">
        <f>Assumptions!B51</f>
        <v>85.531759686010702</v>
      </c>
      <c r="C23" s="14">
        <f>SISEPUEDE!B22*Assumptions!$B$12</f>
        <v>22.611548387874556</v>
      </c>
      <c r="D23" s="14">
        <f>SISEPUEDE!C22*Assumptions!$B$13</f>
        <v>58.882432465146778</v>
      </c>
      <c r="E23" s="14">
        <f>SISEPUEDE!D22*B23</f>
        <v>1880.6020965805894</v>
      </c>
      <c r="F23" s="14">
        <f>SISEPUEDE!B50*Assumptions!$B$12</f>
        <v>15.36849061157873</v>
      </c>
      <c r="G23" s="14">
        <f>SISEPUEDE!C50*Assumptions!$B$13</f>
        <v>124.13947290952601</v>
      </c>
      <c r="H23" s="14">
        <f>SISEPUEDE!D50*B23</f>
        <v>261.84283817097531</v>
      </c>
      <c r="I23" s="14">
        <f>SISEPUEDE!E50*B23</f>
        <v>822.14599250938204</v>
      </c>
      <c r="J23" s="14">
        <f>SISEPUEDE!B78*Assumptions!$B$12</f>
        <v>3.3586034925076492E-3</v>
      </c>
      <c r="K23" s="14">
        <f>SISEPUEDE!C78*Assumptions!$B$13</f>
        <v>0</v>
      </c>
      <c r="L23" s="14">
        <f>SISEPUEDE!D78*B23</f>
        <v>0</v>
      </c>
      <c r="M23" s="14">
        <f>SISEPUEDE!E78*B23</f>
        <v>3339.8188789378305</v>
      </c>
      <c r="N23" s="14">
        <f t="shared" si="0"/>
        <v>1962.0960774336108</v>
      </c>
      <c r="O23" s="14">
        <f t="shared" si="1"/>
        <v>1223.4967942014621</v>
      </c>
      <c r="P23" s="14">
        <f t="shared" si="2"/>
        <v>3339.8222375413229</v>
      </c>
    </row>
    <row r="24" spans="1:16" ht="15" customHeight="1" x14ac:dyDescent="0.2">
      <c r="A24" s="4">
        <v>2042</v>
      </c>
      <c r="B24" s="11">
        <f>Assumptions!B52</f>
        <v>85.531759686010702</v>
      </c>
      <c r="C24" s="14">
        <f>SISEPUEDE!B23*Assumptions!$B$12</f>
        <v>21.346199637607317</v>
      </c>
      <c r="D24" s="14">
        <f>SISEPUEDE!C23*Assumptions!$B$13</f>
        <v>54.287696417131009</v>
      </c>
      <c r="E24" s="14">
        <f>SISEPUEDE!D23*B24</f>
        <v>1975.4218289367857</v>
      </c>
      <c r="F24" s="14">
        <f>SISEPUEDE!B51*Assumptions!$B$12</f>
        <v>14.081224649799768</v>
      </c>
      <c r="G24" s="14">
        <f>SISEPUEDE!C51*Assumptions!$B$13</f>
        <v>123.86048984506786</v>
      </c>
      <c r="H24" s="14">
        <f>SISEPUEDE!D51*B24</f>
        <v>229.15926824637737</v>
      </c>
      <c r="I24" s="14">
        <f>SISEPUEDE!E51*B24</f>
        <v>880.18000568244418</v>
      </c>
      <c r="J24" s="14">
        <f>SISEPUEDE!B79*Assumptions!$B$12</f>
        <v>3.0896581525150547E-3</v>
      </c>
      <c r="K24" s="14">
        <f>SISEPUEDE!C79*Assumptions!$B$13</f>
        <v>0</v>
      </c>
      <c r="L24" s="14">
        <f>SISEPUEDE!D79*B24</f>
        <v>0</v>
      </c>
      <c r="M24" s="14">
        <f>SISEPUEDE!E79*B24</f>
        <v>3338.467987160469</v>
      </c>
      <c r="N24" s="14">
        <f t="shared" si="0"/>
        <v>2051.0557249915241</v>
      </c>
      <c r="O24" s="14">
        <f t="shared" si="1"/>
        <v>1247.2809884236892</v>
      </c>
      <c r="P24" s="14">
        <f t="shared" si="2"/>
        <v>3338.4710768186214</v>
      </c>
    </row>
    <row r="25" spans="1:16" ht="15" customHeight="1" x14ac:dyDescent="0.2">
      <c r="A25" s="4">
        <v>2043</v>
      </c>
      <c r="B25" s="11">
        <f>Assumptions!B53</f>
        <v>85.531759686010702</v>
      </c>
      <c r="C25" s="14">
        <f>SISEPUEDE!B24*Assumptions!$B$12</f>
        <v>20.05249304835155</v>
      </c>
      <c r="D25" s="14">
        <f>SISEPUEDE!C24*Assumptions!$B$13</f>
        <v>49.615536920431609</v>
      </c>
      <c r="E25" s="14">
        <f>SISEPUEDE!D24*B25</f>
        <v>2072.7283533327509</v>
      </c>
      <c r="F25" s="14">
        <f>SISEPUEDE!B52*Assumptions!$B$12</f>
        <v>12.826497144047233</v>
      </c>
      <c r="G25" s="14">
        <f>SISEPUEDE!C52*Assumptions!$B$13</f>
        <v>123.44300560358522</v>
      </c>
      <c r="H25" s="14">
        <f>SISEPUEDE!D52*B25</f>
        <v>197.28083617981144</v>
      </c>
      <c r="I25" s="14">
        <f>SISEPUEDE!E52*B25</f>
        <v>939.64647103586265</v>
      </c>
      <c r="J25" s="14">
        <f>SISEPUEDE!B80*Assumptions!$B$12</f>
        <v>2.8756638231188123E-3</v>
      </c>
      <c r="K25" s="14">
        <f>SISEPUEDE!C80*Assumptions!$B$13</f>
        <v>0</v>
      </c>
      <c r="L25" s="14">
        <f>SISEPUEDE!D80*B25</f>
        <v>0</v>
      </c>
      <c r="M25" s="14">
        <f>SISEPUEDE!E80*B25</f>
        <v>3338.0413887932805</v>
      </c>
      <c r="N25" s="14">
        <f t="shared" si="0"/>
        <v>2142.3963833015341</v>
      </c>
      <c r="O25" s="14">
        <f t="shared" si="1"/>
        <v>1273.1968099633066</v>
      </c>
      <c r="P25" s="14">
        <f t="shared" si="2"/>
        <v>3338.0442644571035</v>
      </c>
    </row>
    <row r="26" spans="1:16" ht="15" customHeight="1" x14ac:dyDescent="0.2">
      <c r="A26" s="4">
        <v>2044</v>
      </c>
      <c r="B26" s="11">
        <f>Assumptions!B54</f>
        <v>85.531759686010702</v>
      </c>
      <c r="C26" s="14">
        <f>SISEPUEDE!B25*Assumptions!$B$12</f>
        <v>18.729963864481583</v>
      </c>
      <c r="D26" s="14">
        <f>SISEPUEDE!C25*Assumptions!$B$13</f>
        <v>44.868852426993662</v>
      </c>
      <c r="E26" s="14">
        <f>SISEPUEDE!D25*B26</f>
        <v>2172.5850678300153</v>
      </c>
      <c r="F26" s="14">
        <f>SISEPUEDE!B53*Assumptions!$B$12</f>
        <v>11.605718476011774</v>
      </c>
      <c r="G26" s="14">
        <f>SISEPUEDE!C53*Assumptions!$B$13</f>
        <v>122.89542957844905</v>
      </c>
      <c r="H26" s="14">
        <f>SISEPUEDE!D53*B26</f>
        <v>166.26398976291296</v>
      </c>
      <c r="I26" s="14">
        <f>SISEPUEDE!E53*B26</f>
        <v>1000.4771645414176</v>
      </c>
      <c r="J26" s="14">
        <f>SISEPUEDE!B81*Assumptions!$B$12</f>
        <v>2.6606915413175014E-3</v>
      </c>
      <c r="K26" s="14">
        <f>SISEPUEDE!C81*Assumptions!$B$13</f>
        <v>0</v>
      </c>
      <c r="L26" s="14">
        <f>SISEPUEDE!D81*B26</f>
        <v>0</v>
      </c>
      <c r="M26" s="14">
        <f>SISEPUEDE!E81*B26</f>
        <v>3338.2604409516312</v>
      </c>
      <c r="N26" s="14">
        <f t="shared" si="0"/>
        <v>2236.1838841214903</v>
      </c>
      <c r="O26" s="14">
        <f t="shared" si="1"/>
        <v>1301.2423023587912</v>
      </c>
      <c r="P26" s="14">
        <f t="shared" si="2"/>
        <v>3338.2631016431724</v>
      </c>
    </row>
    <row r="27" spans="1:16" ht="15" customHeight="1" x14ac:dyDescent="0.2">
      <c r="A27" s="4">
        <v>2045</v>
      </c>
      <c r="B27" s="11">
        <f>Assumptions!B55</f>
        <v>85.531759686010702</v>
      </c>
      <c r="C27" s="14">
        <f>SISEPUEDE!B26*Assumptions!$B$12</f>
        <v>17.378140421090645</v>
      </c>
      <c r="D27" s="14">
        <f>SISEPUEDE!C26*Assumptions!$B$13</f>
        <v>40.050888681634056</v>
      </c>
      <c r="E27" s="14">
        <f>SISEPUEDE!D26*B27</f>
        <v>2275.0569742365051</v>
      </c>
      <c r="F27" s="14">
        <f>SISEPUEDE!B54*Assumptions!$B$12</f>
        <v>10.420331550371277</v>
      </c>
      <c r="G27" s="14">
        <f>SISEPUEDE!C54*Assumptions!$B$13</f>
        <v>122.22819064436676</v>
      </c>
      <c r="H27" s="14">
        <f>SISEPUEDE!D54*B27</f>
        <v>136.16422039555607</v>
      </c>
      <c r="I27" s="14">
        <f>SISEPUEDE!E54*B27</f>
        <v>1062.5407133887022</v>
      </c>
      <c r="J27" s="14">
        <f>SISEPUEDE!B82*Assumptions!$B$12</f>
        <v>2.4448800764265174E-3</v>
      </c>
      <c r="K27" s="14">
        <f>SISEPUEDE!C82*Assumptions!$B$13</f>
        <v>0</v>
      </c>
      <c r="L27" s="14">
        <f>SISEPUEDE!D82*B27</f>
        <v>0</v>
      </c>
      <c r="M27" s="14">
        <f>SISEPUEDE!E82*B27</f>
        <v>3339.8734070538576</v>
      </c>
      <c r="N27" s="14">
        <f t="shared" si="0"/>
        <v>2332.4860033392297</v>
      </c>
      <c r="O27" s="14">
        <f t="shared" si="1"/>
        <v>1331.3534559789964</v>
      </c>
      <c r="P27" s="14">
        <f t="shared" si="2"/>
        <v>3339.875851933934</v>
      </c>
    </row>
    <row r="28" spans="1:16" ht="15" customHeight="1" x14ac:dyDescent="0.2">
      <c r="A28" s="4">
        <v>2046</v>
      </c>
      <c r="B28" s="11">
        <f>Assumptions!B56</f>
        <v>85.531759686010702</v>
      </c>
      <c r="C28" s="14">
        <f>SISEPUEDE!B27*Assumptions!$B$12</f>
        <v>15.996543681603661</v>
      </c>
      <c r="D28" s="14">
        <f>SISEPUEDE!C27*Assumptions!$B$13</f>
        <v>35.167360976986494</v>
      </c>
      <c r="E28" s="14">
        <f>SISEPUEDE!D27*B28</f>
        <v>2380.2107192903982</v>
      </c>
      <c r="F28" s="14">
        <f>SISEPUEDE!B55*Assumptions!$B$12</f>
        <v>9.2718124455432118</v>
      </c>
      <c r="G28" s="14">
        <f>SISEPUEDE!C55*Assumptions!$B$13</f>
        <v>121.4553240233431</v>
      </c>
      <c r="H28" s="14">
        <f>SISEPUEDE!D55*B28</f>
        <v>107.03620490925337</v>
      </c>
      <c r="I28" s="14">
        <f>SISEPUEDE!E55*B28</f>
        <v>1125.6543931686315</v>
      </c>
      <c r="J28" s="14">
        <f>SISEPUEDE!B83*Assumptions!$B$12</f>
        <v>2.2283516872235449E-3</v>
      </c>
      <c r="K28" s="14">
        <f>SISEPUEDE!C83*Assumptions!$B$13</f>
        <v>0</v>
      </c>
      <c r="L28" s="14">
        <f>SISEPUEDE!D83*B28</f>
        <v>0</v>
      </c>
      <c r="M28" s="14">
        <f>SISEPUEDE!E83*B28</f>
        <v>3342.6776048486231</v>
      </c>
      <c r="N28" s="14">
        <f t="shared" si="0"/>
        <v>2431.3746239489883</v>
      </c>
      <c r="O28" s="14">
        <f t="shared" si="1"/>
        <v>1363.417734546771</v>
      </c>
      <c r="P28" s="14">
        <f t="shared" si="2"/>
        <v>3342.6798332003104</v>
      </c>
    </row>
    <row r="29" spans="1:16" ht="15" customHeight="1" x14ac:dyDescent="0.2">
      <c r="A29" s="4">
        <v>2047</v>
      </c>
      <c r="B29" s="11">
        <f>Assumptions!B57</f>
        <v>85.531759686010702</v>
      </c>
      <c r="C29" s="14">
        <f>SISEPUEDE!B28*Assumptions!$B$12</f>
        <v>14.584687659716826</v>
      </c>
      <c r="D29" s="14">
        <f>SISEPUEDE!C28*Assumptions!$B$13</f>
        <v>30.227655109948323</v>
      </c>
      <c r="E29" s="14">
        <f>SISEPUEDE!D28*B29</f>
        <v>2488.1146425130619</v>
      </c>
      <c r="F29" s="14">
        <f>SISEPUEDE!B56*Assumptions!$B$12</f>
        <v>8.1616711407963827</v>
      </c>
      <c r="G29" s="14">
        <f>SISEPUEDE!C56*Assumptions!$B$13</f>
        <v>120.59526564602197</v>
      </c>
      <c r="H29" s="14">
        <f>SISEPUEDE!D56*B29</f>
        <v>78.933851503816996</v>
      </c>
      <c r="I29" s="14">
        <f>SISEPUEDE!E56*B29</f>
        <v>1189.5972221848258</v>
      </c>
      <c r="J29" s="14">
        <f>SISEPUEDE!B84*Assumptions!$B$12</f>
        <v>2.0112668999829547E-3</v>
      </c>
      <c r="K29" s="14">
        <f>SISEPUEDE!C84*Assumptions!$B$13</f>
        <v>0</v>
      </c>
      <c r="L29" s="14">
        <f>SISEPUEDE!D84*B29</f>
        <v>0</v>
      </c>
      <c r="M29" s="14">
        <f>SISEPUEDE!E84*B29</f>
        <v>3344.4799061187073</v>
      </c>
      <c r="N29" s="14">
        <f t="shared" si="0"/>
        <v>2532.9269852827269</v>
      </c>
      <c r="O29" s="14">
        <f t="shared" si="1"/>
        <v>1397.2880104754611</v>
      </c>
      <c r="P29" s="14">
        <f t="shared" si="2"/>
        <v>3344.4819173856072</v>
      </c>
    </row>
    <row r="30" spans="1:16" ht="15" customHeight="1" x14ac:dyDescent="0.2">
      <c r="A30" s="4">
        <v>2048</v>
      </c>
      <c r="B30" s="11">
        <f>Assumptions!B58</f>
        <v>85.531759686010702</v>
      </c>
      <c r="C30" s="14">
        <f>SISEPUEDE!B29*Assumptions!$B$12</f>
        <v>13.142078726921861</v>
      </c>
      <c r="D30" s="14">
        <f>SISEPUEDE!C29*Assumptions!$B$13</f>
        <v>25.244962377448033</v>
      </c>
      <c r="E30" s="14">
        <f>SISEPUEDE!D29*B30</f>
        <v>2598.8387955354924</v>
      </c>
      <c r="F30" s="14">
        <f>SISEPUEDE!B57*Assumptions!$B$12</f>
        <v>7.0914520130873422</v>
      </c>
      <c r="G30" s="14">
        <f>SISEPUEDE!C57*Assumptions!$B$13</f>
        <v>119.67055477748956</v>
      </c>
      <c r="H30" s="14">
        <f>SISEPUEDE!D57*B30</f>
        <v>51.91023035398468</v>
      </c>
      <c r="I30" s="14">
        <f>SISEPUEDE!E57*B30</f>
        <v>1254.1264091488517</v>
      </c>
      <c r="J30" s="14">
        <f>SISEPUEDE!B85*Assumptions!$B$12</f>
        <v>1.7937649863039523E-3</v>
      </c>
      <c r="K30" s="14">
        <f>SISEPUEDE!C85*Assumptions!$B$13</f>
        <v>0</v>
      </c>
      <c r="L30" s="14">
        <f>SISEPUEDE!D85*B30</f>
        <v>0</v>
      </c>
      <c r="M30" s="14">
        <f>SISEPUEDE!E85*B30</f>
        <v>3346.7341051091416</v>
      </c>
      <c r="N30" s="14">
        <f t="shared" si="0"/>
        <v>2637.2258366398623</v>
      </c>
      <c r="O30" s="14">
        <f t="shared" si="1"/>
        <v>1432.7986462934134</v>
      </c>
      <c r="P30" s="14">
        <f t="shared" si="2"/>
        <v>3346.735898874128</v>
      </c>
    </row>
    <row r="31" spans="1:16" ht="15" customHeight="1" x14ac:dyDescent="0.2">
      <c r="A31" s="4">
        <v>2049</v>
      </c>
      <c r="B31" s="11">
        <f>Assumptions!B59</f>
        <v>85.531759686010702</v>
      </c>
      <c r="C31" s="14">
        <f>SISEPUEDE!B30*Assumptions!$B$12</f>
        <v>11.668215969904981</v>
      </c>
      <c r="D31" s="14">
        <f>SISEPUEDE!C30*Assumptions!$B$13</f>
        <v>20.235141605632119</v>
      </c>
      <c r="E31" s="14">
        <f>SISEPUEDE!D30*B31</f>
        <v>2712.4550140055644</v>
      </c>
      <c r="F31" s="14">
        <f>SISEPUEDE!B58*Assumptions!$B$12</f>
        <v>6.0627346015156043</v>
      </c>
      <c r="G31" s="14">
        <f>SISEPUEDE!C58*Assumptions!$B$13</f>
        <v>118.70607329718148</v>
      </c>
      <c r="H31" s="14">
        <f>SISEPUEDE!D58*B31</f>
        <v>26.017355734894053</v>
      </c>
      <c r="I31" s="14">
        <f>SISEPUEDE!E58*B31</f>
        <v>1308.9958523255937</v>
      </c>
      <c r="J31" s="14">
        <f>SISEPUEDE!B86*Assumptions!$B$12</f>
        <v>1.5759854208475105E-3</v>
      </c>
      <c r="K31" s="14">
        <f>SISEPUEDE!C86*Assumptions!$B$13</f>
        <v>0</v>
      </c>
      <c r="L31" s="14">
        <f>SISEPUEDE!D86*B31</f>
        <v>0</v>
      </c>
      <c r="M31" s="14">
        <f>SISEPUEDE!E86*B31</f>
        <v>3349.5770517207216</v>
      </c>
      <c r="N31" s="14">
        <f t="shared" si="0"/>
        <v>2744.3583715811014</v>
      </c>
      <c r="O31" s="14">
        <f t="shared" si="1"/>
        <v>1459.7820159591847</v>
      </c>
      <c r="P31" s="14">
        <f t="shared" si="2"/>
        <v>3349.5786277061425</v>
      </c>
    </row>
    <row r="32" spans="1:16" ht="15" customHeight="1" x14ac:dyDescent="0.2">
      <c r="A32" s="4">
        <v>2050</v>
      </c>
      <c r="B32" s="11">
        <f>Assumptions!B60</f>
        <v>85.531759686010702</v>
      </c>
      <c r="C32" s="14">
        <f>SISEPUEDE!B31*Assumptions!$B$12</f>
        <v>10.162590780916732</v>
      </c>
      <c r="D32" s="14">
        <f>SISEPUEDE!C31*Assumptions!$B$13</f>
        <v>15.214036578607711</v>
      </c>
      <c r="E32" s="14">
        <f>SISEPUEDE!D31*B32</f>
        <v>2829.0369302398126</v>
      </c>
      <c r="F32" s="14">
        <f>SISEPUEDE!B59*Assumptions!$B$12</f>
        <v>5.0771341828490959</v>
      </c>
      <c r="G32" s="14">
        <f>SISEPUEDE!C59*Assumptions!$B$13</f>
        <v>117.72538388898553</v>
      </c>
      <c r="H32" s="14">
        <f>SISEPUEDE!D59*B32</f>
        <v>1.3057521363553342</v>
      </c>
      <c r="I32" s="14">
        <f>SISEPUEDE!E59*B32</f>
        <v>1346.3157243839596</v>
      </c>
      <c r="J32" s="14">
        <f>SISEPUEDE!B87*Assumptions!$B$12</f>
        <v>1.3580551341258146E-3</v>
      </c>
      <c r="K32" s="14">
        <f>SISEPUEDE!C87*Assumptions!$B$13</f>
        <v>0</v>
      </c>
      <c r="L32" s="14">
        <f>SISEPUEDE!D87*B32</f>
        <v>0</v>
      </c>
      <c r="M32" s="14">
        <f>SISEPUEDE!E87*B32</f>
        <v>3352.6433875175244</v>
      </c>
      <c r="N32" s="14">
        <f t="shared" si="0"/>
        <v>2854.4135575993369</v>
      </c>
      <c r="O32" s="14">
        <f t="shared" si="1"/>
        <v>1470.4239945921495</v>
      </c>
      <c r="P32" s="14">
        <f t="shared" si="2"/>
        <v>3352.6447455726584</v>
      </c>
    </row>
    <row r="34" spans="1:16" ht="15" customHeight="1" x14ac:dyDescent="0.2">
      <c r="A34" s="41" t="s">
        <v>94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</row>
    <row r="35" spans="1:16" ht="15" customHeight="1" x14ac:dyDescent="0.2">
      <c r="A35" s="41" t="s">
        <v>95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</row>
    <row r="36" spans="1:16" ht="15" customHeight="1" x14ac:dyDescent="0.2">
      <c r="A36" s="41" t="s">
        <v>96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</row>
  </sheetData>
  <mergeCells count="8">
    <mergeCell ref="A34:P34"/>
    <mergeCell ref="A35:P35"/>
    <mergeCell ref="A36:P36"/>
    <mergeCell ref="A1:Q1"/>
    <mergeCell ref="C3:E3"/>
    <mergeCell ref="F3:I3"/>
    <mergeCell ref="J3:M3"/>
    <mergeCell ref="N3:P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"/>
  <sheetViews>
    <sheetView zoomScale="86" zoomScaleNormal="86" workbookViewId="0">
      <selection activeCell="C4" sqref="C4:C87"/>
    </sheetView>
  </sheetViews>
  <sheetFormatPr baseColWidth="10" defaultColWidth="8.83203125" defaultRowHeight="15" x14ac:dyDescent="0.2"/>
  <sheetData>
    <row r="1" spans="1:6" ht="15" customHeight="1" x14ac:dyDescent="0.2">
      <c r="A1" s="16" t="s">
        <v>97</v>
      </c>
    </row>
    <row r="2" spans="1:6" ht="15" customHeight="1" x14ac:dyDescent="0.2">
      <c r="A2" s="42"/>
      <c r="B2" s="42"/>
      <c r="C2" s="42"/>
      <c r="D2" s="42"/>
    </row>
    <row r="3" spans="1:6" ht="15" customHeight="1" x14ac:dyDescent="0.2">
      <c r="A3" s="17" t="s">
        <v>98</v>
      </c>
      <c r="B3" s="18" t="s">
        <v>87</v>
      </c>
      <c r="C3" s="18" t="s">
        <v>88</v>
      </c>
      <c r="D3" s="18" t="s">
        <v>89</v>
      </c>
      <c r="E3" s="18" t="s">
        <v>90</v>
      </c>
      <c r="F3" t="s">
        <v>99</v>
      </c>
    </row>
    <row r="4" spans="1:6" ht="15" customHeight="1" x14ac:dyDescent="0.2">
      <c r="A4" s="19" t="s">
        <v>100</v>
      </c>
      <c r="B4" s="35">
        <v>5.0812639999999991</v>
      </c>
      <c r="C4" s="35">
        <v>15.67624</v>
      </c>
      <c r="D4" s="35">
        <v>6.2704959999999996</v>
      </c>
      <c r="E4" s="20">
        <v>0</v>
      </c>
      <c r="F4" s="16" t="s">
        <v>83</v>
      </c>
    </row>
    <row r="5" spans="1:6" ht="15" customHeight="1" x14ac:dyDescent="0.2">
      <c r="A5" s="19" t="s">
        <v>101</v>
      </c>
      <c r="B5" s="35">
        <v>5.0556700113012329</v>
      </c>
      <c r="C5" s="35">
        <v>15.721238160046342</v>
      </c>
      <c r="D5" s="35">
        <v>6.2913515251461725</v>
      </c>
      <c r="E5" s="20">
        <v>0</v>
      </c>
      <c r="F5" s="16" t="s">
        <v>83</v>
      </c>
    </row>
    <row r="6" spans="1:6" ht="15" customHeight="1" x14ac:dyDescent="0.2">
      <c r="A6" s="19" t="s">
        <v>102</v>
      </c>
      <c r="B6" s="35">
        <v>5.0626536647226734</v>
      </c>
      <c r="C6" s="35">
        <v>15.745493018461996</v>
      </c>
      <c r="D6" s="35">
        <v>6.3020224517049908</v>
      </c>
      <c r="E6" s="20">
        <v>0</v>
      </c>
      <c r="F6" s="16" t="s">
        <v>83</v>
      </c>
    </row>
    <row r="7" spans="1:6" ht="15" customHeight="1" x14ac:dyDescent="0.2">
      <c r="A7" s="19" t="s">
        <v>103</v>
      </c>
      <c r="B7" s="35">
        <v>5.9497827861877486</v>
      </c>
      <c r="C7" s="35">
        <v>16.26219771599159</v>
      </c>
      <c r="D7" s="35">
        <v>7.6133347025133533</v>
      </c>
      <c r="E7" s="20">
        <v>0</v>
      </c>
      <c r="F7" s="16" t="s">
        <v>83</v>
      </c>
    </row>
    <row r="8" spans="1:6" ht="15" customHeight="1" x14ac:dyDescent="0.2">
      <c r="A8" s="19" t="s">
        <v>104</v>
      </c>
      <c r="B8" s="35">
        <v>6.1263994546520095</v>
      </c>
      <c r="C8" s="35">
        <v>16.730890555064448</v>
      </c>
      <c r="D8" s="35">
        <v>8.0973357943553683</v>
      </c>
      <c r="E8" s="20">
        <v>0</v>
      </c>
      <c r="F8" s="16" t="s">
        <v>83</v>
      </c>
    </row>
    <row r="9" spans="1:6" ht="15" customHeight="1" x14ac:dyDescent="0.2">
      <c r="A9" s="19" t="s">
        <v>105</v>
      </c>
      <c r="B9" s="35">
        <v>6.2776822458090731</v>
      </c>
      <c r="C9" s="35">
        <v>17.102304246803666</v>
      </c>
      <c r="D9" s="35">
        <v>9.1742311689267044</v>
      </c>
      <c r="E9" s="20">
        <v>0</v>
      </c>
      <c r="F9" s="16" t="s">
        <v>83</v>
      </c>
    </row>
    <row r="10" spans="1:6" ht="15" customHeight="1" x14ac:dyDescent="0.2">
      <c r="A10" s="19" t="s">
        <v>106</v>
      </c>
      <c r="B10" s="35">
        <v>6.3957649619436019</v>
      </c>
      <c r="C10" s="35">
        <v>17.338510360856802</v>
      </c>
      <c r="D10" s="35">
        <v>10.339134623164217</v>
      </c>
      <c r="E10" s="20">
        <v>0</v>
      </c>
      <c r="F10" s="16" t="s">
        <v>83</v>
      </c>
    </row>
    <row r="11" spans="1:6" ht="15" customHeight="1" x14ac:dyDescent="0.2">
      <c r="A11" s="19" t="s">
        <v>107</v>
      </c>
      <c r="B11" s="35">
        <v>6.4904661177445542</v>
      </c>
      <c r="C11" s="35">
        <v>17.414389576445195</v>
      </c>
      <c r="D11" s="35">
        <v>11.586339432720507</v>
      </c>
      <c r="E11" s="20">
        <v>0</v>
      </c>
      <c r="F11" s="16" t="s">
        <v>83</v>
      </c>
    </row>
    <row r="12" spans="1:6" ht="15" customHeight="1" x14ac:dyDescent="0.2">
      <c r="A12" s="19" t="s">
        <v>108</v>
      </c>
      <c r="B12" s="35">
        <v>6.303531248105279</v>
      </c>
      <c r="C12" s="35">
        <v>17.320072608368257</v>
      </c>
      <c r="D12" s="35">
        <v>12.416791087598595</v>
      </c>
      <c r="E12" s="20">
        <v>0</v>
      </c>
      <c r="F12" s="16" t="s">
        <v>83</v>
      </c>
    </row>
    <row r="13" spans="1:6" ht="15" customHeight="1" x14ac:dyDescent="0.2">
      <c r="A13" s="19" t="s">
        <v>109</v>
      </c>
      <c r="B13" s="35">
        <v>6.1122969569214547</v>
      </c>
      <c r="C13" s="35">
        <v>17.064835891597166</v>
      </c>
      <c r="D13" s="35">
        <v>13.268254402891788</v>
      </c>
      <c r="E13" s="20">
        <v>0</v>
      </c>
      <c r="F13" s="16" t="s">
        <v>83</v>
      </c>
    </row>
    <row r="14" spans="1:6" ht="15" customHeight="1" x14ac:dyDescent="0.2">
      <c r="A14" s="19" t="s">
        <v>110</v>
      </c>
      <c r="B14" s="35">
        <v>5.9167057438771558</v>
      </c>
      <c r="C14" s="35">
        <v>16.668473978539065</v>
      </c>
      <c r="D14" s="35">
        <v>14.141225355492093</v>
      </c>
      <c r="E14" s="20">
        <v>0</v>
      </c>
      <c r="F14" s="16" t="s">
        <v>83</v>
      </c>
    </row>
    <row r="15" spans="1:6" ht="15" customHeight="1" x14ac:dyDescent="0.2">
      <c r="A15" s="19" t="s">
        <v>111</v>
      </c>
      <c r="B15" s="35">
        <v>5.7166996350524268</v>
      </c>
      <c r="C15" s="35">
        <v>16.155069933031275</v>
      </c>
      <c r="D15" s="35">
        <v>15.036211405091976</v>
      </c>
      <c r="E15" s="20">
        <v>0</v>
      </c>
      <c r="F15" s="16" t="s">
        <v>83</v>
      </c>
    </row>
    <row r="16" spans="1:6" ht="15" customHeight="1" x14ac:dyDescent="0.2">
      <c r="A16" s="19" t="s">
        <v>112</v>
      </c>
      <c r="B16" s="35">
        <v>5.5122204177566445</v>
      </c>
      <c r="C16" s="35">
        <v>15.548827951448544</v>
      </c>
      <c r="D16" s="35">
        <v>15.953732064187022</v>
      </c>
      <c r="E16" s="20">
        <v>0</v>
      </c>
      <c r="F16" s="16" t="s">
        <v>83</v>
      </c>
    </row>
    <row r="17" spans="1:6" ht="15" customHeight="1" x14ac:dyDescent="0.2">
      <c r="A17" s="19" t="s">
        <v>113</v>
      </c>
      <c r="B17" s="35">
        <v>5.3032094985221567</v>
      </c>
      <c r="C17" s="35">
        <v>14.871560844629334</v>
      </c>
      <c r="D17" s="35">
        <v>16.894318937684275</v>
      </c>
      <c r="E17" s="20">
        <v>0</v>
      </c>
      <c r="F17" s="16" t="s">
        <v>83</v>
      </c>
    </row>
    <row r="18" spans="1:6" ht="15" customHeight="1" x14ac:dyDescent="0.2">
      <c r="A18" s="19" t="s">
        <v>114</v>
      </c>
      <c r="B18" s="35">
        <v>5.0896079167097241</v>
      </c>
      <c r="C18" s="35">
        <v>14.141422879873993</v>
      </c>
      <c r="D18" s="35">
        <v>17.85851591124537</v>
      </c>
      <c r="E18" s="20">
        <v>0</v>
      </c>
      <c r="F18" s="16" t="s">
        <v>83</v>
      </c>
    </row>
    <row r="19" spans="1:6" ht="15" customHeight="1" x14ac:dyDescent="0.2">
      <c r="A19" s="19" t="s">
        <v>115</v>
      </c>
      <c r="B19" s="35">
        <v>4.8713564729616401</v>
      </c>
      <c r="C19" s="35">
        <v>13.37251821555089</v>
      </c>
      <c r="D19" s="35">
        <v>18.846879654282031</v>
      </c>
      <c r="E19" s="20">
        <v>0</v>
      </c>
      <c r="F19" s="16" t="s">
        <v>83</v>
      </c>
    </row>
    <row r="20" spans="1:6" ht="15" customHeight="1" x14ac:dyDescent="0.2">
      <c r="A20" s="19" t="s">
        <v>116</v>
      </c>
      <c r="B20" s="35">
        <v>4.6483957754308429</v>
      </c>
      <c r="C20" s="35">
        <v>12.575076010877041</v>
      </c>
      <c r="D20" s="35">
        <v>19.859980044000771</v>
      </c>
      <c r="E20" s="20">
        <v>0</v>
      </c>
      <c r="F20" s="16" t="s">
        <v>83</v>
      </c>
    </row>
    <row r="21" spans="1:6" ht="15" customHeight="1" x14ac:dyDescent="0.2">
      <c r="A21" s="19" t="s">
        <v>117</v>
      </c>
      <c r="B21" s="35">
        <v>4.4226033301378882</v>
      </c>
      <c r="C21" s="35">
        <v>11.755950671828895</v>
      </c>
      <c r="D21" s="35">
        <v>20.906939507815643</v>
      </c>
      <c r="E21" s="20">
        <v>0</v>
      </c>
      <c r="F21" s="16" t="s">
        <v>83</v>
      </c>
    </row>
    <row r="22" spans="1:6" ht="15" customHeight="1" x14ac:dyDescent="0.2">
      <c r="A22" s="19" t="s">
        <v>118</v>
      </c>
      <c r="B22" s="35">
        <v>4.1931284949893941</v>
      </c>
      <c r="C22" s="35">
        <v>10.919270152958502</v>
      </c>
      <c r="D22" s="35">
        <v>21.987178838414273</v>
      </c>
      <c r="E22" s="20">
        <v>0</v>
      </c>
      <c r="F22" s="16" t="s">
        <v>83</v>
      </c>
    </row>
    <row r="23" spans="1:6" ht="15" customHeight="1" x14ac:dyDescent="0.2">
      <c r="A23" s="19" t="s">
        <v>119</v>
      </c>
      <c r="B23" s="35">
        <v>3.9584798185772119</v>
      </c>
      <c r="C23" s="35">
        <v>10.067213570215966</v>
      </c>
      <c r="D23" s="35">
        <v>23.095769760713566</v>
      </c>
      <c r="E23" s="20">
        <v>0</v>
      </c>
      <c r="F23" s="16" t="s">
        <v>83</v>
      </c>
    </row>
    <row r="24" spans="1:6" ht="15" customHeight="1" x14ac:dyDescent="0.2">
      <c r="A24" s="19" t="s">
        <v>120</v>
      </c>
      <c r="B24" s="35">
        <v>3.7185724106231031</v>
      </c>
      <c r="C24" s="35">
        <v>9.200799436044985</v>
      </c>
      <c r="D24" s="35">
        <v>24.233435170067708</v>
      </c>
      <c r="E24" s="20">
        <v>0</v>
      </c>
      <c r="F24" s="16" t="s">
        <v>83</v>
      </c>
    </row>
    <row r="25" spans="1:6" ht="15" customHeight="1" x14ac:dyDescent="0.2">
      <c r="A25" s="19" t="s">
        <v>121</v>
      </c>
      <c r="B25" s="35">
        <v>3.4733200859608067</v>
      </c>
      <c r="C25" s="35">
        <v>8.3205652448813154</v>
      </c>
      <c r="D25" s="35">
        <v>25.400916288939115</v>
      </c>
      <c r="E25" s="20">
        <v>0</v>
      </c>
      <c r="F25" s="16" t="s">
        <v>83</v>
      </c>
    </row>
    <row r="26" spans="1:6" ht="15" customHeight="1" x14ac:dyDescent="0.2">
      <c r="A26" s="19" t="s">
        <v>122</v>
      </c>
      <c r="B26" s="35">
        <v>3.222635378153849</v>
      </c>
      <c r="C26" s="35">
        <v>7.4271128938107136</v>
      </c>
      <c r="D26" s="35">
        <v>26.598973090093061</v>
      </c>
      <c r="E26" s="20">
        <v>0</v>
      </c>
      <c r="F26" s="16" t="s">
        <v>83</v>
      </c>
    </row>
    <row r="27" spans="1:6" ht="15" customHeight="1" x14ac:dyDescent="0.2">
      <c r="A27" s="19" t="s">
        <v>123</v>
      </c>
      <c r="B27" s="35">
        <v>2.9664294537495777</v>
      </c>
      <c r="C27" s="35">
        <v>6.5215022375582308</v>
      </c>
      <c r="D27" s="35">
        <v>27.828384778101295</v>
      </c>
      <c r="E27" s="20">
        <v>0</v>
      </c>
      <c r="F27" s="16" t="s">
        <v>83</v>
      </c>
    </row>
    <row r="28" spans="1:6" ht="15" customHeight="1" x14ac:dyDescent="0.2">
      <c r="A28" s="19" t="s">
        <v>124</v>
      </c>
      <c r="B28" s="35">
        <v>2.7046121905244416</v>
      </c>
      <c r="C28" s="35">
        <v>5.6054737961335253</v>
      </c>
      <c r="D28" s="35">
        <v>29.089950348817737</v>
      </c>
      <c r="E28" s="20">
        <v>0</v>
      </c>
      <c r="F28" s="16" t="s">
        <v>83</v>
      </c>
    </row>
    <row r="29" spans="1:6" ht="15" customHeight="1" x14ac:dyDescent="0.2">
      <c r="A29" s="19" t="s">
        <v>125</v>
      </c>
      <c r="B29" s="35">
        <v>2.437092049069971</v>
      </c>
      <c r="C29" s="35">
        <v>4.6814737887024798</v>
      </c>
      <c r="D29" s="35">
        <v>30.384488815334755</v>
      </c>
      <c r="E29" s="20">
        <v>0</v>
      </c>
      <c r="F29" s="16" t="s">
        <v>83</v>
      </c>
    </row>
    <row r="30" spans="1:6" ht="15" customHeight="1" x14ac:dyDescent="0.2">
      <c r="A30" s="19" t="s">
        <v>126</v>
      </c>
      <c r="B30" s="35">
        <v>2.1637761390695225</v>
      </c>
      <c r="C30" s="35">
        <v>3.7524431061174703</v>
      </c>
      <c r="D30" s="35">
        <v>31.712840048691348</v>
      </c>
      <c r="E30" s="20">
        <v>0</v>
      </c>
      <c r="F30" s="16" t="s">
        <v>83</v>
      </c>
    </row>
    <row r="31" spans="1:6" ht="15" customHeight="1" x14ac:dyDescent="0.2">
      <c r="A31" s="19">
        <v>2050</v>
      </c>
      <c r="B31" s="35">
        <v>1.8845701433356825</v>
      </c>
      <c r="C31" s="35">
        <v>2.8213198498065131</v>
      </c>
      <c r="D31" s="35">
        <v>33.075864925792246</v>
      </c>
      <c r="E31" s="20">
        <v>0</v>
      </c>
      <c r="F31" s="16" t="s">
        <v>83</v>
      </c>
    </row>
    <row r="32" spans="1:6" ht="15" customHeight="1" x14ac:dyDescent="0.2">
      <c r="A32" s="19" t="s">
        <v>100</v>
      </c>
      <c r="B32" s="35">
        <v>5.0812639999999991</v>
      </c>
      <c r="C32" s="35">
        <v>15.67624</v>
      </c>
      <c r="D32" s="35">
        <v>6.2704959999999996</v>
      </c>
      <c r="E32" s="20">
        <v>0</v>
      </c>
      <c r="F32" s="16" t="s">
        <v>84</v>
      </c>
    </row>
    <row r="33" spans="1:6" ht="15" customHeight="1" x14ac:dyDescent="0.2">
      <c r="A33" s="19" t="s">
        <v>101</v>
      </c>
      <c r="B33" s="35">
        <v>5.0554929125757013</v>
      </c>
      <c r="C33" s="35">
        <v>15.733978360933722</v>
      </c>
      <c r="D33" s="35">
        <v>6.3013604815893833</v>
      </c>
      <c r="E33" s="20">
        <v>0.30934943758655098</v>
      </c>
      <c r="F33" s="16" t="s">
        <v>84</v>
      </c>
    </row>
    <row r="34" spans="1:6" ht="15" customHeight="1" x14ac:dyDescent="0.2">
      <c r="A34" s="19" t="s">
        <v>102</v>
      </c>
      <c r="B34" s="35">
        <v>5.0622945995669477</v>
      </c>
      <c r="C34" s="35">
        <v>15.771248926677117</v>
      </c>
      <c r="D34" s="35">
        <v>6.3222579979439164</v>
      </c>
      <c r="E34" s="20">
        <v>0.63272025832568402</v>
      </c>
      <c r="F34" s="16" t="s">
        <v>84</v>
      </c>
    </row>
    <row r="35" spans="1:6" ht="15" customHeight="1" x14ac:dyDescent="0.2">
      <c r="A35" s="19" t="s">
        <v>103</v>
      </c>
      <c r="B35" s="35">
        <v>5.8302237384679616</v>
      </c>
      <c r="C35" s="35">
        <v>16.824658329671518</v>
      </c>
      <c r="D35" s="35">
        <v>7.4910381072915913</v>
      </c>
      <c r="E35" s="20">
        <v>0.98856707825508405</v>
      </c>
      <c r="F35" s="16" t="s">
        <v>84</v>
      </c>
    </row>
    <row r="36" spans="1:6" ht="15" customHeight="1" x14ac:dyDescent="0.2">
      <c r="A36" s="19" t="s">
        <v>104</v>
      </c>
      <c r="B36" s="35">
        <v>5.8805971559034429</v>
      </c>
      <c r="C36" s="35">
        <v>17.848905018652367</v>
      </c>
      <c r="D36" s="35">
        <v>7.8129490184501567</v>
      </c>
      <c r="E36" s="20">
        <v>1.3898016778167599</v>
      </c>
      <c r="F36" s="16" t="s">
        <v>84</v>
      </c>
    </row>
    <row r="37" spans="1:6" ht="15" customHeight="1" x14ac:dyDescent="0.2">
      <c r="A37" s="19" t="s">
        <v>105</v>
      </c>
      <c r="B37" s="35">
        <v>5.8961376400055379</v>
      </c>
      <c r="C37" s="35">
        <v>18.817323816317582</v>
      </c>
      <c r="D37" s="35">
        <v>7.7864676496162932</v>
      </c>
      <c r="E37" s="20">
        <v>1.84214978694815</v>
      </c>
      <c r="F37" s="16" t="s">
        <v>84</v>
      </c>
    </row>
    <row r="38" spans="1:6" ht="15" customHeight="1" x14ac:dyDescent="0.2">
      <c r="A38" s="19" t="s">
        <v>106</v>
      </c>
      <c r="B38" s="35">
        <v>5.8762266125440599</v>
      </c>
      <c r="C38" s="35">
        <v>19.702110659693862</v>
      </c>
      <c r="D38" s="35">
        <v>7.7241024754960321</v>
      </c>
      <c r="E38" s="20">
        <v>2.3421410430488598</v>
      </c>
      <c r="F38" s="16" t="s">
        <v>84</v>
      </c>
    </row>
    <row r="39" spans="1:6" ht="15" customHeight="1" x14ac:dyDescent="0.2">
      <c r="A39" s="19" t="s">
        <v>107</v>
      </c>
      <c r="B39" s="35">
        <v>5.8313374143293748</v>
      </c>
      <c r="C39" s="35">
        <v>20.478781272991448</v>
      </c>
      <c r="D39" s="35">
        <v>7.6204535034863472</v>
      </c>
      <c r="E39" s="20">
        <v>2.8805418326832202</v>
      </c>
      <c r="F39" s="16" t="s">
        <v>84</v>
      </c>
    </row>
    <row r="40" spans="1:6" ht="15" customHeight="1" x14ac:dyDescent="0.2">
      <c r="A40" s="19" t="s">
        <v>108</v>
      </c>
      <c r="B40" s="35">
        <v>5.5355106496291047</v>
      </c>
      <c r="C40" s="35">
        <v>21.131818980069081</v>
      </c>
      <c r="D40" s="35">
        <v>7.1920565276446293</v>
      </c>
      <c r="E40" s="20">
        <v>3.4459888715190199</v>
      </c>
      <c r="F40" s="16" t="s">
        <v>84</v>
      </c>
    </row>
    <row r="41" spans="1:6" ht="15" customHeight="1" x14ac:dyDescent="0.2">
      <c r="A41" s="19" t="s">
        <v>109</v>
      </c>
      <c r="B41" s="35">
        <v>5.2440168821295661</v>
      </c>
      <c r="C41" s="35">
        <v>21.661958784840174</v>
      </c>
      <c r="D41" s="35">
        <v>6.7631528437757247</v>
      </c>
      <c r="E41" s="20">
        <v>4.0289862863409898</v>
      </c>
      <c r="F41" s="16" t="s">
        <v>84</v>
      </c>
    </row>
    <row r="42" spans="1:6" ht="15" customHeight="1" x14ac:dyDescent="0.2">
      <c r="A42" s="19" t="s">
        <v>110</v>
      </c>
      <c r="B42" s="35">
        <v>4.9569560464703928</v>
      </c>
      <c r="C42" s="35">
        <v>22.079547852238832</v>
      </c>
      <c r="D42" s="35">
        <v>6.3349962345965363</v>
      </c>
      <c r="E42" s="20">
        <v>4.6225837410291497</v>
      </c>
      <c r="F42" s="16" t="s">
        <v>84</v>
      </c>
    </row>
    <row r="43" spans="1:6" ht="15" customHeight="1" x14ac:dyDescent="0.2">
      <c r="A43" s="19" t="s">
        <v>111</v>
      </c>
      <c r="B43" s="35">
        <v>4.6744521737537585</v>
      </c>
      <c r="C43" s="35">
        <v>22.399570841894242</v>
      </c>
      <c r="D43" s="35">
        <v>5.9087047004094293</v>
      </c>
      <c r="E43" s="20">
        <v>5.2224606858407201</v>
      </c>
      <c r="F43" s="16" t="s">
        <v>84</v>
      </c>
    </row>
    <row r="44" spans="1:6" ht="15" customHeight="1" x14ac:dyDescent="0.2">
      <c r="A44" s="19" t="s">
        <v>112</v>
      </c>
      <c r="B44" s="35">
        <v>4.396649180829443</v>
      </c>
      <c r="C44" s="35">
        <v>22.638161588986645</v>
      </c>
      <c r="D44" s="35">
        <v>5.4852902850906133</v>
      </c>
      <c r="E44" s="20">
        <v>5.8266534420748597</v>
      </c>
      <c r="F44" s="16" t="s">
        <v>84</v>
      </c>
    </row>
    <row r="45" spans="1:6" ht="15" customHeight="1" x14ac:dyDescent="0.2">
      <c r="A45" s="19" t="s">
        <v>113</v>
      </c>
      <c r="B45" s="35">
        <v>4.125295940583392</v>
      </c>
      <c r="C45" s="35">
        <v>22.810344166559247</v>
      </c>
      <c r="D45" s="35">
        <v>5.067486522937414</v>
      </c>
      <c r="E45" s="20">
        <v>6.4351093443777803</v>
      </c>
      <c r="F45" s="16" t="s">
        <v>84</v>
      </c>
    </row>
    <row r="46" spans="1:6" ht="15" customHeight="1" x14ac:dyDescent="0.2">
      <c r="A46" s="19" t="s">
        <v>114</v>
      </c>
      <c r="B46" s="35">
        <v>3.8601313706487974</v>
      </c>
      <c r="C46" s="35">
        <v>22.928726223547468</v>
      </c>
      <c r="D46" s="35">
        <v>4.6555492938026442</v>
      </c>
      <c r="E46" s="20">
        <v>7.0491969973373099</v>
      </c>
      <c r="F46" s="16" t="s">
        <v>84</v>
      </c>
    </row>
    <row r="47" spans="1:6" ht="15" customHeight="1" x14ac:dyDescent="0.2">
      <c r="A47" s="19" t="s">
        <v>115</v>
      </c>
      <c r="B47" s="35">
        <v>3.5997798709709588</v>
      </c>
      <c r="C47" s="35">
        <v>23.003035395058813</v>
      </c>
      <c r="D47" s="35">
        <v>4.2484855234250247</v>
      </c>
      <c r="E47" s="20">
        <v>7.6712511211205898</v>
      </c>
      <c r="F47" s="16" t="s">
        <v>84</v>
      </c>
    </row>
    <row r="48" spans="1:6" ht="15" customHeight="1" x14ac:dyDescent="0.2">
      <c r="A48" s="19" t="s">
        <v>116</v>
      </c>
      <c r="B48" s="35">
        <v>3.3444744168386413</v>
      </c>
      <c r="C48" s="35">
        <v>23.040266930032885</v>
      </c>
      <c r="D48" s="35">
        <v>3.8471136970630262</v>
      </c>
      <c r="E48" s="20">
        <v>8.3040644986158796</v>
      </c>
      <c r="F48" s="16" t="s">
        <v>84</v>
      </c>
    </row>
    <row r="49" spans="1:6" ht="15" customHeight="1" x14ac:dyDescent="0.2">
      <c r="A49" s="19" t="s">
        <v>117</v>
      </c>
      <c r="B49" s="35">
        <v>3.094453534567164</v>
      </c>
      <c r="C49" s="35">
        <v>23.045129101680335</v>
      </c>
      <c r="D49" s="35">
        <v>3.4522136887905894</v>
      </c>
      <c r="E49" s="20">
        <v>8.9503327154504895</v>
      </c>
      <c r="F49" s="16" t="s">
        <v>84</v>
      </c>
    </row>
    <row r="50" spans="1:6" ht="15" customHeight="1" x14ac:dyDescent="0.2">
      <c r="A50" s="19" t="s">
        <v>118</v>
      </c>
      <c r="B50" s="35">
        <v>2.8499620991433217</v>
      </c>
      <c r="C50" s="35">
        <v>23.02065972134103</v>
      </c>
      <c r="D50" s="35">
        <v>3.0613521706113276</v>
      </c>
      <c r="E50" s="20">
        <v>9.6121720811953502</v>
      </c>
      <c r="F50" s="16" t="s">
        <v>84</v>
      </c>
    </row>
    <row r="51" spans="1:6" ht="15" customHeight="1" x14ac:dyDescent="0.2">
      <c r="A51" s="19" t="s">
        <v>119</v>
      </c>
      <c r="B51" s="35">
        <v>2.6112490533857033</v>
      </c>
      <c r="C51" s="35">
        <v>22.968924571800088</v>
      </c>
      <c r="D51" s="35">
        <v>2.6792301372920067</v>
      </c>
      <c r="E51" s="20">
        <v>10.290680431615201</v>
      </c>
      <c r="F51" s="16" t="s">
        <v>84</v>
      </c>
    </row>
    <row r="52" spans="1:6" ht="15" customHeight="1" x14ac:dyDescent="0.2">
      <c r="A52" s="19" t="s">
        <v>120</v>
      </c>
      <c r="B52" s="35">
        <v>2.3785700007366923</v>
      </c>
      <c r="C52" s="35">
        <v>22.891505500839489</v>
      </c>
      <c r="D52" s="35">
        <v>2.3065214243695498</v>
      </c>
      <c r="E52" s="20">
        <v>10.985936387668501</v>
      </c>
      <c r="F52" s="16" t="s">
        <v>84</v>
      </c>
    </row>
    <row r="53" spans="1:6" ht="15" customHeight="1" x14ac:dyDescent="0.2">
      <c r="A53" s="19" t="s">
        <v>121</v>
      </c>
      <c r="B53" s="35">
        <v>2.1521864850567276</v>
      </c>
      <c r="C53" s="35">
        <v>22.789961962343789</v>
      </c>
      <c r="D53" s="35">
        <v>1.9438859947845379</v>
      </c>
      <c r="E53" s="20">
        <v>11.697142303796801</v>
      </c>
      <c r="F53" s="16" t="s">
        <v>84</v>
      </c>
    </row>
    <row r="54" spans="1:6" ht="15" customHeight="1" x14ac:dyDescent="0.2">
      <c r="A54" s="19" t="s">
        <v>122</v>
      </c>
      <c r="B54" s="35">
        <v>1.932366081330795</v>
      </c>
      <c r="C54" s="35">
        <v>22.666227906653596</v>
      </c>
      <c r="D54" s="35">
        <v>1.5919726297625401</v>
      </c>
      <c r="E54" s="20">
        <v>12.422762226444499</v>
      </c>
      <c r="F54" s="16" t="s">
        <v>84</v>
      </c>
    </row>
    <row r="55" spans="1:6" ht="15" customHeight="1" x14ac:dyDescent="0.2">
      <c r="A55" s="19" t="s">
        <v>123</v>
      </c>
      <c r="B55" s="35">
        <v>1.7193825163451795</v>
      </c>
      <c r="C55" s="35">
        <v>22.522906052004387</v>
      </c>
      <c r="D55" s="35">
        <v>1.2514205869513972</v>
      </c>
      <c r="E55" s="20">
        <v>13.160659821578999</v>
      </c>
      <c r="F55" s="16" t="s">
        <v>84</v>
      </c>
    </row>
    <row r="56" spans="1:6" ht="15" customHeight="1" x14ac:dyDescent="0.2">
      <c r="A56" s="19" t="s">
        <v>124</v>
      </c>
      <c r="B56" s="35">
        <v>1.5135158035244487</v>
      </c>
      <c r="C56" s="35">
        <v>22.363415192403039</v>
      </c>
      <c r="D56" s="35">
        <v>0.92286013749261331</v>
      </c>
      <c r="E56" s="20">
        <v>13.908251467663799</v>
      </c>
      <c r="F56" s="16" t="s">
        <v>84</v>
      </c>
    </row>
    <row r="57" spans="1:6" ht="15" customHeight="1" x14ac:dyDescent="0.2">
      <c r="A57" s="19" t="s">
        <v>125</v>
      </c>
      <c r="B57" s="35">
        <v>1.3150523350657415</v>
      </c>
      <c r="C57" s="35">
        <v>22.191935051991738</v>
      </c>
      <c r="D57" s="35">
        <v>0.60691175470431658</v>
      </c>
      <c r="E57" s="20">
        <v>14.6626985549319</v>
      </c>
      <c r="F57" s="16" t="s">
        <v>84</v>
      </c>
    </row>
    <row r="58" spans="1:6" ht="15" customHeight="1" x14ac:dyDescent="0.2">
      <c r="A58" s="19" t="s">
        <v>126</v>
      </c>
      <c r="B58" s="35">
        <v>1.1242850237007964</v>
      </c>
      <c r="C58" s="35">
        <v>22.013079773768595</v>
      </c>
      <c r="D58" s="35">
        <v>0.30418356678740666</v>
      </c>
      <c r="E58" s="20">
        <v>15.3042081342761</v>
      </c>
      <c r="F58" s="16" t="s">
        <v>84</v>
      </c>
    </row>
    <row r="59" spans="1:6" ht="15" customHeight="1" x14ac:dyDescent="0.2">
      <c r="A59" s="19">
        <v>2050</v>
      </c>
      <c r="B59" s="35">
        <v>0.94151340942248374</v>
      </c>
      <c r="C59" s="35">
        <v>21.831218866602864</v>
      </c>
      <c r="D59" s="35">
        <v>1.5266284023020034E-2</v>
      </c>
      <c r="E59" s="20">
        <v>15.740535788417301</v>
      </c>
      <c r="F59" s="16" t="s">
        <v>84</v>
      </c>
    </row>
    <row r="60" spans="1:6" ht="15" customHeight="1" x14ac:dyDescent="0.2">
      <c r="A60" s="19" t="s">
        <v>100</v>
      </c>
      <c r="B60" s="35">
        <v>5.0812639999999991</v>
      </c>
      <c r="C60" s="35">
        <v>15.67624</v>
      </c>
      <c r="D60" s="35">
        <v>6.2704959999999996</v>
      </c>
      <c r="E60" s="20">
        <v>0</v>
      </c>
      <c r="F60" s="16" t="s">
        <v>85</v>
      </c>
    </row>
    <row r="61" spans="1:6" ht="15" customHeight="1" x14ac:dyDescent="0.2">
      <c r="A61" s="19" t="s">
        <v>101</v>
      </c>
      <c r="B61" s="35">
        <v>5.0553704440111638</v>
      </c>
      <c r="C61" s="35">
        <v>15.736640853369334</v>
      </c>
      <c r="D61" s="35">
        <v>6.3035504274794398</v>
      </c>
      <c r="E61" s="20">
        <v>5.78877265775556</v>
      </c>
      <c r="F61" s="16" t="s">
        <v>85</v>
      </c>
    </row>
    <row r="62" spans="1:6" ht="15" customHeight="1" x14ac:dyDescent="0.2">
      <c r="A62" s="19" t="s">
        <v>102</v>
      </c>
      <c r="B62" s="35">
        <v>5.0620465006012836</v>
      </c>
      <c r="C62" s="35">
        <v>15.776636434903947</v>
      </c>
      <c r="D62" s="35">
        <v>6.3266896421547862</v>
      </c>
      <c r="E62" s="20">
        <v>11.5727133660859</v>
      </c>
      <c r="F62" s="16" t="s">
        <v>85</v>
      </c>
    </row>
    <row r="63" spans="1:6" ht="15" customHeight="1" x14ac:dyDescent="0.2">
      <c r="A63" s="19" t="s">
        <v>103</v>
      </c>
      <c r="B63" s="35">
        <v>4.7591110960076604</v>
      </c>
      <c r="C63" s="35">
        <v>13.176014060524061</v>
      </c>
      <c r="D63" s="35">
        <v>2.6300293210626839</v>
      </c>
      <c r="E63" s="20">
        <v>17.255370357480299</v>
      </c>
      <c r="F63" s="16" t="s">
        <v>85</v>
      </c>
    </row>
    <row r="64" spans="1:6" ht="15" customHeight="1" x14ac:dyDescent="0.2">
      <c r="A64" s="19" t="s">
        <v>104</v>
      </c>
      <c r="B64" s="35">
        <v>3.6752816771891643</v>
      </c>
      <c r="C64" s="35">
        <v>10.532474121144864</v>
      </c>
      <c r="D64" s="35">
        <v>0.27227935321020302</v>
      </c>
      <c r="E64" s="20">
        <v>22.561828097014899</v>
      </c>
      <c r="F64" s="16" t="s">
        <v>85</v>
      </c>
    </row>
    <row r="65" spans="1:6" ht="15" customHeight="1" x14ac:dyDescent="0.2">
      <c r="A65" s="19" t="s">
        <v>105</v>
      </c>
      <c r="B65" s="35">
        <v>2.5089175239259625</v>
      </c>
      <c r="C65" s="35">
        <v>7.8702805724203584</v>
      </c>
      <c r="D65" s="35">
        <v>2.2826172082418772E-2</v>
      </c>
      <c r="E65" s="20">
        <v>27.2312397878366</v>
      </c>
      <c r="F65" s="16" t="s">
        <v>85</v>
      </c>
    </row>
    <row r="66" spans="1:6" ht="15" customHeight="1" x14ac:dyDescent="0.2">
      <c r="A66" s="19" t="s">
        <v>106</v>
      </c>
      <c r="B66" s="35">
        <v>1.277917052765873</v>
      </c>
      <c r="C66" s="35">
        <v>5.2977570405695804</v>
      </c>
      <c r="D66" s="35">
        <v>4.3303547812141878E-3</v>
      </c>
      <c r="E66" s="20">
        <v>31.124606066559799</v>
      </c>
      <c r="F66" s="16" t="s">
        <v>85</v>
      </c>
    </row>
    <row r="67" spans="1:6" ht="15" customHeight="1" x14ac:dyDescent="0.2">
      <c r="A67" s="19" t="s">
        <v>107</v>
      </c>
      <c r="B67" s="35">
        <v>1.2769885578680419E-3</v>
      </c>
      <c r="C67" s="35">
        <v>2.9669799487139477</v>
      </c>
      <c r="D67" s="35">
        <v>0</v>
      </c>
      <c r="E67" s="20">
        <v>34.204875814614802</v>
      </c>
      <c r="F67" s="16" t="s">
        <v>85</v>
      </c>
    </row>
    <row r="68" spans="1:6" ht="15" customHeight="1" x14ac:dyDescent="0.2">
      <c r="A68" s="19" t="s">
        <v>108</v>
      </c>
      <c r="B68" s="35">
        <v>1.2115076660049015E-3</v>
      </c>
      <c r="C68" s="35">
        <v>1.0143066418962705</v>
      </c>
      <c r="D68" s="35">
        <v>0</v>
      </c>
      <c r="E68" s="20">
        <v>36.499458925161001</v>
      </c>
      <c r="F68" s="16" t="s">
        <v>85</v>
      </c>
    </row>
    <row r="69" spans="1:6" ht="15" customHeight="1" x14ac:dyDescent="0.2">
      <c r="A69" s="19" t="s">
        <v>109</v>
      </c>
      <c r="B69" s="35">
        <v>1.1469655333959656E-3</v>
      </c>
      <c r="C69" s="35">
        <v>0</v>
      </c>
      <c r="D69" s="35">
        <v>0</v>
      </c>
      <c r="E69" s="20">
        <v>37.818073904894902</v>
      </c>
      <c r="F69" s="16" t="s">
        <v>85</v>
      </c>
    </row>
    <row r="70" spans="1:6" ht="15" customHeight="1" x14ac:dyDescent="0.2">
      <c r="A70" s="19" t="s">
        <v>110</v>
      </c>
      <c r="B70" s="35">
        <v>1.0835024658937705E-3</v>
      </c>
      <c r="C70" s="35">
        <v>0</v>
      </c>
      <c r="D70" s="35">
        <v>0</v>
      </c>
      <c r="E70" s="20">
        <v>38.530993474604898</v>
      </c>
      <c r="F70" s="16" t="s">
        <v>85</v>
      </c>
    </row>
    <row r="71" spans="1:6" ht="15" customHeight="1" x14ac:dyDescent="0.2">
      <c r="A71" s="19" t="s">
        <v>111</v>
      </c>
      <c r="B71" s="35">
        <v>1.0212322900121904E-3</v>
      </c>
      <c r="C71" s="35">
        <v>0</v>
      </c>
      <c r="D71" s="35">
        <v>0</v>
      </c>
      <c r="E71" s="20">
        <v>38.826108415039997</v>
      </c>
      <c r="F71" s="16" t="s">
        <v>85</v>
      </c>
    </row>
    <row r="72" spans="1:6" ht="15" customHeight="1" x14ac:dyDescent="0.2">
      <c r="A72" s="19" t="s">
        <v>112</v>
      </c>
      <c r="B72" s="35">
        <v>9.6021577626406946E-4</v>
      </c>
      <c r="C72" s="35">
        <v>0</v>
      </c>
      <c r="D72" s="35">
        <v>0</v>
      </c>
      <c r="E72" s="20">
        <v>39.004081737619899</v>
      </c>
      <c r="F72" s="16" t="s">
        <v>85</v>
      </c>
    </row>
    <row r="73" spans="1:6" ht="15" customHeight="1" x14ac:dyDescent="0.2">
      <c r="A73" s="19" t="s">
        <v>113</v>
      </c>
      <c r="B73" s="35">
        <v>9.0048168217851036E-4</v>
      </c>
      <c r="C73" s="35">
        <v>0</v>
      </c>
      <c r="D73" s="35">
        <v>0</v>
      </c>
      <c r="E73" s="20">
        <v>39.0957903598499</v>
      </c>
      <c r="F73" s="16" t="s">
        <v>85</v>
      </c>
    </row>
    <row r="74" spans="1:6" ht="15" customHeight="1" x14ac:dyDescent="0.2">
      <c r="A74" s="19" t="s">
        <v>114</v>
      </c>
      <c r="B74" s="35">
        <v>8.4155550425929222E-4</v>
      </c>
      <c r="C74" s="35">
        <v>0</v>
      </c>
      <c r="D74" s="35">
        <v>0</v>
      </c>
      <c r="E74" s="20">
        <v>39.128371408076902</v>
      </c>
      <c r="F74" s="16" t="s">
        <v>85</v>
      </c>
    </row>
    <row r="75" spans="1:6" ht="15" customHeight="1" x14ac:dyDescent="0.2">
      <c r="A75" s="19" t="s">
        <v>115</v>
      </c>
      <c r="B75" s="35">
        <v>7.841967112931197E-4</v>
      </c>
      <c r="C75" s="35">
        <v>0</v>
      </c>
      <c r="D75" s="35">
        <v>0</v>
      </c>
      <c r="E75" s="20">
        <v>39.124330955843398</v>
      </c>
      <c r="F75" s="16" t="s">
        <v>85</v>
      </c>
    </row>
    <row r="76" spans="1:6" ht="15" customHeight="1" x14ac:dyDescent="0.2">
      <c r="A76" s="19" t="s">
        <v>116</v>
      </c>
      <c r="B76" s="35">
        <v>7.2840273008067686E-4</v>
      </c>
      <c r="C76" s="35">
        <v>0</v>
      </c>
      <c r="D76" s="35">
        <v>0</v>
      </c>
      <c r="E76" s="20">
        <v>39.1013911901969</v>
      </c>
      <c r="F76" s="16" t="s">
        <v>85</v>
      </c>
    </row>
    <row r="77" spans="1:6" ht="15" customHeight="1" x14ac:dyDescent="0.2">
      <c r="A77" s="19" t="s">
        <v>117</v>
      </c>
      <c r="B77" s="35">
        <v>6.7420795402641258E-4</v>
      </c>
      <c r="C77" s="35">
        <v>0</v>
      </c>
      <c r="D77" s="35">
        <v>0</v>
      </c>
      <c r="E77" s="20">
        <v>39.072776490196901</v>
      </c>
      <c r="F77" s="16" t="s">
        <v>85</v>
      </c>
    </row>
    <row r="78" spans="1:6" ht="15" customHeight="1" x14ac:dyDescent="0.2">
      <c r="A78" s="19" t="s">
        <v>118</v>
      </c>
      <c r="B78" s="35">
        <v>6.2282581299725418E-4</v>
      </c>
      <c r="C78" s="35">
        <v>0</v>
      </c>
      <c r="D78" s="35">
        <v>0</v>
      </c>
      <c r="E78" s="20">
        <v>39.047704515824201</v>
      </c>
      <c r="F78" s="16" t="s">
        <v>85</v>
      </c>
    </row>
    <row r="79" spans="1:6" ht="15" customHeight="1" x14ac:dyDescent="0.2">
      <c r="A79" s="19" t="s">
        <v>119</v>
      </c>
      <c r="B79" s="35">
        <v>5.7295207815288146E-4</v>
      </c>
      <c r="C79" s="35">
        <v>0</v>
      </c>
      <c r="D79" s="35">
        <v>0</v>
      </c>
      <c r="E79" s="20">
        <v>39.0319104788218</v>
      </c>
      <c r="F79" s="16" t="s">
        <v>85</v>
      </c>
    </row>
    <row r="80" spans="1:6" ht="15" customHeight="1" x14ac:dyDescent="0.2">
      <c r="A80" s="19" t="s">
        <v>120</v>
      </c>
      <c r="B80" s="35">
        <v>5.3326856312041644E-4</v>
      </c>
      <c r="C80" s="35">
        <v>0</v>
      </c>
      <c r="D80" s="35">
        <v>0</v>
      </c>
      <c r="E80" s="20">
        <v>39.026922876920999</v>
      </c>
      <c r="F80" s="16" t="s">
        <v>85</v>
      </c>
    </row>
    <row r="81" spans="1:6" ht="15" customHeight="1" x14ac:dyDescent="0.2">
      <c r="A81" s="19" t="s">
        <v>121</v>
      </c>
      <c r="B81" s="35">
        <v>4.934036947358459E-4</v>
      </c>
      <c r="C81" s="35">
        <v>0</v>
      </c>
      <c r="D81" s="35">
        <v>0</v>
      </c>
      <c r="E81" s="20">
        <v>39.029483939141102</v>
      </c>
      <c r="F81" s="16" t="s">
        <v>85</v>
      </c>
    </row>
    <row r="82" spans="1:6" ht="15" customHeight="1" x14ac:dyDescent="0.2">
      <c r="A82" s="19" t="s">
        <v>122</v>
      </c>
      <c r="B82" s="35">
        <v>4.5338320664467855E-4</v>
      </c>
      <c r="C82" s="35">
        <v>0</v>
      </c>
      <c r="D82" s="35">
        <v>0</v>
      </c>
      <c r="E82" s="20">
        <v>39.0483420347555</v>
      </c>
      <c r="F82" s="16" t="s">
        <v>85</v>
      </c>
    </row>
    <row r="83" spans="1:6" ht="15" customHeight="1" x14ac:dyDescent="0.2">
      <c r="A83" s="19" t="s">
        <v>123</v>
      </c>
      <c r="B83" s="35">
        <v>4.1322977074693989E-4</v>
      </c>
      <c r="C83" s="35">
        <v>0</v>
      </c>
      <c r="D83" s="35">
        <v>0</v>
      </c>
      <c r="E83" s="20">
        <v>39.081127491351502</v>
      </c>
      <c r="F83" s="16" t="s">
        <v>85</v>
      </c>
    </row>
    <row r="84" spans="1:6" ht="15" customHeight="1" x14ac:dyDescent="0.2">
      <c r="A84" s="19" t="s">
        <v>124</v>
      </c>
      <c r="B84" s="35">
        <v>3.729731553399491E-4</v>
      </c>
      <c r="C84" s="35">
        <v>0</v>
      </c>
      <c r="D84" s="35">
        <v>0</v>
      </c>
      <c r="E84" s="20">
        <v>39.102199211104498</v>
      </c>
      <c r="F84" s="16" t="s">
        <v>85</v>
      </c>
    </row>
    <row r="85" spans="1:6" ht="15" customHeight="1" x14ac:dyDescent="0.2">
      <c r="A85" s="19" t="s">
        <v>125</v>
      </c>
      <c r="B85" s="35">
        <v>3.3263918721367888E-4</v>
      </c>
      <c r="C85" s="35">
        <v>0</v>
      </c>
      <c r="D85" s="35">
        <v>0</v>
      </c>
      <c r="E85" s="20">
        <v>39.128554321752397</v>
      </c>
      <c r="F85" s="16" t="s">
        <v>85</v>
      </c>
    </row>
    <row r="86" spans="1:6" ht="15" customHeight="1" x14ac:dyDescent="0.2">
      <c r="A86" s="19" t="s">
        <v>126</v>
      </c>
      <c r="B86" s="35">
        <v>2.9225373081426194E-4</v>
      </c>
      <c r="C86" s="35">
        <v>0</v>
      </c>
      <c r="D86" s="35">
        <v>0</v>
      </c>
      <c r="E86" s="20">
        <v>39.161792812600901</v>
      </c>
      <c r="F86" s="16" t="s">
        <v>85</v>
      </c>
    </row>
    <row r="87" spans="1:6" ht="15" customHeight="1" x14ac:dyDescent="0.2">
      <c r="A87" s="19">
        <v>2050</v>
      </c>
      <c r="B87" s="35">
        <v>2.5184032437704587E-4</v>
      </c>
      <c r="C87" s="35">
        <v>0</v>
      </c>
      <c r="D87" s="35">
        <v>0</v>
      </c>
      <c r="E87" s="20">
        <v>39.197643072294603</v>
      </c>
      <c r="F87" s="16" t="s">
        <v>85</v>
      </c>
    </row>
  </sheetData>
  <mergeCells count="1">
    <mergeCell ref="A2:D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"/>
  <sheetViews>
    <sheetView zoomScaleNormal="100" workbookViewId="0">
      <pane xSplit="1" ySplit="21" topLeftCell="B23" activePane="bottomRight" state="frozen"/>
      <selection pane="topRight" activeCell="B1" sqref="B1"/>
      <selection pane="bottomLeft" activeCell="A22" sqref="A22"/>
      <selection pane="bottomRight" sqref="A1:N1"/>
    </sheetView>
  </sheetViews>
  <sheetFormatPr baseColWidth="10" defaultColWidth="8.6640625" defaultRowHeight="15" x14ac:dyDescent="0.2"/>
  <cols>
    <col min="1" max="1" width="45.5" bestFit="1" customWidth="1"/>
    <col min="2" max="14" width="14" customWidth="1"/>
  </cols>
  <sheetData>
    <row r="1" spans="1:14" ht="17.25" customHeight="1" x14ac:dyDescent="0.2">
      <c r="A1" s="36" t="s">
        <v>127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3" spans="1:14" ht="15" customHeight="1" x14ac:dyDescent="0.2">
      <c r="A3" s="37" t="s">
        <v>128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spans="1:14" ht="15" customHeight="1" x14ac:dyDescent="0.2">
      <c r="A5" s="1" t="s">
        <v>2</v>
      </c>
      <c r="B5" s="1" t="s">
        <v>3</v>
      </c>
      <c r="C5" s="1" t="s">
        <v>4</v>
      </c>
      <c r="D5" s="38" t="s">
        <v>5</v>
      </c>
      <c r="E5" s="38"/>
      <c r="F5" s="38"/>
      <c r="G5" s="38"/>
      <c r="H5" s="38"/>
      <c r="I5" s="38"/>
      <c r="J5" s="38"/>
      <c r="K5" s="38"/>
      <c r="L5" s="38"/>
      <c r="M5" s="38"/>
      <c r="N5" s="38"/>
    </row>
    <row r="6" spans="1:14" ht="15" customHeight="1" x14ac:dyDescent="0.2">
      <c r="A6" s="4" t="s">
        <v>129</v>
      </c>
      <c r="B6" s="21">
        <v>1.03</v>
      </c>
      <c r="C6" s="4" t="s">
        <v>130</v>
      </c>
      <c r="D6" s="39" t="s">
        <v>131</v>
      </c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ht="15" customHeight="1" x14ac:dyDescent="0.2">
      <c r="A7" s="4" t="s">
        <v>17</v>
      </c>
      <c r="B7" s="10">
        <v>365</v>
      </c>
      <c r="C7" s="4" t="s">
        <v>18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15" customHeight="1" x14ac:dyDescent="0.2">
      <c r="A8" s="4" t="s">
        <v>132</v>
      </c>
      <c r="B8" s="10">
        <v>1000</v>
      </c>
      <c r="C8" s="4" t="s">
        <v>133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ht="15" customHeight="1" x14ac:dyDescent="0.2">
      <c r="A9" s="4" t="s">
        <v>134</v>
      </c>
      <c r="B9" s="21">
        <v>4</v>
      </c>
      <c r="C9" s="4" t="s">
        <v>135</v>
      </c>
      <c r="D9" s="39" t="s">
        <v>136</v>
      </c>
      <c r="E9" s="39"/>
      <c r="F9" s="39"/>
      <c r="G9" s="39"/>
      <c r="H9" s="39"/>
      <c r="I9" s="39"/>
      <c r="J9" s="39"/>
      <c r="K9" s="39"/>
      <c r="L9" s="39"/>
      <c r="M9" s="39"/>
      <c r="N9" s="39"/>
    </row>
    <row r="10" spans="1:14" ht="15" customHeight="1" x14ac:dyDescent="0.2">
      <c r="A10" s="4" t="s">
        <v>137</v>
      </c>
      <c r="B10" s="21">
        <v>8</v>
      </c>
      <c r="C10" s="4" t="s">
        <v>135</v>
      </c>
      <c r="D10" s="39" t="s">
        <v>138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</row>
    <row r="11" spans="1:14" ht="15" customHeight="1" x14ac:dyDescent="0.2">
      <c r="A11" s="4" t="s">
        <v>139</v>
      </c>
      <c r="B11" s="21">
        <v>12</v>
      </c>
      <c r="C11" s="4" t="s">
        <v>135</v>
      </c>
      <c r="D11" s="39" t="s">
        <v>140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</row>
    <row r="13" spans="1:14" ht="15" customHeight="1" x14ac:dyDescent="0.2">
      <c r="A13" s="37" t="s">
        <v>141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5" customHeight="1" x14ac:dyDescent="0.2">
      <c r="A14" s="39" t="s">
        <v>142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</row>
    <row r="15" spans="1:14" ht="15" customHeight="1" x14ac:dyDescent="0.2">
      <c r="A15" s="39" t="s">
        <v>143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ht="15" customHeight="1" x14ac:dyDescent="0.2">
      <c r="A16" s="39" t="s">
        <v>144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</row>
    <row r="17" spans="1:14" ht="15" customHeight="1" x14ac:dyDescent="0.2">
      <c r="A17" s="39" t="s">
        <v>145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9" spans="1:14" ht="15" customHeight="1" x14ac:dyDescent="0.2">
      <c r="A19" s="37" t="s">
        <v>146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ht="15" customHeight="1" x14ac:dyDescent="0.2">
      <c r="A20" s="22"/>
      <c r="B20" s="40" t="s">
        <v>147</v>
      </c>
      <c r="C20" s="40"/>
      <c r="D20" s="40" t="s">
        <v>148</v>
      </c>
      <c r="E20" s="40"/>
      <c r="F20" s="40" t="s">
        <v>149</v>
      </c>
      <c r="G20" s="40"/>
      <c r="H20" s="40"/>
      <c r="I20" s="40" t="s">
        <v>150</v>
      </c>
      <c r="J20" s="40"/>
      <c r="K20" s="40"/>
    </row>
    <row r="21" spans="1:14" ht="15" customHeight="1" x14ac:dyDescent="0.2">
      <c r="A21" s="6" t="s">
        <v>58</v>
      </c>
      <c r="B21" s="6" t="s">
        <v>151</v>
      </c>
      <c r="C21" s="6" t="s">
        <v>152</v>
      </c>
      <c r="D21" s="6" t="s">
        <v>151</v>
      </c>
      <c r="E21" s="6" t="s">
        <v>152</v>
      </c>
      <c r="F21" s="6" t="s">
        <v>153</v>
      </c>
      <c r="G21" s="6" t="s">
        <v>154</v>
      </c>
      <c r="H21" s="6" t="s">
        <v>155</v>
      </c>
      <c r="I21" s="6" t="s">
        <v>153</v>
      </c>
      <c r="J21" s="6" t="s">
        <v>154</v>
      </c>
      <c r="K21" s="6" t="s">
        <v>155</v>
      </c>
    </row>
    <row r="22" spans="1:14" ht="15" customHeight="1" x14ac:dyDescent="0.2">
      <c r="A22" s="4">
        <v>2023</v>
      </c>
      <c r="B22" s="23">
        <f>MMcfd!I5</f>
        <v>0</v>
      </c>
      <c r="C22" s="23">
        <f>MMcfd!M5</f>
        <v>0</v>
      </c>
      <c r="D22" s="14">
        <f t="shared" ref="D22:D49" si="0">B22*$B$7*$B$8*$B$6/1000000</f>
        <v>0</v>
      </c>
      <c r="E22" s="14">
        <f t="shared" ref="E22:E49" si="1">C22*$B$7*$B$8*$B$6/1000000</f>
        <v>0</v>
      </c>
      <c r="F22" s="24">
        <f t="shared" ref="F22:F49" si="2">D22*$B$9</f>
        <v>0</v>
      </c>
      <c r="G22" s="24">
        <f t="shared" ref="G22:G49" si="3">D22*$B$10</f>
        <v>0</v>
      </c>
      <c r="H22" s="24">
        <f t="shared" ref="H22:H49" si="4">D22*$B$11</f>
        <v>0</v>
      </c>
      <c r="I22" s="24">
        <f t="shared" ref="I22:I49" si="5">E22*$B$9</f>
        <v>0</v>
      </c>
      <c r="J22" s="24">
        <f t="shared" ref="J22:J49" si="6">E22*$B$10</f>
        <v>0</v>
      </c>
      <c r="K22" s="24">
        <f t="shared" ref="K22:K49" si="7">E22*$B$11</f>
        <v>0</v>
      </c>
    </row>
    <row r="23" spans="1:14" ht="15" customHeight="1" x14ac:dyDescent="0.2">
      <c r="A23" s="4">
        <v>2024</v>
      </c>
      <c r="B23" s="23">
        <f>MMcfd!I6</f>
        <v>29.8465453511078</v>
      </c>
      <c r="C23" s="23">
        <f>MMcfd!M6</f>
        <v>558.51035969190832</v>
      </c>
      <c r="D23" s="14">
        <f t="shared" si="0"/>
        <v>11.220808724748977</v>
      </c>
      <c r="E23" s="14">
        <f t="shared" si="1"/>
        <v>209.97196972617294</v>
      </c>
      <c r="F23" s="24">
        <f t="shared" si="2"/>
        <v>44.883234898995909</v>
      </c>
      <c r="G23" s="24">
        <f t="shared" si="3"/>
        <v>89.766469797991817</v>
      </c>
      <c r="H23" s="24">
        <f t="shared" si="4"/>
        <v>134.64970469698773</v>
      </c>
      <c r="I23" s="24">
        <f t="shared" si="5"/>
        <v>839.88787890469177</v>
      </c>
      <c r="J23" s="24">
        <f t="shared" si="6"/>
        <v>1679.7757578093835</v>
      </c>
      <c r="K23" s="24">
        <f t="shared" si="7"/>
        <v>2519.6636367140754</v>
      </c>
    </row>
    <row r="24" spans="1:14" ht="15" customHeight="1" x14ac:dyDescent="0.2">
      <c r="A24" s="4">
        <v>2025</v>
      </c>
      <c r="B24" s="23">
        <f>MMcfd!I7</f>
        <v>59.891193628783192</v>
      </c>
      <c r="C24" s="23">
        <f>MMcfd!M7</f>
        <v>1095.4345271838797</v>
      </c>
      <c r="D24" s="14">
        <f t="shared" si="0"/>
        <v>22.516094244741041</v>
      </c>
      <c r="E24" s="14">
        <f t="shared" si="1"/>
        <v>411.82861049477958</v>
      </c>
      <c r="F24" s="24">
        <f t="shared" si="2"/>
        <v>90.064376978964162</v>
      </c>
      <c r="G24" s="24">
        <f t="shared" si="3"/>
        <v>180.12875395792832</v>
      </c>
      <c r="H24" s="24">
        <f t="shared" si="4"/>
        <v>270.19313093689249</v>
      </c>
      <c r="I24" s="24">
        <f t="shared" si="5"/>
        <v>1647.3144419791183</v>
      </c>
      <c r="J24" s="24">
        <f t="shared" si="6"/>
        <v>3294.6288839582367</v>
      </c>
      <c r="K24" s="24">
        <f t="shared" si="7"/>
        <v>4941.9433259373545</v>
      </c>
    </row>
    <row r="25" spans="1:14" ht="15" customHeight="1" x14ac:dyDescent="0.2">
      <c r="A25" s="4">
        <v>2026</v>
      </c>
      <c r="B25" s="23">
        <f>MMcfd!I8</f>
        <v>91.770351681166474</v>
      </c>
      <c r="C25" s="23">
        <f>MMcfd!M8</f>
        <v>1601.8451766468163</v>
      </c>
      <c r="D25" s="14">
        <f t="shared" si="0"/>
        <v>34.501063714534538</v>
      </c>
      <c r="E25" s="14">
        <f t="shared" si="1"/>
        <v>602.21369416037055</v>
      </c>
      <c r="F25" s="24">
        <f t="shared" si="2"/>
        <v>138.00425485813815</v>
      </c>
      <c r="G25" s="24">
        <f t="shared" si="3"/>
        <v>276.00850971627631</v>
      </c>
      <c r="H25" s="24">
        <f t="shared" si="4"/>
        <v>414.01276457441446</v>
      </c>
      <c r="I25" s="24">
        <f t="shared" si="5"/>
        <v>2408.8547766414822</v>
      </c>
      <c r="J25" s="24">
        <f t="shared" si="6"/>
        <v>4817.7095532829644</v>
      </c>
      <c r="K25" s="24">
        <f t="shared" si="7"/>
        <v>7226.5643299244466</v>
      </c>
    </row>
    <row r="26" spans="1:14" ht="15" customHeight="1" x14ac:dyDescent="0.2">
      <c r="A26" s="4">
        <v>2027</v>
      </c>
      <c r="B26" s="23">
        <f>MMcfd!I9</f>
        <v>126.48127374794689</v>
      </c>
      <c r="C26" s="23">
        <f>MMcfd!M9</f>
        <v>2053.277673599775</v>
      </c>
      <c r="D26" s="14">
        <f t="shared" si="0"/>
        <v>47.550634865540637</v>
      </c>
      <c r="E26" s="14">
        <f t="shared" si="1"/>
        <v>771.92974138983539</v>
      </c>
      <c r="F26" s="24">
        <f t="shared" si="2"/>
        <v>190.20253946216255</v>
      </c>
      <c r="G26" s="24">
        <f t="shared" si="3"/>
        <v>380.4050789243251</v>
      </c>
      <c r="H26" s="24">
        <f t="shared" si="4"/>
        <v>570.60761838648762</v>
      </c>
      <c r="I26" s="24">
        <f t="shared" si="5"/>
        <v>3087.7189655593415</v>
      </c>
      <c r="J26" s="24">
        <f t="shared" si="6"/>
        <v>6175.4379311186831</v>
      </c>
      <c r="K26" s="24">
        <f t="shared" si="7"/>
        <v>9263.1568966780251</v>
      </c>
    </row>
    <row r="27" spans="1:14" ht="15" customHeight="1" x14ac:dyDescent="0.2">
      <c r="A27" s="4">
        <v>2028</v>
      </c>
      <c r="B27" s="23">
        <f>MMcfd!I10</f>
        <v>164.28609460710317</v>
      </c>
      <c r="C27" s="23">
        <f>MMcfd!M10</f>
        <v>2428.5289218879111</v>
      </c>
      <c r="D27" s="14">
        <f t="shared" si="0"/>
        <v>61.763357267540435</v>
      </c>
      <c r="E27" s="14">
        <f t="shared" si="1"/>
        <v>913.00544818376034</v>
      </c>
      <c r="F27" s="24">
        <f t="shared" si="2"/>
        <v>247.05342907016174</v>
      </c>
      <c r="G27" s="24">
        <f t="shared" si="3"/>
        <v>494.10685814032348</v>
      </c>
      <c r="H27" s="24">
        <f t="shared" si="4"/>
        <v>741.16028721048519</v>
      </c>
      <c r="I27" s="24">
        <f t="shared" si="5"/>
        <v>3652.0217927350413</v>
      </c>
      <c r="J27" s="24">
        <f t="shared" si="6"/>
        <v>7304.0435854700827</v>
      </c>
      <c r="K27" s="24">
        <f t="shared" si="7"/>
        <v>10956.065378205123</v>
      </c>
    </row>
    <row r="28" spans="1:14" ht="15" customHeight="1" x14ac:dyDescent="0.2">
      <c r="A28" s="4">
        <v>2029</v>
      </c>
      <c r="B28" s="23">
        <f>MMcfd!I11</f>
        <v>204.6018109284814</v>
      </c>
      <c r="C28" s="23">
        <f>MMcfd!M11</f>
        <v>2718.9441833802002</v>
      </c>
      <c r="D28" s="14">
        <f t="shared" si="0"/>
        <v>76.920050818562586</v>
      </c>
      <c r="E28" s="14">
        <f t="shared" si="1"/>
        <v>1022.1870657417862</v>
      </c>
      <c r="F28" s="24">
        <f t="shared" si="2"/>
        <v>307.68020327425035</v>
      </c>
      <c r="G28" s="24">
        <f t="shared" si="3"/>
        <v>615.36040654850069</v>
      </c>
      <c r="H28" s="24">
        <f t="shared" si="4"/>
        <v>923.04060982275109</v>
      </c>
      <c r="I28" s="24">
        <f t="shared" si="5"/>
        <v>4088.7482629671449</v>
      </c>
      <c r="J28" s="24">
        <f t="shared" si="6"/>
        <v>8177.4965259342898</v>
      </c>
      <c r="K28" s="24">
        <f t="shared" si="7"/>
        <v>12266.244788901435</v>
      </c>
    </row>
    <row r="29" spans="1:14" ht="15" customHeight="1" x14ac:dyDescent="0.2">
      <c r="A29" s="4">
        <v>2030</v>
      </c>
      <c r="B29" s="23">
        <f>MMcfd!I12</f>
        <v>246.37781179856202</v>
      </c>
      <c r="C29" s="23">
        <f>MMcfd!M12</f>
        <v>2925.6032182654726</v>
      </c>
      <c r="D29" s="14">
        <f t="shared" si="0"/>
        <v>92.62573834566939</v>
      </c>
      <c r="E29" s="14">
        <f t="shared" si="1"/>
        <v>1099.8805299069045</v>
      </c>
      <c r="F29" s="24">
        <f t="shared" si="2"/>
        <v>370.50295338267756</v>
      </c>
      <c r="G29" s="24">
        <f t="shared" si="3"/>
        <v>741.00590676535512</v>
      </c>
      <c r="H29" s="24">
        <f t="shared" si="4"/>
        <v>1111.5088601480327</v>
      </c>
      <c r="I29" s="24">
        <f t="shared" si="5"/>
        <v>4399.5221196276179</v>
      </c>
      <c r="J29" s="24">
        <f t="shared" si="6"/>
        <v>8799.0442392552359</v>
      </c>
      <c r="K29" s="24">
        <f t="shared" si="7"/>
        <v>13198.566358882854</v>
      </c>
    </row>
    <row r="30" spans="1:14" ht="15" customHeight="1" x14ac:dyDescent="0.2">
      <c r="A30" s="4">
        <v>2031</v>
      </c>
      <c r="B30" s="23">
        <f>MMcfd!I13</f>
        <v>294.74149203943199</v>
      </c>
      <c r="C30" s="23">
        <f>MMcfd!M13</f>
        <v>3121.8629494562892</v>
      </c>
      <c r="D30" s="14">
        <f t="shared" si="0"/>
        <v>110.80806393222447</v>
      </c>
      <c r="E30" s="14">
        <f t="shared" si="1"/>
        <v>1173.664375848092</v>
      </c>
      <c r="F30" s="24">
        <f t="shared" si="2"/>
        <v>443.23225572889788</v>
      </c>
      <c r="G30" s="24">
        <f t="shared" si="3"/>
        <v>886.46451145779577</v>
      </c>
      <c r="H30" s="24">
        <f t="shared" si="4"/>
        <v>1329.6967671866937</v>
      </c>
      <c r="I30" s="24">
        <f t="shared" si="5"/>
        <v>4694.6575033923682</v>
      </c>
      <c r="J30" s="24">
        <f t="shared" si="6"/>
        <v>9389.3150067847364</v>
      </c>
      <c r="K30" s="24">
        <f t="shared" si="7"/>
        <v>14083.972510177104</v>
      </c>
    </row>
    <row r="31" spans="1:14" ht="15" customHeight="1" x14ac:dyDescent="0.2">
      <c r="A31" s="4">
        <v>2032</v>
      </c>
      <c r="B31" s="23">
        <f>MMcfd!I14</f>
        <v>344.60628682155021</v>
      </c>
      <c r="C31" s="23">
        <f>MMcfd!M14</f>
        <v>3234.646409021263</v>
      </c>
      <c r="D31" s="14">
        <f t="shared" si="0"/>
        <v>129.5547335305618</v>
      </c>
      <c r="E31" s="14">
        <f t="shared" si="1"/>
        <v>1216.0653174715439</v>
      </c>
      <c r="F31" s="24">
        <f t="shared" si="2"/>
        <v>518.21893412224722</v>
      </c>
      <c r="G31" s="24">
        <f t="shared" si="3"/>
        <v>1036.4378682444944</v>
      </c>
      <c r="H31" s="24">
        <f t="shared" si="4"/>
        <v>1554.6568023667417</v>
      </c>
      <c r="I31" s="24">
        <f t="shared" si="5"/>
        <v>4864.2612698861758</v>
      </c>
      <c r="J31" s="24">
        <f t="shared" si="6"/>
        <v>9728.5225397723516</v>
      </c>
      <c r="K31" s="24">
        <f t="shared" si="7"/>
        <v>14592.783809658527</v>
      </c>
    </row>
    <row r="32" spans="1:14" ht="15" customHeight="1" x14ac:dyDescent="0.2">
      <c r="A32" s="4">
        <v>2033</v>
      </c>
      <c r="B32" s="23">
        <f>MMcfd!I15</f>
        <v>395.37772166616554</v>
      </c>
      <c r="C32" s="23">
        <f>MMcfd!M15</f>
        <v>3295.6236743331528</v>
      </c>
      <c r="D32" s="14">
        <f t="shared" si="0"/>
        <v>148.64225446039492</v>
      </c>
      <c r="E32" s="14">
        <f t="shared" si="1"/>
        <v>1238.9897203655489</v>
      </c>
      <c r="F32" s="24">
        <f t="shared" si="2"/>
        <v>594.56901784157969</v>
      </c>
      <c r="G32" s="24">
        <f t="shared" si="3"/>
        <v>1189.1380356831594</v>
      </c>
      <c r="H32" s="24">
        <f t="shared" si="4"/>
        <v>1783.707053524739</v>
      </c>
      <c r="I32" s="24">
        <f t="shared" si="5"/>
        <v>4955.9588814621957</v>
      </c>
      <c r="J32" s="24">
        <f t="shared" si="6"/>
        <v>9911.9177629243914</v>
      </c>
      <c r="K32" s="24">
        <f t="shared" si="7"/>
        <v>14867.876644386586</v>
      </c>
    </row>
    <row r="33" spans="1:11" ht="15" customHeight="1" x14ac:dyDescent="0.2">
      <c r="A33" s="4">
        <v>2034</v>
      </c>
      <c r="B33" s="23">
        <f>MMcfd!I16</f>
        <v>446.6862523509671</v>
      </c>
      <c r="C33" s="23">
        <f>MMcfd!M16</f>
        <v>3320.8653744981989</v>
      </c>
      <c r="D33" s="14">
        <f t="shared" si="0"/>
        <v>167.93169657134609</v>
      </c>
      <c r="E33" s="14">
        <f t="shared" si="1"/>
        <v>1248.4793375425977</v>
      </c>
      <c r="F33" s="24">
        <f t="shared" si="2"/>
        <v>671.72678628538438</v>
      </c>
      <c r="G33" s="24">
        <f t="shared" si="3"/>
        <v>1343.4535725707688</v>
      </c>
      <c r="H33" s="24">
        <f t="shared" si="4"/>
        <v>2015.1803588561531</v>
      </c>
      <c r="I33" s="24">
        <f t="shared" si="5"/>
        <v>4993.9173501703908</v>
      </c>
      <c r="J33" s="24">
        <f t="shared" si="6"/>
        <v>9987.8347003407816</v>
      </c>
      <c r="K33" s="24">
        <f t="shared" si="7"/>
        <v>14981.752050511172</v>
      </c>
    </row>
    <row r="34" spans="1:11" ht="15" customHeight="1" x14ac:dyDescent="0.2">
      <c r="A34" s="4">
        <v>2035</v>
      </c>
      <c r="B34" s="23">
        <f>MMcfd!I17</f>
        <v>498.36392198121399</v>
      </c>
      <c r="C34" s="23">
        <f>MMcfd!M17</f>
        <v>3336.0877459556241</v>
      </c>
      <c r="D34" s="14">
        <f t="shared" si="0"/>
        <v>187.35991646883741</v>
      </c>
      <c r="E34" s="14">
        <f t="shared" si="1"/>
        <v>1254.202188092017</v>
      </c>
      <c r="F34" s="24">
        <f t="shared" si="2"/>
        <v>749.43966587534965</v>
      </c>
      <c r="G34" s="24">
        <f t="shared" si="3"/>
        <v>1498.8793317506993</v>
      </c>
      <c r="H34" s="24">
        <f t="shared" si="4"/>
        <v>2248.3189976260492</v>
      </c>
      <c r="I34" s="24">
        <f t="shared" si="5"/>
        <v>5016.8087523680679</v>
      </c>
      <c r="J34" s="24">
        <f t="shared" si="6"/>
        <v>10033.617504736136</v>
      </c>
      <c r="K34" s="24">
        <f t="shared" si="7"/>
        <v>15050.426257104204</v>
      </c>
    </row>
    <row r="35" spans="1:11" ht="15" customHeight="1" x14ac:dyDescent="0.2">
      <c r="A35" s="4">
        <v>2036</v>
      </c>
      <c r="B35" s="23">
        <f>MMcfd!I18</f>
        <v>550.40622599652215</v>
      </c>
      <c r="C35" s="23">
        <f>MMcfd!M18</f>
        <v>3343.9317457933357</v>
      </c>
      <c r="D35" s="14">
        <f t="shared" si="0"/>
        <v>206.92522066339251</v>
      </c>
      <c r="E35" s="14">
        <f t="shared" si="1"/>
        <v>1257.1511398310045</v>
      </c>
      <c r="F35" s="24">
        <f t="shared" si="2"/>
        <v>827.70088265357003</v>
      </c>
      <c r="G35" s="24">
        <f t="shared" si="3"/>
        <v>1655.4017653071401</v>
      </c>
      <c r="H35" s="24">
        <f t="shared" si="4"/>
        <v>2483.1026479607099</v>
      </c>
      <c r="I35" s="24">
        <f t="shared" si="5"/>
        <v>5028.6045593240178</v>
      </c>
      <c r="J35" s="24">
        <f t="shared" si="6"/>
        <v>10057.209118648036</v>
      </c>
      <c r="K35" s="24">
        <f t="shared" si="7"/>
        <v>15085.813677972053</v>
      </c>
    </row>
    <row r="36" spans="1:11" ht="15" customHeight="1" x14ac:dyDescent="0.2">
      <c r="A36" s="4">
        <v>2037</v>
      </c>
      <c r="B36" s="23">
        <f>MMcfd!I19</f>
        <v>602.93022355560299</v>
      </c>
      <c r="C36" s="23">
        <f>MMcfd!M19</f>
        <v>3346.7184601806057</v>
      </c>
      <c r="D36" s="14">
        <f t="shared" si="0"/>
        <v>226.67161754572894</v>
      </c>
      <c r="E36" s="14">
        <f t="shared" si="1"/>
        <v>1258.1988051048988</v>
      </c>
      <c r="F36" s="24">
        <f t="shared" si="2"/>
        <v>906.68647018291574</v>
      </c>
      <c r="G36" s="24">
        <f t="shared" si="3"/>
        <v>1813.3729403658315</v>
      </c>
      <c r="H36" s="24">
        <f t="shared" si="4"/>
        <v>2720.0594105487471</v>
      </c>
      <c r="I36" s="24">
        <f t="shared" si="5"/>
        <v>5032.7952204195954</v>
      </c>
      <c r="J36" s="24">
        <f t="shared" si="6"/>
        <v>10065.590440839191</v>
      </c>
      <c r="K36" s="24">
        <f t="shared" si="7"/>
        <v>15098.385661258786</v>
      </c>
    </row>
    <row r="37" spans="1:11" ht="15" customHeight="1" x14ac:dyDescent="0.2">
      <c r="A37" s="4">
        <v>2038</v>
      </c>
      <c r="B37" s="23">
        <f>MMcfd!I20</f>
        <v>656.13560738272645</v>
      </c>
      <c r="C37" s="23">
        <f>MMcfd!M20</f>
        <v>3346.3728731911469</v>
      </c>
      <c r="D37" s="14">
        <f t="shared" si="0"/>
        <v>246.674181595536</v>
      </c>
      <c r="E37" s="14">
        <f t="shared" si="1"/>
        <v>1258.0688816762117</v>
      </c>
      <c r="F37" s="24">
        <f t="shared" si="2"/>
        <v>986.69672638214399</v>
      </c>
      <c r="G37" s="24">
        <f t="shared" si="3"/>
        <v>1973.393452764288</v>
      </c>
      <c r="H37" s="24">
        <f t="shared" si="4"/>
        <v>2960.0901791464321</v>
      </c>
      <c r="I37" s="24">
        <f t="shared" si="5"/>
        <v>5032.2755267048469</v>
      </c>
      <c r="J37" s="24">
        <f t="shared" si="6"/>
        <v>10064.551053409694</v>
      </c>
      <c r="K37" s="24">
        <f t="shared" si="7"/>
        <v>15096.826580114541</v>
      </c>
    </row>
    <row r="38" spans="1:11" ht="15" customHeight="1" x14ac:dyDescent="0.2">
      <c r="A38" s="4">
        <v>2039</v>
      </c>
      <c r="B38" s="23">
        <f>MMcfd!I21</f>
        <v>710.26124911274633</v>
      </c>
      <c r="C38" s="23">
        <f>MMcfd!M21</f>
        <v>3344.4107946686172</v>
      </c>
      <c r="D38" s="14">
        <f t="shared" si="0"/>
        <v>267.022716603937</v>
      </c>
      <c r="E38" s="14">
        <f t="shared" si="1"/>
        <v>1257.3312382556664</v>
      </c>
      <c r="F38" s="24">
        <f t="shared" si="2"/>
        <v>1068.090866415748</v>
      </c>
      <c r="G38" s="24">
        <f t="shared" si="3"/>
        <v>2136.181732831496</v>
      </c>
      <c r="H38" s="24">
        <f t="shared" si="4"/>
        <v>3204.2725992472442</v>
      </c>
      <c r="I38" s="24">
        <f t="shared" si="5"/>
        <v>5029.3249530226658</v>
      </c>
      <c r="J38" s="24">
        <f t="shared" si="6"/>
        <v>10058.649906045332</v>
      </c>
      <c r="K38" s="24">
        <f t="shared" si="7"/>
        <v>15087.974859067997</v>
      </c>
    </row>
    <row r="39" spans="1:11" ht="15" customHeight="1" x14ac:dyDescent="0.2">
      <c r="A39" s="4">
        <v>2040</v>
      </c>
      <c r="B39" s="23">
        <f>MMcfd!I22</f>
        <v>765.53770692775083</v>
      </c>
      <c r="C39" s="23">
        <f>MMcfd!M22</f>
        <v>3341.9633290247302</v>
      </c>
      <c r="D39" s="14">
        <f t="shared" si="0"/>
        <v>287.80390091948794</v>
      </c>
      <c r="E39" s="14">
        <f t="shared" si="1"/>
        <v>1256.4111135468474</v>
      </c>
      <c r="F39" s="24">
        <f t="shared" si="2"/>
        <v>1151.2156036779518</v>
      </c>
      <c r="G39" s="24">
        <f t="shared" si="3"/>
        <v>2302.4312073559036</v>
      </c>
      <c r="H39" s="24">
        <f t="shared" si="4"/>
        <v>3453.6468110338556</v>
      </c>
      <c r="I39" s="24">
        <f t="shared" si="5"/>
        <v>5025.6444541873898</v>
      </c>
      <c r="J39" s="24">
        <f t="shared" si="6"/>
        <v>10051.28890837478</v>
      </c>
      <c r="K39" s="24">
        <f t="shared" si="7"/>
        <v>15076.933362562169</v>
      </c>
    </row>
    <row r="40" spans="1:11" ht="15" customHeight="1" x14ac:dyDescent="0.2">
      <c r="A40" s="4">
        <v>2041</v>
      </c>
      <c r="B40" s="23">
        <f>MMcfd!I23</f>
        <v>822.14599250938204</v>
      </c>
      <c r="C40" s="23">
        <f>MMcfd!M23</f>
        <v>3339.8188789378305</v>
      </c>
      <c r="D40" s="14">
        <f t="shared" si="0"/>
        <v>309.08578588390219</v>
      </c>
      <c r="E40" s="14">
        <f t="shared" si="1"/>
        <v>1255.6049075366773</v>
      </c>
      <c r="F40" s="24">
        <f t="shared" si="2"/>
        <v>1236.3431435356088</v>
      </c>
      <c r="G40" s="24">
        <f t="shared" si="3"/>
        <v>2472.6862870712175</v>
      </c>
      <c r="H40" s="24">
        <f t="shared" si="4"/>
        <v>3709.0294306068263</v>
      </c>
      <c r="I40" s="24">
        <f t="shared" si="5"/>
        <v>5022.4196301467091</v>
      </c>
      <c r="J40" s="24">
        <f t="shared" si="6"/>
        <v>10044.839260293418</v>
      </c>
      <c r="K40" s="24">
        <f t="shared" si="7"/>
        <v>15067.258890440127</v>
      </c>
    </row>
    <row r="41" spans="1:11" ht="15" customHeight="1" x14ac:dyDescent="0.2">
      <c r="A41" s="4">
        <v>2042</v>
      </c>
      <c r="B41" s="23">
        <f>MMcfd!I24</f>
        <v>880.18000568244418</v>
      </c>
      <c r="C41" s="23">
        <f>MMcfd!M24</f>
        <v>3338.467987160469</v>
      </c>
      <c r="D41" s="14">
        <f t="shared" si="0"/>
        <v>330.90367313631486</v>
      </c>
      <c r="E41" s="14">
        <f t="shared" si="1"/>
        <v>1255.0970397729784</v>
      </c>
      <c r="F41" s="24">
        <f t="shared" si="2"/>
        <v>1323.6146925452595</v>
      </c>
      <c r="G41" s="24">
        <f t="shared" si="3"/>
        <v>2647.2293850905189</v>
      </c>
      <c r="H41" s="24">
        <f t="shared" si="4"/>
        <v>3970.8440776357784</v>
      </c>
      <c r="I41" s="24">
        <f t="shared" si="5"/>
        <v>5020.3881590919136</v>
      </c>
      <c r="J41" s="24">
        <f t="shared" si="6"/>
        <v>10040.776318183827</v>
      </c>
      <c r="K41" s="24">
        <f t="shared" si="7"/>
        <v>15061.164477275741</v>
      </c>
    </row>
    <row r="42" spans="1:11" ht="15" customHeight="1" x14ac:dyDescent="0.2">
      <c r="A42" s="4">
        <v>2043</v>
      </c>
      <c r="B42" s="23">
        <f>MMcfd!I25</f>
        <v>939.64647103586265</v>
      </c>
      <c r="C42" s="23">
        <f>MMcfd!M25</f>
        <v>3338.0413887932805</v>
      </c>
      <c r="D42" s="14">
        <f t="shared" si="0"/>
        <v>353.26009078593256</v>
      </c>
      <c r="E42" s="14">
        <f t="shared" si="1"/>
        <v>1254.936660116834</v>
      </c>
      <c r="F42" s="24">
        <f t="shared" si="2"/>
        <v>1413.0403631437302</v>
      </c>
      <c r="G42" s="24">
        <f t="shared" si="3"/>
        <v>2826.0807262874605</v>
      </c>
      <c r="H42" s="24">
        <f t="shared" si="4"/>
        <v>4239.1210894311907</v>
      </c>
      <c r="I42" s="24">
        <f t="shared" si="5"/>
        <v>5019.746640467336</v>
      </c>
      <c r="J42" s="24">
        <f t="shared" si="6"/>
        <v>10039.493280934672</v>
      </c>
      <c r="K42" s="24">
        <f t="shared" si="7"/>
        <v>15059.239921402008</v>
      </c>
    </row>
    <row r="43" spans="1:11" ht="15" customHeight="1" x14ac:dyDescent="0.2">
      <c r="A43" s="4">
        <v>2044</v>
      </c>
      <c r="B43" s="23">
        <f>MMcfd!I26</f>
        <v>1000.4771645414176</v>
      </c>
      <c r="C43" s="23">
        <f>MMcfd!M26</f>
        <v>3338.2604409516312</v>
      </c>
      <c r="D43" s="14">
        <f t="shared" si="0"/>
        <v>376.12939000934597</v>
      </c>
      <c r="E43" s="14">
        <f t="shared" si="1"/>
        <v>1255.0190127757658</v>
      </c>
      <c r="F43" s="24">
        <f t="shared" si="2"/>
        <v>1504.5175600373839</v>
      </c>
      <c r="G43" s="24">
        <f t="shared" si="3"/>
        <v>3009.0351200747677</v>
      </c>
      <c r="H43" s="24">
        <f t="shared" si="4"/>
        <v>4513.5526801121514</v>
      </c>
      <c r="I43" s="24">
        <f t="shared" si="5"/>
        <v>5020.076051103063</v>
      </c>
      <c r="J43" s="24">
        <f t="shared" si="6"/>
        <v>10040.152102206126</v>
      </c>
      <c r="K43" s="24">
        <f t="shared" si="7"/>
        <v>15060.228153309188</v>
      </c>
    </row>
    <row r="44" spans="1:11" ht="15" customHeight="1" x14ac:dyDescent="0.2">
      <c r="A44" s="4">
        <v>2045</v>
      </c>
      <c r="B44" s="23">
        <f>MMcfd!I27</f>
        <v>1062.5407133887022</v>
      </c>
      <c r="C44" s="23">
        <f>MMcfd!M27</f>
        <v>3339.8734070538576</v>
      </c>
      <c r="D44" s="14">
        <f t="shared" si="0"/>
        <v>399.46218119848265</v>
      </c>
      <c r="E44" s="14">
        <f t="shared" si="1"/>
        <v>1255.6254073818977</v>
      </c>
      <c r="F44" s="24">
        <f t="shared" si="2"/>
        <v>1597.8487247939306</v>
      </c>
      <c r="G44" s="24">
        <f t="shared" si="3"/>
        <v>3195.6974495878612</v>
      </c>
      <c r="H44" s="24">
        <f t="shared" si="4"/>
        <v>4793.5461743817923</v>
      </c>
      <c r="I44" s="24">
        <f t="shared" si="5"/>
        <v>5022.5016295275909</v>
      </c>
      <c r="J44" s="24">
        <f t="shared" si="6"/>
        <v>10045.003259055182</v>
      </c>
      <c r="K44" s="24">
        <f t="shared" si="7"/>
        <v>15067.504888582773</v>
      </c>
    </row>
    <row r="45" spans="1:11" ht="15" customHeight="1" x14ac:dyDescent="0.2">
      <c r="A45" s="4">
        <v>2046</v>
      </c>
      <c r="B45" s="23">
        <f>MMcfd!I28</f>
        <v>1125.6543931686315</v>
      </c>
      <c r="C45" s="23">
        <f>MMcfd!M28</f>
        <v>3342.6776048486231</v>
      </c>
      <c r="D45" s="14">
        <f t="shared" si="0"/>
        <v>423.18976911174701</v>
      </c>
      <c r="E45" s="14">
        <f t="shared" si="1"/>
        <v>1256.6796455428398</v>
      </c>
      <c r="F45" s="24">
        <f t="shared" si="2"/>
        <v>1692.759076446988</v>
      </c>
      <c r="G45" s="24">
        <f t="shared" si="3"/>
        <v>3385.5181528939761</v>
      </c>
      <c r="H45" s="24">
        <f t="shared" si="4"/>
        <v>5078.2772293409644</v>
      </c>
      <c r="I45" s="24">
        <f t="shared" si="5"/>
        <v>5026.7185821713592</v>
      </c>
      <c r="J45" s="24">
        <f t="shared" si="6"/>
        <v>10053.437164342718</v>
      </c>
      <c r="K45" s="24">
        <f t="shared" si="7"/>
        <v>15080.155746514078</v>
      </c>
    </row>
    <row r="46" spans="1:11" ht="15" customHeight="1" x14ac:dyDescent="0.2">
      <c r="A46" s="4">
        <v>2047</v>
      </c>
      <c r="B46" s="23">
        <f>MMcfd!I29</f>
        <v>1189.5972221848258</v>
      </c>
      <c r="C46" s="23">
        <f>MMcfd!M29</f>
        <v>3344.4799061187073</v>
      </c>
      <c r="D46" s="14">
        <f t="shared" si="0"/>
        <v>447.22907568038522</v>
      </c>
      <c r="E46" s="14">
        <f t="shared" si="1"/>
        <v>1257.357220705328</v>
      </c>
      <c r="F46" s="24">
        <f t="shared" si="2"/>
        <v>1788.9163027215409</v>
      </c>
      <c r="G46" s="24">
        <f t="shared" si="3"/>
        <v>3577.8326054430818</v>
      </c>
      <c r="H46" s="24">
        <f t="shared" si="4"/>
        <v>5366.7489081646227</v>
      </c>
      <c r="I46" s="24">
        <f t="shared" si="5"/>
        <v>5029.4288828213121</v>
      </c>
      <c r="J46" s="24">
        <f t="shared" si="6"/>
        <v>10058.857765642624</v>
      </c>
      <c r="K46" s="24">
        <f t="shared" si="7"/>
        <v>15088.286648463936</v>
      </c>
    </row>
    <row r="47" spans="1:11" ht="15" customHeight="1" x14ac:dyDescent="0.2">
      <c r="A47" s="4">
        <v>2048</v>
      </c>
      <c r="B47" s="23">
        <f>MMcfd!I30</f>
        <v>1254.1264091488517</v>
      </c>
      <c r="C47" s="23">
        <f>MMcfd!M30</f>
        <v>3346.7341051091416</v>
      </c>
      <c r="D47" s="14">
        <f t="shared" si="0"/>
        <v>471.48882351951085</v>
      </c>
      <c r="E47" s="14">
        <f t="shared" si="1"/>
        <v>1258.2046868157818</v>
      </c>
      <c r="F47" s="24">
        <f t="shared" si="2"/>
        <v>1885.9552940780434</v>
      </c>
      <c r="G47" s="24">
        <f t="shared" si="3"/>
        <v>3771.9105881560868</v>
      </c>
      <c r="H47" s="24">
        <f t="shared" si="4"/>
        <v>5657.8658822341304</v>
      </c>
      <c r="I47" s="24">
        <f t="shared" si="5"/>
        <v>5032.8187472631271</v>
      </c>
      <c r="J47" s="24">
        <f t="shared" si="6"/>
        <v>10065.637494526254</v>
      </c>
      <c r="K47" s="24">
        <f t="shared" si="7"/>
        <v>15098.456241789381</v>
      </c>
    </row>
    <row r="48" spans="1:11" ht="15" customHeight="1" x14ac:dyDescent="0.2">
      <c r="A48" s="4">
        <v>2049</v>
      </c>
      <c r="B48" s="23">
        <f>MMcfd!I31</f>
        <v>1308.9958523255937</v>
      </c>
      <c r="C48" s="23">
        <f>MMcfd!M31</f>
        <v>3349.5770517207216</v>
      </c>
      <c r="D48" s="14">
        <f t="shared" si="0"/>
        <v>492.11699068180695</v>
      </c>
      <c r="E48" s="14">
        <f t="shared" si="1"/>
        <v>1259.2734925944055</v>
      </c>
      <c r="F48" s="24">
        <f t="shared" si="2"/>
        <v>1968.4679627272278</v>
      </c>
      <c r="G48" s="24">
        <f t="shared" si="3"/>
        <v>3936.9359254544556</v>
      </c>
      <c r="H48" s="24">
        <f t="shared" si="4"/>
        <v>5905.4038881816832</v>
      </c>
      <c r="I48" s="24">
        <f t="shared" si="5"/>
        <v>5037.0939703776221</v>
      </c>
      <c r="J48" s="24">
        <f t="shared" si="6"/>
        <v>10074.187940755244</v>
      </c>
      <c r="K48" s="24">
        <f t="shared" si="7"/>
        <v>15111.281911132866</v>
      </c>
    </row>
    <row r="49" spans="1:14" ht="15" customHeight="1" x14ac:dyDescent="0.2">
      <c r="A49" s="4">
        <v>2050</v>
      </c>
      <c r="B49" s="23">
        <f>MMcfd!I32</f>
        <v>1346.3157243839596</v>
      </c>
      <c r="C49" s="23">
        <f>MMcfd!M32</f>
        <v>3352.6433875175244</v>
      </c>
      <c r="D49" s="14">
        <f t="shared" si="0"/>
        <v>506.14739658214961</v>
      </c>
      <c r="E49" s="14">
        <f t="shared" si="1"/>
        <v>1260.4262815372133</v>
      </c>
      <c r="F49" s="24">
        <f t="shared" si="2"/>
        <v>2024.5895863285984</v>
      </c>
      <c r="G49" s="24">
        <f t="shared" si="3"/>
        <v>4049.1791726571969</v>
      </c>
      <c r="H49" s="24">
        <f t="shared" si="4"/>
        <v>6073.7687589857951</v>
      </c>
      <c r="I49" s="24">
        <f t="shared" si="5"/>
        <v>5041.7051261488532</v>
      </c>
      <c r="J49" s="24">
        <f t="shared" si="6"/>
        <v>10083.410252297706</v>
      </c>
      <c r="K49" s="24">
        <f t="shared" si="7"/>
        <v>15125.11537844656</v>
      </c>
    </row>
    <row r="51" spans="1:14" ht="15" customHeight="1" x14ac:dyDescent="0.2">
      <c r="A51" s="37" t="s">
        <v>156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</row>
    <row r="52" spans="1:14" ht="15" customHeight="1" x14ac:dyDescent="0.2">
      <c r="A52" s="3"/>
      <c r="B52" s="40" t="s">
        <v>157</v>
      </c>
      <c r="C52" s="40"/>
      <c r="D52" s="40"/>
      <c r="E52" s="40"/>
      <c r="F52" s="40" t="s">
        <v>158</v>
      </c>
      <c r="G52" s="40"/>
      <c r="H52" s="40"/>
      <c r="I52" s="40" t="s">
        <v>159</v>
      </c>
      <c r="J52" s="40"/>
      <c r="K52" s="40"/>
    </row>
    <row r="53" spans="1:14" ht="15" customHeight="1" x14ac:dyDescent="0.2">
      <c r="A53" s="6" t="s">
        <v>98</v>
      </c>
      <c r="B53" s="6" t="s">
        <v>160</v>
      </c>
      <c r="C53" s="6" t="s">
        <v>161</v>
      </c>
      <c r="D53" s="6" t="s">
        <v>162</v>
      </c>
      <c r="E53" s="6" t="s">
        <v>163</v>
      </c>
      <c r="F53" s="6" t="s">
        <v>153</v>
      </c>
      <c r="G53" s="6" t="s">
        <v>154</v>
      </c>
      <c r="H53" s="6" t="s">
        <v>155</v>
      </c>
      <c r="I53" s="6" t="s">
        <v>153</v>
      </c>
      <c r="J53" s="6" t="s">
        <v>154</v>
      </c>
      <c r="K53" s="6" t="s">
        <v>155</v>
      </c>
    </row>
    <row r="54" spans="1:14" ht="15" customHeight="1" x14ac:dyDescent="0.2">
      <c r="A54" t="s">
        <v>164</v>
      </c>
      <c r="B54" s="25">
        <f>B29</f>
        <v>246.37781179856202</v>
      </c>
      <c r="C54" s="25">
        <f>C29</f>
        <v>2925.6032182654726</v>
      </c>
      <c r="D54" s="25">
        <f>B29*$B$7/1000</f>
        <v>89.927901306475135</v>
      </c>
      <c r="E54" s="25">
        <f>C29*$B$7/1000</f>
        <v>1067.8451746668975</v>
      </c>
      <c r="F54" s="26">
        <f t="shared" ref="F54:K54" si="8">F29</f>
        <v>370.50295338267756</v>
      </c>
      <c r="G54" s="26">
        <f t="shared" si="8"/>
        <v>741.00590676535512</v>
      </c>
      <c r="H54" s="26">
        <f t="shared" si="8"/>
        <v>1111.5088601480327</v>
      </c>
      <c r="I54" s="26">
        <f t="shared" si="8"/>
        <v>4399.5221196276179</v>
      </c>
      <c r="J54" s="26">
        <f t="shared" si="8"/>
        <v>8799.0442392552359</v>
      </c>
      <c r="K54" s="26">
        <f t="shared" si="8"/>
        <v>13198.566358882854</v>
      </c>
    </row>
    <row r="55" spans="1:14" ht="15" customHeight="1" x14ac:dyDescent="0.2">
      <c r="A55" t="s">
        <v>165</v>
      </c>
      <c r="B55" s="25">
        <f>AVERAGE(B23:B29)</f>
        <v>131.89358310616441</v>
      </c>
      <c r="C55" s="25">
        <f>AVERAGE(C23:C29)</f>
        <v>1911.734865807995</v>
      </c>
      <c r="D55" s="25">
        <f>SUM(B23:B29)*$B$7/1000</f>
        <v>336.98810483625005</v>
      </c>
      <c r="E55" s="25">
        <f>SUM(C23:C29)*$B$7/1000</f>
        <v>4884.482582139427</v>
      </c>
      <c r="F55" s="26">
        <f t="shared" ref="F55:K55" si="9">SUM(F23:F29)</f>
        <v>1388.3909919253504</v>
      </c>
      <c r="G55" s="26">
        <f t="shared" si="9"/>
        <v>2776.7819838507007</v>
      </c>
      <c r="H55" s="26">
        <f t="shared" si="9"/>
        <v>4165.1729757760513</v>
      </c>
      <c r="I55" s="26">
        <f t="shared" si="9"/>
        <v>20124.068238414438</v>
      </c>
      <c r="J55" s="26">
        <f t="shared" si="9"/>
        <v>40248.136476828877</v>
      </c>
      <c r="K55" s="26">
        <f t="shared" si="9"/>
        <v>60372.204715243315</v>
      </c>
    </row>
    <row r="56" spans="1:14" ht="15" customHeight="1" x14ac:dyDescent="0.2">
      <c r="A56" t="s">
        <v>166</v>
      </c>
      <c r="B56" s="25">
        <f>AVERAGE(B23:B49)</f>
        <v>633.99932288694447</v>
      </c>
      <c r="C56" s="25">
        <f>AVERAGE(C23:C49)</f>
        <v>2957.2296879626197</v>
      </c>
      <c r="D56" s="25">
        <f>SUM(B23:B49)*$B$7/1000</f>
        <v>6248.0633270508379</v>
      </c>
      <c r="E56" s="25">
        <f>SUM(C23:C49)*$B$7/1000</f>
        <v>29143.498574871614</v>
      </c>
      <c r="F56" s="26">
        <f t="shared" ref="F56:K56" si="10">SUM(F23:F49)</f>
        <v>25742.020907449452</v>
      </c>
      <c r="G56" s="26">
        <f t="shared" si="10"/>
        <v>51484.041814898905</v>
      </c>
      <c r="H56" s="26">
        <f t="shared" si="10"/>
        <v>77226.062722348346</v>
      </c>
      <c r="I56" s="26">
        <f t="shared" si="10"/>
        <v>120071.21412847105</v>
      </c>
      <c r="J56" s="26">
        <f t="shared" si="10"/>
        <v>240142.4282569421</v>
      </c>
      <c r="K56" s="26">
        <f t="shared" si="10"/>
        <v>360213.64238541323</v>
      </c>
    </row>
    <row r="58" spans="1:14" ht="15" customHeight="1" x14ac:dyDescent="0.2">
      <c r="A58" s="37" t="s">
        <v>167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</row>
    <row r="59" spans="1:14" ht="15" customHeight="1" x14ac:dyDescent="0.2">
      <c r="A59" s="4" t="s">
        <v>168</v>
      </c>
      <c r="B59" s="41" t="s">
        <v>169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</row>
    <row r="60" spans="1:14" ht="15" customHeight="1" x14ac:dyDescent="0.2">
      <c r="A60" s="4" t="s">
        <v>170</v>
      </c>
      <c r="B60" s="41" t="s">
        <v>171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</row>
    <row r="61" spans="1:14" ht="15" customHeight="1" x14ac:dyDescent="0.2">
      <c r="A61" s="4" t="s">
        <v>172</v>
      </c>
      <c r="B61" s="41" t="s">
        <v>173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</row>
    <row r="62" spans="1:14" ht="15" customHeight="1" x14ac:dyDescent="0.2">
      <c r="A62" s="4" t="s">
        <v>174</v>
      </c>
      <c r="B62" s="41" t="s">
        <v>175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</row>
    <row r="63" spans="1:14" ht="15" customHeight="1" x14ac:dyDescent="0.2">
      <c r="A63" s="4" t="s">
        <v>176</v>
      </c>
      <c r="B63" s="41" t="s">
        <v>177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</row>
  </sheetData>
  <mergeCells count="29">
    <mergeCell ref="B60:N60"/>
    <mergeCell ref="B61:N61"/>
    <mergeCell ref="B62:N62"/>
    <mergeCell ref="B63:N63"/>
    <mergeCell ref="B52:E52"/>
    <mergeCell ref="F52:H52"/>
    <mergeCell ref="I52:K52"/>
    <mergeCell ref="A58:N58"/>
    <mergeCell ref="B59:N59"/>
    <mergeCell ref="B20:C20"/>
    <mergeCell ref="D20:E20"/>
    <mergeCell ref="F20:H20"/>
    <mergeCell ref="I20:K20"/>
    <mergeCell ref="A51:N51"/>
    <mergeCell ref="A14:N14"/>
    <mergeCell ref="A15:N15"/>
    <mergeCell ref="A16:N16"/>
    <mergeCell ref="A17:N17"/>
    <mergeCell ref="A19:N19"/>
    <mergeCell ref="D8:N8"/>
    <mergeCell ref="D9:N9"/>
    <mergeCell ref="D10:N10"/>
    <mergeCell ref="D11:N11"/>
    <mergeCell ref="A13:N13"/>
    <mergeCell ref="A1:N1"/>
    <mergeCell ref="A3:N3"/>
    <mergeCell ref="D5:N5"/>
    <mergeCell ref="D6:N6"/>
    <mergeCell ref="D7:N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89"/>
  <sheetViews>
    <sheetView zoomScaleNormal="100" workbookViewId="0">
      <pane ySplit="3" topLeftCell="A72" activePane="bottomLeft" state="frozen"/>
      <selection pane="bottomLeft" activeCell="V97" sqref="V97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4" width="14" customWidth="1"/>
    <col min="5" max="5" width="10" customWidth="1"/>
    <col min="6" max="6" width="12" customWidth="1"/>
    <col min="8" max="12" width="13" customWidth="1"/>
  </cols>
  <sheetData>
    <row r="1" spans="1:11" ht="15.75" customHeight="1" x14ac:dyDescent="0.2">
      <c r="A1" s="44" t="s">
        <v>178</v>
      </c>
      <c r="B1" s="44"/>
      <c r="C1" s="44"/>
      <c r="D1" s="44"/>
      <c r="E1" s="44"/>
      <c r="F1" s="44"/>
    </row>
    <row r="3" spans="1:11" ht="15" customHeight="1" x14ac:dyDescent="0.2">
      <c r="A3" s="27" t="s">
        <v>58</v>
      </c>
      <c r="B3" s="27" t="s">
        <v>99</v>
      </c>
      <c r="C3" s="27" t="s">
        <v>179</v>
      </c>
      <c r="D3" s="27" t="s">
        <v>3</v>
      </c>
      <c r="E3" s="27" t="s">
        <v>4</v>
      </c>
      <c r="F3" s="27" t="s">
        <v>180</v>
      </c>
      <c r="H3" s="43" t="s">
        <v>181</v>
      </c>
      <c r="I3" s="43"/>
      <c r="J3" s="43"/>
      <c r="K3" s="43"/>
    </row>
    <row r="4" spans="1:11" ht="15" customHeight="1" x14ac:dyDescent="0.2">
      <c r="A4" s="28">
        <v>2023</v>
      </c>
      <c r="B4" s="4" t="s">
        <v>83</v>
      </c>
      <c r="C4" s="4" t="s">
        <v>87</v>
      </c>
      <c r="D4" s="29">
        <f>SISEPUEDE!B4</f>
        <v>5.0812639999999991</v>
      </c>
      <c r="E4" s="4" t="s">
        <v>38</v>
      </c>
      <c r="F4" s="4" t="s">
        <v>182</v>
      </c>
      <c r="H4" s="30" t="s">
        <v>58</v>
      </c>
      <c r="I4" s="27" t="s">
        <v>87</v>
      </c>
      <c r="J4" s="27" t="s">
        <v>88</v>
      </c>
      <c r="K4" s="27" t="s">
        <v>89</v>
      </c>
    </row>
    <row r="5" spans="1:11" ht="15" customHeight="1" x14ac:dyDescent="0.2">
      <c r="A5" s="28">
        <v>2024</v>
      </c>
      <c r="B5" s="4" t="s">
        <v>83</v>
      </c>
      <c r="C5" s="4" t="s">
        <v>87</v>
      </c>
      <c r="D5" s="29">
        <f>SISEPUEDE!B5</f>
        <v>5.0556700113012329</v>
      </c>
      <c r="E5" s="4" t="s">
        <v>38</v>
      </c>
      <c r="F5" s="4" t="s">
        <v>182</v>
      </c>
      <c r="H5" s="28">
        <v>2023</v>
      </c>
      <c r="I5" s="31">
        <f>SISEPUEDE!B4</f>
        <v>5.0812639999999991</v>
      </c>
      <c r="J5" s="31">
        <f>SISEPUEDE!C4</f>
        <v>15.67624</v>
      </c>
      <c r="K5" s="31">
        <f>SISEPUEDE!D4</f>
        <v>6.2704959999999996</v>
      </c>
    </row>
    <row r="6" spans="1:11" ht="15" customHeight="1" x14ac:dyDescent="0.2">
      <c r="A6" s="28">
        <v>2025</v>
      </c>
      <c r="B6" s="4" t="s">
        <v>83</v>
      </c>
      <c r="C6" s="4" t="s">
        <v>87</v>
      </c>
      <c r="D6" s="29">
        <f>SISEPUEDE!B6</f>
        <v>5.0626536647226734</v>
      </c>
      <c r="E6" s="4" t="s">
        <v>38</v>
      </c>
      <c r="F6" s="4" t="s">
        <v>182</v>
      </c>
      <c r="H6" s="28">
        <v>2024</v>
      </c>
      <c r="I6" s="31">
        <f>SISEPUEDE!B5</f>
        <v>5.0556700113012329</v>
      </c>
      <c r="J6" s="31">
        <f>SISEPUEDE!C5</f>
        <v>15.721238160046342</v>
      </c>
      <c r="K6" s="31">
        <f>SISEPUEDE!D5</f>
        <v>6.2913515251461725</v>
      </c>
    </row>
    <row r="7" spans="1:11" ht="15" customHeight="1" x14ac:dyDescent="0.2">
      <c r="A7" s="28">
        <v>2026</v>
      </c>
      <c r="B7" s="4" t="s">
        <v>83</v>
      </c>
      <c r="C7" s="4" t="s">
        <v>87</v>
      </c>
      <c r="D7" s="29">
        <f>SISEPUEDE!B7</f>
        <v>5.9497827861877486</v>
      </c>
      <c r="E7" s="4" t="s">
        <v>38</v>
      </c>
      <c r="F7" s="4" t="s">
        <v>182</v>
      </c>
      <c r="H7" s="28">
        <v>2025</v>
      </c>
      <c r="I7" s="31">
        <f>SISEPUEDE!B6</f>
        <v>5.0626536647226734</v>
      </c>
      <c r="J7" s="31">
        <f>SISEPUEDE!C6</f>
        <v>15.745493018461996</v>
      </c>
      <c r="K7" s="31">
        <f>SISEPUEDE!D6</f>
        <v>6.3020224517049908</v>
      </c>
    </row>
    <row r="8" spans="1:11" ht="15" customHeight="1" x14ac:dyDescent="0.2">
      <c r="A8" s="28">
        <v>2027</v>
      </c>
      <c r="B8" s="4" t="s">
        <v>83</v>
      </c>
      <c r="C8" s="4" t="s">
        <v>87</v>
      </c>
      <c r="D8" s="29">
        <f>SISEPUEDE!B8</f>
        <v>6.1263994546520095</v>
      </c>
      <c r="E8" s="4" t="s">
        <v>38</v>
      </c>
      <c r="F8" s="4" t="s">
        <v>182</v>
      </c>
      <c r="H8" s="28">
        <v>2026</v>
      </c>
      <c r="I8" s="31">
        <f>SISEPUEDE!B7</f>
        <v>5.9497827861877486</v>
      </c>
      <c r="J8" s="31">
        <f>SISEPUEDE!C7</f>
        <v>16.26219771599159</v>
      </c>
      <c r="K8" s="31">
        <f>SISEPUEDE!D7</f>
        <v>7.6133347025133533</v>
      </c>
    </row>
    <row r="9" spans="1:11" ht="15" customHeight="1" x14ac:dyDescent="0.2">
      <c r="A9" s="28">
        <v>2028</v>
      </c>
      <c r="B9" s="4" t="s">
        <v>83</v>
      </c>
      <c r="C9" s="4" t="s">
        <v>87</v>
      </c>
      <c r="D9" s="29">
        <f>SISEPUEDE!B9</f>
        <v>6.2776822458090731</v>
      </c>
      <c r="E9" s="4" t="s">
        <v>38</v>
      </c>
      <c r="F9" s="4" t="s">
        <v>182</v>
      </c>
      <c r="H9" s="28">
        <v>2027</v>
      </c>
      <c r="I9" s="31">
        <f>SISEPUEDE!B8</f>
        <v>6.1263994546520095</v>
      </c>
      <c r="J9" s="31">
        <f>SISEPUEDE!C8</f>
        <v>16.730890555064448</v>
      </c>
      <c r="K9" s="31">
        <f>SISEPUEDE!D8</f>
        <v>8.0973357943553683</v>
      </c>
    </row>
    <row r="10" spans="1:11" ht="15" customHeight="1" x14ac:dyDescent="0.2">
      <c r="A10" s="28">
        <v>2029</v>
      </c>
      <c r="B10" s="4" t="s">
        <v>83</v>
      </c>
      <c r="C10" s="4" t="s">
        <v>87</v>
      </c>
      <c r="D10" s="29">
        <f>SISEPUEDE!B10</f>
        <v>6.3957649619436019</v>
      </c>
      <c r="E10" s="4" t="s">
        <v>38</v>
      </c>
      <c r="F10" s="4" t="s">
        <v>182</v>
      </c>
      <c r="H10" s="28">
        <v>2028</v>
      </c>
      <c r="I10" s="31">
        <f>SISEPUEDE!B9</f>
        <v>6.2776822458090731</v>
      </c>
      <c r="J10" s="31">
        <f>SISEPUEDE!C9</f>
        <v>17.102304246803666</v>
      </c>
      <c r="K10" s="31">
        <f>SISEPUEDE!D9</f>
        <v>9.1742311689267044</v>
      </c>
    </row>
    <row r="11" spans="1:11" ht="15" customHeight="1" x14ac:dyDescent="0.2">
      <c r="A11" s="28">
        <v>2030</v>
      </c>
      <c r="B11" s="4" t="s">
        <v>83</v>
      </c>
      <c r="C11" s="4" t="s">
        <v>87</v>
      </c>
      <c r="D11" s="29">
        <f>SISEPUEDE!B11</f>
        <v>6.4904661177445542</v>
      </c>
      <c r="E11" s="4" t="s">
        <v>38</v>
      </c>
      <c r="F11" s="4" t="s">
        <v>182</v>
      </c>
      <c r="H11" s="28">
        <v>2029</v>
      </c>
      <c r="I11" s="31">
        <f>SISEPUEDE!B10</f>
        <v>6.3957649619436019</v>
      </c>
      <c r="J11" s="31">
        <f>SISEPUEDE!C10</f>
        <v>17.338510360856802</v>
      </c>
      <c r="K11" s="31">
        <f>SISEPUEDE!D10</f>
        <v>10.339134623164217</v>
      </c>
    </row>
    <row r="12" spans="1:11" ht="15" customHeight="1" x14ac:dyDescent="0.2">
      <c r="A12" s="28">
        <v>2031</v>
      </c>
      <c r="B12" s="4" t="s">
        <v>83</v>
      </c>
      <c r="C12" s="4" t="s">
        <v>87</v>
      </c>
      <c r="D12" s="29">
        <f>SISEPUEDE!B12</f>
        <v>6.303531248105279</v>
      </c>
      <c r="E12" s="4" t="s">
        <v>38</v>
      </c>
      <c r="F12" s="4" t="s">
        <v>182</v>
      </c>
      <c r="H12" s="28">
        <v>2030</v>
      </c>
      <c r="I12" s="31">
        <f>SISEPUEDE!B11</f>
        <v>6.4904661177445542</v>
      </c>
      <c r="J12" s="31">
        <f>SISEPUEDE!C11</f>
        <v>17.414389576445195</v>
      </c>
      <c r="K12" s="31">
        <f>SISEPUEDE!D11</f>
        <v>11.586339432720507</v>
      </c>
    </row>
    <row r="13" spans="1:11" ht="15" customHeight="1" x14ac:dyDescent="0.2">
      <c r="A13" s="28">
        <v>2032</v>
      </c>
      <c r="B13" s="4" t="s">
        <v>83</v>
      </c>
      <c r="C13" s="4" t="s">
        <v>87</v>
      </c>
      <c r="D13" s="29">
        <f>SISEPUEDE!B13</f>
        <v>6.1122969569214547</v>
      </c>
      <c r="E13" s="4" t="s">
        <v>38</v>
      </c>
      <c r="F13" s="4" t="s">
        <v>182</v>
      </c>
      <c r="H13" s="28">
        <v>2031</v>
      </c>
      <c r="I13" s="31">
        <f>SISEPUEDE!B12</f>
        <v>6.303531248105279</v>
      </c>
      <c r="J13" s="31">
        <f>SISEPUEDE!C12</f>
        <v>17.320072608368257</v>
      </c>
      <c r="K13" s="31">
        <f>SISEPUEDE!D12</f>
        <v>12.416791087598595</v>
      </c>
    </row>
    <row r="14" spans="1:11" ht="15" customHeight="1" x14ac:dyDescent="0.2">
      <c r="A14" s="28">
        <v>2033</v>
      </c>
      <c r="B14" s="4" t="s">
        <v>83</v>
      </c>
      <c r="C14" s="4" t="s">
        <v>87</v>
      </c>
      <c r="D14" s="29">
        <f>SISEPUEDE!B14</f>
        <v>5.9167057438771558</v>
      </c>
      <c r="E14" s="4" t="s">
        <v>38</v>
      </c>
      <c r="F14" s="4" t="s">
        <v>182</v>
      </c>
      <c r="H14" s="28">
        <v>2032</v>
      </c>
      <c r="I14" s="31">
        <f>SISEPUEDE!B13</f>
        <v>6.1122969569214547</v>
      </c>
      <c r="J14" s="31">
        <f>SISEPUEDE!C13</f>
        <v>17.064835891597166</v>
      </c>
      <c r="K14" s="31">
        <f>SISEPUEDE!D13</f>
        <v>13.268254402891788</v>
      </c>
    </row>
    <row r="15" spans="1:11" ht="15" customHeight="1" x14ac:dyDescent="0.2">
      <c r="A15" s="28">
        <v>2034</v>
      </c>
      <c r="B15" s="4" t="s">
        <v>83</v>
      </c>
      <c r="C15" s="4" t="s">
        <v>87</v>
      </c>
      <c r="D15" s="29">
        <f>SISEPUEDE!B15</f>
        <v>5.7166996350524268</v>
      </c>
      <c r="E15" s="4" t="s">
        <v>38</v>
      </c>
      <c r="F15" s="4" t="s">
        <v>182</v>
      </c>
      <c r="H15" s="28">
        <v>2033</v>
      </c>
      <c r="I15" s="31">
        <f>SISEPUEDE!B14</f>
        <v>5.9167057438771558</v>
      </c>
      <c r="J15" s="31">
        <f>SISEPUEDE!C14</f>
        <v>16.668473978539065</v>
      </c>
      <c r="K15" s="31">
        <f>SISEPUEDE!D14</f>
        <v>14.141225355492093</v>
      </c>
    </row>
    <row r="16" spans="1:11" ht="15" customHeight="1" x14ac:dyDescent="0.2">
      <c r="A16" s="28">
        <v>2035</v>
      </c>
      <c r="B16" s="4" t="s">
        <v>83</v>
      </c>
      <c r="C16" s="4" t="s">
        <v>87</v>
      </c>
      <c r="D16" s="29">
        <f>SISEPUEDE!B16</f>
        <v>5.5122204177566445</v>
      </c>
      <c r="E16" s="4" t="s">
        <v>38</v>
      </c>
      <c r="F16" s="4" t="s">
        <v>182</v>
      </c>
      <c r="H16" s="28">
        <v>2034</v>
      </c>
      <c r="I16" s="31">
        <f>SISEPUEDE!B15</f>
        <v>5.7166996350524268</v>
      </c>
      <c r="J16" s="31">
        <f>SISEPUEDE!C15</f>
        <v>16.155069933031275</v>
      </c>
      <c r="K16" s="31">
        <f>SISEPUEDE!D15</f>
        <v>15.036211405091976</v>
      </c>
    </row>
    <row r="17" spans="1:11" ht="15" customHeight="1" x14ac:dyDescent="0.2">
      <c r="A17" s="28">
        <v>2036</v>
      </c>
      <c r="B17" s="4" t="s">
        <v>83</v>
      </c>
      <c r="C17" s="4" t="s">
        <v>87</v>
      </c>
      <c r="D17" s="29">
        <f>SISEPUEDE!B17</f>
        <v>5.3032094985221567</v>
      </c>
      <c r="E17" s="4" t="s">
        <v>38</v>
      </c>
      <c r="F17" s="4" t="s">
        <v>182</v>
      </c>
      <c r="H17" s="28">
        <v>2035</v>
      </c>
      <c r="I17" s="31">
        <f>SISEPUEDE!B16</f>
        <v>5.5122204177566445</v>
      </c>
      <c r="J17" s="31">
        <f>SISEPUEDE!C16</f>
        <v>15.548827951448544</v>
      </c>
      <c r="K17" s="31">
        <f>SISEPUEDE!D16</f>
        <v>15.953732064187022</v>
      </c>
    </row>
    <row r="18" spans="1:11" ht="15" customHeight="1" x14ac:dyDescent="0.2">
      <c r="A18" s="28">
        <v>2037</v>
      </c>
      <c r="B18" s="4" t="s">
        <v>83</v>
      </c>
      <c r="C18" s="4" t="s">
        <v>87</v>
      </c>
      <c r="D18" s="29">
        <f>SISEPUEDE!B18</f>
        <v>5.0896079167097241</v>
      </c>
      <c r="E18" s="4" t="s">
        <v>38</v>
      </c>
      <c r="F18" s="4" t="s">
        <v>182</v>
      </c>
      <c r="H18" s="28">
        <v>2036</v>
      </c>
      <c r="I18" s="31">
        <f>SISEPUEDE!B17</f>
        <v>5.3032094985221567</v>
      </c>
      <c r="J18" s="31">
        <f>SISEPUEDE!C17</f>
        <v>14.871560844629334</v>
      </c>
      <c r="K18" s="31">
        <f>SISEPUEDE!D17</f>
        <v>16.894318937684275</v>
      </c>
    </row>
    <row r="19" spans="1:11" ht="15" customHeight="1" x14ac:dyDescent="0.2">
      <c r="A19" s="28">
        <v>2038</v>
      </c>
      <c r="B19" s="4" t="s">
        <v>83</v>
      </c>
      <c r="C19" s="4" t="s">
        <v>87</v>
      </c>
      <c r="D19" s="29">
        <f>SISEPUEDE!B19</f>
        <v>4.8713564729616401</v>
      </c>
      <c r="E19" s="4" t="s">
        <v>38</v>
      </c>
      <c r="F19" s="4" t="s">
        <v>182</v>
      </c>
      <c r="H19" s="28">
        <v>2037</v>
      </c>
      <c r="I19" s="31">
        <f>SISEPUEDE!B18</f>
        <v>5.0896079167097241</v>
      </c>
      <c r="J19" s="31">
        <f>SISEPUEDE!C18</f>
        <v>14.141422879873993</v>
      </c>
      <c r="K19" s="31">
        <f>SISEPUEDE!D18</f>
        <v>17.85851591124537</v>
      </c>
    </row>
    <row r="20" spans="1:11" ht="15" customHeight="1" x14ac:dyDescent="0.2">
      <c r="A20" s="28">
        <v>2039</v>
      </c>
      <c r="B20" s="4" t="s">
        <v>83</v>
      </c>
      <c r="C20" s="4" t="s">
        <v>87</v>
      </c>
      <c r="D20" s="29">
        <f>SISEPUEDE!B20</f>
        <v>4.6483957754308429</v>
      </c>
      <c r="E20" s="4" t="s">
        <v>38</v>
      </c>
      <c r="F20" s="4" t="s">
        <v>182</v>
      </c>
      <c r="H20" s="28">
        <v>2038</v>
      </c>
      <c r="I20" s="31">
        <f>SISEPUEDE!B19</f>
        <v>4.8713564729616401</v>
      </c>
      <c r="J20" s="31">
        <f>SISEPUEDE!C19</f>
        <v>13.37251821555089</v>
      </c>
      <c r="K20" s="31">
        <f>SISEPUEDE!D19</f>
        <v>18.846879654282031</v>
      </c>
    </row>
    <row r="21" spans="1:11" ht="15" customHeight="1" x14ac:dyDescent="0.2">
      <c r="A21" s="28">
        <v>2040</v>
      </c>
      <c r="B21" s="4" t="s">
        <v>83</v>
      </c>
      <c r="C21" s="4" t="s">
        <v>87</v>
      </c>
      <c r="D21" s="29">
        <f>SISEPUEDE!B21</f>
        <v>4.4226033301378882</v>
      </c>
      <c r="E21" s="4" t="s">
        <v>38</v>
      </c>
      <c r="F21" s="4" t="s">
        <v>182</v>
      </c>
      <c r="H21" s="28">
        <v>2039</v>
      </c>
      <c r="I21" s="31">
        <f>SISEPUEDE!B20</f>
        <v>4.6483957754308429</v>
      </c>
      <c r="J21" s="31">
        <f>SISEPUEDE!C20</f>
        <v>12.575076010877041</v>
      </c>
      <c r="K21" s="31">
        <f>SISEPUEDE!D20</f>
        <v>19.859980044000771</v>
      </c>
    </row>
    <row r="22" spans="1:11" ht="15" customHeight="1" x14ac:dyDescent="0.2">
      <c r="A22" s="28">
        <v>2041</v>
      </c>
      <c r="B22" s="4" t="s">
        <v>83</v>
      </c>
      <c r="C22" s="4" t="s">
        <v>87</v>
      </c>
      <c r="D22" s="29">
        <f>SISEPUEDE!B22</f>
        <v>4.1931284949893941</v>
      </c>
      <c r="E22" s="4" t="s">
        <v>38</v>
      </c>
      <c r="F22" s="4" t="s">
        <v>182</v>
      </c>
      <c r="H22" s="28">
        <v>2040</v>
      </c>
      <c r="I22" s="31">
        <f>SISEPUEDE!B21</f>
        <v>4.4226033301378882</v>
      </c>
      <c r="J22" s="31">
        <f>SISEPUEDE!C21</f>
        <v>11.755950671828895</v>
      </c>
      <c r="K22" s="31">
        <f>SISEPUEDE!D21</f>
        <v>20.906939507815643</v>
      </c>
    </row>
    <row r="23" spans="1:11" ht="15" customHeight="1" x14ac:dyDescent="0.2">
      <c r="A23" s="28">
        <v>2042</v>
      </c>
      <c r="B23" s="4" t="s">
        <v>83</v>
      </c>
      <c r="C23" s="4" t="s">
        <v>87</v>
      </c>
      <c r="D23" s="29">
        <f>SISEPUEDE!B23</f>
        <v>3.9584798185772119</v>
      </c>
      <c r="E23" s="4" t="s">
        <v>38</v>
      </c>
      <c r="F23" s="4" t="s">
        <v>182</v>
      </c>
      <c r="H23" s="28">
        <v>2041</v>
      </c>
      <c r="I23" s="31">
        <f>SISEPUEDE!B22</f>
        <v>4.1931284949893941</v>
      </c>
      <c r="J23" s="31">
        <f>SISEPUEDE!C22</f>
        <v>10.919270152958502</v>
      </c>
      <c r="K23" s="31">
        <f>SISEPUEDE!D22</f>
        <v>21.987178838414273</v>
      </c>
    </row>
    <row r="24" spans="1:11" ht="15" customHeight="1" x14ac:dyDescent="0.2">
      <c r="A24" s="28">
        <v>2043</v>
      </c>
      <c r="B24" s="4" t="s">
        <v>83</v>
      </c>
      <c r="C24" s="4" t="s">
        <v>87</v>
      </c>
      <c r="D24" s="29">
        <f>SISEPUEDE!B24</f>
        <v>3.7185724106231031</v>
      </c>
      <c r="E24" s="4" t="s">
        <v>38</v>
      </c>
      <c r="F24" s="4" t="s">
        <v>182</v>
      </c>
      <c r="H24" s="28">
        <v>2042</v>
      </c>
      <c r="I24" s="31">
        <f>SISEPUEDE!B23</f>
        <v>3.9584798185772119</v>
      </c>
      <c r="J24" s="31">
        <f>SISEPUEDE!C23</f>
        <v>10.067213570215966</v>
      </c>
      <c r="K24" s="31">
        <f>SISEPUEDE!D23</f>
        <v>23.095769760713566</v>
      </c>
    </row>
    <row r="25" spans="1:11" ht="15" customHeight="1" x14ac:dyDescent="0.2">
      <c r="A25" s="28">
        <v>2044</v>
      </c>
      <c r="B25" s="4" t="s">
        <v>83</v>
      </c>
      <c r="C25" s="4" t="s">
        <v>87</v>
      </c>
      <c r="D25" s="29">
        <f>SISEPUEDE!B25</f>
        <v>3.4733200859608067</v>
      </c>
      <c r="E25" s="4" t="s">
        <v>38</v>
      </c>
      <c r="F25" s="4" t="s">
        <v>182</v>
      </c>
      <c r="H25" s="28">
        <v>2043</v>
      </c>
      <c r="I25" s="31">
        <f>SISEPUEDE!B24</f>
        <v>3.7185724106231031</v>
      </c>
      <c r="J25" s="31">
        <f>SISEPUEDE!C24</f>
        <v>9.200799436044985</v>
      </c>
      <c r="K25" s="31">
        <f>SISEPUEDE!D24</f>
        <v>24.233435170067708</v>
      </c>
    </row>
    <row r="26" spans="1:11" ht="15" customHeight="1" x14ac:dyDescent="0.2">
      <c r="A26" s="28">
        <v>2045</v>
      </c>
      <c r="B26" s="4" t="s">
        <v>83</v>
      </c>
      <c r="C26" s="4" t="s">
        <v>87</v>
      </c>
      <c r="D26" s="29">
        <f>SISEPUEDE!B26</f>
        <v>3.222635378153849</v>
      </c>
      <c r="E26" s="4" t="s">
        <v>38</v>
      </c>
      <c r="F26" s="4" t="s">
        <v>182</v>
      </c>
      <c r="H26" s="28">
        <v>2044</v>
      </c>
      <c r="I26" s="31">
        <f>SISEPUEDE!B25</f>
        <v>3.4733200859608067</v>
      </c>
      <c r="J26" s="31">
        <f>SISEPUEDE!C25</f>
        <v>8.3205652448813154</v>
      </c>
      <c r="K26" s="31">
        <f>SISEPUEDE!D25</f>
        <v>25.400916288939115</v>
      </c>
    </row>
    <row r="27" spans="1:11" ht="15" customHeight="1" x14ac:dyDescent="0.2">
      <c r="A27" s="28">
        <v>2046</v>
      </c>
      <c r="B27" s="4" t="s">
        <v>83</v>
      </c>
      <c r="C27" s="4" t="s">
        <v>87</v>
      </c>
      <c r="D27" s="29">
        <f>SISEPUEDE!B27</f>
        <v>2.9664294537495777</v>
      </c>
      <c r="E27" s="4" t="s">
        <v>38</v>
      </c>
      <c r="F27" s="4" t="s">
        <v>182</v>
      </c>
      <c r="H27" s="28">
        <v>2045</v>
      </c>
      <c r="I27" s="31">
        <f>SISEPUEDE!B26</f>
        <v>3.222635378153849</v>
      </c>
      <c r="J27" s="31">
        <f>SISEPUEDE!C26</f>
        <v>7.4271128938107136</v>
      </c>
      <c r="K27" s="31">
        <f>SISEPUEDE!D26</f>
        <v>26.598973090093061</v>
      </c>
    </row>
    <row r="28" spans="1:11" ht="15" customHeight="1" x14ac:dyDescent="0.2">
      <c r="A28" s="28">
        <v>2047</v>
      </c>
      <c r="B28" s="4" t="s">
        <v>83</v>
      </c>
      <c r="C28" s="4" t="s">
        <v>87</v>
      </c>
      <c r="D28" s="29">
        <f>SISEPUEDE!B28</f>
        <v>2.7046121905244416</v>
      </c>
      <c r="E28" s="4" t="s">
        <v>38</v>
      </c>
      <c r="F28" s="4" t="s">
        <v>182</v>
      </c>
      <c r="H28" s="28">
        <v>2046</v>
      </c>
      <c r="I28" s="31">
        <f>SISEPUEDE!B27</f>
        <v>2.9664294537495777</v>
      </c>
      <c r="J28" s="31">
        <f>SISEPUEDE!C27</f>
        <v>6.5215022375582308</v>
      </c>
      <c r="K28" s="31">
        <f>SISEPUEDE!D27</f>
        <v>27.828384778101295</v>
      </c>
    </row>
    <row r="29" spans="1:11" ht="15" customHeight="1" x14ac:dyDescent="0.2">
      <c r="A29" s="28">
        <v>2048</v>
      </c>
      <c r="B29" s="4" t="s">
        <v>83</v>
      </c>
      <c r="C29" s="4" t="s">
        <v>87</v>
      </c>
      <c r="D29" s="29">
        <f>SISEPUEDE!B29</f>
        <v>2.437092049069971</v>
      </c>
      <c r="E29" s="4" t="s">
        <v>38</v>
      </c>
      <c r="F29" s="4" t="s">
        <v>182</v>
      </c>
      <c r="H29" s="28">
        <v>2047</v>
      </c>
      <c r="I29" s="31">
        <f>SISEPUEDE!B28</f>
        <v>2.7046121905244416</v>
      </c>
      <c r="J29" s="31">
        <f>SISEPUEDE!C28</f>
        <v>5.6054737961335253</v>
      </c>
      <c r="K29" s="31">
        <f>SISEPUEDE!D28</f>
        <v>29.089950348817737</v>
      </c>
    </row>
    <row r="30" spans="1:11" ht="15" customHeight="1" x14ac:dyDescent="0.2">
      <c r="A30" s="28">
        <v>2049</v>
      </c>
      <c r="B30" s="4" t="s">
        <v>83</v>
      </c>
      <c r="C30" s="4" t="s">
        <v>87</v>
      </c>
      <c r="D30" s="29">
        <f>SISEPUEDE!B30</f>
        <v>2.1637761390695225</v>
      </c>
      <c r="E30" s="4" t="s">
        <v>38</v>
      </c>
      <c r="F30" s="4" t="s">
        <v>182</v>
      </c>
      <c r="H30" s="28">
        <v>2048</v>
      </c>
      <c r="I30" s="31">
        <f>SISEPUEDE!B29</f>
        <v>2.437092049069971</v>
      </c>
      <c r="J30" s="31">
        <f>SISEPUEDE!C29</f>
        <v>4.6814737887024798</v>
      </c>
      <c r="K30" s="31">
        <f>SISEPUEDE!D29</f>
        <v>30.384488815334755</v>
      </c>
    </row>
    <row r="31" spans="1:11" ht="15" customHeight="1" x14ac:dyDescent="0.2">
      <c r="A31" s="28">
        <v>2050</v>
      </c>
      <c r="B31" s="4" t="s">
        <v>83</v>
      </c>
      <c r="C31" s="4" t="s">
        <v>87</v>
      </c>
      <c r="D31" s="29">
        <f>SISEPUEDE!B31</f>
        <v>1.8845701433356825</v>
      </c>
      <c r="E31" s="4" t="s">
        <v>38</v>
      </c>
      <c r="F31" s="4" t="s">
        <v>182</v>
      </c>
      <c r="H31" s="28">
        <v>2049</v>
      </c>
      <c r="I31" s="31">
        <f>SISEPUEDE!B30</f>
        <v>2.1637761390695225</v>
      </c>
      <c r="J31" s="31">
        <f>SISEPUEDE!C30</f>
        <v>3.7524431061174703</v>
      </c>
      <c r="K31" s="31">
        <f>SISEPUEDE!D30</f>
        <v>31.712840048691348</v>
      </c>
    </row>
    <row r="32" spans="1:11" ht="15" customHeight="1" x14ac:dyDescent="0.2">
      <c r="A32" s="28">
        <v>2023</v>
      </c>
      <c r="B32" s="4" t="s">
        <v>83</v>
      </c>
      <c r="C32" s="4" t="s">
        <v>88</v>
      </c>
      <c r="D32" s="29">
        <f>SISEPUEDE!C4</f>
        <v>15.67624</v>
      </c>
      <c r="E32" s="4" t="s">
        <v>38</v>
      </c>
      <c r="F32" s="4" t="s">
        <v>182</v>
      </c>
      <c r="H32" s="28">
        <v>2050</v>
      </c>
      <c r="I32" s="31">
        <f>SISEPUEDE!B31</f>
        <v>1.8845701433356825</v>
      </c>
      <c r="J32" s="31">
        <f>SISEPUEDE!C31</f>
        <v>2.8213198498065131</v>
      </c>
      <c r="K32" s="31">
        <f>SISEPUEDE!D31</f>
        <v>33.075864925792246</v>
      </c>
    </row>
    <row r="33" spans="1:12" ht="15" customHeight="1" x14ac:dyDescent="0.2">
      <c r="A33" s="28">
        <v>2024</v>
      </c>
      <c r="B33" s="4" t="s">
        <v>83</v>
      </c>
      <c r="C33" s="4" t="s">
        <v>88</v>
      </c>
      <c r="D33" s="29">
        <f>SISEPUEDE!C5</f>
        <v>15.721238160046342</v>
      </c>
      <c r="E33" s="4" t="s">
        <v>38</v>
      </c>
      <c r="F33" s="4" t="s">
        <v>182</v>
      </c>
    </row>
    <row r="34" spans="1:12" ht="15" customHeight="1" x14ac:dyDescent="0.2">
      <c r="A34" s="28">
        <v>2025</v>
      </c>
      <c r="B34" s="4" t="s">
        <v>83</v>
      </c>
      <c r="C34" s="4" t="s">
        <v>88</v>
      </c>
      <c r="D34" s="29">
        <f>SISEPUEDE!C6</f>
        <v>15.745493018461996</v>
      </c>
      <c r="E34" s="4" t="s">
        <v>38</v>
      </c>
      <c r="F34" s="4" t="s">
        <v>182</v>
      </c>
    </row>
    <row r="35" spans="1:12" ht="15" customHeight="1" x14ac:dyDescent="0.2">
      <c r="A35" s="28">
        <v>2026</v>
      </c>
      <c r="B35" s="4" t="s">
        <v>83</v>
      </c>
      <c r="C35" s="4" t="s">
        <v>88</v>
      </c>
      <c r="D35" s="29">
        <f>SISEPUEDE!C7</f>
        <v>16.26219771599159</v>
      </c>
      <c r="E35" s="4" t="s">
        <v>38</v>
      </c>
      <c r="F35" s="4" t="s">
        <v>182</v>
      </c>
      <c r="H35" s="43" t="s">
        <v>183</v>
      </c>
      <c r="I35" s="43"/>
      <c r="J35" s="43"/>
      <c r="K35" s="43"/>
      <c r="L35" s="43"/>
    </row>
    <row r="36" spans="1:12" ht="15" customHeight="1" x14ac:dyDescent="0.2">
      <c r="A36" s="28">
        <v>2027</v>
      </c>
      <c r="B36" s="4" t="s">
        <v>83</v>
      </c>
      <c r="C36" s="4" t="s">
        <v>88</v>
      </c>
      <c r="D36" s="29">
        <f>SISEPUEDE!C8</f>
        <v>16.730890555064448</v>
      </c>
      <c r="E36" s="4" t="s">
        <v>38</v>
      </c>
      <c r="F36" s="4" t="s">
        <v>182</v>
      </c>
      <c r="H36" s="30" t="s">
        <v>58</v>
      </c>
      <c r="I36" s="27" t="s">
        <v>87</v>
      </c>
      <c r="J36" s="27" t="s">
        <v>88</v>
      </c>
      <c r="K36" s="27" t="s">
        <v>89</v>
      </c>
      <c r="L36" s="27" t="s">
        <v>90</v>
      </c>
    </row>
    <row r="37" spans="1:12" ht="15" customHeight="1" x14ac:dyDescent="0.2">
      <c r="A37" s="28">
        <v>2028</v>
      </c>
      <c r="B37" s="4" t="s">
        <v>83</v>
      </c>
      <c r="C37" s="4" t="s">
        <v>88</v>
      </c>
      <c r="D37" s="29">
        <f>SISEPUEDE!C9</f>
        <v>17.102304246803666</v>
      </c>
      <c r="E37" s="4" t="s">
        <v>38</v>
      </c>
      <c r="F37" s="4" t="s">
        <v>182</v>
      </c>
      <c r="H37" s="28">
        <v>2023</v>
      </c>
      <c r="I37" s="31">
        <f>SISEPUEDE!B32</f>
        <v>5.0812639999999991</v>
      </c>
      <c r="J37" s="31">
        <f>SISEPUEDE!C32</f>
        <v>15.67624</v>
      </c>
      <c r="K37" s="31">
        <f>SISEPUEDE!D32</f>
        <v>6.2704959999999996</v>
      </c>
      <c r="L37" s="31">
        <f>SISEPUEDE!E32</f>
        <v>0</v>
      </c>
    </row>
    <row r="38" spans="1:12" ht="15" customHeight="1" x14ac:dyDescent="0.2">
      <c r="A38" s="28">
        <v>2029</v>
      </c>
      <c r="B38" s="4" t="s">
        <v>83</v>
      </c>
      <c r="C38" s="4" t="s">
        <v>88</v>
      </c>
      <c r="D38" s="29">
        <f>SISEPUEDE!C10</f>
        <v>17.338510360856802</v>
      </c>
      <c r="E38" s="4" t="s">
        <v>38</v>
      </c>
      <c r="F38" s="4" t="s">
        <v>182</v>
      </c>
      <c r="H38" s="28">
        <v>2024</v>
      </c>
      <c r="I38" s="31">
        <f>SISEPUEDE!B33</f>
        <v>5.0554929125757013</v>
      </c>
      <c r="J38" s="31">
        <f>SISEPUEDE!C33</f>
        <v>15.733978360933722</v>
      </c>
      <c r="K38" s="31">
        <f>SISEPUEDE!D33</f>
        <v>6.3013604815893833</v>
      </c>
      <c r="L38" s="31">
        <f>SISEPUEDE!E33</f>
        <v>0.30934943758655098</v>
      </c>
    </row>
    <row r="39" spans="1:12" ht="15" customHeight="1" x14ac:dyDescent="0.2">
      <c r="A39" s="28">
        <v>2030</v>
      </c>
      <c r="B39" s="4" t="s">
        <v>83</v>
      </c>
      <c r="C39" s="4" t="s">
        <v>88</v>
      </c>
      <c r="D39" s="29">
        <f>SISEPUEDE!C11</f>
        <v>17.414389576445195</v>
      </c>
      <c r="E39" s="4" t="s">
        <v>38</v>
      </c>
      <c r="F39" s="4" t="s">
        <v>182</v>
      </c>
      <c r="H39" s="28">
        <v>2025</v>
      </c>
      <c r="I39" s="31">
        <f>SISEPUEDE!B34</f>
        <v>5.0622945995669477</v>
      </c>
      <c r="J39" s="31">
        <f>SISEPUEDE!C34</f>
        <v>15.771248926677117</v>
      </c>
      <c r="K39" s="31">
        <f>SISEPUEDE!D34</f>
        <v>6.3222579979439164</v>
      </c>
      <c r="L39" s="31">
        <f>SISEPUEDE!E34</f>
        <v>0.63272025832568402</v>
      </c>
    </row>
    <row r="40" spans="1:12" ht="15" customHeight="1" x14ac:dyDescent="0.2">
      <c r="A40" s="28">
        <v>2031</v>
      </c>
      <c r="B40" s="4" t="s">
        <v>83</v>
      </c>
      <c r="C40" s="4" t="s">
        <v>88</v>
      </c>
      <c r="D40" s="29">
        <f>SISEPUEDE!C12</f>
        <v>17.320072608368257</v>
      </c>
      <c r="E40" s="4" t="s">
        <v>38</v>
      </c>
      <c r="F40" s="4" t="s">
        <v>182</v>
      </c>
      <c r="H40" s="28">
        <v>2026</v>
      </c>
      <c r="I40" s="31">
        <f>SISEPUEDE!B35</f>
        <v>5.8302237384679616</v>
      </c>
      <c r="J40" s="31">
        <f>SISEPUEDE!C35</f>
        <v>16.824658329671518</v>
      </c>
      <c r="K40" s="31">
        <f>SISEPUEDE!D35</f>
        <v>7.4910381072915913</v>
      </c>
      <c r="L40" s="31">
        <f>SISEPUEDE!E35</f>
        <v>0.98856707825508405</v>
      </c>
    </row>
    <row r="41" spans="1:12" ht="15" customHeight="1" x14ac:dyDescent="0.2">
      <c r="A41" s="28">
        <v>2032</v>
      </c>
      <c r="B41" s="4" t="s">
        <v>83</v>
      </c>
      <c r="C41" s="4" t="s">
        <v>88</v>
      </c>
      <c r="D41" s="29">
        <f>SISEPUEDE!C13</f>
        <v>17.064835891597166</v>
      </c>
      <c r="E41" s="4" t="s">
        <v>38</v>
      </c>
      <c r="F41" s="4" t="s">
        <v>182</v>
      </c>
      <c r="H41" s="28">
        <v>2027</v>
      </c>
      <c r="I41" s="31">
        <f>SISEPUEDE!B36</f>
        <v>5.8805971559034429</v>
      </c>
      <c r="J41" s="31">
        <f>SISEPUEDE!C36</f>
        <v>17.848905018652367</v>
      </c>
      <c r="K41" s="31">
        <f>SISEPUEDE!D36</f>
        <v>7.8129490184501567</v>
      </c>
      <c r="L41" s="31">
        <f>SISEPUEDE!E36</f>
        <v>1.3898016778167599</v>
      </c>
    </row>
    <row r="42" spans="1:12" ht="15" customHeight="1" x14ac:dyDescent="0.2">
      <c r="A42" s="28">
        <v>2033</v>
      </c>
      <c r="B42" s="4" t="s">
        <v>83</v>
      </c>
      <c r="C42" s="4" t="s">
        <v>88</v>
      </c>
      <c r="D42" s="29">
        <f>SISEPUEDE!C14</f>
        <v>16.668473978539065</v>
      </c>
      <c r="E42" s="4" t="s">
        <v>38</v>
      </c>
      <c r="F42" s="4" t="s">
        <v>182</v>
      </c>
      <c r="H42" s="28">
        <v>2028</v>
      </c>
      <c r="I42" s="31">
        <f>SISEPUEDE!B37</f>
        <v>5.8961376400055379</v>
      </c>
      <c r="J42" s="31">
        <f>SISEPUEDE!C37</f>
        <v>18.817323816317582</v>
      </c>
      <c r="K42" s="31">
        <f>SISEPUEDE!D37</f>
        <v>7.7864676496162932</v>
      </c>
      <c r="L42" s="31">
        <f>SISEPUEDE!E37</f>
        <v>1.84214978694815</v>
      </c>
    </row>
    <row r="43" spans="1:12" ht="15" customHeight="1" x14ac:dyDescent="0.2">
      <c r="A43" s="28">
        <v>2034</v>
      </c>
      <c r="B43" s="4" t="s">
        <v>83</v>
      </c>
      <c r="C43" s="4" t="s">
        <v>88</v>
      </c>
      <c r="D43" s="29">
        <f>SISEPUEDE!C15</f>
        <v>16.155069933031275</v>
      </c>
      <c r="E43" s="4" t="s">
        <v>38</v>
      </c>
      <c r="F43" s="4" t="s">
        <v>182</v>
      </c>
      <c r="H43" s="28">
        <v>2029</v>
      </c>
      <c r="I43" s="31">
        <f>SISEPUEDE!B38</f>
        <v>5.8762266125440599</v>
      </c>
      <c r="J43" s="31">
        <f>SISEPUEDE!C38</f>
        <v>19.702110659693862</v>
      </c>
      <c r="K43" s="31">
        <f>SISEPUEDE!D38</f>
        <v>7.7241024754960321</v>
      </c>
      <c r="L43" s="31">
        <f>SISEPUEDE!E38</f>
        <v>2.3421410430488598</v>
      </c>
    </row>
    <row r="44" spans="1:12" ht="15" customHeight="1" x14ac:dyDescent="0.2">
      <c r="A44" s="28">
        <v>2035</v>
      </c>
      <c r="B44" s="4" t="s">
        <v>83</v>
      </c>
      <c r="C44" s="4" t="s">
        <v>88</v>
      </c>
      <c r="D44" s="29">
        <f>SISEPUEDE!C16</f>
        <v>15.548827951448544</v>
      </c>
      <c r="E44" s="4" t="s">
        <v>38</v>
      </c>
      <c r="F44" s="4" t="s">
        <v>182</v>
      </c>
      <c r="H44" s="28">
        <v>2030</v>
      </c>
      <c r="I44" s="31">
        <f>SISEPUEDE!B39</f>
        <v>5.8313374143293748</v>
      </c>
      <c r="J44" s="31">
        <f>SISEPUEDE!C39</f>
        <v>20.478781272991448</v>
      </c>
      <c r="K44" s="31">
        <f>SISEPUEDE!D39</f>
        <v>7.6204535034863472</v>
      </c>
      <c r="L44" s="31">
        <f>SISEPUEDE!E39</f>
        <v>2.8805418326832202</v>
      </c>
    </row>
    <row r="45" spans="1:12" ht="15" customHeight="1" x14ac:dyDescent="0.2">
      <c r="A45" s="28">
        <v>2036</v>
      </c>
      <c r="B45" s="4" t="s">
        <v>83</v>
      </c>
      <c r="C45" s="4" t="s">
        <v>88</v>
      </c>
      <c r="D45" s="29">
        <f>SISEPUEDE!C17</f>
        <v>14.871560844629334</v>
      </c>
      <c r="E45" s="4" t="s">
        <v>38</v>
      </c>
      <c r="F45" s="4" t="s">
        <v>182</v>
      </c>
      <c r="H45" s="28">
        <v>2031</v>
      </c>
      <c r="I45" s="31">
        <f>SISEPUEDE!B40</f>
        <v>5.5355106496291047</v>
      </c>
      <c r="J45" s="31">
        <f>SISEPUEDE!C40</f>
        <v>21.131818980069081</v>
      </c>
      <c r="K45" s="31">
        <f>SISEPUEDE!D40</f>
        <v>7.1920565276446293</v>
      </c>
      <c r="L45" s="31">
        <f>SISEPUEDE!E40</f>
        <v>3.4459888715190199</v>
      </c>
    </row>
    <row r="46" spans="1:12" ht="15" customHeight="1" x14ac:dyDescent="0.2">
      <c r="A46" s="28">
        <v>2037</v>
      </c>
      <c r="B46" s="4" t="s">
        <v>83</v>
      </c>
      <c r="C46" s="4" t="s">
        <v>88</v>
      </c>
      <c r="D46" s="29">
        <f>SISEPUEDE!C18</f>
        <v>14.141422879873993</v>
      </c>
      <c r="E46" s="4" t="s">
        <v>38</v>
      </c>
      <c r="F46" s="4" t="s">
        <v>182</v>
      </c>
      <c r="H46" s="28">
        <v>2032</v>
      </c>
      <c r="I46" s="31">
        <f>SISEPUEDE!B41</f>
        <v>5.2440168821295661</v>
      </c>
      <c r="J46" s="31">
        <f>SISEPUEDE!C41</f>
        <v>21.661958784840174</v>
      </c>
      <c r="K46" s="31">
        <f>SISEPUEDE!D41</f>
        <v>6.7631528437757247</v>
      </c>
      <c r="L46" s="31">
        <f>SISEPUEDE!E41</f>
        <v>4.0289862863409898</v>
      </c>
    </row>
    <row r="47" spans="1:12" ht="15" customHeight="1" x14ac:dyDescent="0.2">
      <c r="A47" s="28">
        <v>2038</v>
      </c>
      <c r="B47" s="4" t="s">
        <v>83</v>
      </c>
      <c r="C47" s="4" t="s">
        <v>88</v>
      </c>
      <c r="D47" s="29">
        <f>SISEPUEDE!C19</f>
        <v>13.37251821555089</v>
      </c>
      <c r="E47" s="4" t="s">
        <v>38</v>
      </c>
      <c r="F47" s="4" t="s">
        <v>182</v>
      </c>
      <c r="H47" s="28">
        <v>2033</v>
      </c>
      <c r="I47" s="31">
        <f>SISEPUEDE!B42</f>
        <v>4.9569560464703928</v>
      </c>
      <c r="J47" s="31">
        <f>SISEPUEDE!C42</f>
        <v>22.079547852238832</v>
      </c>
      <c r="K47" s="31">
        <f>SISEPUEDE!D42</f>
        <v>6.3349962345965363</v>
      </c>
      <c r="L47" s="31">
        <f>SISEPUEDE!E42</f>
        <v>4.6225837410291497</v>
      </c>
    </row>
    <row r="48" spans="1:12" ht="15" customHeight="1" x14ac:dyDescent="0.2">
      <c r="A48" s="28">
        <v>2039</v>
      </c>
      <c r="B48" s="4" t="s">
        <v>83</v>
      </c>
      <c r="C48" s="4" t="s">
        <v>88</v>
      </c>
      <c r="D48" s="29">
        <f>SISEPUEDE!C20</f>
        <v>12.575076010877041</v>
      </c>
      <c r="E48" s="4" t="s">
        <v>38</v>
      </c>
      <c r="F48" s="4" t="s">
        <v>182</v>
      </c>
      <c r="H48" s="28">
        <v>2034</v>
      </c>
      <c r="I48" s="31">
        <f>SISEPUEDE!B43</f>
        <v>4.6744521737537585</v>
      </c>
      <c r="J48" s="31">
        <f>SISEPUEDE!C43</f>
        <v>22.399570841894242</v>
      </c>
      <c r="K48" s="31">
        <f>SISEPUEDE!D43</f>
        <v>5.9087047004094293</v>
      </c>
      <c r="L48" s="31">
        <f>SISEPUEDE!E43</f>
        <v>5.2224606858407201</v>
      </c>
    </row>
    <row r="49" spans="1:12" ht="15" customHeight="1" x14ac:dyDescent="0.2">
      <c r="A49" s="28">
        <v>2040</v>
      </c>
      <c r="B49" s="4" t="s">
        <v>83</v>
      </c>
      <c r="C49" s="4" t="s">
        <v>88</v>
      </c>
      <c r="D49" s="29">
        <f>SISEPUEDE!C21</f>
        <v>11.755950671828895</v>
      </c>
      <c r="E49" s="4" t="s">
        <v>38</v>
      </c>
      <c r="F49" s="4" t="s">
        <v>182</v>
      </c>
      <c r="H49" s="28">
        <v>2035</v>
      </c>
      <c r="I49" s="31">
        <f>SISEPUEDE!B44</f>
        <v>4.396649180829443</v>
      </c>
      <c r="J49" s="31">
        <f>SISEPUEDE!C44</f>
        <v>22.638161588986645</v>
      </c>
      <c r="K49" s="31">
        <f>SISEPUEDE!D44</f>
        <v>5.4852902850906133</v>
      </c>
      <c r="L49" s="31">
        <f>SISEPUEDE!E44</f>
        <v>5.8266534420748597</v>
      </c>
    </row>
    <row r="50" spans="1:12" ht="15" customHeight="1" x14ac:dyDescent="0.2">
      <c r="A50" s="28">
        <v>2041</v>
      </c>
      <c r="B50" s="4" t="s">
        <v>83</v>
      </c>
      <c r="C50" s="4" t="s">
        <v>88</v>
      </c>
      <c r="D50" s="29">
        <f>SISEPUEDE!C22</f>
        <v>10.919270152958502</v>
      </c>
      <c r="E50" s="4" t="s">
        <v>38</v>
      </c>
      <c r="F50" s="4" t="s">
        <v>182</v>
      </c>
      <c r="H50" s="28">
        <v>2036</v>
      </c>
      <c r="I50" s="31">
        <f>SISEPUEDE!B45</f>
        <v>4.125295940583392</v>
      </c>
      <c r="J50" s="31">
        <f>SISEPUEDE!C45</f>
        <v>22.810344166559247</v>
      </c>
      <c r="K50" s="31">
        <f>SISEPUEDE!D45</f>
        <v>5.067486522937414</v>
      </c>
      <c r="L50" s="31">
        <f>SISEPUEDE!E45</f>
        <v>6.4351093443777803</v>
      </c>
    </row>
    <row r="51" spans="1:12" ht="15" customHeight="1" x14ac:dyDescent="0.2">
      <c r="A51" s="28">
        <v>2042</v>
      </c>
      <c r="B51" s="4" t="s">
        <v>83</v>
      </c>
      <c r="C51" s="4" t="s">
        <v>88</v>
      </c>
      <c r="D51" s="29">
        <f>SISEPUEDE!C23</f>
        <v>10.067213570215966</v>
      </c>
      <c r="E51" s="4" t="s">
        <v>38</v>
      </c>
      <c r="F51" s="4" t="s">
        <v>182</v>
      </c>
      <c r="H51" s="28">
        <v>2037</v>
      </c>
      <c r="I51" s="31">
        <f>SISEPUEDE!B46</f>
        <v>3.8601313706487974</v>
      </c>
      <c r="J51" s="31">
        <f>SISEPUEDE!C46</f>
        <v>22.928726223547468</v>
      </c>
      <c r="K51" s="31">
        <f>SISEPUEDE!D46</f>
        <v>4.6555492938026442</v>
      </c>
      <c r="L51" s="31">
        <f>SISEPUEDE!E46</f>
        <v>7.0491969973373099</v>
      </c>
    </row>
    <row r="52" spans="1:12" ht="15" customHeight="1" x14ac:dyDescent="0.2">
      <c r="A52" s="28">
        <v>2043</v>
      </c>
      <c r="B52" s="4" t="s">
        <v>83</v>
      </c>
      <c r="C52" s="4" t="s">
        <v>88</v>
      </c>
      <c r="D52" s="29">
        <f>SISEPUEDE!C24</f>
        <v>9.200799436044985</v>
      </c>
      <c r="E52" s="4" t="s">
        <v>38</v>
      </c>
      <c r="F52" s="4" t="s">
        <v>182</v>
      </c>
      <c r="H52" s="28">
        <v>2038</v>
      </c>
      <c r="I52" s="31">
        <f>SISEPUEDE!B47</f>
        <v>3.5997798709709588</v>
      </c>
      <c r="J52" s="31">
        <f>SISEPUEDE!C47</f>
        <v>23.003035395058813</v>
      </c>
      <c r="K52" s="31">
        <f>SISEPUEDE!D47</f>
        <v>4.2484855234250247</v>
      </c>
      <c r="L52" s="31">
        <f>SISEPUEDE!E47</f>
        <v>7.6712511211205898</v>
      </c>
    </row>
    <row r="53" spans="1:12" ht="15" customHeight="1" x14ac:dyDescent="0.2">
      <c r="A53" s="28">
        <v>2044</v>
      </c>
      <c r="B53" s="4" t="s">
        <v>83</v>
      </c>
      <c r="C53" s="4" t="s">
        <v>88</v>
      </c>
      <c r="D53" s="29">
        <f>SISEPUEDE!C25</f>
        <v>8.3205652448813154</v>
      </c>
      <c r="E53" s="4" t="s">
        <v>38</v>
      </c>
      <c r="F53" s="4" t="s">
        <v>182</v>
      </c>
      <c r="H53" s="28">
        <v>2039</v>
      </c>
      <c r="I53" s="31">
        <f>SISEPUEDE!B48</f>
        <v>3.3444744168386413</v>
      </c>
      <c r="J53" s="31">
        <f>SISEPUEDE!C48</f>
        <v>23.040266930032885</v>
      </c>
      <c r="K53" s="31">
        <f>SISEPUEDE!D48</f>
        <v>3.8471136970630262</v>
      </c>
      <c r="L53" s="31">
        <f>SISEPUEDE!E48</f>
        <v>8.3040644986158796</v>
      </c>
    </row>
    <row r="54" spans="1:12" ht="15" customHeight="1" x14ac:dyDescent="0.2">
      <c r="A54" s="28">
        <v>2045</v>
      </c>
      <c r="B54" s="4" t="s">
        <v>83</v>
      </c>
      <c r="C54" s="4" t="s">
        <v>88</v>
      </c>
      <c r="D54" s="29">
        <f>SISEPUEDE!C26</f>
        <v>7.4271128938107136</v>
      </c>
      <c r="E54" s="4" t="s">
        <v>38</v>
      </c>
      <c r="F54" s="4" t="s">
        <v>182</v>
      </c>
      <c r="H54" s="28">
        <v>2040</v>
      </c>
      <c r="I54" s="31">
        <f>SISEPUEDE!B49</f>
        <v>3.094453534567164</v>
      </c>
      <c r="J54" s="31">
        <f>SISEPUEDE!C49</f>
        <v>23.045129101680335</v>
      </c>
      <c r="K54" s="31">
        <f>SISEPUEDE!D49</f>
        <v>3.4522136887905894</v>
      </c>
      <c r="L54" s="31">
        <f>SISEPUEDE!E49</f>
        <v>8.9503327154504895</v>
      </c>
    </row>
    <row r="55" spans="1:12" ht="15" customHeight="1" x14ac:dyDescent="0.2">
      <c r="A55" s="28">
        <v>2046</v>
      </c>
      <c r="B55" s="4" t="s">
        <v>83</v>
      </c>
      <c r="C55" s="4" t="s">
        <v>88</v>
      </c>
      <c r="D55" s="29">
        <f>SISEPUEDE!C27</f>
        <v>6.5215022375582308</v>
      </c>
      <c r="E55" s="4" t="s">
        <v>38</v>
      </c>
      <c r="F55" s="4" t="s">
        <v>182</v>
      </c>
      <c r="H55" s="28">
        <v>2041</v>
      </c>
      <c r="I55" s="31">
        <f>SISEPUEDE!B50</f>
        <v>2.8499620991433217</v>
      </c>
      <c r="J55" s="31">
        <f>SISEPUEDE!C50</f>
        <v>23.02065972134103</v>
      </c>
      <c r="K55" s="31">
        <f>SISEPUEDE!D50</f>
        <v>3.0613521706113276</v>
      </c>
      <c r="L55" s="31">
        <f>SISEPUEDE!E50</f>
        <v>9.6121720811953502</v>
      </c>
    </row>
    <row r="56" spans="1:12" ht="15" customHeight="1" x14ac:dyDescent="0.2">
      <c r="A56" s="28">
        <v>2047</v>
      </c>
      <c r="B56" s="4" t="s">
        <v>83</v>
      </c>
      <c r="C56" s="4" t="s">
        <v>88</v>
      </c>
      <c r="D56" s="29">
        <f>SISEPUEDE!C28</f>
        <v>5.6054737961335253</v>
      </c>
      <c r="E56" s="4" t="s">
        <v>38</v>
      </c>
      <c r="F56" s="4" t="s">
        <v>182</v>
      </c>
      <c r="H56" s="28">
        <v>2042</v>
      </c>
      <c r="I56" s="31">
        <f>SISEPUEDE!B51</f>
        <v>2.6112490533857033</v>
      </c>
      <c r="J56" s="31">
        <f>SISEPUEDE!C51</f>
        <v>22.968924571800088</v>
      </c>
      <c r="K56" s="31">
        <f>SISEPUEDE!D51</f>
        <v>2.6792301372920067</v>
      </c>
      <c r="L56" s="31">
        <f>SISEPUEDE!E51</f>
        <v>10.290680431615201</v>
      </c>
    </row>
    <row r="57" spans="1:12" ht="15" customHeight="1" x14ac:dyDescent="0.2">
      <c r="A57" s="28">
        <v>2048</v>
      </c>
      <c r="B57" s="4" t="s">
        <v>83</v>
      </c>
      <c r="C57" s="4" t="s">
        <v>88</v>
      </c>
      <c r="D57" s="29">
        <f>SISEPUEDE!C29</f>
        <v>4.6814737887024798</v>
      </c>
      <c r="E57" s="4" t="s">
        <v>38</v>
      </c>
      <c r="F57" s="4" t="s">
        <v>182</v>
      </c>
      <c r="H57" s="28">
        <v>2043</v>
      </c>
      <c r="I57" s="31">
        <f>SISEPUEDE!B52</f>
        <v>2.3785700007366923</v>
      </c>
      <c r="J57" s="31">
        <f>SISEPUEDE!C52</f>
        <v>22.891505500839489</v>
      </c>
      <c r="K57" s="31">
        <f>SISEPUEDE!D52</f>
        <v>2.3065214243695498</v>
      </c>
      <c r="L57" s="31">
        <f>SISEPUEDE!E52</f>
        <v>10.985936387668501</v>
      </c>
    </row>
    <row r="58" spans="1:12" ht="15" customHeight="1" x14ac:dyDescent="0.2">
      <c r="A58" s="28">
        <v>2049</v>
      </c>
      <c r="B58" s="4" t="s">
        <v>83</v>
      </c>
      <c r="C58" s="4" t="s">
        <v>88</v>
      </c>
      <c r="D58" s="29">
        <f>SISEPUEDE!C30</f>
        <v>3.7524431061174703</v>
      </c>
      <c r="E58" s="4" t="s">
        <v>38</v>
      </c>
      <c r="F58" s="4" t="s">
        <v>182</v>
      </c>
      <c r="H58" s="28">
        <v>2044</v>
      </c>
      <c r="I58" s="31">
        <f>SISEPUEDE!B53</f>
        <v>2.1521864850567276</v>
      </c>
      <c r="J58" s="31">
        <f>SISEPUEDE!C53</f>
        <v>22.789961962343789</v>
      </c>
      <c r="K58" s="31">
        <f>SISEPUEDE!D53</f>
        <v>1.9438859947845379</v>
      </c>
      <c r="L58" s="31">
        <f>SISEPUEDE!E53</f>
        <v>11.697142303796801</v>
      </c>
    </row>
    <row r="59" spans="1:12" ht="15" customHeight="1" x14ac:dyDescent="0.2">
      <c r="A59" s="28">
        <v>2050</v>
      </c>
      <c r="B59" s="4" t="s">
        <v>83</v>
      </c>
      <c r="C59" s="4" t="s">
        <v>88</v>
      </c>
      <c r="D59" s="29">
        <f>SISEPUEDE!C31</f>
        <v>2.8213198498065131</v>
      </c>
      <c r="E59" s="4" t="s">
        <v>38</v>
      </c>
      <c r="F59" s="4" t="s">
        <v>182</v>
      </c>
      <c r="H59" s="28">
        <v>2045</v>
      </c>
      <c r="I59" s="31">
        <f>SISEPUEDE!B54</f>
        <v>1.932366081330795</v>
      </c>
      <c r="J59" s="31">
        <f>SISEPUEDE!C54</f>
        <v>22.666227906653596</v>
      </c>
      <c r="K59" s="31">
        <f>SISEPUEDE!D54</f>
        <v>1.5919726297625401</v>
      </c>
      <c r="L59" s="31">
        <f>SISEPUEDE!E54</f>
        <v>12.422762226444499</v>
      </c>
    </row>
    <row r="60" spans="1:12" ht="15" customHeight="1" x14ac:dyDescent="0.2">
      <c r="A60" s="28">
        <v>2023</v>
      </c>
      <c r="B60" s="4" t="s">
        <v>83</v>
      </c>
      <c r="C60" s="4" t="s">
        <v>89</v>
      </c>
      <c r="D60" s="29">
        <f>SISEPUEDE!D4</f>
        <v>6.2704959999999996</v>
      </c>
      <c r="E60" s="4" t="s">
        <v>38</v>
      </c>
      <c r="F60" s="4" t="s">
        <v>182</v>
      </c>
      <c r="H60" s="28">
        <v>2046</v>
      </c>
      <c r="I60" s="31">
        <f>SISEPUEDE!B55</f>
        <v>1.7193825163451795</v>
      </c>
      <c r="J60" s="31">
        <f>SISEPUEDE!C55</f>
        <v>22.522906052004387</v>
      </c>
      <c r="K60" s="31">
        <f>SISEPUEDE!D55</f>
        <v>1.2514205869513972</v>
      </c>
      <c r="L60" s="31">
        <f>SISEPUEDE!E55</f>
        <v>13.160659821578999</v>
      </c>
    </row>
    <row r="61" spans="1:12" ht="15" customHeight="1" x14ac:dyDescent="0.2">
      <c r="A61" s="28">
        <v>2024</v>
      </c>
      <c r="B61" s="4" t="s">
        <v>83</v>
      </c>
      <c r="C61" s="4" t="s">
        <v>89</v>
      </c>
      <c r="D61" s="29">
        <f>SISEPUEDE!D5</f>
        <v>6.2913515251461725</v>
      </c>
      <c r="E61" s="4" t="s">
        <v>38</v>
      </c>
      <c r="F61" s="4" t="s">
        <v>182</v>
      </c>
      <c r="H61" s="28">
        <v>2047</v>
      </c>
      <c r="I61" s="31">
        <f>SISEPUEDE!B56</f>
        <v>1.5135158035244487</v>
      </c>
      <c r="J61" s="31">
        <f>SISEPUEDE!C56</f>
        <v>22.363415192403039</v>
      </c>
      <c r="K61" s="31">
        <f>SISEPUEDE!D56</f>
        <v>0.92286013749261331</v>
      </c>
      <c r="L61" s="31">
        <f>SISEPUEDE!E56</f>
        <v>13.908251467663799</v>
      </c>
    </row>
    <row r="62" spans="1:12" ht="15" customHeight="1" x14ac:dyDescent="0.2">
      <c r="A62" s="28">
        <v>2025</v>
      </c>
      <c r="B62" s="4" t="s">
        <v>83</v>
      </c>
      <c r="C62" s="4" t="s">
        <v>89</v>
      </c>
      <c r="D62" s="29">
        <f>SISEPUEDE!D6</f>
        <v>6.3020224517049908</v>
      </c>
      <c r="E62" s="4" t="s">
        <v>38</v>
      </c>
      <c r="F62" s="4" t="s">
        <v>182</v>
      </c>
      <c r="H62" s="28">
        <v>2048</v>
      </c>
      <c r="I62" s="31">
        <f>SISEPUEDE!B57</f>
        <v>1.3150523350657415</v>
      </c>
      <c r="J62" s="31">
        <f>SISEPUEDE!C57</f>
        <v>22.191935051991738</v>
      </c>
      <c r="K62" s="31">
        <f>SISEPUEDE!D57</f>
        <v>0.60691175470431658</v>
      </c>
      <c r="L62" s="31">
        <f>SISEPUEDE!E57</f>
        <v>14.6626985549319</v>
      </c>
    </row>
    <row r="63" spans="1:12" ht="15" customHeight="1" x14ac:dyDescent="0.2">
      <c r="A63" s="28">
        <v>2026</v>
      </c>
      <c r="B63" s="4" t="s">
        <v>83</v>
      </c>
      <c r="C63" s="4" t="s">
        <v>89</v>
      </c>
      <c r="D63" s="29">
        <f>SISEPUEDE!D7</f>
        <v>7.6133347025133533</v>
      </c>
      <c r="E63" s="4" t="s">
        <v>38</v>
      </c>
      <c r="F63" s="4" t="s">
        <v>182</v>
      </c>
      <c r="H63" s="28">
        <v>2049</v>
      </c>
      <c r="I63" s="31">
        <f>SISEPUEDE!B58</f>
        <v>1.1242850237007964</v>
      </c>
      <c r="J63" s="31">
        <f>SISEPUEDE!C58</f>
        <v>22.013079773768595</v>
      </c>
      <c r="K63" s="31">
        <f>SISEPUEDE!D58</f>
        <v>0.30418356678740666</v>
      </c>
      <c r="L63" s="31">
        <f>SISEPUEDE!E58</f>
        <v>15.3042081342761</v>
      </c>
    </row>
    <row r="64" spans="1:12" ht="15" customHeight="1" x14ac:dyDescent="0.2">
      <c r="A64" s="28">
        <v>2027</v>
      </c>
      <c r="B64" s="4" t="s">
        <v>83</v>
      </c>
      <c r="C64" s="4" t="s">
        <v>89</v>
      </c>
      <c r="D64" s="29">
        <f>SISEPUEDE!D8</f>
        <v>8.0973357943553683</v>
      </c>
      <c r="E64" s="4" t="s">
        <v>38</v>
      </c>
      <c r="F64" s="4" t="s">
        <v>182</v>
      </c>
      <c r="H64" s="28">
        <v>2050</v>
      </c>
      <c r="I64" s="31">
        <f>SISEPUEDE!B59</f>
        <v>0.94151340942248374</v>
      </c>
      <c r="J64" s="31">
        <f>SISEPUEDE!C59</f>
        <v>21.831218866602864</v>
      </c>
      <c r="K64" s="31">
        <f>SISEPUEDE!D59</f>
        <v>1.5266284023020034E-2</v>
      </c>
      <c r="L64" s="31">
        <f>SISEPUEDE!E59</f>
        <v>15.740535788417301</v>
      </c>
    </row>
    <row r="65" spans="1:12" ht="15" customHeight="1" x14ac:dyDescent="0.2">
      <c r="A65" s="28">
        <v>2028</v>
      </c>
      <c r="B65" s="4" t="s">
        <v>83</v>
      </c>
      <c r="C65" s="4" t="s">
        <v>89</v>
      </c>
      <c r="D65" s="29">
        <f>SISEPUEDE!D9</f>
        <v>9.1742311689267044</v>
      </c>
      <c r="E65" s="4" t="s">
        <v>38</v>
      </c>
      <c r="F65" s="4" t="s">
        <v>182</v>
      </c>
    </row>
    <row r="66" spans="1:12" ht="15" customHeight="1" x14ac:dyDescent="0.2">
      <c r="A66" s="28">
        <v>2029</v>
      </c>
      <c r="B66" s="4" t="s">
        <v>83</v>
      </c>
      <c r="C66" s="4" t="s">
        <v>89</v>
      </c>
      <c r="D66" s="29">
        <f>SISEPUEDE!D10</f>
        <v>10.339134623164217</v>
      </c>
      <c r="E66" s="4" t="s">
        <v>38</v>
      </c>
      <c r="F66" s="4" t="s">
        <v>182</v>
      </c>
    </row>
    <row r="67" spans="1:12" ht="15" customHeight="1" x14ac:dyDescent="0.2">
      <c r="A67" s="28">
        <v>2030</v>
      </c>
      <c r="B67" s="4" t="s">
        <v>83</v>
      </c>
      <c r="C67" s="4" t="s">
        <v>89</v>
      </c>
      <c r="D67" s="29">
        <f>SISEPUEDE!D11</f>
        <v>11.586339432720507</v>
      </c>
      <c r="E67" s="4" t="s">
        <v>38</v>
      </c>
      <c r="F67" s="4" t="s">
        <v>182</v>
      </c>
      <c r="H67" s="43" t="s">
        <v>184</v>
      </c>
      <c r="I67" s="43"/>
      <c r="J67" s="43"/>
      <c r="K67" s="43"/>
      <c r="L67" s="43"/>
    </row>
    <row r="68" spans="1:12" ht="15" customHeight="1" x14ac:dyDescent="0.2">
      <c r="A68" s="28">
        <v>2031</v>
      </c>
      <c r="B68" s="4" t="s">
        <v>83</v>
      </c>
      <c r="C68" s="4" t="s">
        <v>89</v>
      </c>
      <c r="D68" s="29">
        <f>SISEPUEDE!D12</f>
        <v>12.416791087598595</v>
      </c>
      <c r="E68" s="4" t="s">
        <v>38</v>
      </c>
      <c r="F68" s="4" t="s">
        <v>182</v>
      </c>
      <c r="H68" s="30" t="s">
        <v>58</v>
      </c>
      <c r="I68" s="27" t="s">
        <v>87</v>
      </c>
      <c r="J68" s="27" t="s">
        <v>88</v>
      </c>
      <c r="K68" s="27" t="s">
        <v>89</v>
      </c>
      <c r="L68" s="27" t="s">
        <v>90</v>
      </c>
    </row>
    <row r="69" spans="1:12" ht="15" customHeight="1" x14ac:dyDescent="0.2">
      <c r="A69" s="28">
        <v>2032</v>
      </c>
      <c r="B69" s="4" t="s">
        <v>83</v>
      </c>
      <c r="C69" s="4" t="s">
        <v>89</v>
      </c>
      <c r="D69" s="29">
        <f>SISEPUEDE!D13</f>
        <v>13.268254402891788</v>
      </c>
      <c r="E69" s="4" t="s">
        <v>38</v>
      </c>
      <c r="F69" s="4" t="s">
        <v>182</v>
      </c>
      <c r="H69" s="28">
        <v>2023</v>
      </c>
      <c r="I69" s="31">
        <f>SISEPUEDE!B60</f>
        <v>5.0812639999999991</v>
      </c>
      <c r="J69" s="31">
        <f>SISEPUEDE!C60</f>
        <v>15.67624</v>
      </c>
      <c r="K69" s="31">
        <f>SISEPUEDE!D60</f>
        <v>6.2704959999999996</v>
      </c>
      <c r="L69" s="31">
        <f>SISEPUEDE!E60</f>
        <v>0</v>
      </c>
    </row>
    <row r="70" spans="1:12" ht="15" customHeight="1" x14ac:dyDescent="0.2">
      <c r="A70" s="28">
        <v>2033</v>
      </c>
      <c r="B70" s="4" t="s">
        <v>83</v>
      </c>
      <c r="C70" s="4" t="s">
        <v>89</v>
      </c>
      <c r="D70" s="29">
        <f>SISEPUEDE!D14</f>
        <v>14.141225355492093</v>
      </c>
      <c r="E70" s="4" t="s">
        <v>38</v>
      </c>
      <c r="F70" s="4" t="s">
        <v>182</v>
      </c>
      <c r="H70" s="28">
        <v>2024</v>
      </c>
      <c r="I70" s="31">
        <f>SISEPUEDE!B61</f>
        <v>5.0553704440111638</v>
      </c>
      <c r="J70" s="31">
        <f>SISEPUEDE!C61</f>
        <v>15.736640853369334</v>
      </c>
      <c r="K70" s="31">
        <f>SISEPUEDE!D61</f>
        <v>6.3035504274794398</v>
      </c>
      <c r="L70" s="31">
        <f>SISEPUEDE!E61</f>
        <v>5.78877265775556</v>
      </c>
    </row>
    <row r="71" spans="1:12" ht="15" customHeight="1" x14ac:dyDescent="0.2">
      <c r="A71" s="28">
        <v>2034</v>
      </c>
      <c r="B71" s="4" t="s">
        <v>83</v>
      </c>
      <c r="C71" s="4" t="s">
        <v>89</v>
      </c>
      <c r="D71" s="29">
        <f>SISEPUEDE!D15</f>
        <v>15.036211405091976</v>
      </c>
      <c r="E71" s="4" t="s">
        <v>38</v>
      </c>
      <c r="F71" s="4" t="s">
        <v>182</v>
      </c>
      <c r="H71" s="28">
        <v>2025</v>
      </c>
      <c r="I71" s="31">
        <f>SISEPUEDE!B62</f>
        <v>5.0620465006012836</v>
      </c>
      <c r="J71" s="31">
        <f>SISEPUEDE!C62</f>
        <v>15.776636434903947</v>
      </c>
      <c r="K71" s="31">
        <f>SISEPUEDE!D62</f>
        <v>6.3266896421547862</v>
      </c>
      <c r="L71" s="31">
        <f>SISEPUEDE!E62</f>
        <v>11.5727133660859</v>
      </c>
    </row>
    <row r="72" spans="1:12" ht="15" customHeight="1" x14ac:dyDescent="0.2">
      <c r="A72" s="28">
        <v>2035</v>
      </c>
      <c r="B72" s="4" t="s">
        <v>83</v>
      </c>
      <c r="C72" s="4" t="s">
        <v>89</v>
      </c>
      <c r="D72" s="29">
        <f>SISEPUEDE!D16</f>
        <v>15.953732064187022</v>
      </c>
      <c r="E72" s="4" t="s">
        <v>38</v>
      </c>
      <c r="F72" s="4" t="s">
        <v>182</v>
      </c>
      <c r="H72" s="28">
        <v>2026</v>
      </c>
      <c r="I72" s="31">
        <f>SISEPUEDE!B63</f>
        <v>4.7591110960076604</v>
      </c>
      <c r="J72" s="31">
        <f>SISEPUEDE!C63</f>
        <v>13.176014060524061</v>
      </c>
      <c r="K72" s="31">
        <f>SISEPUEDE!D63</f>
        <v>2.6300293210626839</v>
      </c>
      <c r="L72" s="31">
        <f>SISEPUEDE!E63</f>
        <v>17.255370357480299</v>
      </c>
    </row>
    <row r="73" spans="1:12" ht="15" customHeight="1" x14ac:dyDescent="0.2">
      <c r="A73" s="28">
        <v>2036</v>
      </c>
      <c r="B73" s="4" t="s">
        <v>83</v>
      </c>
      <c r="C73" s="4" t="s">
        <v>89</v>
      </c>
      <c r="D73" s="29">
        <f>SISEPUEDE!D17</f>
        <v>16.894318937684275</v>
      </c>
      <c r="E73" s="4" t="s">
        <v>38</v>
      </c>
      <c r="F73" s="4" t="s">
        <v>182</v>
      </c>
      <c r="H73" s="28">
        <v>2027</v>
      </c>
      <c r="I73" s="31">
        <f>SISEPUEDE!B64</f>
        <v>3.6752816771891643</v>
      </c>
      <c r="J73" s="31">
        <f>SISEPUEDE!C64</f>
        <v>10.532474121144864</v>
      </c>
      <c r="K73" s="31">
        <f>SISEPUEDE!D64</f>
        <v>0.27227935321020302</v>
      </c>
      <c r="L73" s="31">
        <f>SISEPUEDE!E64</f>
        <v>22.561828097014899</v>
      </c>
    </row>
    <row r="74" spans="1:12" ht="15" customHeight="1" x14ac:dyDescent="0.2">
      <c r="A74" s="28">
        <v>2037</v>
      </c>
      <c r="B74" s="4" t="s">
        <v>83</v>
      </c>
      <c r="C74" s="4" t="s">
        <v>89</v>
      </c>
      <c r="D74" s="29">
        <f>SISEPUEDE!D18</f>
        <v>17.85851591124537</v>
      </c>
      <c r="E74" s="4" t="s">
        <v>38</v>
      </c>
      <c r="F74" s="4" t="s">
        <v>182</v>
      </c>
      <c r="H74" s="28">
        <v>2028</v>
      </c>
      <c r="I74" s="31">
        <f>SISEPUEDE!B65</f>
        <v>2.5089175239259625</v>
      </c>
      <c r="J74" s="31">
        <f>SISEPUEDE!C65</f>
        <v>7.8702805724203584</v>
      </c>
      <c r="K74" s="31">
        <f>SISEPUEDE!D65</f>
        <v>2.2826172082418772E-2</v>
      </c>
      <c r="L74" s="31">
        <f>SISEPUEDE!E65</f>
        <v>27.2312397878366</v>
      </c>
    </row>
    <row r="75" spans="1:12" ht="15" customHeight="1" x14ac:dyDescent="0.2">
      <c r="A75" s="28">
        <v>2038</v>
      </c>
      <c r="B75" s="4" t="s">
        <v>83</v>
      </c>
      <c r="C75" s="4" t="s">
        <v>89</v>
      </c>
      <c r="D75" s="29">
        <f>SISEPUEDE!D19</f>
        <v>18.846879654282031</v>
      </c>
      <c r="E75" s="4" t="s">
        <v>38</v>
      </c>
      <c r="F75" s="4" t="s">
        <v>182</v>
      </c>
      <c r="H75" s="28">
        <v>2029</v>
      </c>
      <c r="I75" s="31">
        <f>SISEPUEDE!B66</f>
        <v>1.277917052765873</v>
      </c>
      <c r="J75" s="31">
        <f>SISEPUEDE!C66</f>
        <v>5.2977570405695804</v>
      </c>
      <c r="K75" s="31">
        <f>SISEPUEDE!D66</f>
        <v>4.3303547812141878E-3</v>
      </c>
      <c r="L75" s="31">
        <f>SISEPUEDE!E66</f>
        <v>31.124606066559799</v>
      </c>
    </row>
    <row r="76" spans="1:12" ht="15" customHeight="1" x14ac:dyDescent="0.2">
      <c r="A76" s="28">
        <v>2039</v>
      </c>
      <c r="B76" s="4" t="s">
        <v>83</v>
      </c>
      <c r="C76" s="4" t="s">
        <v>89</v>
      </c>
      <c r="D76" s="29">
        <f>SISEPUEDE!D20</f>
        <v>19.859980044000771</v>
      </c>
      <c r="E76" s="4" t="s">
        <v>38</v>
      </c>
      <c r="F76" s="4" t="s">
        <v>182</v>
      </c>
      <c r="H76" s="28">
        <v>2030</v>
      </c>
      <c r="I76" s="31">
        <f>SISEPUEDE!B67</f>
        <v>1.2769885578680419E-3</v>
      </c>
      <c r="J76" s="31">
        <f>SISEPUEDE!C67</f>
        <v>2.9669799487139477</v>
      </c>
      <c r="K76" s="31">
        <f>SISEPUEDE!D67</f>
        <v>0</v>
      </c>
      <c r="L76" s="31">
        <f>SISEPUEDE!E67</f>
        <v>34.204875814614802</v>
      </c>
    </row>
    <row r="77" spans="1:12" ht="15" customHeight="1" x14ac:dyDescent="0.2">
      <c r="A77" s="28">
        <v>2040</v>
      </c>
      <c r="B77" s="4" t="s">
        <v>83</v>
      </c>
      <c r="C77" s="4" t="s">
        <v>89</v>
      </c>
      <c r="D77" s="29">
        <f>SISEPUEDE!D21</f>
        <v>20.906939507815643</v>
      </c>
      <c r="E77" s="4" t="s">
        <v>38</v>
      </c>
      <c r="F77" s="4" t="s">
        <v>182</v>
      </c>
      <c r="H77" s="28">
        <v>2031</v>
      </c>
      <c r="I77" s="31">
        <f>SISEPUEDE!B68</f>
        <v>1.2115076660049015E-3</v>
      </c>
      <c r="J77" s="31">
        <f>SISEPUEDE!C68</f>
        <v>1.0143066418962705</v>
      </c>
      <c r="K77" s="31">
        <f>SISEPUEDE!D68</f>
        <v>0</v>
      </c>
      <c r="L77" s="31">
        <f>SISEPUEDE!E68</f>
        <v>36.499458925161001</v>
      </c>
    </row>
    <row r="78" spans="1:12" ht="15" customHeight="1" x14ac:dyDescent="0.2">
      <c r="A78" s="28">
        <v>2041</v>
      </c>
      <c r="B78" s="4" t="s">
        <v>83</v>
      </c>
      <c r="C78" s="4" t="s">
        <v>89</v>
      </c>
      <c r="D78" s="29">
        <f>SISEPUEDE!D22</f>
        <v>21.987178838414273</v>
      </c>
      <c r="E78" s="4" t="s">
        <v>38</v>
      </c>
      <c r="F78" s="4" t="s">
        <v>182</v>
      </c>
      <c r="H78" s="28">
        <v>2032</v>
      </c>
      <c r="I78" s="31">
        <f>SISEPUEDE!B69</f>
        <v>1.1469655333959656E-3</v>
      </c>
      <c r="J78" s="31">
        <f>SISEPUEDE!C69</f>
        <v>0</v>
      </c>
      <c r="K78" s="31">
        <f>SISEPUEDE!D69</f>
        <v>0</v>
      </c>
      <c r="L78" s="31">
        <f>SISEPUEDE!E69</f>
        <v>37.818073904894902</v>
      </c>
    </row>
    <row r="79" spans="1:12" ht="15" customHeight="1" x14ac:dyDescent="0.2">
      <c r="A79" s="28">
        <v>2042</v>
      </c>
      <c r="B79" s="4" t="s">
        <v>83</v>
      </c>
      <c r="C79" s="4" t="s">
        <v>89</v>
      </c>
      <c r="D79" s="29">
        <f>SISEPUEDE!D23</f>
        <v>23.095769760713566</v>
      </c>
      <c r="E79" s="4" t="s">
        <v>38</v>
      </c>
      <c r="F79" s="4" t="s">
        <v>182</v>
      </c>
      <c r="H79" s="28">
        <v>2033</v>
      </c>
      <c r="I79" s="31">
        <f>SISEPUEDE!B70</f>
        <v>1.0835024658937705E-3</v>
      </c>
      <c r="J79" s="31">
        <f>SISEPUEDE!C70</f>
        <v>0</v>
      </c>
      <c r="K79" s="31">
        <f>SISEPUEDE!D70</f>
        <v>0</v>
      </c>
      <c r="L79" s="31">
        <f>SISEPUEDE!E70</f>
        <v>38.530993474604898</v>
      </c>
    </row>
    <row r="80" spans="1:12" ht="15" customHeight="1" x14ac:dyDescent="0.2">
      <c r="A80" s="28">
        <v>2043</v>
      </c>
      <c r="B80" s="4" t="s">
        <v>83</v>
      </c>
      <c r="C80" s="4" t="s">
        <v>89</v>
      </c>
      <c r="D80" s="29">
        <f>SISEPUEDE!D24</f>
        <v>24.233435170067708</v>
      </c>
      <c r="E80" s="4" t="s">
        <v>38</v>
      </c>
      <c r="F80" s="4" t="s">
        <v>182</v>
      </c>
      <c r="H80" s="28">
        <v>2034</v>
      </c>
      <c r="I80" s="31">
        <f>SISEPUEDE!B71</f>
        <v>1.0212322900121904E-3</v>
      </c>
      <c r="J80" s="31">
        <f>SISEPUEDE!C71</f>
        <v>0</v>
      </c>
      <c r="K80" s="31">
        <f>SISEPUEDE!D71</f>
        <v>0</v>
      </c>
      <c r="L80" s="31">
        <f>SISEPUEDE!E71</f>
        <v>38.826108415039997</v>
      </c>
    </row>
    <row r="81" spans="1:12" ht="15" customHeight="1" x14ac:dyDescent="0.2">
      <c r="A81" s="28">
        <v>2044</v>
      </c>
      <c r="B81" s="4" t="s">
        <v>83</v>
      </c>
      <c r="C81" s="4" t="s">
        <v>89</v>
      </c>
      <c r="D81" s="29">
        <f>SISEPUEDE!D25</f>
        <v>25.400916288939115</v>
      </c>
      <c r="E81" s="4" t="s">
        <v>38</v>
      </c>
      <c r="F81" s="4" t="s">
        <v>182</v>
      </c>
      <c r="H81" s="28">
        <v>2035</v>
      </c>
      <c r="I81" s="31">
        <f>SISEPUEDE!B72</f>
        <v>9.6021577626406946E-4</v>
      </c>
      <c r="J81" s="31">
        <f>SISEPUEDE!C72</f>
        <v>0</v>
      </c>
      <c r="K81" s="31">
        <f>SISEPUEDE!D72</f>
        <v>0</v>
      </c>
      <c r="L81" s="31">
        <f>SISEPUEDE!E72</f>
        <v>39.004081737619899</v>
      </c>
    </row>
    <row r="82" spans="1:12" ht="15" customHeight="1" x14ac:dyDescent="0.2">
      <c r="A82" s="28">
        <v>2045</v>
      </c>
      <c r="B82" s="4" t="s">
        <v>83</v>
      </c>
      <c r="C82" s="4" t="s">
        <v>89</v>
      </c>
      <c r="D82" s="29">
        <f>SISEPUEDE!D26</f>
        <v>26.598973090093061</v>
      </c>
      <c r="E82" s="4" t="s">
        <v>38</v>
      </c>
      <c r="F82" s="4" t="s">
        <v>182</v>
      </c>
      <c r="H82" s="28">
        <v>2036</v>
      </c>
      <c r="I82" s="31">
        <f>SISEPUEDE!B73</f>
        <v>9.0048168217851036E-4</v>
      </c>
      <c r="J82" s="31">
        <f>SISEPUEDE!C73</f>
        <v>0</v>
      </c>
      <c r="K82" s="31">
        <f>SISEPUEDE!D73</f>
        <v>0</v>
      </c>
      <c r="L82" s="31">
        <f>SISEPUEDE!E73</f>
        <v>39.0957903598499</v>
      </c>
    </row>
    <row r="83" spans="1:12" ht="15" customHeight="1" x14ac:dyDescent="0.2">
      <c r="A83" s="28">
        <v>2046</v>
      </c>
      <c r="B83" s="4" t="s">
        <v>83</v>
      </c>
      <c r="C83" s="4" t="s">
        <v>89</v>
      </c>
      <c r="D83" s="29">
        <f>SISEPUEDE!D27</f>
        <v>27.828384778101295</v>
      </c>
      <c r="E83" s="4" t="s">
        <v>38</v>
      </c>
      <c r="F83" s="4" t="s">
        <v>182</v>
      </c>
      <c r="H83" s="28">
        <v>2037</v>
      </c>
      <c r="I83" s="31">
        <f>SISEPUEDE!B74</f>
        <v>8.4155550425929222E-4</v>
      </c>
      <c r="J83" s="31">
        <f>SISEPUEDE!C74</f>
        <v>0</v>
      </c>
      <c r="K83" s="31">
        <f>SISEPUEDE!D74</f>
        <v>0</v>
      </c>
      <c r="L83" s="31">
        <f>SISEPUEDE!E74</f>
        <v>39.128371408076902</v>
      </c>
    </row>
    <row r="84" spans="1:12" ht="15" customHeight="1" x14ac:dyDescent="0.2">
      <c r="A84" s="28">
        <v>2047</v>
      </c>
      <c r="B84" s="4" t="s">
        <v>83</v>
      </c>
      <c r="C84" s="4" t="s">
        <v>89</v>
      </c>
      <c r="D84" s="29">
        <f>SISEPUEDE!D28</f>
        <v>29.089950348817737</v>
      </c>
      <c r="E84" s="4" t="s">
        <v>38</v>
      </c>
      <c r="F84" s="4" t="s">
        <v>182</v>
      </c>
      <c r="H84" s="28">
        <v>2038</v>
      </c>
      <c r="I84" s="31">
        <f>SISEPUEDE!B75</f>
        <v>7.841967112931197E-4</v>
      </c>
      <c r="J84" s="31">
        <f>SISEPUEDE!C75</f>
        <v>0</v>
      </c>
      <c r="K84" s="31">
        <f>SISEPUEDE!D75</f>
        <v>0</v>
      </c>
      <c r="L84" s="31">
        <f>SISEPUEDE!E75</f>
        <v>39.124330955843398</v>
      </c>
    </row>
    <row r="85" spans="1:12" ht="15" customHeight="1" x14ac:dyDescent="0.2">
      <c r="A85" s="28">
        <v>2048</v>
      </c>
      <c r="B85" s="4" t="s">
        <v>83</v>
      </c>
      <c r="C85" s="4" t="s">
        <v>89</v>
      </c>
      <c r="D85" s="29">
        <f>SISEPUEDE!D29</f>
        <v>30.384488815334755</v>
      </c>
      <c r="E85" s="4" t="s">
        <v>38</v>
      </c>
      <c r="F85" s="4" t="s">
        <v>182</v>
      </c>
      <c r="H85" s="28">
        <v>2039</v>
      </c>
      <c r="I85" s="31">
        <f>SISEPUEDE!B76</f>
        <v>7.2840273008067686E-4</v>
      </c>
      <c r="J85" s="31">
        <f>SISEPUEDE!C76</f>
        <v>0</v>
      </c>
      <c r="K85" s="31">
        <f>SISEPUEDE!D76</f>
        <v>0</v>
      </c>
      <c r="L85" s="31">
        <f>SISEPUEDE!E76</f>
        <v>39.1013911901969</v>
      </c>
    </row>
    <row r="86" spans="1:12" ht="15" customHeight="1" x14ac:dyDescent="0.2">
      <c r="A86" s="28">
        <v>2049</v>
      </c>
      <c r="B86" s="4" t="s">
        <v>83</v>
      </c>
      <c r="C86" s="4" t="s">
        <v>89</v>
      </c>
      <c r="D86" s="29">
        <f>SISEPUEDE!D30</f>
        <v>31.712840048691348</v>
      </c>
      <c r="E86" s="4" t="s">
        <v>38</v>
      </c>
      <c r="F86" s="4" t="s">
        <v>182</v>
      </c>
      <c r="H86" s="28">
        <v>2040</v>
      </c>
      <c r="I86" s="31">
        <f>SISEPUEDE!B77</f>
        <v>6.7420795402641258E-4</v>
      </c>
      <c r="J86" s="31">
        <f>SISEPUEDE!C77</f>
        <v>0</v>
      </c>
      <c r="K86" s="31">
        <f>SISEPUEDE!D77</f>
        <v>0</v>
      </c>
      <c r="L86" s="31">
        <f>SISEPUEDE!E77</f>
        <v>39.072776490196901</v>
      </c>
    </row>
    <row r="87" spans="1:12" ht="15" customHeight="1" x14ac:dyDescent="0.2">
      <c r="A87" s="28">
        <v>2050</v>
      </c>
      <c r="B87" s="4" t="s">
        <v>83</v>
      </c>
      <c r="C87" s="4" t="s">
        <v>89</v>
      </c>
      <c r="D87" s="29">
        <f>SISEPUEDE!D31</f>
        <v>33.075864925792246</v>
      </c>
      <c r="E87" s="4" t="s">
        <v>38</v>
      </c>
      <c r="F87" s="4" t="s">
        <v>182</v>
      </c>
      <c r="H87" s="28">
        <v>2041</v>
      </c>
      <c r="I87" s="31">
        <f>SISEPUEDE!B78</f>
        <v>6.2282581299725418E-4</v>
      </c>
      <c r="J87" s="31">
        <f>SISEPUEDE!C78</f>
        <v>0</v>
      </c>
      <c r="K87" s="31">
        <f>SISEPUEDE!D78</f>
        <v>0</v>
      </c>
      <c r="L87" s="31">
        <f>SISEPUEDE!E78</f>
        <v>39.047704515824201</v>
      </c>
    </row>
    <row r="88" spans="1:12" ht="15" customHeight="1" x14ac:dyDescent="0.2">
      <c r="A88" s="28">
        <v>2023</v>
      </c>
      <c r="B88" s="4" t="s">
        <v>84</v>
      </c>
      <c r="C88" s="4" t="s">
        <v>87</v>
      </c>
      <c r="D88" s="29">
        <f>SISEPUEDE!B32</f>
        <v>5.0812639999999991</v>
      </c>
      <c r="E88" s="4" t="s">
        <v>38</v>
      </c>
      <c r="F88" s="4" t="s">
        <v>182</v>
      </c>
      <c r="H88" s="28">
        <v>2042</v>
      </c>
      <c r="I88" s="31">
        <f>SISEPUEDE!B79</f>
        <v>5.7295207815288146E-4</v>
      </c>
      <c r="J88" s="31">
        <f>SISEPUEDE!C79</f>
        <v>0</v>
      </c>
      <c r="K88" s="31">
        <f>SISEPUEDE!D79</f>
        <v>0</v>
      </c>
      <c r="L88" s="31">
        <f>SISEPUEDE!E79</f>
        <v>39.0319104788218</v>
      </c>
    </row>
    <row r="89" spans="1:12" ht="15" customHeight="1" x14ac:dyDescent="0.2">
      <c r="A89" s="28">
        <v>2024</v>
      </c>
      <c r="B89" s="4" t="s">
        <v>84</v>
      </c>
      <c r="C89" s="4" t="s">
        <v>87</v>
      </c>
      <c r="D89" s="29">
        <f>SISEPUEDE!B33</f>
        <v>5.0554929125757013</v>
      </c>
      <c r="E89" s="4" t="s">
        <v>38</v>
      </c>
      <c r="F89" s="4" t="s">
        <v>182</v>
      </c>
      <c r="H89" s="28">
        <v>2043</v>
      </c>
      <c r="I89" s="31">
        <f>SISEPUEDE!B80</f>
        <v>5.3326856312041644E-4</v>
      </c>
      <c r="J89" s="31">
        <f>SISEPUEDE!C80</f>
        <v>0</v>
      </c>
      <c r="K89" s="31">
        <f>SISEPUEDE!D80</f>
        <v>0</v>
      </c>
      <c r="L89" s="31">
        <f>SISEPUEDE!E80</f>
        <v>39.026922876920999</v>
      </c>
    </row>
    <row r="90" spans="1:12" ht="15" customHeight="1" x14ac:dyDescent="0.2">
      <c r="A90" s="28">
        <v>2025</v>
      </c>
      <c r="B90" s="4" t="s">
        <v>84</v>
      </c>
      <c r="C90" s="4" t="s">
        <v>87</v>
      </c>
      <c r="D90" s="29">
        <f>SISEPUEDE!B34</f>
        <v>5.0622945995669477</v>
      </c>
      <c r="E90" s="4" t="s">
        <v>38</v>
      </c>
      <c r="F90" s="4" t="s">
        <v>182</v>
      </c>
      <c r="H90" s="28">
        <v>2044</v>
      </c>
      <c r="I90" s="31">
        <f>SISEPUEDE!B81</f>
        <v>4.934036947358459E-4</v>
      </c>
      <c r="J90" s="31">
        <f>SISEPUEDE!C81</f>
        <v>0</v>
      </c>
      <c r="K90" s="31">
        <f>SISEPUEDE!D81</f>
        <v>0</v>
      </c>
      <c r="L90" s="31">
        <f>SISEPUEDE!E81</f>
        <v>39.029483939141102</v>
      </c>
    </row>
    <row r="91" spans="1:12" ht="15" customHeight="1" x14ac:dyDescent="0.2">
      <c r="A91" s="28">
        <v>2026</v>
      </c>
      <c r="B91" s="4" t="s">
        <v>84</v>
      </c>
      <c r="C91" s="4" t="s">
        <v>87</v>
      </c>
      <c r="D91" s="29">
        <f>SISEPUEDE!B35</f>
        <v>5.8302237384679616</v>
      </c>
      <c r="E91" s="4" t="s">
        <v>38</v>
      </c>
      <c r="F91" s="4" t="s">
        <v>182</v>
      </c>
      <c r="H91" s="28">
        <v>2045</v>
      </c>
      <c r="I91" s="31">
        <f>SISEPUEDE!B82</f>
        <v>4.5338320664467855E-4</v>
      </c>
      <c r="J91" s="31">
        <f>SISEPUEDE!C82</f>
        <v>0</v>
      </c>
      <c r="K91" s="31">
        <f>SISEPUEDE!D82</f>
        <v>0</v>
      </c>
      <c r="L91" s="31">
        <f>SISEPUEDE!E82</f>
        <v>39.0483420347555</v>
      </c>
    </row>
    <row r="92" spans="1:12" ht="15" customHeight="1" x14ac:dyDescent="0.2">
      <c r="A92" s="28">
        <v>2027</v>
      </c>
      <c r="B92" s="4" t="s">
        <v>84</v>
      </c>
      <c r="C92" s="4" t="s">
        <v>87</v>
      </c>
      <c r="D92" s="29">
        <f>SISEPUEDE!B36</f>
        <v>5.8805971559034429</v>
      </c>
      <c r="E92" s="4" t="s">
        <v>38</v>
      </c>
      <c r="F92" s="4" t="s">
        <v>182</v>
      </c>
      <c r="H92" s="28">
        <v>2046</v>
      </c>
      <c r="I92" s="31">
        <f>SISEPUEDE!B83</f>
        <v>4.1322977074693989E-4</v>
      </c>
      <c r="J92" s="31">
        <f>SISEPUEDE!C83</f>
        <v>0</v>
      </c>
      <c r="K92" s="31">
        <f>SISEPUEDE!D83</f>
        <v>0</v>
      </c>
      <c r="L92" s="31">
        <f>SISEPUEDE!E83</f>
        <v>39.081127491351502</v>
      </c>
    </row>
    <row r="93" spans="1:12" ht="15" customHeight="1" x14ac:dyDescent="0.2">
      <c r="A93" s="28">
        <v>2028</v>
      </c>
      <c r="B93" s="4" t="s">
        <v>84</v>
      </c>
      <c r="C93" s="4" t="s">
        <v>87</v>
      </c>
      <c r="D93" s="29">
        <f>SISEPUEDE!B37</f>
        <v>5.8961376400055379</v>
      </c>
      <c r="E93" s="4" t="s">
        <v>38</v>
      </c>
      <c r="F93" s="4" t="s">
        <v>182</v>
      </c>
      <c r="H93" s="28">
        <v>2047</v>
      </c>
      <c r="I93" s="31">
        <f>SISEPUEDE!B84</f>
        <v>3.729731553399491E-4</v>
      </c>
      <c r="J93" s="31">
        <f>SISEPUEDE!C84</f>
        <v>0</v>
      </c>
      <c r="K93" s="31">
        <f>SISEPUEDE!D84</f>
        <v>0</v>
      </c>
      <c r="L93" s="31">
        <f>SISEPUEDE!E84</f>
        <v>39.102199211104498</v>
      </c>
    </row>
    <row r="94" spans="1:12" ht="15" customHeight="1" x14ac:dyDescent="0.2">
      <c r="A94" s="28">
        <v>2029</v>
      </c>
      <c r="B94" s="4" t="s">
        <v>84</v>
      </c>
      <c r="C94" s="4" t="s">
        <v>87</v>
      </c>
      <c r="D94" s="29">
        <f>SISEPUEDE!B38</f>
        <v>5.8762266125440599</v>
      </c>
      <c r="E94" s="4" t="s">
        <v>38</v>
      </c>
      <c r="F94" s="4" t="s">
        <v>182</v>
      </c>
      <c r="H94" s="28">
        <v>2048</v>
      </c>
      <c r="I94" s="31">
        <f>SISEPUEDE!B85</f>
        <v>3.3263918721367888E-4</v>
      </c>
      <c r="J94" s="31">
        <f>SISEPUEDE!C85</f>
        <v>0</v>
      </c>
      <c r="K94" s="31">
        <f>SISEPUEDE!D85</f>
        <v>0</v>
      </c>
      <c r="L94" s="31">
        <f>SISEPUEDE!E85</f>
        <v>39.128554321752397</v>
      </c>
    </row>
    <row r="95" spans="1:12" ht="15" customHeight="1" x14ac:dyDescent="0.2">
      <c r="A95" s="28">
        <v>2030</v>
      </c>
      <c r="B95" s="4" t="s">
        <v>84</v>
      </c>
      <c r="C95" s="4" t="s">
        <v>87</v>
      </c>
      <c r="D95" s="29">
        <f>SISEPUEDE!B39</f>
        <v>5.8313374143293748</v>
      </c>
      <c r="E95" s="4" t="s">
        <v>38</v>
      </c>
      <c r="F95" s="4" t="s">
        <v>182</v>
      </c>
      <c r="H95" s="28">
        <v>2049</v>
      </c>
      <c r="I95" s="31">
        <f>SISEPUEDE!B86</f>
        <v>2.9225373081426194E-4</v>
      </c>
      <c r="J95" s="31">
        <f>SISEPUEDE!C86</f>
        <v>0</v>
      </c>
      <c r="K95" s="31">
        <f>SISEPUEDE!D86</f>
        <v>0</v>
      </c>
      <c r="L95" s="31">
        <f>SISEPUEDE!E86</f>
        <v>39.161792812600901</v>
      </c>
    </row>
    <row r="96" spans="1:12" ht="15" customHeight="1" x14ac:dyDescent="0.2">
      <c r="A96" s="28">
        <v>2031</v>
      </c>
      <c r="B96" s="4" t="s">
        <v>84</v>
      </c>
      <c r="C96" s="4" t="s">
        <v>87</v>
      </c>
      <c r="D96" s="29">
        <f>SISEPUEDE!B40</f>
        <v>5.5355106496291047</v>
      </c>
      <c r="E96" s="4" t="s">
        <v>38</v>
      </c>
      <c r="F96" s="4" t="s">
        <v>182</v>
      </c>
      <c r="H96" s="28">
        <v>2050</v>
      </c>
      <c r="I96" s="31">
        <f>SISEPUEDE!B87</f>
        <v>2.5184032437704587E-4</v>
      </c>
      <c r="J96" s="31">
        <f>SISEPUEDE!C87</f>
        <v>0</v>
      </c>
      <c r="K96" s="31">
        <f>SISEPUEDE!D87</f>
        <v>0</v>
      </c>
      <c r="L96" s="31">
        <f>SISEPUEDE!E87</f>
        <v>39.197643072294603</v>
      </c>
    </row>
    <row r="97" spans="1:11" ht="15" customHeight="1" x14ac:dyDescent="0.2">
      <c r="A97" s="28">
        <v>2032</v>
      </c>
      <c r="B97" s="4" t="s">
        <v>84</v>
      </c>
      <c r="C97" s="4" t="s">
        <v>87</v>
      </c>
      <c r="D97" s="29">
        <f>SISEPUEDE!B41</f>
        <v>5.2440168821295661</v>
      </c>
      <c r="E97" s="4" t="s">
        <v>38</v>
      </c>
      <c r="F97" s="4" t="s">
        <v>182</v>
      </c>
    </row>
    <row r="98" spans="1:11" ht="15" customHeight="1" x14ac:dyDescent="0.2">
      <c r="A98" s="28">
        <v>2033</v>
      </c>
      <c r="B98" s="4" t="s">
        <v>84</v>
      </c>
      <c r="C98" s="4" t="s">
        <v>87</v>
      </c>
      <c r="D98" s="29">
        <f>SISEPUEDE!B42</f>
        <v>4.9569560464703928</v>
      </c>
      <c r="E98" s="4" t="s">
        <v>38</v>
      </c>
      <c r="F98" s="4" t="s">
        <v>182</v>
      </c>
    </row>
    <row r="99" spans="1:11" ht="15" customHeight="1" x14ac:dyDescent="0.2">
      <c r="A99" s="28">
        <v>2034</v>
      </c>
      <c r="B99" s="4" t="s">
        <v>84</v>
      </c>
      <c r="C99" s="4" t="s">
        <v>87</v>
      </c>
      <c r="D99" s="29">
        <f>SISEPUEDE!B43</f>
        <v>4.6744521737537585</v>
      </c>
      <c r="E99" s="4" t="s">
        <v>38</v>
      </c>
      <c r="F99" s="4" t="s">
        <v>182</v>
      </c>
      <c r="H99" s="43" t="s">
        <v>185</v>
      </c>
      <c r="I99" s="43"/>
      <c r="J99" s="43"/>
      <c r="K99" s="43"/>
    </row>
    <row r="100" spans="1:11" ht="15" customHeight="1" x14ac:dyDescent="0.2">
      <c r="A100" s="28">
        <v>2035</v>
      </c>
      <c r="B100" s="4" t="s">
        <v>84</v>
      </c>
      <c r="C100" s="4" t="s">
        <v>87</v>
      </c>
      <c r="D100" s="29">
        <f>SISEPUEDE!B44</f>
        <v>4.396649180829443</v>
      </c>
      <c r="E100" s="4" t="s">
        <v>38</v>
      </c>
      <c r="F100" s="4" t="s">
        <v>182</v>
      </c>
      <c r="H100" s="30" t="s">
        <v>58</v>
      </c>
      <c r="I100" s="27" t="s">
        <v>87</v>
      </c>
      <c r="J100" s="27" t="s">
        <v>88</v>
      </c>
      <c r="K100" s="27" t="s">
        <v>89</v>
      </c>
    </row>
    <row r="101" spans="1:11" ht="15" customHeight="1" x14ac:dyDescent="0.2">
      <c r="A101" s="28">
        <v>2036</v>
      </c>
      <c r="B101" s="4" t="s">
        <v>84</v>
      </c>
      <c r="C101" s="4" t="s">
        <v>87</v>
      </c>
      <c r="D101" s="29">
        <f>SISEPUEDE!B45</f>
        <v>4.125295940583392</v>
      </c>
      <c r="E101" s="4" t="s">
        <v>38</v>
      </c>
      <c r="F101" s="4" t="s">
        <v>182</v>
      </c>
      <c r="H101" s="28">
        <v>2023</v>
      </c>
      <c r="I101" s="31" t="str">
        <f>MMcfd!B4</f>
        <v>k_Fl(t)</v>
      </c>
      <c r="J101" s="31" t="str">
        <f>MMcfd!C4</f>
        <v>Fugitive</v>
      </c>
      <c r="K101" s="31" t="str">
        <f>MMcfd!D4</f>
        <v>Venting</v>
      </c>
    </row>
    <row r="102" spans="1:11" ht="15" customHeight="1" x14ac:dyDescent="0.2">
      <c r="A102" s="28">
        <v>2037</v>
      </c>
      <c r="B102" s="4" t="s">
        <v>84</v>
      </c>
      <c r="C102" s="4" t="s">
        <v>87</v>
      </c>
      <c r="D102" s="29">
        <f>SISEPUEDE!B46</f>
        <v>3.8601313706487974</v>
      </c>
      <c r="E102" s="4" t="s">
        <v>38</v>
      </c>
      <c r="F102" s="4" t="s">
        <v>182</v>
      </c>
      <c r="H102" s="28">
        <v>2024</v>
      </c>
      <c r="I102" s="31">
        <f>MMcfd!B5</f>
        <v>96.481653834451265</v>
      </c>
      <c r="J102" s="31">
        <f>MMcfd!C5</f>
        <v>27.400840910279712</v>
      </c>
      <c r="K102" s="31">
        <f>MMcfd!D5</f>
        <v>84.534509191288493</v>
      </c>
    </row>
    <row r="103" spans="1:11" ht="15" customHeight="1" x14ac:dyDescent="0.2">
      <c r="A103" s="28">
        <v>2038</v>
      </c>
      <c r="B103" s="4" t="s">
        <v>84</v>
      </c>
      <c r="C103" s="4" t="s">
        <v>87</v>
      </c>
      <c r="D103" s="29">
        <f>SISEPUEDE!B47</f>
        <v>3.5997798709709588</v>
      </c>
      <c r="E103" s="4" t="s">
        <v>38</v>
      </c>
      <c r="F103" s="4" t="s">
        <v>182</v>
      </c>
      <c r="H103" s="28">
        <v>2025</v>
      </c>
      <c r="I103" s="31">
        <f>MMcfd!B6</f>
        <v>96.481653834451265</v>
      </c>
      <c r="J103" s="31">
        <f>MMcfd!C6</f>
        <v>27.26282469766128</v>
      </c>
      <c r="K103" s="31">
        <f>MMcfd!D6</f>
        <v>84.777162874443931</v>
      </c>
    </row>
    <row r="104" spans="1:11" ht="15" customHeight="1" x14ac:dyDescent="0.2">
      <c r="A104" s="28">
        <v>2039</v>
      </c>
      <c r="B104" s="4" t="s">
        <v>84</v>
      </c>
      <c r="C104" s="4" t="s">
        <v>87</v>
      </c>
      <c r="D104" s="29">
        <f>SISEPUEDE!B48</f>
        <v>3.3444744168386413</v>
      </c>
      <c r="E104" s="4" t="s">
        <v>38</v>
      </c>
      <c r="F104" s="4" t="s">
        <v>182</v>
      </c>
      <c r="H104" s="28">
        <v>2026</v>
      </c>
      <c r="I104" s="31">
        <f>MMcfd!B7</f>
        <v>94.656671476377838</v>
      </c>
      <c r="J104" s="31">
        <f>MMcfd!C7</f>
        <v>27.300484220247277</v>
      </c>
      <c r="K104" s="31">
        <f>MMcfd!D7</f>
        <v>84.907957794123107</v>
      </c>
    </row>
    <row r="105" spans="1:11" ht="15" customHeight="1" x14ac:dyDescent="0.2">
      <c r="A105" s="28">
        <v>2040</v>
      </c>
      <c r="B105" s="4" t="s">
        <v>84</v>
      </c>
      <c r="C105" s="4" t="s">
        <v>87</v>
      </c>
      <c r="D105" s="29">
        <f>SISEPUEDE!B49</f>
        <v>3.094453534567164</v>
      </c>
      <c r="E105" s="4" t="s">
        <v>38</v>
      </c>
      <c r="F105" s="4" t="s">
        <v>182</v>
      </c>
      <c r="H105" s="28">
        <v>2027</v>
      </c>
      <c r="I105" s="31">
        <f>MMcfd!B8</f>
        <v>92.831689118304411</v>
      </c>
      <c r="J105" s="31">
        <f>MMcfd!C8</f>
        <v>32.084349794667489</v>
      </c>
      <c r="K105" s="31">
        <f>MMcfd!D8</f>
        <v>87.694300565253002</v>
      </c>
    </row>
    <row r="106" spans="1:11" ht="15" customHeight="1" x14ac:dyDescent="0.2">
      <c r="A106" s="28">
        <v>2041</v>
      </c>
      <c r="B106" s="4" t="s">
        <v>84</v>
      </c>
      <c r="C106" s="4" t="s">
        <v>87</v>
      </c>
      <c r="D106" s="29">
        <f>SISEPUEDE!B50</f>
        <v>2.8499620991433217</v>
      </c>
      <c r="E106" s="4" t="s">
        <v>38</v>
      </c>
      <c r="F106" s="4" t="s">
        <v>182</v>
      </c>
      <c r="H106" s="28">
        <v>2028</v>
      </c>
      <c r="I106" s="31">
        <f>MMcfd!B9</f>
        <v>91.006706760230983</v>
      </c>
      <c r="J106" s="31">
        <f>MMcfd!C9</f>
        <v>33.036759516872991</v>
      </c>
      <c r="K106" s="31">
        <f>MMcfd!D9</f>
        <v>90.221738210536287</v>
      </c>
    </row>
    <row r="107" spans="1:11" ht="15" customHeight="1" x14ac:dyDescent="0.2">
      <c r="A107" s="28">
        <v>2042</v>
      </c>
      <c r="B107" s="4" t="s">
        <v>84</v>
      </c>
      <c r="C107" s="4" t="s">
        <v>87</v>
      </c>
      <c r="D107" s="29">
        <f>SISEPUEDE!B51</f>
        <v>2.6112490533857033</v>
      </c>
      <c r="E107" s="4" t="s">
        <v>38</v>
      </c>
      <c r="F107" s="4" t="s">
        <v>182</v>
      </c>
      <c r="H107" s="28">
        <v>2029</v>
      </c>
      <c r="I107" s="31">
        <f>MMcfd!B10</f>
        <v>89.181724402157556</v>
      </c>
      <c r="J107" s="31">
        <f>MMcfd!C10</f>
        <v>33.85255568352715</v>
      </c>
      <c r="K107" s="31">
        <f>MMcfd!D10</f>
        <v>92.224595664753579</v>
      </c>
    </row>
    <row r="108" spans="1:11" ht="15" customHeight="1" x14ac:dyDescent="0.2">
      <c r="A108" s="28">
        <v>2043</v>
      </c>
      <c r="B108" s="4" t="s">
        <v>84</v>
      </c>
      <c r="C108" s="4" t="s">
        <v>87</v>
      </c>
      <c r="D108" s="29">
        <f>SISEPUEDE!B52</f>
        <v>2.3785700007366923</v>
      </c>
      <c r="E108" s="4" t="s">
        <v>38</v>
      </c>
      <c r="F108" s="4" t="s">
        <v>182</v>
      </c>
      <c r="H108" s="28">
        <v>2030</v>
      </c>
      <c r="I108" s="31">
        <f>MMcfd!B11</f>
        <v>87.356742044084129</v>
      </c>
      <c r="J108" s="31">
        <f>MMcfd!C11</f>
        <v>34.489319630264802</v>
      </c>
      <c r="K108" s="31">
        <f>MMcfd!D11</f>
        <v>93.498342935748624</v>
      </c>
    </row>
    <row r="109" spans="1:11" ht="15" customHeight="1" x14ac:dyDescent="0.2">
      <c r="A109" s="28">
        <v>2044</v>
      </c>
      <c r="B109" s="4" t="s">
        <v>84</v>
      </c>
      <c r="C109" s="4" t="s">
        <v>87</v>
      </c>
      <c r="D109" s="29">
        <f>SISEPUEDE!B53</f>
        <v>2.1521864850567276</v>
      </c>
      <c r="E109" s="4" t="s">
        <v>38</v>
      </c>
      <c r="F109" s="4" t="s">
        <v>182</v>
      </c>
      <c r="H109" s="28">
        <v>2031</v>
      </c>
      <c r="I109" s="31">
        <f>MMcfd!B12</f>
        <v>85.531759686010702</v>
      </c>
      <c r="J109" s="31">
        <f>MMcfd!C12</f>
        <v>34.999997938678121</v>
      </c>
      <c r="K109" s="31">
        <f>MMcfd!D12</f>
        <v>93.907523469319486</v>
      </c>
    </row>
    <row r="110" spans="1:11" ht="15" customHeight="1" x14ac:dyDescent="0.2">
      <c r="A110" s="28">
        <v>2045</v>
      </c>
      <c r="B110" s="4" t="s">
        <v>84</v>
      </c>
      <c r="C110" s="4" t="s">
        <v>87</v>
      </c>
      <c r="D110" s="29">
        <f>SISEPUEDE!B54</f>
        <v>1.932366081330795</v>
      </c>
      <c r="E110" s="4" t="s">
        <v>38</v>
      </c>
      <c r="F110" s="4" t="s">
        <v>182</v>
      </c>
      <c r="H110" s="28">
        <v>2032</v>
      </c>
      <c r="I110" s="31">
        <f>MMcfd!B13</f>
        <v>85.531759686010702</v>
      </c>
      <c r="J110" s="31">
        <f>MMcfd!C13</f>
        <v>33.991947063232629</v>
      </c>
      <c r="K110" s="31">
        <f>MMcfd!D13</f>
        <v>93.398916902643137</v>
      </c>
    </row>
    <row r="111" spans="1:11" ht="15" customHeight="1" x14ac:dyDescent="0.2">
      <c r="A111" s="28">
        <v>2046</v>
      </c>
      <c r="B111" s="4" t="s">
        <v>84</v>
      </c>
      <c r="C111" s="4" t="s">
        <v>87</v>
      </c>
      <c r="D111" s="29">
        <f>SISEPUEDE!B55</f>
        <v>1.7193825163451795</v>
      </c>
      <c r="E111" s="4" t="s">
        <v>38</v>
      </c>
      <c r="F111" s="4" t="s">
        <v>182</v>
      </c>
      <c r="H111" s="28">
        <v>2033</v>
      </c>
      <c r="I111" s="31">
        <f>MMcfd!B14</f>
        <v>85.531759686010702</v>
      </c>
      <c r="J111" s="31">
        <f>MMcfd!C14</f>
        <v>32.960711451519074</v>
      </c>
      <c r="K111" s="31">
        <f>MMcfd!D14</f>
        <v>92.022546639120762</v>
      </c>
    </row>
    <row r="112" spans="1:11" ht="15" customHeight="1" x14ac:dyDescent="0.2">
      <c r="A112" s="28">
        <v>2047</v>
      </c>
      <c r="B112" s="4" t="s">
        <v>84</v>
      </c>
      <c r="C112" s="4" t="s">
        <v>87</v>
      </c>
      <c r="D112" s="29">
        <f>SISEPUEDE!B56</f>
        <v>1.5135158035244487</v>
      </c>
      <c r="E112" s="4" t="s">
        <v>38</v>
      </c>
      <c r="F112" s="4" t="s">
        <v>182</v>
      </c>
      <c r="H112" s="28">
        <v>2034</v>
      </c>
      <c r="I112" s="31">
        <f>MMcfd!B15</f>
        <v>85.531759686010702</v>
      </c>
      <c r="J112" s="31">
        <f>MMcfd!C15</f>
        <v>31.905981031671679</v>
      </c>
      <c r="K112" s="31">
        <f>MMcfd!D15</f>
        <v>89.885155288740393</v>
      </c>
    </row>
    <row r="113" spans="1:11" ht="15" customHeight="1" x14ac:dyDescent="0.2">
      <c r="A113" s="28">
        <v>2048</v>
      </c>
      <c r="B113" s="4" t="s">
        <v>84</v>
      </c>
      <c r="C113" s="4" t="s">
        <v>87</v>
      </c>
      <c r="D113" s="29">
        <f>SISEPUEDE!B57</f>
        <v>1.3150523350657415</v>
      </c>
      <c r="E113" s="4" t="s">
        <v>38</v>
      </c>
      <c r="F113" s="4" t="s">
        <v>182</v>
      </c>
      <c r="H113" s="28">
        <v>2035</v>
      </c>
      <c r="I113" s="31">
        <f>MMcfd!B16</f>
        <v>85.531759686010702</v>
      </c>
      <c r="J113" s="31">
        <f>MMcfd!C16</f>
        <v>30.827443177903309</v>
      </c>
      <c r="K113" s="31">
        <f>MMcfd!D16</f>
        <v>87.116611364698457</v>
      </c>
    </row>
    <row r="114" spans="1:11" ht="15" customHeight="1" x14ac:dyDescent="0.2">
      <c r="A114" s="28">
        <v>2049</v>
      </c>
      <c r="B114" s="4" t="s">
        <v>84</v>
      </c>
      <c r="C114" s="4" t="s">
        <v>87</v>
      </c>
      <c r="D114" s="29">
        <f>SISEPUEDE!B58</f>
        <v>1.1242850237007964</v>
      </c>
      <c r="E114" s="4" t="s">
        <v>38</v>
      </c>
      <c r="F114" s="4" t="s">
        <v>182</v>
      </c>
      <c r="H114" s="28">
        <v>2036</v>
      </c>
      <c r="I114" s="31">
        <f>MMcfd!B17</f>
        <v>85.531759686010702</v>
      </c>
      <c r="J114" s="31">
        <f>MMcfd!C17</f>
        <v>29.724783976850134</v>
      </c>
      <c r="K114" s="31">
        <f>MMcfd!D17</f>
        <v>83.847436590374372</v>
      </c>
    </row>
    <row r="115" spans="1:11" ht="15" customHeight="1" x14ac:dyDescent="0.2">
      <c r="A115" s="28">
        <v>2050</v>
      </c>
      <c r="B115" s="4" t="s">
        <v>84</v>
      </c>
      <c r="C115" s="4" t="s">
        <v>87</v>
      </c>
      <c r="D115" s="29">
        <f>SISEPUEDE!B59</f>
        <v>0.94151340942248374</v>
      </c>
      <c r="E115" s="4" t="s">
        <v>38</v>
      </c>
      <c r="F115" s="4" t="s">
        <v>182</v>
      </c>
      <c r="H115" s="28">
        <v>2037</v>
      </c>
      <c r="I115" s="31">
        <f>MMcfd!B18</f>
        <v>85.531759686010702</v>
      </c>
      <c r="J115" s="31">
        <f>MMcfd!C18</f>
        <v>28.597687461798856</v>
      </c>
      <c r="K115" s="31">
        <f>MMcfd!D18</f>
        <v>80.195257083913262</v>
      </c>
    </row>
    <row r="116" spans="1:11" ht="15" customHeight="1" x14ac:dyDescent="0.2">
      <c r="A116" s="28">
        <v>2023</v>
      </c>
      <c r="B116" s="4" t="s">
        <v>84</v>
      </c>
      <c r="C116" s="4" t="s">
        <v>88</v>
      </c>
      <c r="D116" s="29">
        <f>SISEPUEDE!C32</f>
        <v>15.67624</v>
      </c>
      <c r="E116" s="4" t="s">
        <v>38</v>
      </c>
      <c r="F116" s="4" t="s">
        <v>182</v>
      </c>
      <c r="H116" s="28">
        <v>2038</v>
      </c>
      <c r="I116" s="31">
        <f>MMcfd!B19</f>
        <v>85.531759686010702</v>
      </c>
      <c r="J116" s="31">
        <f>MMcfd!C19</f>
        <v>27.445835686054362</v>
      </c>
      <c r="K116" s="31">
        <f>MMcfd!D19</f>
        <v>76.2579701775812</v>
      </c>
    </row>
    <row r="117" spans="1:11" ht="15" customHeight="1" x14ac:dyDescent="0.2">
      <c r="A117" s="28">
        <v>2024</v>
      </c>
      <c r="B117" s="4" t="s">
        <v>84</v>
      </c>
      <c r="C117" s="4" t="s">
        <v>88</v>
      </c>
      <c r="D117" s="29">
        <f>SISEPUEDE!C33</f>
        <v>15.733978360933722</v>
      </c>
      <c r="E117" s="4" t="s">
        <v>38</v>
      </c>
      <c r="F117" s="4" t="s">
        <v>182</v>
      </c>
      <c r="H117" s="28">
        <v>2039</v>
      </c>
      <c r="I117" s="31">
        <f>MMcfd!B20</f>
        <v>85.531759686010702</v>
      </c>
      <c r="J117" s="31">
        <f>MMcfd!C20</f>
        <v>26.268909415626354</v>
      </c>
      <c r="K117" s="31">
        <f>MMcfd!D20</f>
        <v>72.111632891762284</v>
      </c>
    </row>
    <row r="118" spans="1:11" ht="15" customHeight="1" x14ac:dyDescent="0.2">
      <c r="A118" s="28">
        <v>2025</v>
      </c>
      <c r="B118" s="4" t="s">
        <v>84</v>
      </c>
      <c r="C118" s="4" t="s">
        <v>88</v>
      </c>
      <c r="D118" s="29">
        <f>SISEPUEDE!C34</f>
        <v>15.771248926677117</v>
      </c>
      <c r="E118" s="4" t="s">
        <v>38</v>
      </c>
      <c r="F118" s="4" t="s">
        <v>182</v>
      </c>
      <c r="H118" s="28">
        <v>2040</v>
      </c>
      <c r="I118" s="31">
        <f>MMcfd!B21</f>
        <v>85.531759686010702</v>
      </c>
      <c r="J118" s="31">
        <f>MMcfd!C21</f>
        <v>25.066588378520944</v>
      </c>
      <c r="K118" s="31">
        <f>MMcfd!D21</f>
        <v>67.811406218751216</v>
      </c>
    </row>
    <row r="119" spans="1:11" ht="15" customHeight="1" x14ac:dyDescent="0.2">
      <c r="A119" s="28">
        <v>2026</v>
      </c>
      <c r="B119" s="4" t="s">
        <v>84</v>
      </c>
      <c r="C119" s="4" t="s">
        <v>88</v>
      </c>
      <c r="D119" s="29">
        <f>SISEPUEDE!C35</f>
        <v>16.824658329671518</v>
      </c>
      <c r="E119" s="4" t="s">
        <v>38</v>
      </c>
      <c r="F119" s="4" t="s">
        <v>182</v>
      </c>
      <c r="H119" s="28">
        <v>2041</v>
      </c>
      <c r="I119" s="31">
        <f>MMcfd!B22</f>
        <v>85.531759686010702</v>
      </c>
      <c r="J119" s="31">
        <f>MMcfd!C22</f>
        <v>23.848997072063479</v>
      </c>
      <c r="K119" s="31">
        <f>MMcfd!D22</f>
        <v>63.394252711112735</v>
      </c>
    </row>
    <row r="120" spans="1:11" ht="15" customHeight="1" x14ac:dyDescent="0.2">
      <c r="A120" s="28">
        <v>2027</v>
      </c>
      <c r="B120" s="4" t="s">
        <v>84</v>
      </c>
      <c r="C120" s="4" t="s">
        <v>88</v>
      </c>
      <c r="D120" s="29">
        <f>SISEPUEDE!C36</f>
        <v>17.848905018652367</v>
      </c>
      <c r="E120" s="4" t="s">
        <v>38</v>
      </c>
      <c r="F120" s="4" t="s">
        <v>182</v>
      </c>
      <c r="H120" s="28">
        <v>2042</v>
      </c>
      <c r="I120" s="31">
        <f>MMcfd!B23</f>
        <v>85.531759686010702</v>
      </c>
      <c r="J120" s="31">
        <f>MMcfd!C23</f>
        <v>22.611548387874556</v>
      </c>
      <c r="K120" s="31">
        <f>MMcfd!D23</f>
        <v>58.882432465146778</v>
      </c>
    </row>
    <row r="121" spans="1:11" ht="15" customHeight="1" x14ac:dyDescent="0.2">
      <c r="A121" s="28">
        <v>2028</v>
      </c>
      <c r="B121" s="4" t="s">
        <v>84</v>
      </c>
      <c r="C121" s="4" t="s">
        <v>88</v>
      </c>
      <c r="D121" s="29">
        <f>SISEPUEDE!C37</f>
        <v>18.817323816317582</v>
      </c>
      <c r="E121" s="4" t="s">
        <v>38</v>
      </c>
      <c r="F121" s="4" t="s">
        <v>182</v>
      </c>
      <c r="H121" s="28">
        <v>2043</v>
      </c>
      <c r="I121" s="31">
        <f>MMcfd!B24</f>
        <v>85.531759686010702</v>
      </c>
      <c r="J121" s="31">
        <f>MMcfd!C24</f>
        <v>21.346199637607317</v>
      </c>
      <c r="K121" s="31">
        <f>MMcfd!D24</f>
        <v>54.287696417131009</v>
      </c>
    </row>
    <row r="122" spans="1:11" ht="15" customHeight="1" x14ac:dyDescent="0.2">
      <c r="A122" s="28">
        <v>2029</v>
      </c>
      <c r="B122" s="4" t="s">
        <v>84</v>
      </c>
      <c r="C122" s="4" t="s">
        <v>88</v>
      </c>
      <c r="D122" s="29">
        <f>SISEPUEDE!C38</f>
        <v>19.702110659693862</v>
      </c>
      <c r="E122" s="4" t="s">
        <v>38</v>
      </c>
      <c r="F122" s="4" t="s">
        <v>182</v>
      </c>
      <c r="H122" s="28">
        <v>2044</v>
      </c>
      <c r="I122" s="31">
        <f>MMcfd!B25</f>
        <v>85.531759686010702</v>
      </c>
      <c r="J122" s="31">
        <f>MMcfd!C25</f>
        <v>20.05249304835155</v>
      </c>
      <c r="K122" s="31">
        <f>MMcfd!D25</f>
        <v>49.615536920431609</v>
      </c>
    </row>
    <row r="123" spans="1:11" ht="15" customHeight="1" x14ac:dyDescent="0.2">
      <c r="A123" s="28">
        <v>2030</v>
      </c>
      <c r="B123" s="4" t="s">
        <v>84</v>
      </c>
      <c r="C123" s="4" t="s">
        <v>88</v>
      </c>
      <c r="D123" s="29">
        <f>SISEPUEDE!C39</f>
        <v>20.478781272991448</v>
      </c>
      <c r="E123" s="4" t="s">
        <v>38</v>
      </c>
      <c r="F123" s="4" t="s">
        <v>182</v>
      </c>
      <c r="H123" s="28">
        <v>2045</v>
      </c>
      <c r="I123" s="31">
        <f>MMcfd!B26</f>
        <v>85.531759686010702</v>
      </c>
      <c r="J123" s="31">
        <f>MMcfd!C26</f>
        <v>18.729963864481583</v>
      </c>
      <c r="K123" s="31">
        <f>MMcfd!D26</f>
        <v>44.868852426993662</v>
      </c>
    </row>
    <row r="124" spans="1:11" ht="15" customHeight="1" x14ac:dyDescent="0.2">
      <c r="A124" s="28">
        <v>2031</v>
      </c>
      <c r="B124" s="4" t="s">
        <v>84</v>
      </c>
      <c r="C124" s="4" t="s">
        <v>88</v>
      </c>
      <c r="D124" s="29">
        <f>SISEPUEDE!C40</f>
        <v>21.131818980069081</v>
      </c>
      <c r="E124" s="4" t="s">
        <v>38</v>
      </c>
      <c r="F124" s="4" t="s">
        <v>182</v>
      </c>
      <c r="H124" s="28">
        <v>2046</v>
      </c>
      <c r="I124" s="31">
        <f>MMcfd!B27</f>
        <v>85.531759686010702</v>
      </c>
      <c r="J124" s="31">
        <f>MMcfd!C27</f>
        <v>17.378140421090645</v>
      </c>
      <c r="K124" s="31">
        <f>MMcfd!D27</f>
        <v>40.050888681634056</v>
      </c>
    </row>
    <row r="125" spans="1:11" ht="15" customHeight="1" x14ac:dyDescent="0.2">
      <c r="A125" s="28">
        <v>2032</v>
      </c>
      <c r="B125" s="4" t="s">
        <v>84</v>
      </c>
      <c r="C125" s="4" t="s">
        <v>88</v>
      </c>
      <c r="D125" s="29">
        <f>SISEPUEDE!C41</f>
        <v>21.661958784840174</v>
      </c>
      <c r="E125" s="4" t="s">
        <v>38</v>
      </c>
      <c r="F125" s="4" t="s">
        <v>182</v>
      </c>
      <c r="H125" s="28">
        <v>2047</v>
      </c>
      <c r="I125" s="31">
        <f>MMcfd!B28</f>
        <v>85.531759686010702</v>
      </c>
      <c r="J125" s="31">
        <f>MMcfd!C28</f>
        <v>15.996543681603661</v>
      </c>
      <c r="K125" s="31">
        <f>MMcfd!D28</f>
        <v>35.167360976986494</v>
      </c>
    </row>
    <row r="126" spans="1:11" ht="15" customHeight="1" x14ac:dyDescent="0.2">
      <c r="A126" s="28">
        <v>2033</v>
      </c>
      <c r="B126" s="4" t="s">
        <v>84</v>
      </c>
      <c r="C126" s="4" t="s">
        <v>88</v>
      </c>
      <c r="D126" s="29">
        <f>SISEPUEDE!C42</f>
        <v>22.079547852238832</v>
      </c>
      <c r="E126" s="4" t="s">
        <v>38</v>
      </c>
      <c r="F126" s="4" t="s">
        <v>182</v>
      </c>
      <c r="H126" s="28">
        <v>2048</v>
      </c>
      <c r="I126" s="31">
        <f>MMcfd!B29</f>
        <v>85.531759686010702</v>
      </c>
      <c r="J126" s="31">
        <f>MMcfd!C29</f>
        <v>14.584687659716826</v>
      </c>
      <c r="K126" s="31">
        <f>MMcfd!D29</f>
        <v>30.227655109948323</v>
      </c>
    </row>
    <row r="127" spans="1:11" ht="15" customHeight="1" x14ac:dyDescent="0.2">
      <c r="A127" s="28">
        <v>2034</v>
      </c>
      <c r="B127" s="4" t="s">
        <v>84</v>
      </c>
      <c r="C127" s="4" t="s">
        <v>88</v>
      </c>
      <c r="D127" s="29">
        <f>SISEPUEDE!C43</f>
        <v>22.399570841894242</v>
      </c>
      <c r="E127" s="4" t="s">
        <v>38</v>
      </c>
      <c r="F127" s="4" t="s">
        <v>182</v>
      </c>
      <c r="H127" s="28">
        <v>2049</v>
      </c>
      <c r="I127" s="31">
        <f>MMcfd!B30</f>
        <v>85.531759686010702</v>
      </c>
      <c r="J127" s="31">
        <f>MMcfd!C30</f>
        <v>13.142078726921861</v>
      </c>
      <c r="K127" s="31">
        <f>MMcfd!D30</f>
        <v>25.244962377448033</v>
      </c>
    </row>
    <row r="128" spans="1:11" ht="15" customHeight="1" x14ac:dyDescent="0.2">
      <c r="A128" s="28">
        <v>2035</v>
      </c>
      <c r="B128" s="4" t="s">
        <v>84</v>
      </c>
      <c r="C128" s="4" t="s">
        <v>88</v>
      </c>
      <c r="D128" s="29">
        <f>SISEPUEDE!C44</f>
        <v>22.638161588986645</v>
      </c>
      <c r="E128" s="4" t="s">
        <v>38</v>
      </c>
      <c r="F128" s="4" t="s">
        <v>182</v>
      </c>
      <c r="H128" s="28">
        <v>2050</v>
      </c>
      <c r="I128" s="31">
        <f>MMcfd!B31</f>
        <v>85.531759686010702</v>
      </c>
      <c r="J128" s="31">
        <f>MMcfd!C31</f>
        <v>11.668215969904981</v>
      </c>
      <c r="K128" s="31">
        <f>MMcfd!D31</f>
        <v>20.235141605632119</v>
      </c>
    </row>
    <row r="129" spans="1:12" ht="15" customHeight="1" x14ac:dyDescent="0.2">
      <c r="A129" s="28">
        <v>2036</v>
      </c>
      <c r="B129" s="4" t="s">
        <v>84</v>
      </c>
      <c r="C129" s="4" t="s">
        <v>88</v>
      </c>
      <c r="D129" s="29">
        <f>SISEPUEDE!C45</f>
        <v>22.810344166559247</v>
      </c>
      <c r="E129" s="4" t="s">
        <v>38</v>
      </c>
      <c r="F129" s="4" t="s">
        <v>182</v>
      </c>
    </row>
    <row r="130" spans="1:12" ht="15" customHeight="1" x14ac:dyDescent="0.2">
      <c r="A130" s="28">
        <v>2037</v>
      </c>
      <c r="B130" s="4" t="s">
        <v>84</v>
      </c>
      <c r="C130" s="4" t="s">
        <v>88</v>
      </c>
      <c r="D130" s="29">
        <f>SISEPUEDE!C46</f>
        <v>22.928726223547468</v>
      </c>
      <c r="E130" s="4" t="s">
        <v>38</v>
      </c>
      <c r="F130" s="4" t="s">
        <v>182</v>
      </c>
    </row>
    <row r="131" spans="1:12" ht="15" customHeight="1" x14ac:dyDescent="0.2">
      <c r="A131" s="28">
        <v>2038</v>
      </c>
      <c r="B131" s="4" t="s">
        <v>84</v>
      </c>
      <c r="C131" s="4" t="s">
        <v>88</v>
      </c>
      <c r="D131" s="29">
        <f>SISEPUEDE!C47</f>
        <v>23.003035395058813</v>
      </c>
      <c r="E131" s="4" t="s">
        <v>38</v>
      </c>
      <c r="F131" s="4" t="s">
        <v>182</v>
      </c>
      <c r="H131" s="43" t="s">
        <v>186</v>
      </c>
      <c r="I131" s="43"/>
      <c r="J131" s="43"/>
      <c r="K131" s="43"/>
      <c r="L131" s="43"/>
    </row>
    <row r="132" spans="1:12" ht="15" customHeight="1" x14ac:dyDescent="0.2">
      <c r="A132" s="28">
        <v>2039</v>
      </c>
      <c r="B132" s="4" t="s">
        <v>84</v>
      </c>
      <c r="C132" s="4" t="s">
        <v>88</v>
      </c>
      <c r="D132" s="29">
        <f>SISEPUEDE!C48</f>
        <v>23.040266930032885</v>
      </c>
      <c r="E132" s="4" t="s">
        <v>38</v>
      </c>
      <c r="F132" s="4" t="s">
        <v>182</v>
      </c>
      <c r="H132" s="30" t="s">
        <v>58</v>
      </c>
      <c r="I132" s="27" t="s">
        <v>87</v>
      </c>
      <c r="J132" s="27" t="s">
        <v>88</v>
      </c>
      <c r="K132" s="27" t="s">
        <v>89</v>
      </c>
      <c r="L132" s="27" t="s">
        <v>90</v>
      </c>
    </row>
    <row r="133" spans="1:12" ht="15" customHeight="1" x14ac:dyDescent="0.2">
      <c r="A133" s="28">
        <v>2040</v>
      </c>
      <c r="B133" s="4" t="s">
        <v>84</v>
      </c>
      <c r="C133" s="4" t="s">
        <v>88</v>
      </c>
      <c r="D133" s="29">
        <f>SISEPUEDE!C49</f>
        <v>23.045129101680335</v>
      </c>
      <c r="E133" s="4" t="s">
        <v>38</v>
      </c>
      <c r="F133" s="4" t="s">
        <v>182</v>
      </c>
      <c r="H133" s="28">
        <v>2023</v>
      </c>
      <c r="I133" s="31" t="str">
        <f>MMcfd!G4</f>
        <v>Venting</v>
      </c>
      <c r="J133" s="31" t="str">
        <f>MMcfd!H4</f>
        <v>Flaring</v>
      </c>
      <c r="K133" s="31" t="str">
        <f>MMcfd!I4</f>
        <v>Gas Recovery</v>
      </c>
      <c r="L133" s="31" t="str">
        <f>MMcfd!J4</f>
        <v>Fugitive</v>
      </c>
    </row>
    <row r="134" spans="1:12" ht="15" customHeight="1" x14ac:dyDescent="0.2">
      <c r="A134" s="28">
        <v>2041</v>
      </c>
      <c r="B134" s="4" t="s">
        <v>84</v>
      </c>
      <c r="C134" s="4" t="s">
        <v>88</v>
      </c>
      <c r="D134" s="29">
        <f>SISEPUEDE!C50</f>
        <v>23.02065972134103</v>
      </c>
      <c r="E134" s="4" t="s">
        <v>38</v>
      </c>
      <c r="F134" s="4" t="s">
        <v>182</v>
      </c>
      <c r="H134" s="28">
        <v>2024</v>
      </c>
      <c r="I134" s="31">
        <f>MMcfd!G5</f>
        <v>84.534509191288493</v>
      </c>
      <c r="J134" s="31">
        <f>MMcfd!H5</f>
        <v>604.98782444231131</v>
      </c>
      <c r="K134" s="31">
        <f>MMcfd!I5</f>
        <v>0</v>
      </c>
      <c r="L134" s="31">
        <f>MMcfd!J5</f>
        <v>27.400840910279712</v>
      </c>
    </row>
    <row r="135" spans="1:12" ht="15" customHeight="1" x14ac:dyDescent="0.2">
      <c r="A135" s="28">
        <v>2042</v>
      </c>
      <c r="B135" s="4" t="s">
        <v>84</v>
      </c>
      <c r="C135" s="4" t="s">
        <v>88</v>
      </c>
      <c r="D135" s="29">
        <f>SISEPUEDE!C51</f>
        <v>22.968924571800088</v>
      </c>
      <c r="E135" s="4" t="s">
        <v>38</v>
      </c>
      <c r="F135" s="4" t="s">
        <v>182</v>
      </c>
      <c r="H135" s="28">
        <v>2025</v>
      </c>
      <c r="I135" s="31">
        <f>MMcfd!G6</f>
        <v>84.845864720614514</v>
      </c>
      <c r="J135" s="31">
        <f>MMcfd!H6</f>
        <v>607.96568067079795</v>
      </c>
      <c r="K135" s="31">
        <f>MMcfd!I6</f>
        <v>29.8465453511078</v>
      </c>
      <c r="L135" s="31">
        <f>MMcfd!J6</f>
        <v>27.261209273692536</v>
      </c>
    </row>
    <row r="136" spans="1:12" ht="15" customHeight="1" x14ac:dyDescent="0.2">
      <c r="A136" s="28">
        <v>2043</v>
      </c>
      <c r="B136" s="4" t="s">
        <v>84</v>
      </c>
      <c r="C136" s="4" t="s">
        <v>88</v>
      </c>
      <c r="D136" s="29">
        <f>SISEPUEDE!C52</f>
        <v>22.891505500839489</v>
      </c>
      <c r="E136" s="4" t="s">
        <v>38</v>
      </c>
      <c r="F136" s="4" t="s">
        <v>182</v>
      </c>
      <c r="H136" s="28">
        <v>2026</v>
      </c>
      <c r="I136" s="31">
        <f>MMcfd!G7</f>
        <v>85.046847161710048</v>
      </c>
      <c r="J136" s="31">
        <f>MMcfd!H7</f>
        <v>598.44389830027956</v>
      </c>
      <c r="K136" s="31">
        <f>MMcfd!I7</f>
        <v>59.891193628783192</v>
      </c>
      <c r="L136" s="31">
        <f>MMcfd!J7</f>
        <v>27.297210072811399</v>
      </c>
    </row>
    <row r="137" spans="1:12" ht="15" customHeight="1" x14ac:dyDescent="0.2">
      <c r="A137" s="28">
        <v>2044</v>
      </c>
      <c r="B137" s="4" t="s">
        <v>84</v>
      </c>
      <c r="C137" s="4" t="s">
        <v>88</v>
      </c>
      <c r="D137" s="29">
        <f>SISEPUEDE!C53</f>
        <v>22.789961962343789</v>
      </c>
      <c r="E137" s="4" t="s">
        <v>38</v>
      </c>
      <c r="F137" s="4" t="s">
        <v>182</v>
      </c>
      <c r="H137" s="28">
        <v>2027</v>
      </c>
      <c r="I137" s="31">
        <f>MMcfd!G8</f>
        <v>90.727383237938781</v>
      </c>
      <c r="J137" s="31">
        <f>MMcfd!H8</f>
        <v>695.40572074946454</v>
      </c>
      <c r="K137" s="31">
        <f>MMcfd!I8</f>
        <v>91.770351681166474</v>
      </c>
      <c r="L137" s="31">
        <f>MMcfd!J8</f>
        <v>25.663623463778471</v>
      </c>
    </row>
    <row r="138" spans="1:12" ht="15" customHeight="1" x14ac:dyDescent="0.2">
      <c r="A138" s="28">
        <v>2045</v>
      </c>
      <c r="B138" s="4" t="s">
        <v>84</v>
      </c>
      <c r="C138" s="4" t="s">
        <v>88</v>
      </c>
      <c r="D138" s="29">
        <f>SISEPUEDE!C54</f>
        <v>22.666227906653596</v>
      </c>
      <c r="E138" s="4" t="s">
        <v>38</v>
      </c>
      <c r="F138" s="4" t="s">
        <v>182</v>
      </c>
      <c r="H138" s="28">
        <v>2028</v>
      </c>
      <c r="I138" s="31">
        <f>MMcfd!G9</f>
        <v>96.250658662645108</v>
      </c>
      <c r="J138" s="31">
        <f>MMcfd!H9</f>
        <v>711.03076025472785</v>
      </c>
      <c r="K138" s="31">
        <f>MMcfd!I9</f>
        <v>126.48127374794689</v>
      </c>
      <c r="L138" s="31">
        <f>MMcfd!J9</f>
        <v>19.819046705136028</v>
      </c>
    </row>
    <row r="139" spans="1:12" ht="15" customHeight="1" x14ac:dyDescent="0.2">
      <c r="A139" s="28">
        <v>2046</v>
      </c>
      <c r="B139" s="4" t="s">
        <v>84</v>
      </c>
      <c r="C139" s="4" t="s">
        <v>88</v>
      </c>
      <c r="D139" s="29">
        <f>SISEPUEDE!C55</f>
        <v>22.522906052004387</v>
      </c>
      <c r="E139" s="4" t="s">
        <v>38</v>
      </c>
      <c r="F139" s="4" t="s">
        <v>182</v>
      </c>
      <c r="H139" s="28">
        <v>2029</v>
      </c>
      <c r="I139" s="31">
        <f>MMcfd!G10</f>
        <v>101.47288081236002</v>
      </c>
      <c r="J139" s="31">
        <f>MMcfd!H10</f>
        <v>694.41061199439582</v>
      </c>
      <c r="K139" s="31">
        <f>MMcfd!I10</f>
        <v>164.28609460710317</v>
      </c>
      <c r="L139" s="31">
        <f>MMcfd!J10</f>
        <v>13.529399364037808</v>
      </c>
    </row>
    <row r="140" spans="1:12" ht="15" customHeight="1" x14ac:dyDescent="0.2">
      <c r="A140" s="28">
        <v>2047</v>
      </c>
      <c r="B140" s="4" t="s">
        <v>84</v>
      </c>
      <c r="C140" s="4" t="s">
        <v>88</v>
      </c>
      <c r="D140" s="29">
        <f>SISEPUEDE!C56</f>
        <v>22.363415192403039</v>
      </c>
      <c r="E140" s="4" t="s">
        <v>38</v>
      </c>
      <c r="F140" s="4" t="s">
        <v>182</v>
      </c>
      <c r="H140" s="28">
        <v>2030</v>
      </c>
      <c r="I140" s="31">
        <f>MMcfd!G11</f>
        <v>106.2441155946626</v>
      </c>
      <c r="J140" s="31">
        <f>MMcfd!H11</f>
        <v>674.75242747397851</v>
      </c>
      <c r="K140" s="31">
        <f>MMcfd!I11</f>
        <v>204.6018109284814</v>
      </c>
      <c r="L140" s="31">
        <f>MMcfd!J11</f>
        <v>6.8911990912834318</v>
      </c>
    </row>
    <row r="141" spans="1:12" ht="15" customHeight="1" x14ac:dyDescent="0.2">
      <c r="A141" s="28">
        <v>2048</v>
      </c>
      <c r="B141" s="4" t="s">
        <v>84</v>
      </c>
      <c r="C141" s="4" t="s">
        <v>88</v>
      </c>
      <c r="D141" s="29">
        <f>SISEPUEDE!C57</f>
        <v>22.191935051991738</v>
      </c>
      <c r="E141" s="4" t="s">
        <v>38</v>
      </c>
      <c r="F141" s="4" t="s">
        <v>182</v>
      </c>
      <c r="H141" s="28">
        <v>2031</v>
      </c>
      <c r="I141" s="31">
        <f>MMcfd!G12</f>
        <v>110.43233095104962</v>
      </c>
      <c r="J141" s="31">
        <f>MMcfd!H12</f>
        <v>651.7907977586126</v>
      </c>
      <c r="K141" s="31">
        <f>MMcfd!I12</f>
        <v>246.37781179856202</v>
      </c>
      <c r="L141" s="31">
        <f>MMcfd!J12</f>
        <v>6.8861921597440602E-3</v>
      </c>
    </row>
    <row r="142" spans="1:12" ht="15" customHeight="1" x14ac:dyDescent="0.2">
      <c r="A142" s="28">
        <v>2049</v>
      </c>
      <c r="B142" s="4" t="s">
        <v>84</v>
      </c>
      <c r="C142" s="4" t="s">
        <v>88</v>
      </c>
      <c r="D142" s="29">
        <f>SISEPUEDE!C58</f>
        <v>22.013079773768595</v>
      </c>
      <c r="E142" s="4" t="s">
        <v>38</v>
      </c>
      <c r="F142" s="4" t="s">
        <v>182</v>
      </c>
      <c r="H142" s="28">
        <v>2032</v>
      </c>
      <c r="I142" s="31">
        <f>MMcfd!G13</f>
        <v>113.95385282435676</v>
      </c>
      <c r="J142" s="31">
        <f>MMcfd!H13</f>
        <v>615.14925057070502</v>
      </c>
      <c r="K142" s="31">
        <f>MMcfd!I13</f>
        <v>294.74149203943199</v>
      </c>
      <c r="L142" s="31">
        <f>MMcfd!J13</f>
        <v>6.5330848422330747E-3</v>
      </c>
    </row>
    <row r="143" spans="1:12" ht="15" customHeight="1" x14ac:dyDescent="0.2">
      <c r="A143" s="28">
        <v>2050</v>
      </c>
      <c r="B143" s="4" t="s">
        <v>84</v>
      </c>
      <c r="C143" s="4" t="s">
        <v>88</v>
      </c>
      <c r="D143" s="29">
        <f>SISEPUEDE!C59</f>
        <v>21.831218866602864</v>
      </c>
      <c r="E143" s="4" t="s">
        <v>38</v>
      </c>
      <c r="F143" s="4" t="s">
        <v>182</v>
      </c>
      <c r="H143" s="28">
        <v>2033</v>
      </c>
      <c r="I143" s="31">
        <f>MMcfd!G14</f>
        <v>116.81264474123796</v>
      </c>
      <c r="J143" s="31">
        <f>MMcfd!H14</f>
        <v>578.46436375358519</v>
      </c>
      <c r="K143" s="31">
        <f>MMcfd!I14</f>
        <v>344.60628682155021</v>
      </c>
      <c r="L143" s="31">
        <f>MMcfd!J14</f>
        <v>6.1850398070552861E-3</v>
      </c>
    </row>
    <row r="144" spans="1:12" ht="15" customHeight="1" x14ac:dyDescent="0.2">
      <c r="A144" s="28">
        <v>2023</v>
      </c>
      <c r="B144" s="4" t="s">
        <v>84</v>
      </c>
      <c r="C144" s="4" t="s">
        <v>89</v>
      </c>
      <c r="D144" s="29">
        <f>SISEPUEDE!D32</f>
        <v>6.2704959999999996</v>
      </c>
      <c r="E144" s="4" t="s">
        <v>38</v>
      </c>
      <c r="F144" s="4" t="s">
        <v>182</v>
      </c>
      <c r="H144" s="28">
        <v>2034</v>
      </c>
      <c r="I144" s="31">
        <f>MMcfd!G15</f>
        <v>119.06450404271546</v>
      </c>
      <c r="J144" s="31">
        <f>MMcfd!H15</f>
        <v>541.84337554929357</v>
      </c>
      <c r="K144" s="31">
        <f>MMcfd!I15</f>
        <v>395.37772166616554</v>
      </c>
      <c r="L144" s="31">
        <f>MMcfd!J15</f>
        <v>5.8428136569662554E-3</v>
      </c>
    </row>
    <row r="145" spans="1:12" ht="15" customHeight="1" x14ac:dyDescent="0.2">
      <c r="A145" s="28">
        <v>2024</v>
      </c>
      <c r="B145" s="4" t="s">
        <v>84</v>
      </c>
      <c r="C145" s="4" t="s">
        <v>89</v>
      </c>
      <c r="D145" s="29">
        <f>SISEPUEDE!D33</f>
        <v>6.3013604815893833</v>
      </c>
      <c r="E145" s="4" t="s">
        <v>38</v>
      </c>
      <c r="F145" s="4" t="s">
        <v>182</v>
      </c>
      <c r="H145" s="28">
        <v>2035</v>
      </c>
      <c r="I145" s="31">
        <f>MMcfd!G16</f>
        <v>120.79023587384644</v>
      </c>
      <c r="J145" s="31">
        <f>MMcfd!H16</f>
        <v>505.38191049102119</v>
      </c>
      <c r="K145" s="31">
        <f>MMcfd!I16</f>
        <v>446.6862523509671</v>
      </c>
      <c r="L145" s="31">
        <f>MMcfd!J16</f>
        <v>5.5070202042375024E-3</v>
      </c>
    </row>
    <row r="146" spans="1:12" ht="15" customHeight="1" x14ac:dyDescent="0.2">
      <c r="A146" s="28">
        <v>2025</v>
      </c>
      <c r="B146" s="4" t="s">
        <v>84</v>
      </c>
      <c r="C146" s="4" t="s">
        <v>89</v>
      </c>
      <c r="D146" s="29">
        <f>SISEPUEDE!D34</f>
        <v>6.3222579979439164</v>
      </c>
      <c r="E146" s="4" t="s">
        <v>38</v>
      </c>
      <c r="F146" s="4" t="s">
        <v>182</v>
      </c>
      <c r="H146" s="28">
        <v>2036</v>
      </c>
      <c r="I146" s="31">
        <f>MMcfd!G17</f>
        <v>122.07684233706971</v>
      </c>
      <c r="J146" s="31">
        <f>MMcfd!H17</f>
        <v>469.16653047237946</v>
      </c>
      <c r="K146" s="31">
        <f>MMcfd!I17</f>
        <v>498.36392198121399</v>
      </c>
      <c r="L146" s="31">
        <f>MMcfd!J17</f>
        <v>5.1779871553519971E-3</v>
      </c>
    </row>
    <row r="147" spans="1:12" ht="15" customHeight="1" x14ac:dyDescent="0.2">
      <c r="A147" s="28">
        <v>2026</v>
      </c>
      <c r="B147" s="4" t="s">
        <v>84</v>
      </c>
      <c r="C147" s="4" t="s">
        <v>89</v>
      </c>
      <c r="D147" s="29">
        <f>SISEPUEDE!D35</f>
        <v>7.4910381072915913</v>
      </c>
      <c r="E147" s="4" t="s">
        <v>38</v>
      </c>
      <c r="F147" s="4" t="s">
        <v>182</v>
      </c>
      <c r="H147" s="28">
        <v>2037</v>
      </c>
      <c r="I147" s="31">
        <f>MMcfd!G18</f>
        <v>123.00534111524553</v>
      </c>
      <c r="J147" s="31">
        <f>MMcfd!H18</f>
        <v>433.43103949198087</v>
      </c>
      <c r="K147" s="31">
        <f>MMcfd!I18</f>
        <v>550.40622599652215</v>
      </c>
      <c r="L147" s="31">
        <f>MMcfd!J18</f>
        <v>4.8558695859916793E-3</v>
      </c>
    </row>
    <row r="148" spans="1:12" ht="15" customHeight="1" x14ac:dyDescent="0.2">
      <c r="A148" s="28">
        <v>2027</v>
      </c>
      <c r="B148" s="4" t="s">
        <v>84</v>
      </c>
      <c r="C148" s="4" t="s">
        <v>89</v>
      </c>
      <c r="D148" s="29">
        <f>SISEPUEDE!D36</f>
        <v>7.8129490184501567</v>
      </c>
      <c r="E148" s="4" t="s">
        <v>38</v>
      </c>
      <c r="F148" s="4" t="s">
        <v>182</v>
      </c>
      <c r="H148" s="28">
        <v>2038</v>
      </c>
      <c r="I148" s="31">
        <f>MMcfd!G19</f>
        <v>123.64371926488819</v>
      </c>
      <c r="J148" s="31">
        <f>MMcfd!H19</f>
        <v>398.19732340390459</v>
      </c>
      <c r="K148" s="31">
        <f>MMcfd!I19</f>
        <v>602.93022355560299</v>
      </c>
      <c r="L148" s="31">
        <f>MMcfd!J19</f>
        <v>4.5381087243998915E-3</v>
      </c>
    </row>
    <row r="149" spans="1:12" ht="15" customHeight="1" x14ac:dyDescent="0.2">
      <c r="A149" s="28">
        <v>2028</v>
      </c>
      <c r="B149" s="4" t="s">
        <v>84</v>
      </c>
      <c r="C149" s="4" t="s">
        <v>89</v>
      </c>
      <c r="D149" s="29">
        <f>SISEPUEDE!D37</f>
        <v>7.7864676496162932</v>
      </c>
      <c r="E149" s="4" t="s">
        <v>38</v>
      </c>
      <c r="F149" s="4" t="s">
        <v>182</v>
      </c>
      <c r="H149" s="28">
        <v>2039</v>
      </c>
      <c r="I149" s="31">
        <f>MMcfd!G20</f>
        <v>124.04443329721501</v>
      </c>
      <c r="J149" s="31">
        <f>MMcfd!H20</f>
        <v>363.38044281908458</v>
      </c>
      <c r="K149" s="31">
        <f>MMcfd!I20</f>
        <v>656.13560738272645</v>
      </c>
      <c r="L149" s="31">
        <f>MMcfd!J20</f>
        <v>4.2288000246606602E-3</v>
      </c>
    </row>
    <row r="150" spans="1:12" ht="15" customHeight="1" x14ac:dyDescent="0.2">
      <c r="A150" s="28">
        <v>2029</v>
      </c>
      <c r="B150" s="4" t="s">
        <v>84</v>
      </c>
      <c r="C150" s="4" t="s">
        <v>89</v>
      </c>
      <c r="D150" s="29">
        <f>SISEPUEDE!D38</f>
        <v>7.7241024754960321</v>
      </c>
      <c r="E150" s="4" t="s">
        <v>38</v>
      </c>
      <c r="F150" s="4" t="s">
        <v>182</v>
      </c>
      <c r="H150" s="28">
        <v>2040</v>
      </c>
      <c r="I150" s="31">
        <f>MMcfd!G21</f>
        <v>124.24520526392841</v>
      </c>
      <c r="J150" s="31">
        <f>MMcfd!H21</f>
        <v>329.05040422195492</v>
      </c>
      <c r="K150" s="31">
        <f>MMcfd!I21</f>
        <v>710.26124911274633</v>
      </c>
      <c r="L150" s="31">
        <f>MMcfd!J21</f>
        <v>3.9279296107334796E-3</v>
      </c>
    </row>
    <row r="151" spans="1:12" ht="15" customHeight="1" x14ac:dyDescent="0.2">
      <c r="A151" s="28">
        <v>2030</v>
      </c>
      <c r="B151" s="4" t="s">
        <v>84</v>
      </c>
      <c r="C151" s="4" t="s">
        <v>89</v>
      </c>
      <c r="D151" s="29">
        <f>SISEPUEDE!D39</f>
        <v>7.6204535034863472</v>
      </c>
      <c r="E151" s="4" t="s">
        <v>38</v>
      </c>
      <c r="F151" s="4" t="s">
        <v>182</v>
      </c>
      <c r="H151" s="28">
        <v>2041</v>
      </c>
      <c r="I151" s="31">
        <f>MMcfd!G22</f>
        <v>124.2714246439469</v>
      </c>
      <c r="J151" s="31">
        <f>MMcfd!H22</f>
        <v>295.27391161439323</v>
      </c>
      <c r="K151" s="31">
        <f>MMcfd!I22</f>
        <v>765.53770692775083</v>
      </c>
      <c r="L151" s="31">
        <f>MMcfd!J22</f>
        <v>3.6356829498965047E-3</v>
      </c>
    </row>
    <row r="152" spans="1:12" ht="15" customHeight="1" x14ac:dyDescent="0.2">
      <c r="A152" s="28">
        <v>2031</v>
      </c>
      <c r="B152" s="4" t="s">
        <v>84</v>
      </c>
      <c r="C152" s="4" t="s">
        <v>89</v>
      </c>
      <c r="D152" s="29">
        <f>SISEPUEDE!D40</f>
        <v>7.1920565276446293</v>
      </c>
      <c r="E152" s="4" t="s">
        <v>38</v>
      </c>
      <c r="F152" s="4" t="s">
        <v>182</v>
      </c>
      <c r="H152" s="28">
        <v>2042</v>
      </c>
      <c r="I152" s="31">
        <f>MMcfd!G23</f>
        <v>124.13947290952601</v>
      </c>
      <c r="J152" s="31">
        <f>MMcfd!H23</f>
        <v>261.84283817097531</v>
      </c>
      <c r="K152" s="31">
        <f>MMcfd!I23</f>
        <v>822.14599250938204</v>
      </c>
      <c r="L152" s="31">
        <f>MMcfd!J23</f>
        <v>3.3586034925076492E-3</v>
      </c>
    </row>
    <row r="153" spans="1:12" ht="15" customHeight="1" x14ac:dyDescent="0.2">
      <c r="A153" s="28">
        <v>2032</v>
      </c>
      <c r="B153" s="4" t="s">
        <v>84</v>
      </c>
      <c r="C153" s="4" t="s">
        <v>89</v>
      </c>
      <c r="D153" s="29">
        <f>SISEPUEDE!D41</f>
        <v>6.7631528437757247</v>
      </c>
      <c r="E153" s="4" t="s">
        <v>38</v>
      </c>
      <c r="F153" s="4" t="s">
        <v>182</v>
      </c>
      <c r="H153" s="28">
        <v>2043</v>
      </c>
      <c r="I153" s="31">
        <f>MMcfd!G24</f>
        <v>123.86048984506786</v>
      </c>
      <c r="J153" s="31">
        <f>MMcfd!H24</f>
        <v>229.15926824637737</v>
      </c>
      <c r="K153" s="31">
        <f>MMcfd!I24</f>
        <v>880.18000568244418</v>
      </c>
      <c r="L153" s="31">
        <f>MMcfd!J24</f>
        <v>3.0896581525150547E-3</v>
      </c>
    </row>
    <row r="154" spans="1:12" ht="15" customHeight="1" x14ac:dyDescent="0.2">
      <c r="A154" s="28">
        <v>2033</v>
      </c>
      <c r="B154" s="4" t="s">
        <v>84</v>
      </c>
      <c r="C154" s="4" t="s">
        <v>89</v>
      </c>
      <c r="D154" s="29">
        <f>SISEPUEDE!D42</f>
        <v>6.3349962345965363</v>
      </c>
      <c r="E154" s="4" t="s">
        <v>38</v>
      </c>
      <c r="F154" s="4" t="s">
        <v>182</v>
      </c>
      <c r="H154" s="28">
        <v>2044</v>
      </c>
      <c r="I154" s="31">
        <f>MMcfd!G25</f>
        <v>123.44300560358522</v>
      </c>
      <c r="J154" s="31">
        <f>MMcfd!H25</f>
        <v>197.28083617981144</v>
      </c>
      <c r="K154" s="31">
        <f>MMcfd!I25</f>
        <v>939.64647103586265</v>
      </c>
      <c r="L154" s="31">
        <f>MMcfd!J25</f>
        <v>2.8756638231188123E-3</v>
      </c>
    </row>
    <row r="155" spans="1:12" ht="15" customHeight="1" x14ac:dyDescent="0.2">
      <c r="A155" s="28">
        <v>2034</v>
      </c>
      <c r="B155" s="4" t="s">
        <v>84</v>
      </c>
      <c r="C155" s="4" t="s">
        <v>89</v>
      </c>
      <c r="D155" s="29">
        <f>SISEPUEDE!D43</f>
        <v>5.9087047004094293</v>
      </c>
      <c r="E155" s="4" t="s">
        <v>38</v>
      </c>
      <c r="F155" s="4" t="s">
        <v>182</v>
      </c>
      <c r="H155" s="28">
        <v>2045</v>
      </c>
      <c r="I155" s="31">
        <f>MMcfd!G26</f>
        <v>122.89542957844905</v>
      </c>
      <c r="J155" s="31">
        <f>MMcfd!H26</f>
        <v>166.26398976291296</v>
      </c>
      <c r="K155" s="31">
        <f>MMcfd!I26</f>
        <v>1000.4771645414176</v>
      </c>
      <c r="L155" s="31">
        <f>MMcfd!J26</f>
        <v>2.6606915413175014E-3</v>
      </c>
    </row>
    <row r="156" spans="1:12" ht="15" customHeight="1" x14ac:dyDescent="0.2">
      <c r="A156" s="28">
        <v>2035</v>
      </c>
      <c r="B156" s="4" t="s">
        <v>84</v>
      </c>
      <c r="C156" s="4" t="s">
        <v>89</v>
      </c>
      <c r="D156" s="29">
        <f>SISEPUEDE!D44</f>
        <v>5.4852902850906133</v>
      </c>
      <c r="E156" s="4" t="s">
        <v>38</v>
      </c>
      <c r="F156" s="4" t="s">
        <v>182</v>
      </c>
      <c r="H156" s="28">
        <v>2046</v>
      </c>
      <c r="I156" s="31">
        <f>MMcfd!G27</f>
        <v>122.22819064436676</v>
      </c>
      <c r="J156" s="31">
        <f>MMcfd!H27</f>
        <v>136.16422039555607</v>
      </c>
      <c r="K156" s="31">
        <f>MMcfd!I27</f>
        <v>1062.5407133887022</v>
      </c>
      <c r="L156" s="31">
        <f>MMcfd!J27</f>
        <v>2.4448800764265174E-3</v>
      </c>
    </row>
    <row r="157" spans="1:12" ht="15" customHeight="1" x14ac:dyDescent="0.2">
      <c r="A157" s="28">
        <v>2036</v>
      </c>
      <c r="B157" s="4" t="s">
        <v>84</v>
      </c>
      <c r="C157" s="4" t="s">
        <v>89</v>
      </c>
      <c r="D157" s="29">
        <f>SISEPUEDE!D45</f>
        <v>5.067486522937414</v>
      </c>
      <c r="E157" s="4" t="s">
        <v>38</v>
      </c>
      <c r="F157" s="4" t="s">
        <v>182</v>
      </c>
      <c r="H157" s="28">
        <v>2047</v>
      </c>
      <c r="I157" s="31">
        <f>MMcfd!G28</f>
        <v>121.4553240233431</v>
      </c>
      <c r="J157" s="31">
        <f>MMcfd!H28</f>
        <v>107.03620490925337</v>
      </c>
      <c r="K157" s="31">
        <f>MMcfd!I28</f>
        <v>1125.6543931686315</v>
      </c>
      <c r="L157" s="31">
        <f>MMcfd!J28</f>
        <v>2.2283516872235449E-3</v>
      </c>
    </row>
    <row r="158" spans="1:12" ht="15" customHeight="1" x14ac:dyDescent="0.2">
      <c r="A158" s="28">
        <v>2037</v>
      </c>
      <c r="B158" s="4" t="s">
        <v>84</v>
      </c>
      <c r="C158" s="4" t="s">
        <v>89</v>
      </c>
      <c r="D158" s="29">
        <f>SISEPUEDE!D46</f>
        <v>4.6555492938026442</v>
      </c>
      <c r="E158" s="4" t="s">
        <v>38</v>
      </c>
      <c r="F158" s="4" t="s">
        <v>182</v>
      </c>
      <c r="H158" s="28">
        <v>2048</v>
      </c>
      <c r="I158" s="31">
        <f>MMcfd!G29</f>
        <v>120.59526564602197</v>
      </c>
      <c r="J158" s="31">
        <f>MMcfd!H29</f>
        <v>78.933851503816996</v>
      </c>
      <c r="K158" s="31">
        <f>MMcfd!I29</f>
        <v>1189.5972221848258</v>
      </c>
      <c r="L158" s="31">
        <f>MMcfd!J29</f>
        <v>2.0112668999829547E-3</v>
      </c>
    </row>
    <row r="159" spans="1:12" ht="15" customHeight="1" x14ac:dyDescent="0.2">
      <c r="A159" s="28">
        <v>2038</v>
      </c>
      <c r="B159" s="4" t="s">
        <v>84</v>
      </c>
      <c r="C159" s="4" t="s">
        <v>89</v>
      </c>
      <c r="D159" s="29">
        <f>SISEPUEDE!D47</f>
        <v>4.2484855234250247</v>
      </c>
      <c r="E159" s="4" t="s">
        <v>38</v>
      </c>
      <c r="F159" s="4" t="s">
        <v>182</v>
      </c>
      <c r="H159" s="28">
        <v>2049</v>
      </c>
      <c r="I159" s="31">
        <f>MMcfd!G30</f>
        <v>119.67055477748956</v>
      </c>
      <c r="J159" s="31">
        <f>MMcfd!H30</f>
        <v>51.91023035398468</v>
      </c>
      <c r="K159" s="31">
        <f>MMcfd!I30</f>
        <v>1254.1264091488517</v>
      </c>
      <c r="L159" s="31">
        <f>MMcfd!J30</f>
        <v>1.7937649863039523E-3</v>
      </c>
    </row>
    <row r="160" spans="1:12" ht="15" customHeight="1" x14ac:dyDescent="0.2">
      <c r="A160" s="28">
        <v>2039</v>
      </c>
      <c r="B160" s="4" t="s">
        <v>84</v>
      </c>
      <c r="C160" s="4" t="s">
        <v>89</v>
      </c>
      <c r="D160" s="29">
        <f>SISEPUEDE!D48</f>
        <v>3.8471136970630262</v>
      </c>
      <c r="E160" s="4" t="s">
        <v>38</v>
      </c>
      <c r="F160" s="4" t="s">
        <v>182</v>
      </c>
      <c r="H160" s="28">
        <v>2050</v>
      </c>
      <c r="I160" s="31">
        <f>MMcfd!G31</f>
        <v>118.70607329718148</v>
      </c>
      <c r="J160" s="31">
        <f>MMcfd!H31</f>
        <v>26.017355734894053</v>
      </c>
      <c r="K160" s="31">
        <f>MMcfd!I31</f>
        <v>1308.9958523255937</v>
      </c>
      <c r="L160" s="31">
        <f>MMcfd!J31</f>
        <v>1.5759854208475105E-3</v>
      </c>
    </row>
    <row r="161" spans="1:12" ht="15" customHeight="1" x14ac:dyDescent="0.2">
      <c r="A161" s="28">
        <v>2040</v>
      </c>
      <c r="B161" s="4" t="s">
        <v>84</v>
      </c>
      <c r="C161" s="4" t="s">
        <v>89</v>
      </c>
      <c r="D161" s="29">
        <f>SISEPUEDE!D49</f>
        <v>3.4522136887905894</v>
      </c>
      <c r="E161" s="4" t="s">
        <v>38</v>
      </c>
      <c r="F161" s="4" t="s">
        <v>182</v>
      </c>
    </row>
    <row r="162" spans="1:12" ht="15" customHeight="1" x14ac:dyDescent="0.2">
      <c r="A162" s="28">
        <v>2041</v>
      </c>
      <c r="B162" s="4" t="s">
        <v>84</v>
      </c>
      <c r="C162" s="4" t="s">
        <v>89</v>
      </c>
      <c r="D162" s="29">
        <f>SISEPUEDE!D50</f>
        <v>3.0613521706113276</v>
      </c>
      <c r="E162" s="4" t="s">
        <v>38</v>
      </c>
      <c r="F162" s="4" t="s">
        <v>182</v>
      </c>
    </row>
    <row r="163" spans="1:12" ht="15" customHeight="1" x14ac:dyDescent="0.2">
      <c r="A163" s="28">
        <v>2042</v>
      </c>
      <c r="B163" s="4" t="s">
        <v>84</v>
      </c>
      <c r="C163" s="4" t="s">
        <v>89</v>
      </c>
      <c r="D163" s="29">
        <f>SISEPUEDE!D51</f>
        <v>2.6792301372920067</v>
      </c>
      <c r="E163" s="4" t="s">
        <v>38</v>
      </c>
      <c r="F163" s="4" t="s">
        <v>182</v>
      </c>
      <c r="H163" s="43" t="s">
        <v>187</v>
      </c>
      <c r="I163" s="43"/>
      <c r="J163" s="43"/>
      <c r="K163" s="43"/>
      <c r="L163" s="43"/>
    </row>
    <row r="164" spans="1:12" ht="15" customHeight="1" x14ac:dyDescent="0.2">
      <c r="A164" s="28">
        <v>2043</v>
      </c>
      <c r="B164" s="4" t="s">
        <v>84</v>
      </c>
      <c r="C164" s="4" t="s">
        <v>89</v>
      </c>
      <c r="D164" s="29">
        <f>SISEPUEDE!D52</f>
        <v>2.3065214243695498</v>
      </c>
      <c r="E164" s="4" t="s">
        <v>38</v>
      </c>
      <c r="F164" s="4" t="s">
        <v>182</v>
      </c>
      <c r="H164" s="30" t="s">
        <v>58</v>
      </c>
      <c r="I164" s="27" t="s">
        <v>87</v>
      </c>
      <c r="J164" s="27" t="s">
        <v>88</v>
      </c>
      <c r="K164" s="27" t="s">
        <v>89</v>
      </c>
      <c r="L164" s="27" t="s">
        <v>90</v>
      </c>
    </row>
    <row r="165" spans="1:12" ht="15" customHeight="1" x14ac:dyDescent="0.2">
      <c r="A165" s="28">
        <v>2044</v>
      </c>
      <c r="B165" s="4" t="s">
        <v>84</v>
      </c>
      <c r="C165" s="4" t="s">
        <v>89</v>
      </c>
      <c r="D165" s="29">
        <f>SISEPUEDE!D53</f>
        <v>1.9438859947845379</v>
      </c>
      <c r="E165" s="4" t="s">
        <v>38</v>
      </c>
      <c r="F165" s="4" t="s">
        <v>182</v>
      </c>
      <c r="H165" s="28">
        <v>2023</v>
      </c>
      <c r="I165" s="31" t="str">
        <f>MMcfd!M4</f>
        <v>Gas Recovery</v>
      </c>
      <c r="J165" s="31" t="str">
        <f>MMcfd!N4</f>
        <v>BAU total</v>
      </c>
      <c r="K165" s="31" t="str">
        <f>MMcfd!O4</f>
        <v>Uncond total</v>
      </c>
      <c r="L165" s="31" t="str">
        <f>MMcfd!P4</f>
        <v>Cond total</v>
      </c>
    </row>
    <row r="166" spans="1:12" ht="15" customHeight="1" x14ac:dyDescent="0.2">
      <c r="A166" s="28">
        <v>2045</v>
      </c>
      <c r="B166" s="4" t="s">
        <v>84</v>
      </c>
      <c r="C166" s="4" t="s">
        <v>89</v>
      </c>
      <c r="D166" s="29">
        <f>SISEPUEDE!D54</f>
        <v>1.5919726297625401</v>
      </c>
      <c r="E166" s="4" t="s">
        <v>38</v>
      </c>
      <c r="F166" s="4" t="s">
        <v>182</v>
      </c>
      <c r="H166" s="28">
        <v>2024</v>
      </c>
      <c r="I166" s="31">
        <f>MMcfd!M5</f>
        <v>0</v>
      </c>
      <c r="J166" s="31">
        <f>MMcfd!N5</f>
        <v>716.92317454387955</v>
      </c>
      <c r="K166" s="31">
        <f>MMcfd!O5</f>
        <v>716.92317454387955</v>
      </c>
      <c r="L166" s="31">
        <f>MMcfd!P5</f>
        <v>716.92317454387955</v>
      </c>
    </row>
    <row r="167" spans="1:12" ht="15" customHeight="1" x14ac:dyDescent="0.2">
      <c r="A167" s="28">
        <v>2046</v>
      </c>
      <c r="B167" s="4" t="s">
        <v>84</v>
      </c>
      <c r="C167" s="4" t="s">
        <v>89</v>
      </c>
      <c r="D167" s="29">
        <f>SISEPUEDE!D55</f>
        <v>1.2514205869513972</v>
      </c>
      <c r="E167" s="4" t="s">
        <v>38</v>
      </c>
      <c r="F167" s="4" t="s">
        <v>182</v>
      </c>
      <c r="H167" s="28">
        <v>2025</v>
      </c>
      <c r="I167" s="31">
        <f>MMcfd!M6</f>
        <v>558.51035969190832</v>
      </c>
      <c r="J167" s="31">
        <f>MMcfd!N6</f>
        <v>719.03998757210525</v>
      </c>
      <c r="K167" s="31">
        <f>MMcfd!O6</f>
        <v>749.9199604309548</v>
      </c>
      <c r="L167" s="31">
        <f>MMcfd!P6</f>
        <v>1278.8087615141408</v>
      </c>
    </row>
    <row r="168" spans="1:12" ht="15" customHeight="1" x14ac:dyDescent="0.2">
      <c r="A168" s="28">
        <v>2047</v>
      </c>
      <c r="B168" s="4" t="s">
        <v>84</v>
      </c>
      <c r="C168" s="4" t="s">
        <v>89</v>
      </c>
      <c r="D168" s="29">
        <f>SISEPUEDE!D56</f>
        <v>0.92286013749261331</v>
      </c>
      <c r="E168" s="4" t="s">
        <v>38</v>
      </c>
      <c r="F168" s="4" t="s">
        <v>182</v>
      </c>
      <c r="H168" s="28">
        <v>2026</v>
      </c>
      <c r="I168" s="31">
        <f>MMcfd!M7</f>
        <v>1095.4345271838797</v>
      </c>
      <c r="J168" s="31">
        <f>MMcfd!N7</f>
        <v>708.73691086216684</v>
      </c>
      <c r="K168" s="31">
        <f>MMcfd!O7</f>
        <v>770.68048704334956</v>
      </c>
      <c r="L168" s="31">
        <f>MMcfd!P7</f>
        <v>1806.6710196792737</v>
      </c>
    </row>
    <row r="169" spans="1:12" ht="15" customHeight="1" x14ac:dyDescent="0.2">
      <c r="A169" s="28">
        <v>2048</v>
      </c>
      <c r="B169" s="4" t="s">
        <v>84</v>
      </c>
      <c r="C169" s="4" t="s">
        <v>89</v>
      </c>
      <c r="D169" s="29">
        <f>SISEPUEDE!D57</f>
        <v>0.60691175470431658</v>
      </c>
      <c r="E169" s="4" t="s">
        <v>38</v>
      </c>
      <c r="F169" s="4" t="s">
        <v>182</v>
      </c>
      <c r="H169" s="28">
        <v>2027</v>
      </c>
      <c r="I169" s="31">
        <f>MMcfd!M8</f>
        <v>1601.8451766468163</v>
      </c>
      <c r="J169" s="31">
        <f>MMcfd!N8</f>
        <v>826.53737061723871</v>
      </c>
      <c r="K169" s="31">
        <f>MMcfd!O8</f>
        <v>909.34308036216908</v>
      </c>
      <c r="L169" s="31">
        <f>MMcfd!P8</f>
        <v>1942.7108438253642</v>
      </c>
    </row>
    <row r="170" spans="1:12" ht="15" customHeight="1" x14ac:dyDescent="0.2">
      <c r="A170" s="28">
        <v>2049</v>
      </c>
      <c r="B170" s="4" t="s">
        <v>84</v>
      </c>
      <c r="C170" s="4" t="s">
        <v>89</v>
      </c>
      <c r="D170" s="29">
        <f>SISEPUEDE!D58</f>
        <v>0.30418356678740666</v>
      </c>
      <c r="E170" s="4" t="s">
        <v>38</v>
      </c>
      <c r="F170" s="4" t="s">
        <v>182</v>
      </c>
      <c r="H170" s="28">
        <v>2028</v>
      </c>
      <c r="I170" s="31">
        <f>MMcfd!M9</f>
        <v>2053.277673599775</v>
      </c>
      <c r="J170" s="31">
        <f>MMcfd!N9</f>
        <v>860.17036190343026</v>
      </c>
      <c r="K170" s="31">
        <f>MMcfd!O9</f>
        <v>965.47395724955595</v>
      </c>
      <c r="L170" s="31">
        <f>MMcfd!P9</f>
        <v>2154.6725929236823</v>
      </c>
    </row>
    <row r="171" spans="1:12" ht="15" customHeight="1" x14ac:dyDescent="0.2">
      <c r="A171" s="28">
        <v>2050</v>
      </c>
      <c r="B171" s="4" t="s">
        <v>84</v>
      </c>
      <c r="C171" s="4" t="s">
        <v>89</v>
      </c>
      <c r="D171" s="29">
        <f>SISEPUEDE!D59</f>
        <v>1.5266284023020034E-2</v>
      </c>
      <c r="E171" s="4" t="s">
        <v>38</v>
      </c>
      <c r="F171" s="4" t="s">
        <v>182</v>
      </c>
      <c r="H171" s="28">
        <v>2029</v>
      </c>
      <c r="I171" s="31">
        <f>MMcfd!M10</f>
        <v>2428.5289218879111</v>
      </c>
      <c r="J171" s="31">
        <f>MMcfd!N10</f>
        <v>944.25090705718583</v>
      </c>
      <c r="K171" s="31">
        <f>MMcfd!O10</f>
        <v>991.96465444027285</v>
      </c>
      <c r="L171" s="31">
        <f>MMcfd!P10</f>
        <v>2486.5346799120089</v>
      </c>
    </row>
    <row r="172" spans="1:12" ht="15" customHeight="1" x14ac:dyDescent="0.2">
      <c r="A172" s="28">
        <v>2023</v>
      </c>
      <c r="B172" s="4" t="s">
        <v>84</v>
      </c>
      <c r="C172" s="4" t="s">
        <v>90</v>
      </c>
      <c r="D172" s="29">
        <f>SISEPUEDE!E32</f>
        <v>0</v>
      </c>
      <c r="E172" s="4" t="s">
        <v>38</v>
      </c>
      <c r="F172" s="4" t="s">
        <v>182</v>
      </c>
      <c r="H172" s="28">
        <v>2030</v>
      </c>
      <c r="I172" s="31">
        <f>MMcfd!M11</f>
        <v>2718.9441833802002</v>
      </c>
      <c r="J172" s="31">
        <f>MMcfd!N11</f>
        <v>1031.1807788008289</v>
      </c>
      <c r="K172" s="31">
        <f>MMcfd!O11</f>
        <v>1017.2860503189573</v>
      </c>
      <c r="L172" s="31">
        <f>MMcfd!P11</f>
        <v>2754.7819531054488</v>
      </c>
    </row>
    <row r="173" spans="1:12" ht="15" customHeight="1" x14ac:dyDescent="0.2">
      <c r="A173" s="28">
        <v>2024</v>
      </c>
      <c r="B173" s="4" t="s">
        <v>84</v>
      </c>
      <c r="C173" s="4" t="s">
        <v>90</v>
      </c>
      <c r="D173" s="29">
        <f>SISEPUEDE!E33</f>
        <v>0.30934943758655098</v>
      </c>
      <c r="E173" s="4" t="s">
        <v>38</v>
      </c>
      <c r="F173" s="4" t="s">
        <v>182</v>
      </c>
      <c r="H173" s="28">
        <v>2031</v>
      </c>
      <c r="I173" s="31">
        <f>MMcfd!M12</f>
        <v>2925.6032182654726</v>
      </c>
      <c r="J173" s="31">
        <f>MMcfd!N12</f>
        <v>1119.9075214079976</v>
      </c>
      <c r="K173" s="31">
        <f>MMcfd!O12</f>
        <v>1040.046570726257</v>
      </c>
      <c r="L173" s="31">
        <f>MMcfd!P12</f>
        <v>2941.6096166968509</v>
      </c>
    </row>
    <row r="174" spans="1:12" ht="15" customHeight="1" x14ac:dyDescent="0.2">
      <c r="A174" s="28">
        <v>2025</v>
      </c>
      <c r="B174" s="4" t="s">
        <v>84</v>
      </c>
      <c r="C174" s="4" t="s">
        <v>90</v>
      </c>
      <c r="D174" s="29">
        <f>SISEPUEDE!E34</f>
        <v>0.63272025832568402</v>
      </c>
      <c r="E174" s="4" t="s">
        <v>38</v>
      </c>
      <c r="F174" s="4" t="s">
        <v>182</v>
      </c>
      <c r="H174" s="28">
        <v>2032</v>
      </c>
      <c r="I174" s="31">
        <f>MMcfd!M13</f>
        <v>3121.8629494562892</v>
      </c>
      <c r="J174" s="31">
        <f>MMcfd!N13</f>
        <v>1189.4208553417582</v>
      </c>
      <c r="K174" s="31">
        <f>MMcfd!O13</f>
        <v>1053.6949725586987</v>
      </c>
      <c r="L174" s="31">
        <f>MMcfd!P13</f>
        <v>3127.3391560178175</v>
      </c>
    </row>
    <row r="175" spans="1:12" ht="15" customHeight="1" x14ac:dyDescent="0.2">
      <c r="A175" s="28">
        <v>2026</v>
      </c>
      <c r="B175" s="4" t="s">
        <v>84</v>
      </c>
      <c r="C175" s="4" t="s">
        <v>90</v>
      </c>
      <c r="D175" s="29">
        <f>SISEPUEDE!E35</f>
        <v>0.98856707825508405</v>
      </c>
      <c r="E175" s="4" t="s">
        <v>38</v>
      </c>
      <c r="F175" s="4" t="s">
        <v>182</v>
      </c>
      <c r="H175" s="28">
        <v>2033</v>
      </c>
      <c r="I175" s="31">
        <f>MMcfd!M14</f>
        <v>3234.646409021263</v>
      </c>
      <c r="J175" s="31">
        <f>MMcfd!N14</f>
        <v>1259.8404051316336</v>
      </c>
      <c r="K175" s="31">
        <f>MMcfd!O14</f>
        <v>1068.1617851405692</v>
      </c>
      <c r="L175" s="31">
        <f>MMcfd!P14</f>
        <v>3234.65259406107</v>
      </c>
    </row>
    <row r="176" spans="1:12" ht="15" customHeight="1" x14ac:dyDescent="0.2">
      <c r="A176" s="28">
        <v>2027</v>
      </c>
      <c r="B176" s="4" t="s">
        <v>84</v>
      </c>
      <c r="C176" s="4" t="s">
        <v>90</v>
      </c>
      <c r="D176" s="29">
        <f>SISEPUEDE!E36</f>
        <v>1.3898016778167599</v>
      </c>
      <c r="E176" s="4" t="s">
        <v>38</v>
      </c>
      <c r="F176" s="4" t="s">
        <v>182</v>
      </c>
      <c r="H176" s="28">
        <v>2034</v>
      </c>
      <c r="I176" s="31">
        <f>MMcfd!M15</f>
        <v>3295.6236743331528</v>
      </c>
      <c r="J176" s="31">
        <f>MMcfd!N15</f>
        <v>1331.315025092083</v>
      </c>
      <c r="K176" s="31">
        <f>MMcfd!O15</f>
        <v>1083.0161084761787</v>
      </c>
      <c r="L176" s="31">
        <f>MMcfd!P15</f>
        <v>3295.62951714681</v>
      </c>
    </row>
    <row r="177" spans="1:12" ht="15" customHeight="1" x14ac:dyDescent="0.2">
      <c r="A177" s="28">
        <v>2028</v>
      </c>
      <c r="B177" s="4" t="s">
        <v>84</v>
      </c>
      <c r="C177" s="4" t="s">
        <v>90</v>
      </c>
      <c r="D177" s="29">
        <f>SISEPUEDE!E37</f>
        <v>1.84214978694815</v>
      </c>
      <c r="E177" s="4" t="s">
        <v>38</v>
      </c>
      <c r="F177" s="4" t="s">
        <v>182</v>
      </c>
      <c r="H177" s="28">
        <v>2035</v>
      </c>
      <c r="I177" s="31">
        <f>MMcfd!M16</f>
        <v>3320.8653744981989</v>
      </c>
      <c r="J177" s="31">
        <f>MMcfd!N16</f>
        <v>1404.017675030982</v>
      </c>
      <c r="K177" s="31">
        <f>MMcfd!O16</f>
        <v>1098.0654968622287</v>
      </c>
      <c r="L177" s="31">
        <f>MMcfd!P16</f>
        <v>3320.8708815184032</v>
      </c>
    </row>
    <row r="178" spans="1:12" ht="15" customHeight="1" x14ac:dyDescent="0.2">
      <c r="A178" s="28">
        <v>2029</v>
      </c>
      <c r="B178" s="4" t="s">
        <v>84</v>
      </c>
      <c r="C178" s="4" t="s">
        <v>90</v>
      </c>
      <c r="D178" s="29">
        <f>SISEPUEDE!E38</f>
        <v>2.3421410430488598</v>
      </c>
      <c r="E178" s="4" t="s">
        <v>38</v>
      </c>
      <c r="F178" s="4" t="s">
        <v>182</v>
      </c>
      <c r="H178" s="28">
        <v>2036</v>
      </c>
      <c r="I178" s="31">
        <f>MMcfd!M17</f>
        <v>3336.0877459556241</v>
      </c>
      <c r="J178" s="31">
        <f>MMcfd!N17</f>
        <v>1478.1229975762724</v>
      </c>
      <c r="K178" s="31">
        <f>MMcfd!O17</f>
        <v>1113.3163334751753</v>
      </c>
      <c r="L178" s="31">
        <f>MMcfd!P17</f>
        <v>3336.0929239427796</v>
      </c>
    </row>
    <row r="179" spans="1:12" ht="15" customHeight="1" x14ac:dyDescent="0.2">
      <c r="A179" s="28">
        <v>2030</v>
      </c>
      <c r="B179" s="4" t="s">
        <v>84</v>
      </c>
      <c r="C179" s="4" t="s">
        <v>90</v>
      </c>
      <c r="D179" s="29">
        <f>SISEPUEDE!E39</f>
        <v>2.8805418326832202</v>
      </c>
      <c r="E179" s="4" t="s">
        <v>38</v>
      </c>
      <c r="F179" s="4" t="s">
        <v>182</v>
      </c>
      <c r="H179" s="28">
        <v>2037</v>
      </c>
      <c r="I179" s="31">
        <f>MMcfd!M18</f>
        <v>3343.9317457933357</v>
      </c>
      <c r="J179" s="31">
        <f>MMcfd!N18</f>
        <v>1553.7937719825431</v>
      </c>
      <c r="K179" s="31">
        <f>MMcfd!O18</f>
        <v>1129.0883662760955</v>
      </c>
      <c r="L179" s="31">
        <f>MMcfd!P18</f>
        <v>3343.9366016629219</v>
      </c>
    </row>
    <row r="180" spans="1:12" ht="15" customHeight="1" x14ac:dyDescent="0.2">
      <c r="A180" s="28">
        <v>2031</v>
      </c>
      <c r="B180" s="4" t="s">
        <v>84</v>
      </c>
      <c r="C180" s="4" t="s">
        <v>90</v>
      </c>
      <c r="D180" s="29">
        <f>SISEPUEDE!E40</f>
        <v>3.4459888715190199</v>
      </c>
      <c r="E180" s="4" t="s">
        <v>38</v>
      </c>
      <c r="F180" s="4" t="s">
        <v>182</v>
      </c>
      <c r="H180" s="28">
        <v>2038</v>
      </c>
      <c r="I180" s="31">
        <f>MMcfd!M19</f>
        <v>3346.7184601806057</v>
      </c>
      <c r="J180" s="31">
        <f>MMcfd!N19</f>
        <v>1631.174097133073</v>
      </c>
      <c r="K180" s="31">
        <f>MMcfd!O19</f>
        <v>1145.5871194412189</v>
      </c>
      <c r="L180" s="31">
        <f>MMcfd!P19</f>
        <v>3346.72299828933</v>
      </c>
    </row>
    <row r="181" spans="1:12" ht="15" customHeight="1" x14ac:dyDescent="0.2">
      <c r="A181" s="28">
        <v>2032</v>
      </c>
      <c r="B181" s="4" t="s">
        <v>84</v>
      </c>
      <c r="C181" s="4" t="s">
        <v>90</v>
      </c>
      <c r="D181" s="29">
        <f>SISEPUEDE!E41</f>
        <v>4.0289862863409898</v>
      </c>
      <c r="E181" s="4" t="s">
        <v>38</v>
      </c>
      <c r="F181" s="4" t="s">
        <v>182</v>
      </c>
      <c r="H181" s="28">
        <v>2039</v>
      </c>
      <c r="I181" s="31">
        <f>MMcfd!M20</f>
        <v>3346.3728731911469</v>
      </c>
      <c r="J181" s="31">
        <f>MMcfd!N20</f>
        <v>1710.3873237286036</v>
      </c>
      <c r="K181" s="31">
        <f>MMcfd!O20</f>
        <v>1162.9723848598887</v>
      </c>
      <c r="L181" s="31">
        <f>MMcfd!P20</f>
        <v>3346.3771019911715</v>
      </c>
    </row>
    <row r="182" spans="1:12" ht="15" customHeight="1" x14ac:dyDescent="0.2">
      <c r="A182" s="28">
        <v>2033</v>
      </c>
      <c r="B182" s="4" t="s">
        <v>84</v>
      </c>
      <c r="C182" s="4" t="s">
        <v>90</v>
      </c>
      <c r="D182" s="29">
        <f>SISEPUEDE!E42</f>
        <v>4.6225837410291497</v>
      </c>
      <c r="E182" s="4" t="s">
        <v>38</v>
      </c>
      <c r="F182" s="4" t="s">
        <v>182</v>
      </c>
      <c r="H182" s="28">
        <v>2040</v>
      </c>
      <c r="I182" s="31">
        <f>MMcfd!M21</f>
        <v>3344.4107946686172</v>
      </c>
      <c r="J182" s="31">
        <f>MMcfd!N21</f>
        <v>1791.5370350897144</v>
      </c>
      <c r="K182" s="31">
        <f>MMcfd!O21</f>
        <v>1181.5920190280615</v>
      </c>
      <c r="L182" s="31">
        <f>MMcfd!P21</f>
        <v>3344.4147225982279</v>
      </c>
    </row>
    <row r="183" spans="1:12" ht="15" customHeight="1" x14ac:dyDescent="0.2">
      <c r="A183" s="28">
        <v>2034</v>
      </c>
      <c r="B183" s="4" t="s">
        <v>84</v>
      </c>
      <c r="C183" s="4" t="s">
        <v>90</v>
      </c>
      <c r="D183" s="29">
        <f>SISEPUEDE!E43</f>
        <v>5.2224606858407201</v>
      </c>
      <c r="E183" s="4" t="s">
        <v>38</v>
      </c>
      <c r="F183" s="4" t="s">
        <v>182</v>
      </c>
      <c r="H183" s="28">
        <v>2041</v>
      </c>
      <c r="I183" s="31">
        <f>MMcfd!M22</f>
        <v>3341.9633290247302</v>
      </c>
      <c r="J183" s="31">
        <f>MMcfd!N22</f>
        <v>1875.4505755356267</v>
      </c>
      <c r="K183" s="31">
        <f>MMcfd!O22</f>
        <v>1201.7699598676347</v>
      </c>
      <c r="L183" s="31">
        <f>MMcfd!P22</f>
        <v>3341.9669647076803</v>
      </c>
    </row>
    <row r="184" spans="1:12" ht="15" customHeight="1" x14ac:dyDescent="0.2">
      <c r="A184" s="28">
        <v>2035</v>
      </c>
      <c r="B184" s="4" t="s">
        <v>84</v>
      </c>
      <c r="C184" s="4" t="s">
        <v>90</v>
      </c>
      <c r="D184" s="29">
        <f>SISEPUEDE!E44</f>
        <v>5.8266534420748597</v>
      </c>
      <c r="E184" s="4" t="s">
        <v>38</v>
      </c>
      <c r="F184" s="4" t="s">
        <v>182</v>
      </c>
      <c r="H184" s="28">
        <v>2042</v>
      </c>
      <c r="I184" s="31">
        <f>MMcfd!M23</f>
        <v>3339.8188789378305</v>
      </c>
      <c r="J184" s="31">
        <f>MMcfd!N23</f>
        <v>1962.0960774336108</v>
      </c>
      <c r="K184" s="31">
        <f>MMcfd!O23</f>
        <v>1223.4967942014621</v>
      </c>
      <c r="L184" s="31">
        <f>MMcfd!P23</f>
        <v>3339.8222375413229</v>
      </c>
    </row>
    <row r="185" spans="1:12" ht="15" customHeight="1" x14ac:dyDescent="0.2">
      <c r="A185" s="28">
        <v>2036</v>
      </c>
      <c r="B185" s="4" t="s">
        <v>84</v>
      </c>
      <c r="C185" s="4" t="s">
        <v>90</v>
      </c>
      <c r="D185" s="29">
        <f>SISEPUEDE!E45</f>
        <v>6.4351093443777803</v>
      </c>
      <c r="E185" s="4" t="s">
        <v>38</v>
      </c>
      <c r="F185" s="4" t="s">
        <v>182</v>
      </c>
      <c r="H185" s="28">
        <v>2043</v>
      </c>
      <c r="I185" s="31">
        <f>MMcfd!M24</f>
        <v>3338.467987160469</v>
      </c>
      <c r="J185" s="31">
        <f>MMcfd!N24</f>
        <v>2051.0557249915241</v>
      </c>
      <c r="K185" s="31">
        <f>MMcfd!O24</f>
        <v>1247.2809884236892</v>
      </c>
      <c r="L185" s="31">
        <f>MMcfd!P24</f>
        <v>3338.4710768186214</v>
      </c>
    </row>
    <row r="186" spans="1:12" ht="15" customHeight="1" x14ac:dyDescent="0.2">
      <c r="A186" s="28">
        <v>2037</v>
      </c>
      <c r="B186" s="4" t="s">
        <v>84</v>
      </c>
      <c r="C186" s="4" t="s">
        <v>90</v>
      </c>
      <c r="D186" s="29">
        <f>SISEPUEDE!E46</f>
        <v>7.0491969973373099</v>
      </c>
      <c r="E186" s="4" t="s">
        <v>38</v>
      </c>
      <c r="F186" s="4" t="s">
        <v>182</v>
      </c>
      <c r="H186" s="28">
        <v>2044</v>
      </c>
      <c r="I186" s="31">
        <f>MMcfd!M25</f>
        <v>3338.0413887932805</v>
      </c>
      <c r="J186" s="31">
        <f>MMcfd!N25</f>
        <v>2142.3963833015341</v>
      </c>
      <c r="K186" s="31">
        <f>MMcfd!O25</f>
        <v>1273.1968099633066</v>
      </c>
      <c r="L186" s="31">
        <f>MMcfd!P25</f>
        <v>3338.0442644571035</v>
      </c>
    </row>
    <row r="187" spans="1:12" ht="15" customHeight="1" x14ac:dyDescent="0.2">
      <c r="A187" s="28">
        <v>2038</v>
      </c>
      <c r="B187" s="4" t="s">
        <v>84</v>
      </c>
      <c r="C187" s="4" t="s">
        <v>90</v>
      </c>
      <c r="D187" s="29">
        <f>SISEPUEDE!E47</f>
        <v>7.6712511211205898</v>
      </c>
      <c r="E187" s="4" t="s">
        <v>38</v>
      </c>
      <c r="F187" s="4" t="s">
        <v>182</v>
      </c>
      <c r="H187" s="28">
        <v>2045</v>
      </c>
      <c r="I187" s="31">
        <f>MMcfd!M26</f>
        <v>3338.2604409516312</v>
      </c>
      <c r="J187" s="31">
        <f>MMcfd!N26</f>
        <v>2236.1838841214903</v>
      </c>
      <c r="K187" s="31">
        <f>MMcfd!O26</f>
        <v>1301.2423023587912</v>
      </c>
      <c r="L187" s="31">
        <f>MMcfd!P26</f>
        <v>3338.2631016431724</v>
      </c>
    </row>
    <row r="188" spans="1:12" ht="15" customHeight="1" x14ac:dyDescent="0.2">
      <c r="A188" s="28">
        <v>2039</v>
      </c>
      <c r="B188" s="4" t="s">
        <v>84</v>
      </c>
      <c r="C188" s="4" t="s">
        <v>90</v>
      </c>
      <c r="D188" s="29">
        <f>SISEPUEDE!E48</f>
        <v>8.3040644986158796</v>
      </c>
      <c r="E188" s="4" t="s">
        <v>38</v>
      </c>
      <c r="F188" s="4" t="s">
        <v>182</v>
      </c>
      <c r="H188" s="28">
        <v>2046</v>
      </c>
      <c r="I188" s="31">
        <f>MMcfd!M27</f>
        <v>3339.8734070538576</v>
      </c>
      <c r="J188" s="31">
        <f>MMcfd!N27</f>
        <v>2332.4860033392297</v>
      </c>
      <c r="K188" s="31">
        <f>MMcfd!O27</f>
        <v>1331.3534559789964</v>
      </c>
      <c r="L188" s="31">
        <f>MMcfd!P27</f>
        <v>3339.875851933934</v>
      </c>
    </row>
    <row r="189" spans="1:12" ht="15" customHeight="1" x14ac:dyDescent="0.2">
      <c r="A189" s="28">
        <v>2040</v>
      </c>
      <c r="B189" s="4" t="s">
        <v>84</v>
      </c>
      <c r="C189" s="4" t="s">
        <v>90</v>
      </c>
      <c r="D189" s="29">
        <f>SISEPUEDE!E49</f>
        <v>8.9503327154504895</v>
      </c>
      <c r="E189" s="4" t="s">
        <v>38</v>
      </c>
      <c r="F189" s="4" t="s">
        <v>182</v>
      </c>
      <c r="H189" s="28">
        <v>2047</v>
      </c>
      <c r="I189" s="31">
        <f>MMcfd!M28</f>
        <v>3342.6776048486231</v>
      </c>
      <c r="J189" s="31">
        <f>MMcfd!N28</f>
        <v>2431.3746239489883</v>
      </c>
      <c r="K189" s="31">
        <f>MMcfd!O28</f>
        <v>1363.417734546771</v>
      </c>
      <c r="L189" s="31">
        <f>MMcfd!P28</f>
        <v>3342.6798332003104</v>
      </c>
    </row>
    <row r="190" spans="1:12" ht="15" customHeight="1" x14ac:dyDescent="0.2">
      <c r="A190" s="28">
        <v>2041</v>
      </c>
      <c r="B190" s="4" t="s">
        <v>84</v>
      </c>
      <c r="C190" s="4" t="s">
        <v>90</v>
      </c>
      <c r="D190" s="29">
        <f>SISEPUEDE!E50</f>
        <v>9.6121720811953502</v>
      </c>
      <c r="E190" s="4" t="s">
        <v>38</v>
      </c>
      <c r="F190" s="4" t="s">
        <v>182</v>
      </c>
      <c r="H190" s="28">
        <v>2048</v>
      </c>
      <c r="I190" s="31">
        <f>MMcfd!M29</f>
        <v>3344.4799061187073</v>
      </c>
      <c r="J190" s="31">
        <f>MMcfd!N29</f>
        <v>2532.9269852827269</v>
      </c>
      <c r="K190" s="31">
        <f>MMcfd!O29</f>
        <v>1397.2880104754611</v>
      </c>
      <c r="L190" s="31">
        <f>MMcfd!P29</f>
        <v>3344.4819173856072</v>
      </c>
    </row>
    <row r="191" spans="1:12" ht="15" customHeight="1" x14ac:dyDescent="0.2">
      <c r="A191" s="28">
        <v>2042</v>
      </c>
      <c r="B191" s="4" t="s">
        <v>84</v>
      </c>
      <c r="C191" s="4" t="s">
        <v>90</v>
      </c>
      <c r="D191" s="29">
        <f>SISEPUEDE!E51</f>
        <v>10.290680431615201</v>
      </c>
      <c r="E191" s="4" t="s">
        <v>38</v>
      </c>
      <c r="F191" s="4" t="s">
        <v>182</v>
      </c>
      <c r="H191" s="28">
        <v>2049</v>
      </c>
      <c r="I191" s="31">
        <f>MMcfd!M30</f>
        <v>3346.7341051091416</v>
      </c>
      <c r="J191" s="31">
        <f>MMcfd!N30</f>
        <v>2637.2258366398623</v>
      </c>
      <c r="K191" s="31">
        <f>MMcfd!O30</f>
        <v>1432.7986462934134</v>
      </c>
      <c r="L191" s="31">
        <f>MMcfd!P30</f>
        <v>3346.735898874128</v>
      </c>
    </row>
    <row r="192" spans="1:12" ht="15" customHeight="1" x14ac:dyDescent="0.2">
      <c r="A192" s="28">
        <v>2043</v>
      </c>
      <c r="B192" s="4" t="s">
        <v>84</v>
      </c>
      <c r="C192" s="4" t="s">
        <v>90</v>
      </c>
      <c r="D192" s="29">
        <f>SISEPUEDE!E52</f>
        <v>10.985936387668501</v>
      </c>
      <c r="E192" s="4" t="s">
        <v>38</v>
      </c>
      <c r="F192" s="4" t="s">
        <v>182</v>
      </c>
      <c r="H192" s="28">
        <v>2050</v>
      </c>
      <c r="I192" s="31">
        <f>MMcfd!M31</f>
        <v>3349.5770517207216</v>
      </c>
      <c r="J192" s="31">
        <f>MMcfd!N31</f>
        <v>2744.3583715811014</v>
      </c>
      <c r="K192" s="31">
        <f>MMcfd!O31</f>
        <v>1459.7820159591847</v>
      </c>
      <c r="L192" s="31">
        <f>MMcfd!P31</f>
        <v>3349.5786277061425</v>
      </c>
    </row>
    <row r="193" spans="1:6" ht="15" customHeight="1" x14ac:dyDescent="0.2">
      <c r="A193" s="28">
        <v>2044</v>
      </c>
      <c r="B193" s="4" t="s">
        <v>84</v>
      </c>
      <c r="C193" s="4" t="s">
        <v>90</v>
      </c>
      <c r="D193" s="29">
        <f>SISEPUEDE!E53</f>
        <v>11.697142303796801</v>
      </c>
      <c r="E193" s="4" t="s">
        <v>38</v>
      </c>
      <c r="F193" s="4" t="s">
        <v>182</v>
      </c>
    </row>
    <row r="194" spans="1:6" ht="15" customHeight="1" x14ac:dyDescent="0.2">
      <c r="A194" s="28">
        <v>2045</v>
      </c>
      <c r="B194" s="4" t="s">
        <v>84</v>
      </c>
      <c r="C194" s="4" t="s">
        <v>90</v>
      </c>
      <c r="D194" s="29">
        <f>SISEPUEDE!E54</f>
        <v>12.422762226444499</v>
      </c>
      <c r="E194" s="4" t="s">
        <v>38</v>
      </c>
      <c r="F194" s="4" t="s">
        <v>182</v>
      </c>
    </row>
    <row r="195" spans="1:6" ht="15" customHeight="1" x14ac:dyDescent="0.2">
      <c r="A195" s="28">
        <v>2046</v>
      </c>
      <c r="B195" s="4" t="s">
        <v>84</v>
      </c>
      <c r="C195" s="4" t="s">
        <v>90</v>
      </c>
      <c r="D195" s="29">
        <f>SISEPUEDE!E55</f>
        <v>13.160659821578999</v>
      </c>
      <c r="E195" s="4" t="s">
        <v>38</v>
      </c>
      <c r="F195" s="4" t="s">
        <v>182</v>
      </c>
    </row>
    <row r="196" spans="1:6" ht="15" customHeight="1" x14ac:dyDescent="0.2">
      <c r="A196" s="28">
        <v>2047</v>
      </c>
      <c r="B196" s="4" t="s">
        <v>84</v>
      </c>
      <c r="C196" s="4" t="s">
        <v>90</v>
      </c>
      <c r="D196" s="29">
        <f>SISEPUEDE!E56</f>
        <v>13.908251467663799</v>
      </c>
      <c r="E196" s="4" t="s">
        <v>38</v>
      </c>
      <c r="F196" s="4" t="s">
        <v>182</v>
      </c>
    </row>
    <row r="197" spans="1:6" ht="15" customHeight="1" x14ac:dyDescent="0.2">
      <c r="A197" s="28">
        <v>2048</v>
      </c>
      <c r="B197" s="4" t="s">
        <v>84</v>
      </c>
      <c r="C197" s="4" t="s">
        <v>90</v>
      </c>
      <c r="D197" s="29">
        <f>SISEPUEDE!E57</f>
        <v>14.6626985549319</v>
      </c>
      <c r="E197" s="4" t="s">
        <v>38</v>
      </c>
      <c r="F197" s="4" t="s">
        <v>182</v>
      </c>
    </row>
    <row r="198" spans="1:6" ht="15" customHeight="1" x14ac:dyDescent="0.2">
      <c r="A198" s="28">
        <v>2049</v>
      </c>
      <c r="B198" s="4" t="s">
        <v>84</v>
      </c>
      <c r="C198" s="4" t="s">
        <v>90</v>
      </c>
      <c r="D198" s="29">
        <f>SISEPUEDE!E58</f>
        <v>15.3042081342761</v>
      </c>
      <c r="E198" s="4" t="s">
        <v>38</v>
      </c>
      <c r="F198" s="4" t="s">
        <v>182</v>
      </c>
    </row>
    <row r="199" spans="1:6" ht="15" customHeight="1" x14ac:dyDescent="0.2">
      <c r="A199" s="28">
        <v>2050</v>
      </c>
      <c r="B199" s="4" t="s">
        <v>84</v>
      </c>
      <c r="C199" s="4" t="s">
        <v>90</v>
      </c>
      <c r="D199" s="29">
        <f>SISEPUEDE!E59</f>
        <v>15.740535788417301</v>
      </c>
      <c r="E199" s="4" t="s">
        <v>38</v>
      </c>
      <c r="F199" s="4" t="s">
        <v>182</v>
      </c>
    </row>
    <row r="200" spans="1:6" ht="15" customHeight="1" x14ac:dyDescent="0.2">
      <c r="A200" s="28">
        <v>2023</v>
      </c>
      <c r="B200" s="4" t="s">
        <v>85</v>
      </c>
      <c r="C200" s="4" t="s">
        <v>87</v>
      </c>
      <c r="D200" s="29">
        <f>SISEPUEDE!B60</f>
        <v>5.0812639999999991</v>
      </c>
      <c r="E200" s="4" t="s">
        <v>38</v>
      </c>
      <c r="F200" s="4" t="s">
        <v>182</v>
      </c>
    </row>
    <row r="201" spans="1:6" ht="15" customHeight="1" x14ac:dyDescent="0.2">
      <c r="A201" s="28">
        <v>2024</v>
      </c>
      <c r="B201" s="4" t="s">
        <v>85</v>
      </c>
      <c r="C201" s="4" t="s">
        <v>87</v>
      </c>
      <c r="D201" s="29">
        <f>SISEPUEDE!B61</f>
        <v>5.0553704440111638</v>
      </c>
      <c r="E201" s="4" t="s">
        <v>38</v>
      </c>
      <c r="F201" s="4" t="s">
        <v>182</v>
      </c>
    </row>
    <row r="202" spans="1:6" ht="15" customHeight="1" x14ac:dyDescent="0.2">
      <c r="A202" s="28">
        <v>2025</v>
      </c>
      <c r="B202" s="4" t="s">
        <v>85</v>
      </c>
      <c r="C202" s="4" t="s">
        <v>87</v>
      </c>
      <c r="D202" s="29">
        <f>SISEPUEDE!B62</f>
        <v>5.0620465006012836</v>
      </c>
      <c r="E202" s="4" t="s">
        <v>38</v>
      </c>
      <c r="F202" s="4" t="s">
        <v>182</v>
      </c>
    </row>
    <row r="203" spans="1:6" ht="15" customHeight="1" x14ac:dyDescent="0.2">
      <c r="A203" s="28">
        <v>2026</v>
      </c>
      <c r="B203" s="4" t="s">
        <v>85</v>
      </c>
      <c r="C203" s="4" t="s">
        <v>87</v>
      </c>
      <c r="D203" s="29">
        <f>SISEPUEDE!B63</f>
        <v>4.7591110960076604</v>
      </c>
      <c r="E203" s="4" t="s">
        <v>38</v>
      </c>
      <c r="F203" s="4" t="s">
        <v>182</v>
      </c>
    </row>
    <row r="204" spans="1:6" ht="15" customHeight="1" x14ac:dyDescent="0.2">
      <c r="A204" s="28">
        <v>2027</v>
      </c>
      <c r="B204" s="4" t="s">
        <v>85</v>
      </c>
      <c r="C204" s="4" t="s">
        <v>87</v>
      </c>
      <c r="D204" s="29">
        <f>SISEPUEDE!B64</f>
        <v>3.6752816771891643</v>
      </c>
      <c r="E204" s="4" t="s">
        <v>38</v>
      </c>
      <c r="F204" s="4" t="s">
        <v>182</v>
      </c>
    </row>
    <row r="205" spans="1:6" ht="15" customHeight="1" x14ac:dyDescent="0.2">
      <c r="A205" s="28">
        <v>2028</v>
      </c>
      <c r="B205" s="4" t="s">
        <v>85</v>
      </c>
      <c r="C205" s="4" t="s">
        <v>87</v>
      </c>
      <c r="D205" s="29">
        <f>SISEPUEDE!B65</f>
        <v>2.5089175239259625</v>
      </c>
      <c r="E205" s="4" t="s">
        <v>38</v>
      </c>
      <c r="F205" s="4" t="s">
        <v>182</v>
      </c>
    </row>
    <row r="206" spans="1:6" ht="15" customHeight="1" x14ac:dyDescent="0.2">
      <c r="A206" s="28">
        <v>2029</v>
      </c>
      <c r="B206" s="4" t="s">
        <v>85</v>
      </c>
      <c r="C206" s="4" t="s">
        <v>87</v>
      </c>
      <c r="D206" s="29">
        <f>SISEPUEDE!B66</f>
        <v>1.277917052765873</v>
      </c>
      <c r="E206" s="4" t="s">
        <v>38</v>
      </c>
      <c r="F206" s="4" t="s">
        <v>182</v>
      </c>
    </row>
    <row r="207" spans="1:6" ht="15" customHeight="1" x14ac:dyDescent="0.2">
      <c r="A207" s="28">
        <v>2030</v>
      </c>
      <c r="B207" s="4" t="s">
        <v>85</v>
      </c>
      <c r="C207" s="4" t="s">
        <v>87</v>
      </c>
      <c r="D207" s="29">
        <f>SISEPUEDE!B67</f>
        <v>1.2769885578680419E-3</v>
      </c>
      <c r="E207" s="4" t="s">
        <v>38</v>
      </c>
      <c r="F207" s="4" t="s">
        <v>182</v>
      </c>
    </row>
    <row r="208" spans="1:6" ht="15" customHeight="1" x14ac:dyDescent="0.2">
      <c r="A208" s="28">
        <v>2031</v>
      </c>
      <c r="B208" s="4" t="s">
        <v>85</v>
      </c>
      <c r="C208" s="4" t="s">
        <v>87</v>
      </c>
      <c r="D208" s="29">
        <f>SISEPUEDE!B68</f>
        <v>1.2115076660049015E-3</v>
      </c>
      <c r="E208" s="4" t="s">
        <v>38</v>
      </c>
      <c r="F208" s="4" t="s">
        <v>182</v>
      </c>
    </row>
    <row r="209" spans="1:6" ht="15" customHeight="1" x14ac:dyDescent="0.2">
      <c r="A209" s="28">
        <v>2032</v>
      </c>
      <c r="B209" s="4" t="s">
        <v>85</v>
      </c>
      <c r="C209" s="4" t="s">
        <v>87</v>
      </c>
      <c r="D209" s="29">
        <f>SISEPUEDE!B69</f>
        <v>1.1469655333959656E-3</v>
      </c>
      <c r="E209" s="4" t="s">
        <v>38</v>
      </c>
      <c r="F209" s="4" t="s">
        <v>182</v>
      </c>
    </row>
    <row r="210" spans="1:6" ht="15" customHeight="1" x14ac:dyDescent="0.2">
      <c r="A210" s="28">
        <v>2033</v>
      </c>
      <c r="B210" s="4" t="s">
        <v>85</v>
      </c>
      <c r="C210" s="4" t="s">
        <v>87</v>
      </c>
      <c r="D210" s="29">
        <f>SISEPUEDE!B70</f>
        <v>1.0835024658937705E-3</v>
      </c>
      <c r="E210" s="4" t="s">
        <v>38</v>
      </c>
      <c r="F210" s="4" t="s">
        <v>182</v>
      </c>
    </row>
    <row r="211" spans="1:6" ht="15" customHeight="1" x14ac:dyDescent="0.2">
      <c r="A211" s="28">
        <v>2034</v>
      </c>
      <c r="B211" s="4" t="s">
        <v>85</v>
      </c>
      <c r="C211" s="4" t="s">
        <v>87</v>
      </c>
      <c r="D211" s="29">
        <f>SISEPUEDE!B71</f>
        <v>1.0212322900121904E-3</v>
      </c>
      <c r="E211" s="4" t="s">
        <v>38</v>
      </c>
      <c r="F211" s="4" t="s">
        <v>182</v>
      </c>
    </row>
    <row r="212" spans="1:6" ht="15" customHeight="1" x14ac:dyDescent="0.2">
      <c r="A212" s="28">
        <v>2035</v>
      </c>
      <c r="B212" s="4" t="s">
        <v>85</v>
      </c>
      <c r="C212" s="4" t="s">
        <v>87</v>
      </c>
      <c r="D212" s="29">
        <f>SISEPUEDE!B72</f>
        <v>9.6021577626406946E-4</v>
      </c>
      <c r="E212" s="4" t="s">
        <v>38</v>
      </c>
      <c r="F212" s="4" t="s">
        <v>182</v>
      </c>
    </row>
    <row r="213" spans="1:6" ht="15" customHeight="1" x14ac:dyDescent="0.2">
      <c r="A213" s="28">
        <v>2036</v>
      </c>
      <c r="B213" s="4" t="s">
        <v>85</v>
      </c>
      <c r="C213" s="4" t="s">
        <v>87</v>
      </c>
      <c r="D213" s="29">
        <f>SISEPUEDE!B73</f>
        <v>9.0048168217851036E-4</v>
      </c>
      <c r="E213" s="4" t="s">
        <v>38</v>
      </c>
      <c r="F213" s="4" t="s">
        <v>182</v>
      </c>
    </row>
    <row r="214" spans="1:6" ht="15" customHeight="1" x14ac:dyDescent="0.2">
      <c r="A214" s="28">
        <v>2037</v>
      </c>
      <c r="B214" s="4" t="s">
        <v>85</v>
      </c>
      <c r="C214" s="4" t="s">
        <v>87</v>
      </c>
      <c r="D214" s="29">
        <f>SISEPUEDE!B74</f>
        <v>8.4155550425929222E-4</v>
      </c>
      <c r="E214" s="4" t="s">
        <v>38</v>
      </c>
      <c r="F214" s="4" t="s">
        <v>182</v>
      </c>
    </row>
    <row r="215" spans="1:6" ht="15" customHeight="1" x14ac:dyDescent="0.2">
      <c r="A215" s="28">
        <v>2038</v>
      </c>
      <c r="B215" s="4" t="s">
        <v>85</v>
      </c>
      <c r="C215" s="4" t="s">
        <v>87</v>
      </c>
      <c r="D215" s="29">
        <f>SISEPUEDE!B75</f>
        <v>7.841967112931197E-4</v>
      </c>
      <c r="E215" s="4" t="s">
        <v>38</v>
      </c>
      <c r="F215" s="4" t="s">
        <v>182</v>
      </c>
    </row>
    <row r="216" spans="1:6" ht="15" customHeight="1" x14ac:dyDescent="0.2">
      <c r="A216" s="28">
        <v>2039</v>
      </c>
      <c r="B216" s="4" t="s">
        <v>85</v>
      </c>
      <c r="C216" s="4" t="s">
        <v>87</v>
      </c>
      <c r="D216" s="29">
        <f>SISEPUEDE!B76</f>
        <v>7.2840273008067686E-4</v>
      </c>
      <c r="E216" s="4" t="s">
        <v>38</v>
      </c>
      <c r="F216" s="4" t="s">
        <v>182</v>
      </c>
    </row>
    <row r="217" spans="1:6" ht="15" customHeight="1" x14ac:dyDescent="0.2">
      <c r="A217" s="28">
        <v>2040</v>
      </c>
      <c r="B217" s="4" t="s">
        <v>85</v>
      </c>
      <c r="C217" s="4" t="s">
        <v>87</v>
      </c>
      <c r="D217" s="29">
        <f>SISEPUEDE!B77</f>
        <v>6.7420795402641258E-4</v>
      </c>
      <c r="E217" s="4" t="s">
        <v>38</v>
      </c>
      <c r="F217" s="4" t="s">
        <v>182</v>
      </c>
    </row>
    <row r="218" spans="1:6" ht="15" customHeight="1" x14ac:dyDescent="0.2">
      <c r="A218" s="28">
        <v>2041</v>
      </c>
      <c r="B218" s="4" t="s">
        <v>85</v>
      </c>
      <c r="C218" s="4" t="s">
        <v>87</v>
      </c>
      <c r="D218" s="29">
        <f>SISEPUEDE!B78</f>
        <v>6.2282581299725418E-4</v>
      </c>
      <c r="E218" s="4" t="s">
        <v>38</v>
      </c>
      <c r="F218" s="4" t="s">
        <v>182</v>
      </c>
    </row>
    <row r="219" spans="1:6" ht="15" customHeight="1" x14ac:dyDescent="0.2">
      <c r="A219" s="28">
        <v>2042</v>
      </c>
      <c r="B219" s="4" t="s">
        <v>85</v>
      </c>
      <c r="C219" s="4" t="s">
        <v>87</v>
      </c>
      <c r="D219" s="29">
        <f>SISEPUEDE!B79</f>
        <v>5.7295207815288146E-4</v>
      </c>
      <c r="E219" s="4" t="s">
        <v>38</v>
      </c>
      <c r="F219" s="4" t="s">
        <v>182</v>
      </c>
    </row>
    <row r="220" spans="1:6" ht="15" customHeight="1" x14ac:dyDescent="0.2">
      <c r="A220" s="28">
        <v>2043</v>
      </c>
      <c r="B220" s="4" t="s">
        <v>85</v>
      </c>
      <c r="C220" s="4" t="s">
        <v>87</v>
      </c>
      <c r="D220" s="29">
        <f>SISEPUEDE!B80</f>
        <v>5.3326856312041644E-4</v>
      </c>
      <c r="E220" s="4" t="s">
        <v>38</v>
      </c>
      <c r="F220" s="4" t="s">
        <v>182</v>
      </c>
    </row>
    <row r="221" spans="1:6" ht="15" customHeight="1" x14ac:dyDescent="0.2">
      <c r="A221" s="28">
        <v>2044</v>
      </c>
      <c r="B221" s="4" t="s">
        <v>85</v>
      </c>
      <c r="C221" s="4" t="s">
        <v>87</v>
      </c>
      <c r="D221" s="29">
        <f>SISEPUEDE!B81</f>
        <v>4.934036947358459E-4</v>
      </c>
      <c r="E221" s="4" t="s">
        <v>38</v>
      </c>
      <c r="F221" s="4" t="s">
        <v>182</v>
      </c>
    </row>
    <row r="222" spans="1:6" ht="15" customHeight="1" x14ac:dyDescent="0.2">
      <c r="A222" s="28">
        <v>2045</v>
      </c>
      <c r="B222" s="4" t="s">
        <v>85</v>
      </c>
      <c r="C222" s="4" t="s">
        <v>87</v>
      </c>
      <c r="D222" s="29">
        <f>SISEPUEDE!B82</f>
        <v>4.5338320664467855E-4</v>
      </c>
      <c r="E222" s="4" t="s">
        <v>38</v>
      </c>
      <c r="F222" s="4" t="s">
        <v>182</v>
      </c>
    </row>
    <row r="223" spans="1:6" ht="15" customHeight="1" x14ac:dyDescent="0.2">
      <c r="A223" s="28">
        <v>2046</v>
      </c>
      <c r="B223" s="4" t="s">
        <v>85</v>
      </c>
      <c r="C223" s="4" t="s">
        <v>87</v>
      </c>
      <c r="D223" s="29">
        <f>SISEPUEDE!B83</f>
        <v>4.1322977074693989E-4</v>
      </c>
      <c r="E223" s="4" t="s">
        <v>38</v>
      </c>
      <c r="F223" s="4" t="s">
        <v>182</v>
      </c>
    </row>
    <row r="224" spans="1:6" ht="15" customHeight="1" x14ac:dyDescent="0.2">
      <c r="A224" s="28">
        <v>2047</v>
      </c>
      <c r="B224" s="4" t="s">
        <v>85</v>
      </c>
      <c r="C224" s="4" t="s">
        <v>87</v>
      </c>
      <c r="D224" s="29">
        <f>SISEPUEDE!B84</f>
        <v>3.729731553399491E-4</v>
      </c>
      <c r="E224" s="4" t="s">
        <v>38</v>
      </c>
      <c r="F224" s="4" t="s">
        <v>182</v>
      </c>
    </row>
    <row r="225" spans="1:6" ht="15" customHeight="1" x14ac:dyDescent="0.2">
      <c r="A225" s="28">
        <v>2048</v>
      </c>
      <c r="B225" s="4" t="s">
        <v>85</v>
      </c>
      <c r="C225" s="4" t="s">
        <v>87</v>
      </c>
      <c r="D225" s="29">
        <f>SISEPUEDE!B85</f>
        <v>3.3263918721367888E-4</v>
      </c>
      <c r="E225" s="4" t="s">
        <v>38</v>
      </c>
      <c r="F225" s="4" t="s">
        <v>182</v>
      </c>
    </row>
    <row r="226" spans="1:6" ht="15" customHeight="1" x14ac:dyDescent="0.2">
      <c r="A226" s="28">
        <v>2049</v>
      </c>
      <c r="B226" s="4" t="s">
        <v>85</v>
      </c>
      <c r="C226" s="4" t="s">
        <v>87</v>
      </c>
      <c r="D226" s="29">
        <f>SISEPUEDE!B86</f>
        <v>2.9225373081426194E-4</v>
      </c>
      <c r="E226" s="4" t="s">
        <v>38</v>
      </c>
      <c r="F226" s="4" t="s">
        <v>182</v>
      </c>
    </row>
    <row r="227" spans="1:6" ht="15" customHeight="1" x14ac:dyDescent="0.2">
      <c r="A227" s="28">
        <v>2050</v>
      </c>
      <c r="B227" s="4" t="s">
        <v>85</v>
      </c>
      <c r="C227" s="4" t="s">
        <v>87</v>
      </c>
      <c r="D227" s="29">
        <f>SISEPUEDE!B87</f>
        <v>2.5184032437704587E-4</v>
      </c>
      <c r="E227" s="4" t="s">
        <v>38</v>
      </c>
      <c r="F227" s="4" t="s">
        <v>182</v>
      </c>
    </row>
    <row r="228" spans="1:6" ht="15" customHeight="1" x14ac:dyDescent="0.2">
      <c r="A228" s="28">
        <v>2023</v>
      </c>
      <c r="B228" s="4" t="s">
        <v>85</v>
      </c>
      <c r="C228" s="4" t="s">
        <v>88</v>
      </c>
      <c r="D228" s="29">
        <f>SISEPUEDE!C60</f>
        <v>15.67624</v>
      </c>
      <c r="E228" s="4" t="s">
        <v>38</v>
      </c>
      <c r="F228" s="4" t="s">
        <v>182</v>
      </c>
    </row>
    <row r="229" spans="1:6" ht="15" customHeight="1" x14ac:dyDescent="0.2">
      <c r="A229" s="28">
        <v>2024</v>
      </c>
      <c r="B229" s="4" t="s">
        <v>85</v>
      </c>
      <c r="C229" s="4" t="s">
        <v>88</v>
      </c>
      <c r="D229" s="29">
        <f>SISEPUEDE!C61</f>
        <v>15.736640853369334</v>
      </c>
      <c r="E229" s="4" t="s">
        <v>38</v>
      </c>
      <c r="F229" s="4" t="s">
        <v>182</v>
      </c>
    </row>
    <row r="230" spans="1:6" ht="15" customHeight="1" x14ac:dyDescent="0.2">
      <c r="A230" s="28">
        <v>2025</v>
      </c>
      <c r="B230" s="4" t="s">
        <v>85</v>
      </c>
      <c r="C230" s="4" t="s">
        <v>88</v>
      </c>
      <c r="D230" s="29">
        <f>SISEPUEDE!C62</f>
        <v>15.776636434903947</v>
      </c>
      <c r="E230" s="4" t="s">
        <v>38</v>
      </c>
      <c r="F230" s="4" t="s">
        <v>182</v>
      </c>
    </row>
    <row r="231" spans="1:6" ht="15" customHeight="1" x14ac:dyDescent="0.2">
      <c r="A231" s="28">
        <v>2026</v>
      </c>
      <c r="B231" s="4" t="s">
        <v>85</v>
      </c>
      <c r="C231" s="4" t="s">
        <v>88</v>
      </c>
      <c r="D231" s="29">
        <f>SISEPUEDE!C63</f>
        <v>13.176014060524061</v>
      </c>
      <c r="E231" s="4" t="s">
        <v>38</v>
      </c>
      <c r="F231" s="4" t="s">
        <v>182</v>
      </c>
    </row>
    <row r="232" spans="1:6" ht="15" customHeight="1" x14ac:dyDescent="0.2">
      <c r="A232" s="28">
        <v>2027</v>
      </c>
      <c r="B232" s="4" t="s">
        <v>85</v>
      </c>
      <c r="C232" s="4" t="s">
        <v>88</v>
      </c>
      <c r="D232" s="29">
        <f>SISEPUEDE!C64</f>
        <v>10.532474121144864</v>
      </c>
      <c r="E232" s="4" t="s">
        <v>38</v>
      </c>
      <c r="F232" s="4" t="s">
        <v>182</v>
      </c>
    </row>
    <row r="233" spans="1:6" ht="15" customHeight="1" x14ac:dyDescent="0.2">
      <c r="A233" s="28">
        <v>2028</v>
      </c>
      <c r="B233" s="4" t="s">
        <v>85</v>
      </c>
      <c r="C233" s="4" t="s">
        <v>88</v>
      </c>
      <c r="D233" s="29">
        <f>SISEPUEDE!C65</f>
        <v>7.8702805724203584</v>
      </c>
      <c r="E233" s="4" t="s">
        <v>38</v>
      </c>
      <c r="F233" s="4" t="s">
        <v>182</v>
      </c>
    </row>
    <row r="234" spans="1:6" ht="15" customHeight="1" x14ac:dyDescent="0.2">
      <c r="A234" s="28">
        <v>2029</v>
      </c>
      <c r="B234" s="4" t="s">
        <v>85</v>
      </c>
      <c r="C234" s="4" t="s">
        <v>88</v>
      </c>
      <c r="D234" s="29">
        <f>SISEPUEDE!C66</f>
        <v>5.2977570405695804</v>
      </c>
      <c r="E234" s="4" t="s">
        <v>38</v>
      </c>
      <c r="F234" s="4" t="s">
        <v>182</v>
      </c>
    </row>
    <row r="235" spans="1:6" ht="15" customHeight="1" x14ac:dyDescent="0.2">
      <c r="A235" s="28">
        <v>2030</v>
      </c>
      <c r="B235" s="4" t="s">
        <v>85</v>
      </c>
      <c r="C235" s="4" t="s">
        <v>88</v>
      </c>
      <c r="D235" s="29">
        <f>SISEPUEDE!C67</f>
        <v>2.9669799487139477</v>
      </c>
      <c r="E235" s="4" t="s">
        <v>38</v>
      </c>
      <c r="F235" s="4" t="s">
        <v>182</v>
      </c>
    </row>
    <row r="236" spans="1:6" ht="15" customHeight="1" x14ac:dyDescent="0.2">
      <c r="A236" s="28">
        <v>2031</v>
      </c>
      <c r="B236" s="4" t="s">
        <v>85</v>
      </c>
      <c r="C236" s="4" t="s">
        <v>88</v>
      </c>
      <c r="D236" s="29">
        <f>SISEPUEDE!C68</f>
        <v>1.0143066418962705</v>
      </c>
      <c r="E236" s="4" t="s">
        <v>38</v>
      </c>
      <c r="F236" s="4" t="s">
        <v>182</v>
      </c>
    </row>
    <row r="237" spans="1:6" ht="15" customHeight="1" x14ac:dyDescent="0.2">
      <c r="A237" s="28">
        <v>2032</v>
      </c>
      <c r="B237" s="4" t="s">
        <v>85</v>
      </c>
      <c r="C237" s="4" t="s">
        <v>88</v>
      </c>
      <c r="D237" s="29">
        <f>SISEPUEDE!C69</f>
        <v>0</v>
      </c>
      <c r="E237" s="4" t="s">
        <v>38</v>
      </c>
      <c r="F237" s="4" t="s">
        <v>182</v>
      </c>
    </row>
    <row r="238" spans="1:6" ht="15" customHeight="1" x14ac:dyDescent="0.2">
      <c r="A238" s="28">
        <v>2033</v>
      </c>
      <c r="B238" s="4" t="s">
        <v>85</v>
      </c>
      <c r="C238" s="4" t="s">
        <v>88</v>
      </c>
      <c r="D238" s="29">
        <f>SISEPUEDE!C70</f>
        <v>0</v>
      </c>
      <c r="E238" s="4" t="s">
        <v>38</v>
      </c>
      <c r="F238" s="4" t="s">
        <v>182</v>
      </c>
    </row>
    <row r="239" spans="1:6" ht="15" customHeight="1" x14ac:dyDescent="0.2">
      <c r="A239" s="28">
        <v>2034</v>
      </c>
      <c r="B239" s="4" t="s">
        <v>85</v>
      </c>
      <c r="C239" s="4" t="s">
        <v>88</v>
      </c>
      <c r="D239" s="29">
        <f>SISEPUEDE!C71</f>
        <v>0</v>
      </c>
      <c r="E239" s="4" t="s">
        <v>38</v>
      </c>
      <c r="F239" s="4" t="s">
        <v>182</v>
      </c>
    </row>
    <row r="240" spans="1:6" ht="15" customHeight="1" x14ac:dyDescent="0.2">
      <c r="A240" s="28">
        <v>2035</v>
      </c>
      <c r="B240" s="4" t="s">
        <v>85</v>
      </c>
      <c r="C240" s="4" t="s">
        <v>88</v>
      </c>
      <c r="D240" s="29">
        <f>SISEPUEDE!C72</f>
        <v>0</v>
      </c>
      <c r="E240" s="4" t="s">
        <v>38</v>
      </c>
      <c r="F240" s="4" t="s">
        <v>182</v>
      </c>
    </row>
    <row r="241" spans="1:6" ht="15" customHeight="1" x14ac:dyDescent="0.2">
      <c r="A241" s="28">
        <v>2036</v>
      </c>
      <c r="B241" s="4" t="s">
        <v>85</v>
      </c>
      <c r="C241" s="4" t="s">
        <v>88</v>
      </c>
      <c r="D241" s="29">
        <f>SISEPUEDE!C73</f>
        <v>0</v>
      </c>
      <c r="E241" s="4" t="s">
        <v>38</v>
      </c>
      <c r="F241" s="4" t="s">
        <v>182</v>
      </c>
    </row>
    <row r="242" spans="1:6" ht="15" customHeight="1" x14ac:dyDescent="0.2">
      <c r="A242" s="28">
        <v>2037</v>
      </c>
      <c r="B242" s="4" t="s">
        <v>85</v>
      </c>
      <c r="C242" s="4" t="s">
        <v>88</v>
      </c>
      <c r="D242" s="29">
        <f>SISEPUEDE!C74</f>
        <v>0</v>
      </c>
      <c r="E242" s="4" t="s">
        <v>38</v>
      </c>
      <c r="F242" s="4" t="s">
        <v>182</v>
      </c>
    </row>
    <row r="243" spans="1:6" ht="15" customHeight="1" x14ac:dyDescent="0.2">
      <c r="A243" s="28">
        <v>2038</v>
      </c>
      <c r="B243" s="4" t="s">
        <v>85</v>
      </c>
      <c r="C243" s="4" t="s">
        <v>88</v>
      </c>
      <c r="D243" s="29">
        <f>SISEPUEDE!C75</f>
        <v>0</v>
      </c>
      <c r="E243" s="4" t="s">
        <v>38</v>
      </c>
      <c r="F243" s="4" t="s">
        <v>182</v>
      </c>
    </row>
    <row r="244" spans="1:6" ht="15" customHeight="1" x14ac:dyDescent="0.2">
      <c r="A244" s="28">
        <v>2039</v>
      </c>
      <c r="B244" s="4" t="s">
        <v>85</v>
      </c>
      <c r="C244" s="4" t="s">
        <v>88</v>
      </c>
      <c r="D244" s="29">
        <f>SISEPUEDE!C76</f>
        <v>0</v>
      </c>
      <c r="E244" s="4" t="s">
        <v>38</v>
      </c>
      <c r="F244" s="4" t="s">
        <v>182</v>
      </c>
    </row>
    <row r="245" spans="1:6" ht="15" customHeight="1" x14ac:dyDescent="0.2">
      <c r="A245" s="28">
        <v>2040</v>
      </c>
      <c r="B245" s="4" t="s">
        <v>85</v>
      </c>
      <c r="C245" s="4" t="s">
        <v>88</v>
      </c>
      <c r="D245" s="29">
        <f>SISEPUEDE!C77</f>
        <v>0</v>
      </c>
      <c r="E245" s="4" t="s">
        <v>38</v>
      </c>
      <c r="F245" s="4" t="s">
        <v>182</v>
      </c>
    </row>
    <row r="246" spans="1:6" ht="15" customHeight="1" x14ac:dyDescent="0.2">
      <c r="A246" s="28">
        <v>2041</v>
      </c>
      <c r="B246" s="4" t="s">
        <v>85</v>
      </c>
      <c r="C246" s="4" t="s">
        <v>88</v>
      </c>
      <c r="D246" s="29">
        <f>SISEPUEDE!C78</f>
        <v>0</v>
      </c>
      <c r="E246" s="4" t="s">
        <v>38</v>
      </c>
      <c r="F246" s="4" t="s">
        <v>182</v>
      </c>
    </row>
    <row r="247" spans="1:6" ht="15" customHeight="1" x14ac:dyDescent="0.2">
      <c r="A247" s="28">
        <v>2042</v>
      </c>
      <c r="B247" s="4" t="s">
        <v>85</v>
      </c>
      <c r="C247" s="4" t="s">
        <v>88</v>
      </c>
      <c r="D247" s="29">
        <f>SISEPUEDE!C79</f>
        <v>0</v>
      </c>
      <c r="E247" s="4" t="s">
        <v>38</v>
      </c>
      <c r="F247" s="4" t="s">
        <v>182</v>
      </c>
    </row>
    <row r="248" spans="1:6" ht="15" customHeight="1" x14ac:dyDescent="0.2">
      <c r="A248" s="28">
        <v>2043</v>
      </c>
      <c r="B248" s="4" t="s">
        <v>85</v>
      </c>
      <c r="C248" s="4" t="s">
        <v>88</v>
      </c>
      <c r="D248" s="29">
        <f>SISEPUEDE!C80</f>
        <v>0</v>
      </c>
      <c r="E248" s="4" t="s">
        <v>38</v>
      </c>
      <c r="F248" s="4" t="s">
        <v>182</v>
      </c>
    </row>
    <row r="249" spans="1:6" ht="15" customHeight="1" x14ac:dyDescent="0.2">
      <c r="A249" s="28">
        <v>2044</v>
      </c>
      <c r="B249" s="4" t="s">
        <v>85</v>
      </c>
      <c r="C249" s="4" t="s">
        <v>88</v>
      </c>
      <c r="D249" s="29">
        <f>SISEPUEDE!C81</f>
        <v>0</v>
      </c>
      <c r="E249" s="4" t="s">
        <v>38</v>
      </c>
      <c r="F249" s="4" t="s">
        <v>182</v>
      </c>
    </row>
    <row r="250" spans="1:6" ht="15" customHeight="1" x14ac:dyDescent="0.2">
      <c r="A250" s="28">
        <v>2045</v>
      </c>
      <c r="B250" s="4" t="s">
        <v>85</v>
      </c>
      <c r="C250" s="4" t="s">
        <v>88</v>
      </c>
      <c r="D250" s="29">
        <f>SISEPUEDE!C82</f>
        <v>0</v>
      </c>
      <c r="E250" s="4" t="s">
        <v>38</v>
      </c>
      <c r="F250" s="4" t="s">
        <v>182</v>
      </c>
    </row>
    <row r="251" spans="1:6" ht="15" customHeight="1" x14ac:dyDescent="0.2">
      <c r="A251" s="28">
        <v>2046</v>
      </c>
      <c r="B251" s="4" t="s">
        <v>85</v>
      </c>
      <c r="C251" s="4" t="s">
        <v>88</v>
      </c>
      <c r="D251" s="29">
        <f>SISEPUEDE!C83</f>
        <v>0</v>
      </c>
      <c r="E251" s="4" t="s">
        <v>38</v>
      </c>
      <c r="F251" s="4" t="s">
        <v>182</v>
      </c>
    </row>
    <row r="252" spans="1:6" ht="15" customHeight="1" x14ac:dyDescent="0.2">
      <c r="A252" s="28">
        <v>2047</v>
      </c>
      <c r="B252" s="4" t="s">
        <v>85</v>
      </c>
      <c r="C252" s="4" t="s">
        <v>88</v>
      </c>
      <c r="D252" s="29">
        <f>SISEPUEDE!C84</f>
        <v>0</v>
      </c>
      <c r="E252" s="4" t="s">
        <v>38</v>
      </c>
      <c r="F252" s="4" t="s">
        <v>182</v>
      </c>
    </row>
    <row r="253" spans="1:6" ht="15" customHeight="1" x14ac:dyDescent="0.2">
      <c r="A253" s="28">
        <v>2048</v>
      </c>
      <c r="B253" s="4" t="s">
        <v>85</v>
      </c>
      <c r="C253" s="4" t="s">
        <v>88</v>
      </c>
      <c r="D253" s="29">
        <f>SISEPUEDE!C85</f>
        <v>0</v>
      </c>
      <c r="E253" s="4" t="s">
        <v>38</v>
      </c>
      <c r="F253" s="4" t="s">
        <v>182</v>
      </c>
    </row>
    <row r="254" spans="1:6" ht="15" customHeight="1" x14ac:dyDescent="0.2">
      <c r="A254" s="28">
        <v>2049</v>
      </c>
      <c r="B254" s="4" t="s">
        <v>85</v>
      </c>
      <c r="C254" s="4" t="s">
        <v>88</v>
      </c>
      <c r="D254" s="29">
        <f>SISEPUEDE!C86</f>
        <v>0</v>
      </c>
      <c r="E254" s="4" t="s">
        <v>38</v>
      </c>
      <c r="F254" s="4" t="s">
        <v>182</v>
      </c>
    </row>
    <row r="255" spans="1:6" ht="15" customHeight="1" x14ac:dyDescent="0.2">
      <c r="A255" s="28">
        <v>2050</v>
      </c>
      <c r="B255" s="4" t="s">
        <v>85</v>
      </c>
      <c r="C255" s="4" t="s">
        <v>88</v>
      </c>
      <c r="D255" s="29">
        <f>SISEPUEDE!C87</f>
        <v>0</v>
      </c>
      <c r="E255" s="4" t="s">
        <v>38</v>
      </c>
      <c r="F255" s="4" t="s">
        <v>182</v>
      </c>
    </row>
    <row r="256" spans="1:6" ht="15" customHeight="1" x14ac:dyDescent="0.2">
      <c r="A256" s="28">
        <v>2023</v>
      </c>
      <c r="B256" s="4" t="s">
        <v>85</v>
      </c>
      <c r="C256" s="4" t="s">
        <v>89</v>
      </c>
      <c r="D256" s="29">
        <f>SISEPUEDE!D60</f>
        <v>6.2704959999999996</v>
      </c>
      <c r="E256" s="4" t="s">
        <v>38</v>
      </c>
      <c r="F256" s="4" t="s">
        <v>182</v>
      </c>
    </row>
    <row r="257" spans="1:6" ht="15" customHeight="1" x14ac:dyDescent="0.2">
      <c r="A257" s="28">
        <v>2024</v>
      </c>
      <c r="B257" s="4" t="s">
        <v>85</v>
      </c>
      <c r="C257" s="4" t="s">
        <v>89</v>
      </c>
      <c r="D257" s="29">
        <f>SISEPUEDE!D61</f>
        <v>6.3035504274794398</v>
      </c>
      <c r="E257" s="4" t="s">
        <v>38</v>
      </c>
      <c r="F257" s="4" t="s">
        <v>182</v>
      </c>
    </row>
    <row r="258" spans="1:6" ht="15" customHeight="1" x14ac:dyDescent="0.2">
      <c r="A258" s="28">
        <v>2025</v>
      </c>
      <c r="B258" s="4" t="s">
        <v>85</v>
      </c>
      <c r="C258" s="4" t="s">
        <v>89</v>
      </c>
      <c r="D258" s="29">
        <f>SISEPUEDE!D62</f>
        <v>6.3266896421547862</v>
      </c>
      <c r="E258" s="4" t="s">
        <v>38</v>
      </c>
      <c r="F258" s="4" t="s">
        <v>182</v>
      </c>
    </row>
    <row r="259" spans="1:6" ht="15" customHeight="1" x14ac:dyDescent="0.2">
      <c r="A259" s="28">
        <v>2026</v>
      </c>
      <c r="B259" s="4" t="s">
        <v>85</v>
      </c>
      <c r="C259" s="4" t="s">
        <v>89</v>
      </c>
      <c r="D259" s="29">
        <f>SISEPUEDE!D63</f>
        <v>2.6300293210626839</v>
      </c>
      <c r="E259" s="4" t="s">
        <v>38</v>
      </c>
      <c r="F259" s="4" t="s">
        <v>182</v>
      </c>
    </row>
    <row r="260" spans="1:6" ht="15" customHeight="1" x14ac:dyDescent="0.2">
      <c r="A260" s="28">
        <v>2027</v>
      </c>
      <c r="B260" s="4" t="s">
        <v>85</v>
      </c>
      <c r="C260" s="4" t="s">
        <v>89</v>
      </c>
      <c r="D260" s="29">
        <f>SISEPUEDE!D64</f>
        <v>0.27227935321020302</v>
      </c>
      <c r="E260" s="4" t="s">
        <v>38</v>
      </c>
      <c r="F260" s="4" t="s">
        <v>182</v>
      </c>
    </row>
    <row r="261" spans="1:6" ht="15" customHeight="1" x14ac:dyDescent="0.2">
      <c r="A261" s="28">
        <v>2028</v>
      </c>
      <c r="B261" s="4" t="s">
        <v>85</v>
      </c>
      <c r="C261" s="4" t="s">
        <v>89</v>
      </c>
      <c r="D261" s="29">
        <f>SISEPUEDE!D65</f>
        <v>2.2826172082418772E-2</v>
      </c>
      <c r="E261" s="4" t="s">
        <v>38</v>
      </c>
      <c r="F261" s="4" t="s">
        <v>182</v>
      </c>
    </row>
    <row r="262" spans="1:6" ht="15" customHeight="1" x14ac:dyDescent="0.2">
      <c r="A262" s="28">
        <v>2029</v>
      </c>
      <c r="B262" s="4" t="s">
        <v>85</v>
      </c>
      <c r="C262" s="4" t="s">
        <v>89</v>
      </c>
      <c r="D262" s="29">
        <f>SISEPUEDE!D66</f>
        <v>4.3303547812141878E-3</v>
      </c>
      <c r="E262" s="4" t="s">
        <v>38</v>
      </c>
      <c r="F262" s="4" t="s">
        <v>182</v>
      </c>
    </row>
    <row r="263" spans="1:6" ht="15" customHeight="1" x14ac:dyDescent="0.2">
      <c r="A263" s="28">
        <v>2030</v>
      </c>
      <c r="B263" s="4" t="s">
        <v>85</v>
      </c>
      <c r="C263" s="4" t="s">
        <v>89</v>
      </c>
      <c r="D263" s="29">
        <f>SISEPUEDE!D67</f>
        <v>0</v>
      </c>
      <c r="E263" s="4" t="s">
        <v>38</v>
      </c>
      <c r="F263" s="4" t="s">
        <v>182</v>
      </c>
    </row>
    <row r="264" spans="1:6" ht="15" customHeight="1" x14ac:dyDescent="0.2">
      <c r="A264" s="28">
        <v>2031</v>
      </c>
      <c r="B264" s="4" t="s">
        <v>85</v>
      </c>
      <c r="C264" s="4" t="s">
        <v>89</v>
      </c>
      <c r="D264" s="29">
        <f>SISEPUEDE!D68</f>
        <v>0</v>
      </c>
      <c r="E264" s="4" t="s">
        <v>38</v>
      </c>
      <c r="F264" s="4" t="s">
        <v>182</v>
      </c>
    </row>
    <row r="265" spans="1:6" ht="15" customHeight="1" x14ac:dyDescent="0.2">
      <c r="A265" s="28">
        <v>2032</v>
      </c>
      <c r="B265" s="4" t="s">
        <v>85</v>
      </c>
      <c r="C265" s="4" t="s">
        <v>89</v>
      </c>
      <c r="D265" s="29">
        <f>SISEPUEDE!D69</f>
        <v>0</v>
      </c>
      <c r="E265" s="4" t="s">
        <v>38</v>
      </c>
      <c r="F265" s="4" t="s">
        <v>182</v>
      </c>
    </row>
    <row r="266" spans="1:6" ht="15" customHeight="1" x14ac:dyDescent="0.2">
      <c r="A266" s="28">
        <v>2033</v>
      </c>
      <c r="B266" s="4" t="s">
        <v>85</v>
      </c>
      <c r="C266" s="4" t="s">
        <v>89</v>
      </c>
      <c r="D266" s="29">
        <f>SISEPUEDE!D70</f>
        <v>0</v>
      </c>
      <c r="E266" s="4" t="s">
        <v>38</v>
      </c>
      <c r="F266" s="4" t="s">
        <v>182</v>
      </c>
    </row>
    <row r="267" spans="1:6" ht="15" customHeight="1" x14ac:dyDescent="0.2">
      <c r="A267" s="28">
        <v>2034</v>
      </c>
      <c r="B267" s="4" t="s">
        <v>85</v>
      </c>
      <c r="C267" s="4" t="s">
        <v>89</v>
      </c>
      <c r="D267" s="29">
        <f>SISEPUEDE!D71</f>
        <v>0</v>
      </c>
      <c r="E267" s="4" t="s">
        <v>38</v>
      </c>
      <c r="F267" s="4" t="s">
        <v>182</v>
      </c>
    </row>
    <row r="268" spans="1:6" ht="15" customHeight="1" x14ac:dyDescent="0.2">
      <c r="A268" s="28">
        <v>2035</v>
      </c>
      <c r="B268" s="4" t="s">
        <v>85</v>
      </c>
      <c r="C268" s="4" t="s">
        <v>89</v>
      </c>
      <c r="D268" s="29">
        <f>SISEPUEDE!D72</f>
        <v>0</v>
      </c>
      <c r="E268" s="4" t="s">
        <v>38</v>
      </c>
      <c r="F268" s="4" t="s">
        <v>182</v>
      </c>
    </row>
    <row r="269" spans="1:6" ht="15" customHeight="1" x14ac:dyDescent="0.2">
      <c r="A269" s="28">
        <v>2036</v>
      </c>
      <c r="B269" s="4" t="s">
        <v>85</v>
      </c>
      <c r="C269" s="4" t="s">
        <v>89</v>
      </c>
      <c r="D269" s="29">
        <f>SISEPUEDE!D73</f>
        <v>0</v>
      </c>
      <c r="E269" s="4" t="s">
        <v>38</v>
      </c>
      <c r="F269" s="4" t="s">
        <v>182</v>
      </c>
    </row>
    <row r="270" spans="1:6" ht="15" customHeight="1" x14ac:dyDescent="0.2">
      <c r="A270" s="28">
        <v>2037</v>
      </c>
      <c r="B270" s="4" t="s">
        <v>85</v>
      </c>
      <c r="C270" s="4" t="s">
        <v>89</v>
      </c>
      <c r="D270" s="29">
        <f>SISEPUEDE!D74</f>
        <v>0</v>
      </c>
      <c r="E270" s="4" t="s">
        <v>38</v>
      </c>
      <c r="F270" s="4" t="s">
        <v>182</v>
      </c>
    </row>
    <row r="271" spans="1:6" ht="15" customHeight="1" x14ac:dyDescent="0.2">
      <c r="A271" s="28">
        <v>2038</v>
      </c>
      <c r="B271" s="4" t="s">
        <v>85</v>
      </c>
      <c r="C271" s="4" t="s">
        <v>89</v>
      </c>
      <c r="D271" s="29">
        <f>SISEPUEDE!D75</f>
        <v>0</v>
      </c>
      <c r="E271" s="4" t="s">
        <v>38</v>
      </c>
      <c r="F271" s="4" t="s">
        <v>182</v>
      </c>
    </row>
    <row r="272" spans="1:6" ht="15" customHeight="1" x14ac:dyDescent="0.2">
      <c r="A272" s="28">
        <v>2039</v>
      </c>
      <c r="B272" s="4" t="s">
        <v>85</v>
      </c>
      <c r="C272" s="4" t="s">
        <v>89</v>
      </c>
      <c r="D272" s="29">
        <f>SISEPUEDE!D76</f>
        <v>0</v>
      </c>
      <c r="E272" s="4" t="s">
        <v>38</v>
      </c>
      <c r="F272" s="4" t="s">
        <v>182</v>
      </c>
    </row>
    <row r="273" spans="1:6" ht="15" customHeight="1" x14ac:dyDescent="0.2">
      <c r="A273" s="28">
        <v>2040</v>
      </c>
      <c r="B273" s="4" t="s">
        <v>85</v>
      </c>
      <c r="C273" s="4" t="s">
        <v>89</v>
      </c>
      <c r="D273" s="29">
        <f>SISEPUEDE!D77</f>
        <v>0</v>
      </c>
      <c r="E273" s="4" t="s">
        <v>38</v>
      </c>
      <c r="F273" s="4" t="s">
        <v>182</v>
      </c>
    </row>
    <row r="274" spans="1:6" ht="15" customHeight="1" x14ac:dyDescent="0.2">
      <c r="A274" s="28">
        <v>2041</v>
      </c>
      <c r="B274" s="4" t="s">
        <v>85</v>
      </c>
      <c r="C274" s="4" t="s">
        <v>89</v>
      </c>
      <c r="D274" s="29">
        <f>SISEPUEDE!D78</f>
        <v>0</v>
      </c>
      <c r="E274" s="4" t="s">
        <v>38</v>
      </c>
      <c r="F274" s="4" t="s">
        <v>182</v>
      </c>
    </row>
    <row r="275" spans="1:6" ht="15" customHeight="1" x14ac:dyDescent="0.2">
      <c r="A275" s="28">
        <v>2042</v>
      </c>
      <c r="B275" s="4" t="s">
        <v>85</v>
      </c>
      <c r="C275" s="4" t="s">
        <v>89</v>
      </c>
      <c r="D275" s="29">
        <f>SISEPUEDE!D79</f>
        <v>0</v>
      </c>
      <c r="E275" s="4" t="s">
        <v>38</v>
      </c>
      <c r="F275" s="4" t="s">
        <v>182</v>
      </c>
    </row>
    <row r="276" spans="1:6" ht="15" customHeight="1" x14ac:dyDescent="0.2">
      <c r="A276" s="28">
        <v>2043</v>
      </c>
      <c r="B276" s="4" t="s">
        <v>85</v>
      </c>
      <c r="C276" s="4" t="s">
        <v>89</v>
      </c>
      <c r="D276" s="29">
        <f>SISEPUEDE!D80</f>
        <v>0</v>
      </c>
      <c r="E276" s="4" t="s">
        <v>38</v>
      </c>
      <c r="F276" s="4" t="s">
        <v>182</v>
      </c>
    </row>
    <row r="277" spans="1:6" ht="15" customHeight="1" x14ac:dyDescent="0.2">
      <c r="A277" s="28">
        <v>2044</v>
      </c>
      <c r="B277" s="4" t="s">
        <v>85</v>
      </c>
      <c r="C277" s="4" t="s">
        <v>89</v>
      </c>
      <c r="D277" s="29">
        <f>SISEPUEDE!D81</f>
        <v>0</v>
      </c>
      <c r="E277" s="4" t="s">
        <v>38</v>
      </c>
      <c r="F277" s="4" t="s">
        <v>182</v>
      </c>
    </row>
    <row r="278" spans="1:6" ht="15" customHeight="1" x14ac:dyDescent="0.2">
      <c r="A278" s="28">
        <v>2045</v>
      </c>
      <c r="B278" s="4" t="s">
        <v>85</v>
      </c>
      <c r="C278" s="4" t="s">
        <v>89</v>
      </c>
      <c r="D278" s="29">
        <f>SISEPUEDE!D82</f>
        <v>0</v>
      </c>
      <c r="E278" s="4" t="s">
        <v>38</v>
      </c>
      <c r="F278" s="4" t="s">
        <v>182</v>
      </c>
    </row>
    <row r="279" spans="1:6" ht="15" customHeight="1" x14ac:dyDescent="0.2">
      <c r="A279" s="28">
        <v>2046</v>
      </c>
      <c r="B279" s="4" t="s">
        <v>85</v>
      </c>
      <c r="C279" s="4" t="s">
        <v>89</v>
      </c>
      <c r="D279" s="29">
        <f>SISEPUEDE!D83</f>
        <v>0</v>
      </c>
      <c r="E279" s="4" t="s">
        <v>38</v>
      </c>
      <c r="F279" s="4" t="s">
        <v>182</v>
      </c>
    </row>
    <row r="280" spans="1:6" ht="15" customHeight="1" x14ac:dyDescent="0.2">
      <c r="A280" s="28">
        <v>2047</v>
      </c>
      <c r="B280" s="4" t="s">
        <v>85</v>
      </c>
      <c r="C280" s="4" t="s">
        <v>89</v>
      </c>
      <c r="D280" s="29">
        <f>SISEPUEDE!D84</f>
        <v>0</v>
      </c>
      <c r="E280" s="4" t="s">
        <v>38</v>
      </c>
      <c r="F280" s="4" t="s">
        <v>182</v>
      </c>
    </row>
    <row r="281" spans="1:6" ht="15" customHeight="1" x14ac:dyDescent="0.2">
      <c r="A281" s="28">
        <v>2048</v>
      </c>
      <c r="B281" s="4" t="s">
        <v>85</v>
      </c>
      <c r="C281" s="4" t="s">
        <v>89</v>
      </c>
      <c r="D281" s="29">
        <f>SISEPUEDE!D85</f>
        <v>0</v>
      </c>
      <c r="E281" s="4" t="s">
        <v>38</v>
      </c>
      <c r="F281" s="4" t="s">
        <v>182</v>
      </c>
    </row>
    <row r="282" spans="1:6" ht="15" customHeight="1" x14ac:dyDescent="0.2">
      <c r="A282" s="28">
        <v>2049</v>
      </c>
      <c r="B282" s="4" t="s">
        <v>85</v>
      </c>
      <c r="C282" s="4" t="s">
        <v>89</v>
      </c>
      <c r="D282" s="29">
        <f>SISEPUEDE!D86</f>
        <v>0</v>
      </c>
      <c r="E282" s="4" t="s">
        <v>38</v>
      </c>
      <c r="F282" s="4" t="s">
        <v>182</v>
      </c>
    </row>
    <row r="283" spans="1:6" ht="15" customHeight="1" x14ac:dyDescent="0.2">
      <c r="A283" s="28">
        <v>2050</v>
      </c>
      <c r="B283" s="4" t="s">
        <v>85</v>
      </c>
      <c r="C283" s="4" t="s">
        <v>89</v>
      </c>
      <c r="D283" s="29">
        <f>SISEPUEDE!D87</f>
        <v>0</v>
      </c>
      <c r="E283" s="4" t="s">
        <v>38</v>
      </c>
      <c r="F283" s="4" t="s">
        <v>182</v>
      </c>
    </row>
    <row r="284" spans="1:6" ht="15" customHeight="1" x14ac:dyDescent="0.2">
      <c r="A284" s="28">
        <v>2023</v>
      </c>
      <c r="B284" s="4" t="s">
        <v>85</v>
      </c>
      <c r="C284" s="4" t="s">
        <v>90</v>
      </c>
      <c r="D284" s="29">
        <f>SISEPUEDE!E60</f>
        <v>0</v>
      </c>
      <c r="E284" s="4" t="s">
        <v>38</v>
      </c>
      <c r="F284" s="4" t="s">
        <v>182</v>
      </c>
    </row>
    <row r="285" spans="1:6" ht="15" customHeight="1" x14ac:dyDescent="0.2">
      <c r="A285" s="28">
        <v>2024</v>
      </c>
      <c r="B285" s="4" t="s">
        <v>85</v>
      </c>
      <c r="C285" s="4" t="s">
        <v>90</v>
      </c>
      <c r="D285" s="29">
        <f>SISEPUEDE!E61</f>
        <v>5.78877265775556</v>
      </c>
      <c r="E285" s="4" t="s">
        <v>38</v>
      </c>
      <c r="F285" s="4" t="s">
        <v>182</v>
      </c>
    </row>
    <row r="286" spans="1:6" ht="15" customHeight="1" x14ac:dyDescent="0.2">
      <c r="A286" s="28">
        <v>2025</v>
      </c>
      <c r="B286" s="4" t="s">
        <v>85</v>
      </c>
      <c r="C286" s="4" t="s">
        <v>90</v>
      </c>
      <c r="D286" s="29">
        <f>SISEPUEDE!E62</f>
        <v>11.5727133660859</v>
      </c>
      <c r="E286" s="4" t="s">
        <v>38</v>
      </c>
      <c r="F286" s="4" t="s">
        <v>182</v>
      </c>
    </row>
    <row r="287" spans="1:6" ht="15" customHeight="1" x14ac:dyDescent="0.2">
      <c r="A287" s="28">
        <v>2026</v>
      </c>
      <c r="B287" s="4" t="s">
        <v>85</v>
      </c>
      <c r="C287" s="4" t="s">
        <v>90</v>
      </c>
      <c r="D287" s="29">
        <f>SISEPUEDE!E63</f>
        <v>17.255370357480299</v>
      </c>
      <c r="E287" s="4" t="s">
        <v>38</v>
      </c>
      <c r="F287" s="4" t="s">
        <v>182</v>
      </c>
    </row>
    <row r="288" spans="1:6" ht="15" customHeight="1" x14ac:dyDescent="0.2">
      <c r="A288" s="28">
        <v>2027</v>
      </c>
      <c r="B288" s="4" t="s">
        <v>85</v>
      </c>
      <c r="C288" s="4" t="s">
        <v>90</v>
      </c>
      <c r="D288" s="29">
        <f>SISEPUEDE!E64</f>
        <v>22.561828097014899</v>
      </c>
      <c r="E288" s="4" t="s">
        <v>38</v>
      </c>
      <c r="F288" s="4" t="s">
        <v>182</v>
      </c>
    </row>
    <row r="289" spans="1:6" ht="15" customHeight="1" x14ac:dyDescent="0.2">
      <c r="A289" s="28">
        <v>2028</v>
      </c>
      <c r="B289" s="4" t="s">
        <v>85</v>
      </c>
      <c r="C289" s="4" t="s">
        <v>90</v>
      </c>
      <c r="D289" s="29">
        <f>SISEPUEDE!E65</f>
        <v>27.2312397878366</v>
      </c>
      <c r="E289" s="4" t="s">
        <v>38</v>
      </c>
      <c r="F289" s="4" t="s">
        <v>182</v>
      </c>
    </row>
    <row r="290" spans="1:6" ht="15" customHeight="1" x14ac:dyDescent="0.2">
      <c r="A290" s="28">
        <v>2029</v>
      </c>
      <c r="B290" s="4" t="s">
        <v>85</v>
      </c>
      <c r="C290" s="4" t="s">
        <v>90</v>
      </c>
      <c r="D290" s="29">
        <f>SISEPUEDE!E66</f>
        <v>31.124606066559799</v>
      </c>
      <c r="E290" s="4" t="s">
        <v>38</v>
      </c>
      <c r="F290" s="4" t="s">
        <v>182</v>
      </c>
    </row>
    <row r="291" spans="1:6" ht="15" customHeight="1" x14ac:dyDescent="0.2">
      <c r="A291" s="28">
        <v>2030</v>
      </c>
      <c r="B291" s="4" t="s">
        <v>85</v>
      </c>
      <c r="C291" s="4" t="s">
        <v>90</v>
      </c>
      <c r="D291" s="29">
        <f>SISEPUEDE!E67</f>
        <v>34.204875814614802</v>
      </c>
      <c r="E291" s="4" t="s">
        <v>38</v>
      </c>
      <c r="F291" s="4" t="s">
        <v>182</v>
      </c>
    </row>
    <row r="292" spans="1:6" ht="15" customHeight="1" x14ac:dyDescent="0.2">
      <c r="A292" s="28">
        <v>2031</v>
      </c>
      <c r="B292" s="4" t="s">
        <v>85</v>
      </c>
      <c r="C292" s="4" t="s">
        <v>90</v>
      </c>
      <c r="D292" s="29">
        <f>SISEPUEDE!E68</f>
        <v>36.499458925161001</v>
      </c>
      <c r="E292" s="4" t="s">
        <v>38</v>
      </c>
      <c r="F292" s="4" t="s">
        <v>182</v>
      </c>
    </row>
    <row r="293" spans="1:6" ht="15" customHeight="1" x14ac:dyDescent="0.2">
      <c r="A293" s="28">
        <v>2032</v>
      </c>
      <c r="B293" s="4" t="s">
        <v>85</v>
      </c>
      <c r="C293" s="4" t="s">
        <v>90</v>
      </c>
      <c r="D293" s="29">
        <f>SISEPUEDE!E69</f>
        <v>37.818073904894902</v>
      </c>
      <c r="E293" s="4" t="s">
        <v>38</v>
      </c>
      <c r="F293" s="4" t="s">
        <v>182</v>
      </c>
    </row>
    <row r="294" spans="1:6" ht="15" customHeight="1" x14ac:dyDescent="0.2">
      <c r="A294" s="28">
        <v>2033</v>
      </c>
      <c r="B294" s="4" t="s">
        <v>85</v>
      </c>
      <c r="C294" s="4" t="s">
        <v>90</v>
      </c>
      <c r="D294" s="29">
        <f>SISEPUEDE!E70</f>
        <v>38.530993474604898</v>
      </c>
      <c r="E294" s="4" t="s">
        <v>38</v>
      </c>
      <c r="F294" s="4" t="s">
        <v>182</v>
      </c>
    </row>
    <row r="295" spans="1:6" ht="15" customHeight="1" x14ac:dyDescent="0.2">
      <c r="A295" s="28">
        <v>2034</v>
      </c>
      <c r="B295" s="4" t="s">
        <v>85</v>
      </c>
      <c r="C295" s="4" t="s">
        <v>90</v>
      </c>
      <c r="D295" s="29">
        <f>SISEPUEDE!E71</f>
        <v>38.826108415039997</v>
      </c>
      <c r="E295" s="4" t="s">
        <v>38</v>
      </c>
      <c r="F295" s="4" t="s">
        <v>182</v>
      </c>
    </row>
    <row r="296" spans="1:6" ht="15" customHeight="1" x14ac:dyDescent="0.2">
      <c r="A296" s="28">
        <v>2035</v>
      </c>
      <c r="B296" s="4" t="s">
        <v>85</v>
      </c>
      <c r="C296" s="4" t="s">
        <v>90</v>
      </c>
      <c r="D296" s="29">
        <f>SISEPUEDE!E72</f>
        <v>39.004081737619899</v>
      </c>
      <c r="E296" s="4" t="s">
        <v>38</v>
      </c>
      <c r="F296" s="4" t="s">
        <v>182</v>
      </c>
    </row>
    <row r="297" spans="1:6" ht="15" customHeight="1" x14ac:dyDescent="0.2">
      <c r="A297" s="28">
        <v>2036</v>
      </c>
      <c r="B297" s="4" t="s">
        <v>85</v>
      </c>
      <c r="C297" s="4" t="s">
        <v>90</v>
      </c>
      <c r="D297" s="29">
        <f>SISEPUEDE!E73</f>
        <v>39.0957903598499</v>
      </c>
      <c r="E297" s="4" t="s">
        <v>38</v>
      </c>
      <c r="F297" s="4" t="s">
        <v>182</v>
      </c>
    </row>
    <row r="298" spans="1:6" ht="15" customHeight="1" x14ac:dyDescent="0.2">
      <c r="A298" s="28">
        <v>2037</v>
      </c>
      <c r="B298" s="4" t="s">
        <v>85</v>
      </c>
      <c r="C298" s="4" t="s">
        <v>90</v>
      </c>
      <c r="D298" s="29">
        <f>SISEPUEDE!E74</f>
        <v>39.128371408076902</v>
      </c>
      <c r="E298" s="4" t="s">
        <v>38</v>
      </c>
      <c r="F298" s="4" t="s">
        <v>182</v>
      </c>
    </row>
    <row r="299" spans="1:6" ht="15" customHeight="1" x14ac:dyDescent="0.2">
      <c r="A299" s="28">
        <v>2038</v>
      </c>
      <c r="B299" s="4" t="s">
        <v>85</v>
      </c>
      <c r="C299" s="4" t="s">
        <v>90</v>
      </c>
      <c r="D299" s="29">
        <f>SISEPUEDE!E75</f>
        <v>39.124330955843398</v>
      </c>
      <c r="E299" s="4" t="s">
        <v>38</v>
      </c>
      <c r="F299" s="4" t="s">
        <v>182</v>
      </c>
    </row>
    <row r="300" spans="1:6" ht="15" customHeight="1" x14ac:dyDescent="0.2">
      <c r="A300" s="28">
        <v>2039</v>
      </c>
      <c r="B300" s="4" t="s">
        <v>85</v>
      </c>
      <c r="C300" s="4" t="s">
        <v>90</v>
      </c>
      <c r="D300" s="29">
        <f>SISEPUEDE!E76</f>
        <v>39.1013911901969</v>
      </c>
      <c r="E300" s="4" t="s">
        <v>38</v>
      </c>
      <c r="F300" s="4" t="s">
        <v>182</v>
      </c>
    </row>
    <row r="301" spans="1:6" ht="15" customHeight="1" x14ac:dyDescent="0.2">
      <c r="A301" s="28">
        <v>2040</v>
      </c>
      <c r="B301" s="4" t="s">
        <v>85</v>
      </c>
      <c r="C301" s="4" t="s">
        <v>90</v>
      </c>
      <c r="D301" s="29">
        <f>SISEPUEDE!E77</f>
        <v>39.072776490196901</v>
      </c>
      <c r="E301" s="4" t="s">
        <v>38</v>
      </c>
      <c r="F301" s="4" t="s">
        <v>182</v>
      </c>
    </row>
    <row r="302" spans="1:6" ht="15" customHeight="1" x14ac:dyDescent="0.2">
      <c r="A302" s="28">
        <v>2041</v>
      </c>
      <c r="B302" s="4" t="s">
        <v>85</v>
      </c>
      <c r="C302" s="4" t="s">
        <v>90</v>
      </c>
      <c r="D302" s="29">
        <f>SISEPUEDE!E78</f>
        <v>39.047704515824201</v>
      </c>
      <c r="E302" s="4" t="s">
        <v>38</v>
      </c>
      <c r="F302" s="4" t="s">
        <v>182</v>
      </c>
    </row>
    <row r="303" spans="1:6" ht="15" customHeight="1" x14ac:dyDescent="0.2">
      <c r="A303" s="28">
        <v>2042</v>
      </c>
      <c r="B303" s="4" t="s">
        <v>85</v>
      </c>
      <c r="C303" s="4" t="s">
        <v>90</v>
      </c>
      <c r="D303" s="29">
        <f>SISEPUEDE!E79</f>
        <v>39.0319104788218</v>
      </c>
      <c r="E303" s="4" t="s">
        <v>38</v>
      </c>
      <c r="F303" s="4" t="s">
        <v>182</v>
      </c>
    </row>
    <row r="304" spans="1:6" ht="15" customHeight="1" x14ac:dyDescent="0.2">
      <c r="A304" s="28">
        <v>2043</v>
      </c>
      <c r="B304" s="4" t="s">
        <v>85</v>
      </c>
      <c r="C304" s="4" t="s">
        <v>90</v>
      </c>
      <c r="D304" s="29">
        <f>SISEPUEDE!E80</f>
        <v>39.026922876920999</v>
      </c>
      <c r="E304" s="4" t="s">
        <v>38</v>
      </c>
      <c r="F304" s="4" t="s">
        <v>182</v>
      </c>
    </row>
    <row r="305" spans="1:6" ht="15" customHeight="1" x14ac:dyDescent="0.2">
      <c r="A305" s="28">
        <v>2044</v>
      </c>
      <c r="B305" s="4" t="s">
        <v>85</v>
      </c>
      <c r="C305" s="4" t="s">
        <v>90</v>
      </c>
      <c r="D305" s="29">
        <f>SISEPUEDE!E81</f>
        <v>39.029483939141102</v>
      </c>
      <c r="E305" s="4" t="s">
        <v>38</v>
      </c>
      <c r="F305" s="4" t="s">
        <v>182</v>
      </c>
    </row>
    <row r="306" spans="1:6" ht="15" customHeight="1" x14ac:dyDescent="0.2">
      <c r="A306" s="28">
        <v>2045</v>
      </c>
      <c r="B306" s="4" t="s">
        <v>85</v>
      </c>
      <c r="C306" s="4" t="s">
        <v>90</v>
      </c>
      <c r="D306" s="29">
        <f>SISEPUEDE!E82</f>
        <v>39.0483420347555</v>
      </c>
      <c r="E306" s="4" t="s">
        <v>38</v>
      </c>
      <c r="F306" s="4" t="s">
        <v>182</v>
      </c>
    </row>
    <row r="307" spans="1:6" ht="15" customHeight="1" x14ac:dyDescent="0.2">
      <c r="A307" s="28">
        <v>2046</v>
      </c>
      <c r="B307" s="4" t="s">
        <v>85</v>
      </c>
      <c r="C307" s="4" t="s">
        <v>90</v>
      </c>
      <c r="D307" s="29">
        <f>SISEPUEDE!E83</f>
        <v>39.081127491351502</v>
      </c>
      <c r="E307" s="4" t="s">
        <v>38</v>
      </c>
      <c r="F307" s="4" t="s">
        <v>182</v>
      </c>
    </row>
    <row r="308" spans="1:6" ht="15" customHeight="1" x14ac:dyDescent="0.2">
      <c r="A308" s="28">
        <v>2047</v>
      </c>
      <c r="B308" s="4" t="s">
        <v>85</v>
      </c>
      <c r="C308" s="4" t="s">
        <v>90</v>
      </c>
      <c r="D308" s="29">
        <f>SISEPUEDE!E84</f>
        <v>39.102199211104498</v>
      </c>
      <c r="E308" s="4" t="s">
        <v>38</v>
      </c>
      <c r="F308" s="4" t="s">
        <v>182</v>
      </c>
    </row>
    <row r="309" spans="1:6" ht="15" customHeight="1" x14ac:dyDescent="0.2">
      <c r="A309" s="28">
        <v>2048</v>
      </c>
      <c r="B309" s="4" t="s">
        <v>85</v>
      </c>
      <c r="C309" s="4" t="s">
        <v>90</v>
      </c>
      <c r="D309" s="29">
        <f>SISEPUEDE!E85</f>
        <v>39.128554321752397</v>
      </c>
      <c r="E309" s="4" t="s">
        <v>38</v>
      </c>
      <c r="F309" s="4" t="s">
        <v>182</v>
      </c>
    </row>
    <row r="310" spans="1:6" ht="15" customHeight="1" x14ac:dyDescent="0.2">
      <c r="A310" s="28">
        <v>2049</v>
      </c>
      <c r="B310" s="4" t="s">
        <v>85</v>
      </c>
      <c r="C310" s="4" t="s">
        <v>90</v>
      </c>
      <c r="D310" s="29">
        <f>SISEPUEDE!E86</f>
        <v>39.161792812600901</v>
      </c>
      <c r="E310" s="4" t="s">
        <v>38</v>
      </c>
      <c r="F310" s="4" t="s">
        <v>182</v>
      </c>
    </row>
    <row r="311" spans="1:6" ht="15" customHeight="1" x14ac:dyDescent="0.2">
      <c r="A311" s="28">
        <v>2050</v>
      </c>
      <c r="B311" s="4" t="s">
        <v>85</v>
      </c>
      <c r="C311" s="4" t="s">
        <v>90</v>
      </c>
      <c r="D311" s="29">
        <f>SISEPUEDE!E87</f>
        <v>39.197643072294603</v>
      </c>
      <c r="E311" s="4" t="s">
        <v>38</v>
      </c>
      <c r="F311" s="4" t="s">
        <v>182</v>
      </c>
    </row>
    <row r="312" spans="1:6" ht="15" customHeight="1" x14ac:dyDescent="0.2">
      <c r="A312" s="28">
        <v>2023</v>
      </c>
      <c r="B312" s="4" t="s">
        <v>83</v>
      </c>
      <c r="C312" s="4" t="s">
        <v>87</v>
      </c>
      <c r="D312" s="29">
        <f>MMcfd!C5</f>
        <v>27.400840910279712</v>
      </c>
      <c r="E312" s="4" t="s">
        <v>33</v>
      </c>
      <c r="F312" s="4" t="s">
        <v>33</v>
      </c>
    </row>
    <row r="313" spans="1:6" ht="15" customHeight="1" x14ac:dyDescent="0.2">
      <c r="A313" s="28">
        <v>2024</v>
      </c>
      <c r="B313" s="4" t="s">
        <v>83</v>
      </c>
      <c r="C313" s="4" t="s">
        <v>87</v>
      </c>
      <c r="D313" s="29">
        <f>MMcfd!C6</f>
        <v>27.26282469766128</v>
      </c>
      <c r="E313" s="4" t="s">
        <v>33</v>
      </c>
      <c r="F313" s="4" t="s">
        <v>33</v>
      </c>
    </row>
    <row r="314" spans="1:6" ht="15" customHeight="1" x14ac:dyDescent="0.2">
      <c r="A314" s="28">
        <v>2025</v>
      </c>
      <c r="B314" s="4" t="s">
        <v>83</v>
      </c>
      <c r="C314" s="4" t="s">
        <v>87</v>
      </c>
      <c r="D314" s="29">
        <f>MMcfd!C7</f>
        <v>27.300484220247277</v>
      </c>
      <c r="E314" s="4" t="s">
        <v>33</v>
      </c>
      <c r="F314" s="4" t="s">
        <v>33</v>
      </c>
    </row>
    <row r="315" spans="1:6" ht="15" customHeight="1" x14ac:dyDescent="0.2">
      <c r="A315" s="28">
        <v>2026</v>
      </c>
      <c r="B315" s="4" t="s">
        <v>83</v>
      </c>
      <c r="C315" s="4" t="s">
        <v>87</v>
      </c>
      <c r="D315" s="29">
        <f>MMcfd!C8</f>
        <v>32.084349794667489</v>
      </c>
      <c r="E315" s="4" t="s">
        <v>33</v>
      </c>
      <c r="F315" s="4" t="s">
        <v>33</v>
      </c>
    </row>
    <row r="316" spans="1:6" ht="15" customHeight="1" x14ac:dyDescent="0.2">
      <c r="A316" s="28">
        <v>2027</v>
      </c>
      <c r="B316" s="4" t="s">
        <v>83</v>
      </c>
      <c r="C316" s="4" t="s">
        <v>87</v>
      </c>
      <c r="D316" s="29">
        <f>MMcfd!C9</f>
        <v>33.036759516872991</v>
      </c>
      <c r="E316" s="4" t="s">
        <v>33</v>
      </c>
      <c r="F316" s="4" t="s">
        <v>33</v>
      </c>
    </row>
    <row r="317" spans="1:6" ht="15" customHeight="1" x14ac:dyDescent="0.2">
      <c r="A317" s="28">
        <v>2028</v>
      </c>
      <c r="B317" s="4" t="s">
        <v>83</v>
      </c>
      <c r="C317" s="4" t="s">
        <v>87</v>
      </c>
      <c r="D317" s="29">
        <f>MMcfd!C10</f>
        <v>33.85255568352715</v>
      </c>
      <c r="E317" s="4" t="s">
        <v>33</v>
      </c>
      <c r="F317" s="4" t="s">
        <v>33</v>
      </c>
    </row>
    <row r="318" spans="1:6" ht="15" customHeight="1" x14ac:dyDescent="0.2">
      <c r="A318" s="28">
        <v>2029</v>
      </c>
      <c r="B318" s="4" t="s">
        <v>83</v>
      </c>
      <c r="C318" s="4" t="s">
        <v>87</v>
      </c>
      <c r="D318" s="29">
        <f>MMcfd!C11</f>
        <v>34.489319630264802</v>
      </c>
      <c r="E318" s="4" t="s">
        <v>33</v>
      </c>
      <c r="F318" s="4" t="s">
        <v>33</v>
      </c>
    </row>
    <row r="319" spans="1:6" ht="15" customHeight="1" x14ac:dyDescent="0.2">
      <c r="A319" s="28">
        <v>2030</v>
      </c>
      <c r="B319" s="4" t="s">
        <v>83</v>
      </c>
      <c r="C319" s="4" t="s">
        <v>87</v>
      </c>
      <c r="D319" s="29">
        <f>MMcfd!C12</f>
        <v>34.999997938678121</v>
      </c>
      <c r="E319" s="4" t="s">
        <v>33</v>
      </c>
      <c r="F319" s="4" t="s">
        <v>33</v>
      </c>
    </row>
    <row r="320" spans="1:6" ht="15" customHeight="1" x14ac:dyDescent="0.2">
      <c r="A320" s="28">
        <v>2031</v>
      </c>
      <c r="B320" s="4" t="s">
        <v>83</v>
      </c>
      <c r="C320" s="4" t="s">
        <v>87</v>
      </c>
      <c r="D320" s="29">
        <f>MMcfd!C13</f>
        <v>33.991947063232629</v>
      </c>
      <c r="E320" s="4" t="s">
        <v>33</v>
      </c>
      <c r="F320" s="4" t="s">
        <v>33</v>
      </c>
    </row>
    <row r="321" spans="1:6" ht="15" customHeight="1" x14ac:dyDescent="0.2">
      <c r="A321" s="28">
        <v>2032</v>
      </c>
      <c r="B321" s="4" t="s">
        <v>83</v>
      </c>
      <c r="C321" s="4" t="s">
        <v>87</v>
      </c>
      <c r="D321" s="29">
        <f>MMcfd!C14</f>
        <v>32.960711451519074</v>
      </c>
      <c r="E321" s="4" t="s">
        <v>33</v>
      </c>
      <c r="F321" s="4" t="s">
        <v>33</v>
      </c>
    </row>
    <row r="322" spans="1:6" ht="15" customHeight="1" x14ac:dyDescent="0.2">
      <c r="A322" s="28">
        <v>2033</v>
      </c>
      <c r="B322" s="4" t="s">
        <v>83</v>
      </c>
      <c r="C322" s="4" t="s">
        <v>87</v>
      </c>
      <c r="D322" s="29">
        <f>MMcfd!C15</f>
        <v>31.905981031671679</v>
      </c>
      <c r="E322" s="4" t="s">
        <v>33</v>
      </c>
      <c r="F322" s="4" t="s">
        <v>33</v>
      </c>
    </row>
    <row r="323" spans="1:6" ht="15" customHeight="1" x14ac:dyDescent="0.2">
      <c r="A323" s="28">
        <v>2034</v>
      </c>
      <c r="B323" s="4" t="s">
        <v>83</v>
      </c>
      <c r="C323" s="4" t="s">
        <v>87</v>
      </c>
      <c r="D323" s="29">
        <f>MMcfd!C16</f>
        <v>30.827443177903309</v>
      </c>
      <c r="E323" s="4" t="s">
        <v>33</v>
      </c>
      <c r="F323" s="4" t="s">
        <v>33</v>
      </c>
    </row>
    <row r="324" spans="1:6" ht="15" customHeight="1" x14ac:dyDescent="0.2">
      <c r="A324" s="28">
        <v>2035</v>
      </c>
      <c r="B324" s="4" t="s">
        <v>83</v>
      </c>
      <c r="C324" s="4" t="s">
        <v>87</v>
      </c>
      <c r="D324" s="29">
        <f>MMcfd!C17</f>
        <v>29.724783976850134</v>
      </c>
      <c r="E324" s="4" t="s">
        <v>33</v>
      </c>
      <c r="F324" s="4" t="s">
        <v>33</v>
      </c>
    </row>
    <row r="325" spans="1:6" ht="15" customHeight="1" x14ac:dyDescent="0.2">
      <c r="A325" s="28">
        <v>2036</v>
      </c>
      <c r="B325" s="4" t="s">
        <v>83</v>
      </c>
      <c r="C325" s="4" t="s">
        <v>87</v>
      </c>
      <c r="D325" s="29">
        <f>MMcfd!C18</f>
        <v>28.597687461798856</v>
      </c>
      <c r="E325" s="4" t="s">
        <v>33</v>
      </c>
      <c r="F325" s="4" t="s">
        <v>33</v>
      </c>
    </row>
    <row r="326" spans="1:6" ht="15" customHeight="1" x14ac:dyDescent="0.2">
      <c r="A326" s="28">
        <v>2037</v>
      </c>
      <c r="B326" s="4" t="s">
        <v>83</v>
      </c>
      <c r="C326" s="4" t="s">
        <v>87</v>
      </c>
      <c r="D326" s="29">
        <f>MMcfd!C19</f>
        <v>27.445835686054362</v>
      </c>
      <c r="E326" s="4" t="s">
        <v>33</v>
      </c>
      <c r="F326" s="4" t="s">
        <v>33</v>
      </c>
    </row>
    <row r="327" spans="1:6" ht="15" customHeight="1" x14ac:dyDescent="0.2">
      <c r="A327" s="28">
        <v>2038</v>
      </c>
      <c r="B327" s="4" t="s">
        <v>83</v>
      </c>
      <c r="C327" s="4" t="s">
        <v>87</v>
      </c>
      <c r="D327" s="29">
        <f>MMcfd!C20</f>
        <v>26.268909415626354</v>
      </c>
      <c r="E327" s="4" t="s">
        <v>33</v>
      </c>
      <c r="F327" s="4" t="s">
        <v>33</v>
      </c>
    </row>
    <row r="328" spans="1:6" ht="15" customHeight="1" x14ac:dyDescent="0.2">
      <c r="A328" s="28">
        <v>2039</v>
      </c>
      <c r="B328" s="4" t="s">
        <v>83</v>
      </c>
      <c r="C328" s="4" t="s">
        <v>87</v>
      </c>
      <c r="D328" s="29">
        <f>MMcfd!C21</f>
        <v>25.066588378520944</v>
      </c>
      <c r="E328" s="4" t="s">
        <v>33</v>
      </c>
      <c r="F328" s="4" t="s">
        <v>33</v>
      </c>
    </row>
    <row r="329" spans="1:6" ht="15" customHeight="1" x14ac:dyDescent="0.2">
      <c r="A329" s="28">
        <v>2040</v>
      </c>
      <c r="B329" s="4" t="s">
        <v>83</v>
      </c>
      <c r="C329" s="4" t="s">
        <v>87</v>
      </c>
      <c r="D329" s="29">
        <f>MMcfd!C22</f>
        <v>23.848997072063479</v>
      </c>
      <c r="E329" s="4" t="s">
        <v>33</v>
      </c>
      <c r="F329" s="4" t="s">
        <v>33</v>
      </c>
    </row>
    <row r="330" spans="1:6" ht="15" customHeight="1" x14ac:dyDescent="0.2">
      <c r="A330" s="28">
        <v>2041</v>
      </c>
      <c r="B330" s="4" t="s">
        <v>83</v>
      </c>
      <c r="C330" s="4" t="s">
        <v>87</v>
      </c>
      <c r="D330" s="29">
        <f>MMcfd!C23</f>
        <v>22.611548387874556</v>
      </c>
      <c r="E330" s="4" t="s">
        <v>33</v>
      </c>
      <c r="F330" s="4" t="s">
        <v>33</v>
      </c>
    </row>
    <row r="331" spans="1:6" ht="15" customHeight="1" x14ac:dyDescent="0.2">
      <c r="A331" s="28">
        <v>2042</v>
      </c>
      <c r="B331" s="4" t="s">
        <v>83</v>
      </c>
      <c r="C331" s="4" t="s">
        <v>87</v>
      </c>
      <c r="D331" s="29">
        <f>MMcfd!C24</f>
        <v>21.346199637607317</v>
      </c>
      <c r="E331" s="4" t="s">
        <v>33</v>
      </c>
      <c r="F331" s="4" t="s">
        <v>33</v>
      </c>
    </row>
    <row r="332" spans="1:6" ht="15" customHeight="1" x14ac:dyDescent="0.2">
      <c r="A332" s="28">
        <v>2043</v>
      </c>
      <c r="B332" s="4" t="s">
        <v>83</v>
      </c>
      <c r="C332" s="4" t="s">
        <v>87</v>
      </c>
      <c r="D332" s="29">
        <f>MMcfd!C25</f>
        <v>20.05249304835155</v>
      </c>
      <c r="E332" s="4" t="s">
        <v>33</v>
      </c>
      <c r="F332" s="4" t="s">
        <v>33</v>
      </c>
    </row>
    <row r="333" spans="1:6" ht="15" customHeight="1" x14ac:dyDescent="0.2">
      <c r="A333" s="28">
        <v>2044</v>
      </c>
      <c r="B333" s="4" t="s">
        <v>83</v>
      </c>
      <c r="C333" s="4" t="s">
        <v>87</v>
      </c>
      <c r="D333" s="29">
        <f>MMcfd!C26</f>
        <v>18.729963864481583</v>
      </c>
      <c r="E333" s="4" t="s">
        <v>33</v>
      </c>
      <c r="F333" s="4" t="s">
        <v>33</v>
      </c>
    </row>
    <row r="334" spans="1:6" ht="15" customHeight="1" x14ac:dyDescent="0.2">
      <c r="A334" s="28">
        <v>2045</v>
      </c>
      <c r="B334" s="4" t="s">
        <v>83</v>
      </c>
      <c r="C334" s="4" t="s">
        <v>87</v>
      </c>
      <c r="D334" s="29">
        <f>MMcfd!C27</f>
        <v>17.378140421090645</v>
      </c>
      <c r="E334" s="4" t="s">
        <v>33</v>
      </c>
      <c r="F334" s="4" t="s">
        <v>33</v>
      </c>
    </row>
    <row r="335" spans="1:6" ht="15" customHeight="1" x14ac:dyDescent="0.2">
      <c r="A335" s="28">
        <v>2046</v>
      </c>
      <c r="B335" s="4" t="s">
        <v>83</v>
      </c>
      <c r="C335" s="4" t="s">
        <v>87</v>
      </c>
      <c r="D335" s="29">
        <f>MMcfd!C28</f>
        <v>15.996543681603661</v>
      </c>
      <c r="E335" s="4" t="s">
        <v>33</v>
      </c>
      <c r="F335" s="4" t="s">
        <v>33</v>
      </c>
    </row>
    <row r="336" spans="1:6" ht="15" customHeight="1" x14ac:dyDescent="0.2">
      <c r="A336" s="28">
        <v>2047</v>
      </c>
      <c r="B336" s="4" t="s">
        <v>83</v>
      </c>
      <c r="C336" s="4" t="s">
        <v>87</v>
      </c>
      <c r="D336" s="29">
        <f>MMcfd!C29</f>
        <v>14.584687659716826</v>
      </c>
      <c r="E336" s="4" t="s">
        <v>33</v>
      </c>
      <c r="F336" s="4" t="s">
        <v>33</v>
      </c>
    </row>
    <row r="337" spans="1:6" ht="15" customHeight="1" x14ac:dyDescent="0.2">
      <c r="A337" s="28">
        <v>2048</v>
      </c>
      <c r="B337" s="4" t="s">
        <v>83</v>
      </c>
      <c r="C337" s="4" t="s">
        <v>87</v>
      </c>
      <c r="D337" s="29">
        <f>MMcfd!C30</f>
        <v>13.142078726921861</v>
      </c>
      <c r="E337" s="4" t="s">
        <v>33</v>
      </c>
      <c r="F337" s="4" t="s">
        <v>33</v>
      </c>
    </row>
    <row r="338" spans="1:6" ht="15" customHeight="1" x14ac:dyDescent="0.2">
      <c r="A338" s="28">
        <v>2049</v>
      </c>
      <c r="B338" s="4" t="s">
        <v>83</v>
      </c>
      <c r="C338" s="4" t="s">
        <v>87</v>
      </c>
      <c r="D338" s="29">
        <f>MMcfd!C31</f>
        <v>11.668215969904981</v>
      </c>
      <c r="E338" s="4" t="s">
        <v>33</v>
      </c>
      <c r="F338" s="4" t="s">
        <v>33</v>
      </c>
    </row>
    <row r="339" spans="1:6" ht="15" customHeight="1" x14ac:dyDescent="0.2">
      <c r="A339" s="28">
        <v>2050</v>
      </c>
      <c r="B339" s="4" t="s">
        <v>83</v>
      </c>
      <c r="C339" s="4" t="s">
        <v>87</v>
      </c>
      <c r="D339" s="29">
        <f>MMcfd!C32</f>
        <v>10.162590780916732</v>
      </c>
      <c r="E339" s="4" t="s">
        <v>33</v>
      </c>
      <c r="F339" s="4" t="s">
        <v>33</v>
      </c>
    </row>
    <row r="340" spans="1:6" ht="15" customHeight="1" x14ac:dyDescent="0.2">
      <c r="A340" s="28">
        <v>2023</v>
      </c>
      <c r="B340" s="4" t="s">
        <v>83</v>
      </c>
      <c r="C340" s="4" t="s">
        <v>88</v>
      </c>
      <c r="D340" s="29">
        <f>MMcfd!D5</f>
        <v>84.534509191288493</v>
      </c>
      <c r="E340" s="4" t="s">
        <v>33</v>
      </c>
      <c r="F340" s="4" t="s">
        <v>33</v>
      </c>
    </row>
    <row r="341" spans="1:6" ht="15" customHeight="1" x14ac:dyDescent="0.2">
      <c r="A341" s="28">
        <v>2024</v>
      </c>
      <c r="B341" s="4" t="s">
        <v>83</v>
      </c>
      <c r="C341" s="4" t="s">
        <v>88</v>
      </c>
      <c r="D341" s="29">
        <f>MMcfd!D6</f>
        <v>84.777162874443931</v>
      </c>
      <c r="E341" s="4" t="s">
        <v>33</v>
      </c>
      <c r="F341" s="4" t="s">
        <v>33</v>
      </c>
    </row>
    <row r="342" spans="1:6" ht="15" customHeight="1" x14ac:dyDescent="0.2">
      <c r="A342" s="28">
        <v>2025</v>
      </c>
      <c r="B342" s="4" t="s">
        <v>83</v>
      </c>
      <c r="C342" s="4" t="s">
        <v>88</v>
      </c>
      <c r="D342" s="29">
        <f>MMcfd!D7</f>
        <v>84.907957794123107</v>
      </c>
      <c r="E342" s="4" t="s">
        <v>33</v>
      </c>
      <c r="F342" s="4" t="s">
        <v>33</v>
      </c>
    </row>
    <row r="343" spans="1:6" ht="15" customHeight="1" x14ac:dyDescent="0.2">
      <c r="A343" s="28">
        <v>2026</v>
      </c>
      <c r="B343" s="4" t="s">
        <v>83</v>
      </c>
      <c r="C343" s="4" t="s">
        <v>88</v>
      </c>
      <c r="D343" s="29">
        <f>MMcfd!D8</f>
        <v>87.694300565253002</v>
      </c>
      <c r="E343" s="4" t="s">
        <v>33</v>
      </c>
      <c r="F343" s="4" t="s">
        <v>33</v>
      </c>
    </row>
    <row r="344" spans="1:6" ht="15" customHeight="1" x14ac:dyDescent="0.2">
      <c r="A344" s="28">
        <v>2027</v>
      </c>
      <c r="B344" s="4" t="s">
        <v>83</v>
      </c>
      <c r="C344" s="4" t="s">
        <v>88</v>
      </c>
      <c r="D344" s="29">
        <f>MMcfd!D9</f>
        <v>90.221738210536287</v>
      </c>
      <c r="E344" s="4" t="s">
        <v>33</v>
      </c>
      <c r="F344" s="4" t="s">
        <v>33</v>
      </c>
    </row>
    <row r="345" spans="1:6" ht="15" customHeight="1" x14ac:dyDescent="0.2">
      <c r="A345" s="28">
        <v>2028</v>
      </c>
      <c r="B345" s="4" t="s">
        <v>83</v>
      </c>
      <c r="C345" s="4" t="s">
        <v>88</v>
      </c>
      <c r="D345" s="29">
        <f>MMcfd!D10</f>
        <v>92.224595664753579</v>
      </c>
      <c r="E345" s="4" t="s">
        <v>33</v>
      </c>
      <c r="F345" s="4" t="s">
        <v>33</v>
      </c>
    </row>
    <row r="346" spans="1:6" ht="15" customHeight="1" x14ac:dyDescent="0.2">
      <c r="A346" s="28">
        <v>2029</v>
      </c>
      <c r="B346" s="4" t="s">
        <v>83</v>
      </c>
      <c r="C346" s="4" t="s">
        <v>88</v>
      </c>
      <c r="D346" s="29">
        <f>MMcfd!D11</f>
        <v>93.498342935748624</v>
      </c>
      <c r="E346" s="4" t="s">
        <v>33</v>
      </c>
      <c r="F346" s="4" t="s">
        <v>33</v>
      </c>
    </row>
    <row r="347" spans="1:6" ht="15" customHeight="1" x14ac:dyDescent="0.2">
      <c r="A347" s="28">
        <v>2030</v>
      </c>
      <c r="B347" s="4" t="s">
        <v>83</v>
      </c>
      <c r="C347" s="4" t="s">
        <v>88</v>
      </c>
      <c r="D347" s="29">
        <f>MMcfd!D12</f>
        <v>93.907523469319486</v>
      </c>
      <c r="E347" s="4" t="s">
        <v>33</v>
      </c>
      <c r="F347" s="4" t="s">
        <v>33</v>
      </c>
    </row>
    <row r="348" spans="1:6" ht="15" customHeight="1" x14ac:dyDescent="0.2">
      <c r="A348" s="28">
        <v>2031</v>
      </c>
      <c r="B348" s="4" t="s">
        <v>83</v>
      </c>
      <c r="C348" s="4" t="s">
        <v>88</v>
      </c>
      <c r="D348" s="29">
        <f>MMcfd!D13</f>
        <v>93.398916902643137</v>
      </c>
      <c r="E348" s="4" t="s">
        <v>33</v>
      </c>
      <c r="F348" s="4" t="s">
        <v>33</v>
      </c>
    </row>
    <row r="349" spans="1:6" ht="15" customHeight="1" x14ac:dyDescent="0.2">
      <c r="A349" s="28">
        <v>2032</v>
      </c>
      <c r="B349" s="4" t="s">
        <v>83</v>
      </c>
      <c r="C349" s="4" t="s">
        <v>88</v>
      </c>
      <c r="D349" s="29">
        <f>MMcfd!D14</f>
        <v>92.022546639120762</v>
      </c>
      <c r="E349" s="4" t="s">
        <v>33</v>
      </c>
      <c r="F349" s="4" t="s">
        <v>33</v>
      </c>
    </row>
    <row r="350" spans="1:6" ht="15" customHeight="1" x14ac:dyDescent="0.2">
      <c r="A350" s="28">
        <v>2033</v>
      </c>
      <c r="B350" s="4" t="s">
        <v>83</v>
      </c>
      <c r="C350" s="4" t="s">
        <v>88</v>
      </c>
      <c r="D350" s="29">
        <f>MMcfd!D15</f>
        <v>89.885155288740393</v>
      </c>
      <c r="E350" s="4" t="s">
        <v>33</v>
      </c>
      <c r="F350" s="4" t="s">
        <v>33</v>
      </c>
    </row>
    <row r="351" spans="1:6" ht="15" customHeight="1" x14ac:dyDescent="0.2">
      <c r="A351" s="28">
        <v>2034</v>
      </c>
      <c r="B351" s="4" t="s">
        <v>83</v>
      </c>
      <c r="C351" s="4" t="s">
        <v>88</v>
      </c>
      <c r="D351" s="29">
        <f>MMcfd!D16</f>
        <v>87.116611364698457</v>
      </c>
      <c r="E351" s="4" t="s">
        <v>33</v>
      </c>
      <c r="F351" s="4" t="s">
        <v>33</v>
      </c>
    </row>
    <row r="352" spans="1:6" ht="15" customHeight="1" x14ac:dyDescent="0.2">
      <c r="A352" s="28">
        <v>2035</v>
      </c>
      <c r="B352" s="4" t="s">
        <v>83</v>
      </c>
      <c r="C352" s="4" t="s">
        <v>88</v>
      </c>
      <c r="D352" s="29">
        <f>MMcfd!D17</f>
        <v>83.847436590374372</v>
      </c>
      <c r="E352" s="4" t="s">
        <v>33</v>
      </c>
      <c r="F352" s="4" t="s">
        <v>33</v>
      </c>
    </row>
    <row r="353" spans="1:6" ht="15" customHeight="1" x14ac:dyDescent="0.2">
      <c r="A353" s="28">
        <v>2036</v>
      </c>
      <c r="B353" s="4" t="s">
        <v>83</v>
      </c>
      <c r="C353" s="4" t="s">
        <v>88</v>
      </c>
      <c r="D353" s="29">
        <f>MMcfd!D18</f>
        <v>80.195257083913262</v>
      </c>
      <c r="E353" s="4" t="s">
        <v>33</v>
      </c>
      <c r="F353" s="4" t="s">
        <v>33</v>
      </c>
    </row>
    <row r="354" spans="1:6" ht="15" customHeight="1" x14ac:dyDescent="0.2">
      <c r="A354" s="28">
        <v>2037</v>
      </c>
      <c r="B354" s="4" t="s">
        <v>83</v>
      </c>
      <c r="C354" s="4" t="s">
        <v>88</v>
      </c>
      <c r="D354" s="29">
        <f>MMcfd!D19</f>
        <v>76.2579701775812</v>
      </c>
      <c r="E354" s="4" t="s">
        <v>33</v>
      </c>
      <c r="F354" s="4" t="s">
        <v>33</v>
      </c>
    </row>
    <row r="355" spans="1:6" ht="15" customHeight="1" x14ac:dyDescent="0.2">
      <c r="A355" s="28">
        <v>2038</v>
      </c>
      <c r="B355" s="4" t="s">
        <v>83</v>
      </c>
      <c r="C355" s="4" t="s">
        <v>88</v>
      </c>
      <c r="D355" s="29">
        <f>MMcfd!D20</f>
        <v>72.111632891762284</v>
      </c>
      <c r="E355" s="4" t="s">
        <v>33</v>
      </c>
      <c r="F355" s="4" t="s">
        <v>33</v>
      </c>
    </row>
    <row r="356" spans="1:6" ht="15" customHeight="1" x14ac:dyDescent="0.2">
      <c r="A356" s="28">
        <v>2039</v>
      </c>
      <c r="B356" s="4" t="s">
        <v>83</v>
      </c>
      <c r="C356" s="4" t="s">
        <v>88</v>
      </c>
      <c r="D356" s="29">
        <f>MMcfd!D21</f>
        <v>67.811406218751216</v>
      </c>
      <c r="E356" s="4" t="s">
        <v>33</v>
      </c>
      <c r="F356" s="4" t="s">
        <v>33</v>
      </c>
    </row>
    <row r="357" spans="1:6" ht="15" customHeight="1" x14ac:dyDescent="0.2">
      <c r="A357" s="28">
        <v>2040</v>
      </c>
      <c r="B357" s="4" t="s">
        <v>83</v>
      </c>
      <c r="C357" s="4" t="s">
        <v>88</v>
      </c>
      <c r="D357" s="29">
        <f>MMcfd!D22</f>
        <v>63.394252711112735</v>
      </c>
      <c r="E357" s="4" t="s">
        <v>33</v>
      </c>
      <c r="F357" s="4" t="s">
        <v>33</v>
      </c>
    </row>
    <row r="358" spans="1:6" ht="15" customHeight="1" x14ac:dyDescent="0.2">
      <c r="A358" s="28">
        <v>2041</v>
      </c>
      <c r="B358" s="4" t="s">
        <v>83</v>
      </c>
      <c r="C358" s="4" t="s">
        <v>88</v>
      </c>
      <c r="D358" s="29">
        <f>MMcfd!D23</f>
        <v>58.882432465146778</v>
      </c>
      <c r="E358" s="4" t="s">
        <v>33</v>
      </c>
      <c r="F358" s="4" t="s">
        <v>33</v>
      </c>
    </row>
    <row r="359" spans="1:6" ht="15" customHeight="1" x14ac:dyDescent="0.2">
      <c r="A359" s="28">
        <v>2042</v>
      </c>
      <c r="B359" s="4" t="s">
        <v>83</v>
      </c>
      <c r="C359" s="4" t="s">
        <v>88</v>
      </c>
      <c r="D359" s="29">
        <f>MMcfd!D24</f>
        <v>54.287696417131009</v>
      </c>
      <c r="E359" s="4" t="s">
        <v>33</v>
      </c>
      <c r="F359" s="4" t="s">
        <v>33</v>
      </c>
    </row>
    <row r="360" spans="1:6" ht="15" customHeight="1" x14ac:dyDescent="0.2">
      <c r="A360" s="28">
        <v>2043</v>
      </c>
      <c r="B360" s="4" t="s">
        <v>83</v>
      </c>
      <c r="C360" s="4" t="s">
        <v>88</v>
      </c>
      <c r="D360" s="29">
        <f>MMcfd!D25</f>
        <v>49.615536920431609</v>
      </c>
      <c r="E360" s="4" t="s">
        <v>33</v>
      </c>
      <c r="F360" s="4" t="s">
        <v>33</v>
      </c>
    </row>
    <row r="361" spans="1:6" ht="15" customHeight="1" x14ac:dyDescent="0.2">
      <c r="A361" s="28">
        <v>2044</v>
      </c>
      <c r="B361" s="4" t="s">
        <v>83</v>
      </c>
      <c r="C361" s="4" t="s">
        <v>88</v>
      </c>
      <c r="D361" s="29">
        <f>MMcfd!D26</f>
        <v>44.868852426993662</v>
      </c>
      <c r="E361" s="4" t="s">
        <v>33</v>
      </c>
      <c r="F361" s="4" t="s">
        <v>33</v>
      </c>
    </row>
    <row r="362" spans="1:6" ht="15" customHeight="1" x14ac:dyDescent="0.2">
      <c r="A362" s="28">
        <v>2045</v>
      </c>
      <c r="B362" s="4" t="s">
        <v>83</v>
      </c>
      <c r="C362" s="4" t="s">
        <v>88</v>
      </c>
      <c r="D362" s="29">
        <f>MMcfd!D27</f>
        <v>40.050888681634056</v>
      </c>
      <c r="E362" s="4" t="s">
        <v>33</v>
      </c>
      <c r="F362" s="4" t="s">
        <v>33</v>
      </c>
    </row>
    <row r="363" spans="1:6" ht="15" customHeight="1" x14ac:dyDescent="0.2">
      <c r="A363" s="28">
        <v>2046</v>
      </c>
      <c r="B363" s="4" t="s">
        <v>83</v>
      </c>
      <c r="C363" s="4" t="s">
        <v>88</v>
      </c>
      <c r="D363" s="29">
        <f>MMcfd!D28</f>
        <v>35.167360976986494</v>
      </c>
      <c r="E363" s="4" t="s">
        <v>33</v>
      </c>
      <c r="F363" s="4" t="s">
        <v>33</v>
      </c>
    </row>
    <row r="364" spans="1:6" ht="15" customHeight="1" x14ac:dyDescent="0.2">
      <c r="A364" s="28">
        <v>2047</v>
      </c>
      <c r="B364" s="4" t="s">
        <v>83</v>
      </c>
      <c r="C364" s="4" t="s">
        <v>88</v>
      </c>
      <c r="D364" s="29">
        <f>MMcfd!D29</f>
        <v>30.227655109948323</v>
      </c>
      <c r="E364" s="4" t="s">
        <v>33</v>
      </c>
      <c r="F364" s="4" t="s">
        <v>33</v>
      </c>
    </row>
    <row r="365" spans="1:6" ht="15" customHeight="1" x14ac:dyDescent="0.2">
      <c r="A365" s="28">
        <v>2048</v>
      </c>
      <c r="B365" s="4" t="s">
        <v>83</v>
      </c>
      <c r="C365" s="4" t="s">
        <v>88</v>
      </c>
      <c r="D365" s="29">
        <f>MMcfd!D30</f>
        <v>25.244962377448033</v>
      </c>
      <c r="E365" s="4" t="s">
        <v>33</v>
      </c>
      <c r="F365" s="4" t="s">
        <v>33</v>
      </c>
    </row>
    <row r="366" spans="1:6" ht="15" customHeight="1" x14ac:dyDescent="0.2">
      <c r="A366" s="28">
        <v>2049</v>
      </c>
      <c r="B366" s="4" t="s">
        <v>83</v>
      </c>
      <c r="C366" s="4" t="s">
        <v>88</v>
      </c>
      <c r="D366" s="29">
        <f>MMcfd!D31</f>
        <v>20.235141605632119</v>
      </c>
      <c r="E366" s="4" t="s">
        <v>33</v>
      </c>
      <c r="F366" s="4" t="s">
        <v>33</v>
      </c>
    </row>
    <row r="367" spans="1:6" ht="15" customHeight="1" x14ac:dyDescent="0.2">
      <c r="A367" s="28">
        <v>2050</v>
      </c>
      <c r="B367" s="4" t="s">
        <v>83</v>
      </c>
      <c r="C367" s="4" t="s">
        <v>88</v>
      </c>
      <c r="D367" s="29">
        <f>MMcfd!D32</f>
        <v>15.214036578607711</v>
      </c>
      <c r="E367" s="4" t="s">
        <v>33</v>
      </c>
      <c r="F367" s="4" t="s">
        <v>33</v>
      </c>
    </row>
    <row r="368" spans="1:6" ht="15" customHeight="1" x14ac:dyDescent="0.2">
      <c r="A368" s="28">
        <v>2023</v>
      </c>
      <c r="B368" s="4" t="s">
        <v>83</v>
      </c>
      <c r="C368" s="4" t="s">
        <v>89</v>
      </c>
      <c r="D368" s="29">
        <f>MMcfd!E5</f>
        <v>604.98782444231131</v>
      </c>
      <c r="E368" s="4" t="s">
        <v>33</v>
      </c>
      <c r="F368" s="4" t="s">
        <v>33</v>
      </c>
    </row>
    <row r="369" spans="1:6" ht="15" customHeight="1" x14ac:dyDescent="0.2">
      <c r="A369" s="28">
        <v>2024</v>
      </c>
      <c r="B369" s="4" t="s">
        <v>83</v>
      </c>
      <c r="C369" s="4" t="s">
        <v>89</v>
      </c>
      <c r="D369" s="29">
        <f>MMcfd!E6</f>
        <v>607</v>
      </c>
      <c r="E369" s="4" t="s">
        <v>33</v>
      </c>
      <c r="F369" s="4" t="s">
        <v>33</v>
      </c>
    </row>
    <row r="370" spans="1:6" ht="15" customHeight="1" x14ac:dyDescent="0.2">
      <c r="A370" s="28">
        <v>2025</v>
      </c>
      <c r="B370" s="4" t="s">
        <v>83</v>
      </c>
      <c r="C370" s="4" t="s">
        <v>89</v>
      </c>
      <c r="D370" s="29">
        <f>MMcfd!E7</f>
        <v>596.52846884779649</v>
      </c>
      <c r="E370" s="4" t="s">
        <v>33</v>
      </c>
      <c r="F370" s="4" t="s">
        <v>33</v>
      </c>
    </row>
    <row r="371" spans="1:6" ht="15" customHeight="1" x14ac:dyDescent="0.2">
      <c r="A371" s="28">
        <v>2026</v>
      </c>
      <c r="B371" s="4" t="s">
        <v>83</v>
      </c>
      <c r="C371" s="4" t="s">
        <v>89</v>
      </c>
      <c r="D371" s="29">
        <f>MMcfd!E8</f>
        <v>706.75872025731826</v>
      </c>
      <c r="E371" s="4" t="s">
        <v>33</v>
      </c>
      <c r="F371" s="4" t="s">
        <v>33</v>
      </c>
    </row>
    <row r="372" spans="1:6" ht="15" customHeight="1" x14ac:dyDescent="0.2">
      <c r="A372" s="28">
        <v>2027</v>
      </c>
      <c r="B372" s="4" t="s">
        <v>83</v>
      </c>
      <c r="C372" s="4" t="s">
        <v>89</v>
      </c>
      <c r="D372" s="29">
        <f>MMcfd!E9</f>
        <v>736.91186417602103</v>
      </c>
      <c r="E372" s="4" t="s">
        <v>33</v>
      </c>
      <c r="F372" s="4" t="s">
        <v>33</v>
      </c>
    </row>
    <row r="373" spans="1:6" ht="15" customHeight="1" x14ac:dyDescent="0.2">
      <c r="A373" s="28">
        <v>2028</v>
      </c>
      <c r="B373" s="4" t="s">
        <v>83</v>
      </c>
      <c r="C373" s="4" t="s">
        <v>89</v>
      </c>
      <c r="D373" s="29">
        <f>MMcfd!E10</f>
        <v>818.17375570890511</v>
      </c>
      <c r="E373" s="4" t="s">
        <v>33</v>
      </c>
      <c r="F373" s="4" t="s">
        <v>33</v>
      </c>
    </row>
    <row r="374" spans="1:6" ht="15" customHeight="1" x14ac:dyDescent="0.2">
      <c r="A374" s="28">
        <v>2029</v>
      </c>
      <c r="B374" s="4" t="s">
        <v>83</v>
      </c>
      <c r="C374" s="4" t="s">
        <v>89</v>
      </c>
      <c r="D374" s="29">
        <f>MMcfd!E11</f>
        <v>903.19311623481542</v>
      </c>
      <c r="E374" s="4" t="s">
        <v>33</v>
      </c>
      <c r="F374" s="4" t="s">
        <v>33</v>
      </c>
    </row>
    <row r="375" spans="1:6" ht="15" customHeight="1" x14ac:dyDescent="0.2">
      <c r="A375" s="28">
        <v>2030</v>
      </c>
      <c r="B375" s="4" t="s">
        <v>83</v>
      </c>
      <c r="C375" s="4" t="s">
        <v>89</v>
      </c>
      <c r="D375" s="29">
        <f>MMcfd!E12</f>
        <v>991</v>
      </c>
      <c r="E375" s="4" t="s">
        <v>33</v>
      </c>
      <c r="F375" s="4" t="s">
        <v>33</v>
      </c>
    </row>
    <row r="376" spans="1:6" ht="15" customHeight="1" x14ac:dyDescent="0.2">
      <c r="A376" s="28">
        <v>2031</v>
      </c>
      <c r="B376" s="4" t="s">
        <v>83</v>
      </c>
      <c r="C376" s="4" t="s">
        <v>89</v>
      </c>
      <c r="D376" s="29">
        <f>MMcfd!E13</f>
        <v>1062.0299913758824</v>
      </c>
      <c r="E376" s="4" t="s">
        <v>33</v>
      </c>
      <c r="F376" s="4" t="s">
        <v>33</v>
      </c>
    </row>
    <row r="377" spans="1:6" ht="15" customHeight="1" x14ac:dyDescent="0.2">
      <c r="A377" s="28">
        <v>2032</v>
      </c>
      <c r="B377" s="4" t="s">
        <v>83</v>
      </c>
      <c r="C377" s="4" t="s">
        <v>89</v>
      </c>
      <c r="D377" s="29">
        <f>MMcfd!E14</f>
        <v>1134.8571470409938</v>
      </c>
      <c r="E377" s="4" t="s">
        <v>33</v>
      </c>
      <c r="F377" s="4" t="s">
        <v>33</v>
      </c>
    </row>
    <row r="378" spans="1:6" ht="15" customHeight="1" x14ac:dyDescent="0.2">
      <c r="A378" s="28">
        <v>2033</v>
      </c>
      <c r="B378" s="4" t="s">
        <v>83</v>
      </c>
      <c r="C378" s="4" t="s">
        <v>89</v>
      </c>
      <c r="D378" s="29">
        <f>MMcfd!E15</f>
        <v>1209.523888771671</v>
      </c>
      <c r="E378" s="4" t="s">
        <v>33</v>
      </c>
      <c r="F378" s="4" t="s">
        <v>33</v>
      </c>
    </row>
    <row r="379" spans="1:6" ht="15" customHeight="1" x14ac:dyDescent="0.2">
      <c r="A379" s="28">
        <v>2034</v>
      </c>
      <c r="B379" s="4" t="s">
        <v>83</v>
      </c>
      <c r="C379" s="4" t="s">
        <v>89</v>
      </c>
      <c r="D379" s="29">
        <f>MMcfd!E16</f>
        <v>1286.0736204883801</v>
      </c>
      <c r="E379" s="4" t="s">
        <v>33</v>
      </c>
      <c r="F379" s="4" t="s">
        <v>33</v>
      </c>
    </row>
    <row r="380" spans="1:6" ht="15" customHeight="1" x14ac:dyDescent="0.2">
      <c r="A380" s="28">
        <v>2035</v>
      </c>
      <c r="B380" s="4" t="s">
        <v>83</v>
      </c>
      <c r="C380" s="4" t="s">
        <v>89</v>
      </c>
      <c r="D380" s="29">
        <f>MMcfd!E17</f>
        <v>1364.5507770090478</v>
      </c>
      <c r="E380" s="4" t="s">
        <v>33</v>
      </c>
      <c r="F380" s="4" t="s">
        <v>33</v>
      </c>
    </row>
    <row r="381" spans="1:6" ht="15" customHeight="1" x14ac:dyDescent="0.2">
      <c r="A381" s="28">
        <v>2036</v>
      </c>
      <c r="B381" s="4" t="s">
        <v>83</v>
      </c>
      <c r="C381" s="4" t="s">
        <v>89</v>
      </c>
      <c r="D381" s="29">
        <f>MMcfd!E18</f>
        <v>1445.0008274368311</v>
      </c>
      <c r="E381" s="4" t="s">
        <v>33</v>
      </c>
      <c r="F381" s="4" t="s">
        <v>33</v>
      </c>
    </row>
    <row r="382" spans="1:6" ht="15" customHeight="1" x14ac:dyDescent="0.2">
      <c r="A382" s="28">
        <v>2037</v>
      </c>
      <c r="B382" s="4" t="s">
        <v>83</v>
      </c>
      <c r="C382" s="4" t="s">
        <v>89</v>
      </c>
      <c r="D382" s="29">
        <f>MMcfd!E19</f>
        <v>1527.4702912694374</v>
      </c>
      <c r="E382" s="4" t="s">
        <v>33</v>
      </c>
      <c r="F382" s="4" t="s">
        <v>33</v>
      </c>
    </row>
    <row r="383" spans="1:6" ht="15" customHeight="1" x14ac:dyDescent="0.2">
      <c r="A383" s="28">
        <v>2038</v>
      </c>
      <c r="B383" s="4" t="s">
        <v>83</v>
      </c>
      <c r="C383" s="4" t="s">
        <v>89</v>
      </c>
      <c r="D383" s="29">
        <f>MMcfd!E20</f>
        <v>1612.006781421215</v>
      </c>
      <c r="E383" s="4" t="s">
        <v>33</v>
      </c>
      <c r="F383" s="4" t="s">
        <v>33</v>
      </c>
    </row>
    <row r="384" spans="1:6" ht="15" customHeight="1" x14ac:dyDescent="0.2">
      <c r="A384" s="28">
        <v>2039</v>
      </c>
      <c r="B384" s="4" t="s">
        <v>83</v>
      </c>
      <c r="C384" s="4" t="s">
        <v>89</v>
      </c>
      <c r="D384" s="29">
        <f>MMcfd!E21</f>
        <v>1698.6590404924423</v>
      </c>
      <c r="E384" s="4" t="s">
        <v>33</v>
      </c>
      <c r="F384" s="4" t="s">
        <v>33</v>
      </c>
    </row>
    <row r="385" spans="1:6" ht="15" customHeight="1" x14ac:dyDescent="0.2">
      <c r="A385" s="28">
        <v>2040</v>
      </c>
      <c r="B385" s="4" t="s">
        <v>83</v>
      </c>
      <c r="C385" s="4" t="s">
        <v>89</v>
      </c>
      <c r="D385" s="29">
        <f>MMcfd!E22</f>
        <v>1788.2073257524505</v>
      </c>
      <c r="E385" s="4" t="s">
        <v>33</v>
      </c>
      <c r="F385" s="4" t="s">
        <v>33</v>
      </c>
    </row>
    <row r="386" spans="1:6" ht="15" customHeight="1" x14ac:dyDescent="0.2">
      <c r="A386" s="28">
        <v>2041</v>
      </c>
      <c r="B386" s="4" t="s">
        <v>83</v>
      </c>
      <c r="C386" s="4" t="s">
        <v>89</v>
      </c>
      <c r="D386" s="29">
        <f>MMcfd!E23</f>
        <v>1880.6020965805894</v>
      </c>
      <c r="E386" s="4" t="s">
        <v>33</v>
      </c>
      <c r="F386" s="4" t="s">
        <v>33</v>
      </c>
    </row>
    <row r="387" spans="1:6" ht="15" customHeight="1" x14ac:dyDescent="0.2">
      <c r="A387" s="28">
        <v>2042</v>
      </c>
      <c r="B387" s="4" t="s">
        <v>83</v>
      </c>
      <c r="C387" s="4" t="s">
        <v>89</v>
      </c>
      <c r="D387" s="29">
        <f>MMcfd!E24</f>
        <v>1975.4218289367857</v>
      </c>
      <c r="E387" s="4" t="s">
        <v>33</v>
      </c>
      <c r="F387" s="4" t="s">
        <v>33</v>
      </c>
    </row>
    <row r="388" spans="1:6" ht="15" customHeight="1" x14ac:dyDescent="0.2">
      <c r="A388" s="28">
        <v>2043</v>
      </c>
      <c r="B388" s="4" t="s">
        <v>83</v>
      </c>
      <c r="C388" s="4" t="s">
        <v>89</v>
      </c>
      <c r="D388" s="29">
        <f>MMcfd!E25</f>
        <v>2072.7283533327509</v>
      </c>
      <c r="E388" s="4" t="s">
        <v>33</v>
      </c>
      <c r="F388" s="4" t="s">
        <v>33</v>
      </c>
    </row>
    <row r="389" spans="1:6" ht="15" customHeight="1" x14ac:dyDescent="0.2">
      <c r="A389" s="28">
        <v>2044</v>
      </c>
      <c r="B389" s="4" t="s">
        <v>83</v>
      </c>
      <c r="C389" s="4" t="s">
        <v>89</v>
      </c>
      <c r="D389" s="29">
        <f>MMcfd!E26</f>
        <v>2172.5850678300153</v>
      </c>
      <c r="E389" s="4" t="s">
        <v>33</v>
      </c>
      <c r="F389" s="4" t="s">
        <v>33</v>
      </c>
    </row>
    <row r="390" spans="1:6" ht="15" customHeight="1" x14ac:dyDescent="0.2">
      <c r="A390" s="28">
        <v>2045</v>
      </c>
      <c r="B390" s="4" t="s">
        <v>83</v>
      </c>
      <c r="C390" s="4" t="s">
        <v>89</v>
      </c>
      <c r="D390" s="29">
        <f>MMcfd!E27</f>
        <v>2275.0569742365051</v>
      </c>
      <c r="E390" s="4" t="s">
        <v>33</v>
      </c>
      <c r="F390" s="4" t="s">
        <v>33</v>
      </c>
    </row>
    <row r="391" spans="1:6" ht="15" customHeight="1" x14ac:dyDescent="0.2">
      <c r="A391" s="28">
        <v>2046</v>
      </c>
      <c r="B391" s="4" t="s">
        <v>83</v>
      </c>
      <c r="C391" s="4" t="s">
        <v>89</v>
      </c>
      <c r="D391" s="29">
        <f>MMcfd!E28</f>
        <v>2380.2107192903982</v>
      </c>
      <c r="E391" s="4" t="s">
        <v>33</v>
      </c>
      <c r="F391" s="4" t="s">
        <v>33</v>
      </c>
    </row>
    <row r="392" spans="1:6" ht="15" customHeight="1" x14ac:dyDescent="0.2">
      <c r="A392" s="28">
        <v>2047</v>
      </c>
      <c r="B392" s="4" t="s">
        <v>83</v>
      </c>
      <c r="C392" s="4" t="s">
        <v>89</v>
      </c>
      <c r="D392" s="29">
        <f>MMcfd!E29</f>
        <v>2488.1146425130619</v>
      </c>
      <c r="E392" s="4" t="s">
        <v>33</v>
      </c>
      <c r="F392" s="4" t="s">
        <v>33</v>
      </c>
    </row>
    <row r="393" spans="1:6" ht="15" customHeight="1" x14ac:dyDescent="0.2">
      <c r="A393" s="28">
        <v>2048</v>
      </c>
      <c r="B393" s="4" t="s">
        <v>83</v>
      </c>
      <c r="C393" s="4" t="s">
        <v>89</v>
      </c>
      <c r="D393" s="29">
        <f>MMcfd!E30</f>
        <v>2598.8387955354924</v>
      </c>
      <c r="E393" s="4" t="s">
        <v>33</v>
      </c>
      <c r="F393" s="4" t="s">
        <v>33</v>
      </c>
    </row>
    <row r="394" spans="1:6" ht="15" customHeight="1" x14ac:dyDescent="0.2">
      <c r="A394" s="28">
        <v>2049</v>
      </c>
      <c r="B394" s="4" t="s">
        <v>83</v>
      </c>
      <c r="C394" s="4" t="s">
        <v>89</v>
      </c>
      <c r="D394" s="29">
        <f>MMcfd!E31</f>
        <v>2712.4550140055644</v>
      </c>
      <c r="E394" s="4" t="s">
        <v>33</v>
      </c>
      <c r="F394" s="4" t="s">
        <v>33</v>
      </c>
    </row>
    <row r="395" spans="1:6" ht="15" customHeight="1" x14ac:dyDescent="0.2">
      <c r="A395" s="28">
        <v>2050</v>
      </c>
      <c r="B395" s="4" t="s">
        <v>83</v>
      </c>
      <c r="C395" s="4" t="s">
        <v>89</v>
      </c>
      <c r="D395" s="29">
        <f>MMcfd!E32</f>
        <v>2829.0369302398126</v>
      </c>
      <c r="E395" s="4" t="s">
        <v>33</v>
      </c>
      <c r="F395" s="4" t="s">
        <v>33</v>
      </c>
    </row>
    <row r="396" spans="1:6" ht="15" customHeight="1" x14ac:dyDescent="0.2">
      <c r="A396" s="28">
        <v>2023</v>
      </c>
      <c r="B396" s="4" t="s">
        <v>84</v>
      </c>
      <c r="C396" s="4" t="s">
        <v>87</v>
      </c>
      <c r="D396" s="29">
        <f>MMcfd!F5</f>
        <v>27.400840910279712</v>
      </c>
      <c r="E396" s="4" t="s">
        <v>33</v>
      </c>
      <c r="F396" s="4" t="s">
        <v>33</v>
      </c>
    </row>
    <row r="397" spans="1:6" ht="15" customHeight="1" x14ac:dyDescent="0.2">
      <c r="A397" s="28">
        <v>2024</v>
      </c>
      <c r="B397" s="4" t="s">
        <v>84</v>
      </c>
      <c r="C397" s="4" t="s">
        <v>87</v>
      </c>
      <c r="D397" s="29">
        <f>MMcfd!F6</f>
        <v>27.261869688434501</v>
      </c>
      <c r="E397" s="4" t="s">
        <v>33</v>
      </c>
      <c r="F397" s="4" t="s">
        <v>33</v>
      </c>
    </row>
    <row r="398" spans="1:6" ht="15" customHeight="1" x14ac:dyDescent="0.2">
      <c r="A398" s="28">
        <v>2025</v>
      </c>
      <c r="B398" s="4" t="s">
        <v>84</v>
      </c>
      <c r="C398" s="4" t="s">
        <v>87</v>
      </c>
      <c r="D398" s="29">
        <f>MMcfd!F7</f>
        <v>27.298547952576779</v>
      </c>
      <c r="E398" s="4" t="s">
        <v>33</v>
      </c>
      <c r="F398" s="4" t="s">
        <v>33</v>
      </c>
    </row>
    <row r="399" spans="1:6" ht="15" customHeight="1" x14ac:dyDescent="0.2">
      <c r="A399" s="28">
        <v>2026</v>
      </c>
      <c r="B399" s="4" t="s">
        <v>84</v>
      </c>
      <c r="C399" s="4" t="s">
        <v>87</v>
      </c>
      <c r="D399" s="29">
        <f>MMcfd!F8</f>
        <v>31.439624693599246</v>
      </c>
      <c r="E399" s="4" t="s">
        <v>33</v>
      </c>
      <c r="F399" s="4" t="s">
        <v>33</v>
      </c>
    </row>
    <row r="400" spans="1:6" ht="15" customHeight="1" x14ac:dyDescent="0.2">
      <c r="A400" s="28">
        <v>2027</v>
      </c>
      <c r="B400" s="4" t="s">
        <v>84</v>
      </c>
      <c r="C400" s="4" t="s">
        <v>87</v>
      </c>
      <c r="D400" s="29">
        <f>MMcfd!F9</f>
        <v>31.711264584236051</v>
      </c>
      <c r="E400" s="4" t="s">
        <v>33</v>
      </c>
      <c r="F400" s="4" t="s">
        <v>33</v>
      </c>
    </row>
    <row r="401" spans="1:6" ht="15" customHeight="1" x14ac:dyDescent="0.2">
      <c r="A401" s="28">
        <v>2028</v>
      </c>
      <c r="B401" s="4" t="s">
        <v>84</v>
      </c>
      <c r="C401" s="4" t="s">
        <v>87</v>
      </c>
      <c r="D401" s="29">
        <f>MMcfd!F10</f>
        <v>31.795067026413872</v>
      </c>
      <c r="E401" s="4" t="s">
        <v>33</v>
      </c>
      <c r="F401" s="4" t="s">
        <v>33</v>
      </c>
    </row>
    <row r="402" spans="1:6" ht="15" customHeight="1" x14ac:dyDescent="0.2">
      <c r="A402" s="28">
        <v>2029</v>
      </c>
      <c r="B402" s="4" t="s">
        <v>84</v>
      </c>
      <c r="C402" s="4" t="s">
        <v>87</v>
      </c>
      <c r="D402" s="29">
        <f>MMcfd!F11</f>
        <v>31.687696321834821</v>
      </c>
      <c r="E402" s="4" t="s">
        <v>33</v>
      </c>
      <c r="F402" s="4" t="s">
        <v>33</v>
      </c>
    </row>
    <row r="403" spans="1:6" ht="15" customHeight="1" x14ac:dyDescent="0.2">
      <c r="A403" s="28">
        <v>2030</v>
      </c>
      <c r="B403" s="4" t="s">
        <v>84</v>
      </c>
      <c r="C403" s="4" t="s">
        <v>87</v>
      </c>
      <c r="D403" s="29">
        <f>MMcfd!F12</f>
        <v>31.445630218032576</v>
      </c>
      <c r="E403" s="4" t="s">
        <v>33</v>
      </c>
      <c r="F403" s="4" t="s">
        <v>33</v>
      </c>
    </row>
    <row r="404" spans="1:6" ht="15" customHeight="1" x14ac:dyDescent="0.2">
      <c r="A404" s="28">
        <v>2031</v>
      </c>
      <c r="B404" s="4" t="s">
        <v>84</v>
      </c>
      <c r="C404" s="4" t="s">
        <v>87</v>
      </c>
      <c r="D404" s="29">
        <f>MMcfd!F13</f>
        <v>29.850377124204968</v>
      </c>
      <c r="E404" s="4" t="s">
        <v>33</v>
      </c>
      <c r="F404" s="4" t="s">
        <v>33</v>
      </c>
    </row>
    <row r="405" spans="1:6" ht="15" customHeight="1" x14ac:dyDescent="0.2">
      <c r="A405" s="28">
        <v>2032</v>
      </c>
      <c r="B405" s="4" t="s">
        <v>84</v>
      </c>
      <c r="C405" s="4" t="s">
        <v>87</v>
      </c>
      <c r="D405" s="29">
        <f>MMcfd!F14</f>
        <v>28.278489824195969</v>
      </c>
      <c r="E405" s="4" t="s">
        <v>33</v>
      </c>
      <c r="F405" s="4" t="s">
        <v>33</v>
      </c>
    </row>
    <row r="406" spans="1:6" ht="15" customHeight="1" x14ac:dyDescent="0.2">
      <c r="A406" s="28">
        <v>2033</v>
      </c>
      <c r="B406" s="4" t="s">
        <v>84</v>
      </c>
      <c r="C406" s="4" t="s">
        <v>87</v>
      </c>
      <c r="D406" s="29">
        <f>MMcfd!F15</f>
        <v>26.730507218004092</v>
      </c>
      <c r="E406" s="4" t="s">
        <v>33</v>
      </c>
      <c r="F406" s="4" t="s">
        <v>33</v>
      </c>
    </row>
    <row r="407" spans="1:6" ht="15" customHeight="1" x14ac:dyDescent="0.2">
      <c r="A407" s="28">
        <v>2034</v>
      </c>
      <c r="B407" s="4" t="s">
        <v>84</v>
      </c>
      <c r="C407" s="4" t="s">
        <v>87</v>
      </c>
      <c r="D407" s="29">
        <f>MMcfd!F16</f>
        <v>25.207098146393879</v>
      </c>
      <c r="E407" s="4" t="s">
        <v>33</v>
      </c>
      <c r="F407" s="4" t="s">
        <v>33</v>
      </c>
    </row>
    <row r="408" spans="1:6" ht="15" customHeight="1" x14ac:dyDescent="0.2">
      <c r="A408" s="28">
        <v>2035</v>
      </c>
      <c r="B408" s="4" t="s">
        <v>84</v>
      </c>
      <c r="C408" s="4" t="s">
        <v>87</v>
      </c>
      <c r="D408" s="29">
        <f>MMcfd!F17</f>
        <v>23.709038684512201</v>
      </c>
      <c r="E408" s="4" t="s">
        <v>33</v>
      </c>
      <c r="F408" s="4" t="s">
        <v>33</v>
      </c>
    </row>
    <row r="409" spans="1:6" ht="15" customHeight="1" x14ac:dyDescent="0.2">
      <c r="A409" s="28">
        <v>2036</v>
      </c>
      <c r="B409" s="4" t="s">
        <v>84</v>
      </c>
      <c r="C409" s="4" t="s">
        <v>87</v>
      </c>
      <c r="D409" s="29">
        <f>MMcfd!F18</f>
        <v>22.245759672346932</v>
      </c>
      <c r="E409" s="4" t="s">
        <v>33</v>
      </c>
      <c r="F409" s="4" t="s">
        <v>33</v>
      </c>
    </row>
    <row r="410" spans="1:6" ht="15" customHeight="1" x14ac:dyDescent="0.2">
      <c r="A410" s="28">
        <v>2037</v>
      </c>
      <c r="B410" s="4" t="s">
        <v>84</v>
      </c>
      <c r="C410" s="4" t="s">
        <v>87</v>
      </c>
      <c r="D410" s="29">
        <f>MMcfd!F19</f>
        <v>20.815853216823154</v>
      </c>
      <c r="E410" s="4" t="s">
        <v>33</v>
      </c>
      <c r="F410" s="4" t="s">
        <v>33</v>
      </c>
    </row>
    <row r="411" spans="1:6" ht="15" customHeight="1" x14ac:dyDescent="0.2">
      <c r="A411" s="28">
        <v>2038</v>
      </c>
      <c r="B411" s="4" t="s">
        <v>84</v>
      </c>
      <c r="C411" s="4" t="s">
        <v>87</v>
      </c>
      <c r="D411" s="29">
        <f>MMcfd!F20</f>
        <v>19.411901360862668</v>
      </c>
      <c r="E411" s="4" t="s">
        <v>33</v>
      </c>
      <c r="F411" s="4" t="s">
        <v>33</v>
      </c>
    </row>
    <row r="412" spans="1:6" ht="15" customHeight="1" x14ac:dyDescent="0.2">
      <c r="A412" s="28">
        <v>2039</v>
      </c>
      <c r="B412" s="4" t="s">
        <v>84</v>
      </c>
      <c r="C412" s="4" t="s">
        <v>87</v>
      </c>
      <c r="D412" s="29">
        <f>MMcfd!F21</f>
        <v>18.035160429431759</v>
      </c>
      <c r="E412" s="4" t="s">
        <v>33</v>
      </c>
      <c r="F412" s="4" t="s">
        <v>33</v>
      </c>
    </row>
    <row r="413" spans="1:6" ht="15" customHeight="1" x14ac:dyDescent="0.2">
      <c r="A413" s="28">
        <v>2040</v>
      </c>
      <c r="B413" s="4" t="s">
        <v>84</v>
      </c>
      <c r="C413" s="4" t="s">
        <v>87</v>
      </c>
      <c r="D413" s="29">
        <f>MMcfd!F22</f>
        <v>16.686916681543732</v>
      </c>
      <c r="E413" s="4" t="s">
        <v>33</v>
      </c>
      <c r="F413" s="4" t="s">
        <v>33</v>
      </c>
    </row>
    <row r="414" spans="1:6" ht="15" customHeight="1" x14ac:dyDescent="0.2">
      <c r="A414" s="28">
        <v>2041</v>
      </c>
      <c r="B414" s="4" t="s">
        <v>84</v>
      </c>
      <c r="C414" s="4" t="s">
        <v>87</v>
      </c>
      <c r="D414" s="29">
        <f>MMcfd!F23</f>
        <v>15.36849061157873</v>
      </c>
      <c r="E414" s="4" t="s">
        <v>33</v>
      </c>
      <c r="F414" s="4" t="s">
        <v>33</v>
      </c>
    </row>
    <row r="415" spans="1:6" ht="15" customHeight="1" x14ac:dyDescent="0.2">
      <c r="A415" s="28">
        <v>2042</v>
      </c>
      <c r="B415" s="4" t="s">
        <v>84</v>
      </c>
      <c r="C415" s="4" t="s">
        <v>87</v>
      </c>
      <c r="D415" s="29">
        <f>MMcfd!F24</f>
        <v>14.081224649799768</v>
      </c>
      <c r="E415" s="4" t="s">
        <v>33</v>
      </c>
      <c r="F415" s="4" t="s">
        <v>33</v>
      </c>
    </row>
    <row r="416" spans="1:6" ht="15" customHeight="1" x14ac:dyDescent="0.2">
      <c r="A416" s="28">
        <v>2043</v>
      </c>
      <c r="B416" s="4" t="s">
        <v>84</v>
      </c>
      <c r="C416" s="4" t="s">
        <v>87</v>
      </c>
      <c r="D416" s="29">
        <f>MMcfd!F25</f>
        <v>12.826497144047233</v>
      </c>
      <c r="E416" s="4" t="s">
        <v>33</v>
      </c>
      <c r="F416" s="4" t="s">
        <v>33</v>
      </c>
    </row>
    <row r="417" spans="1:6" ht="15" customHeight="1" x14ac:dyDescent="0.2">
      <c r="A417" s="28">
        <v>2044</v>
      </c>
      <c r="B417" s="4" t="s">
        <v>84</v>
      </c>
      <c r="C417" s="4" t="s">
        <v>87</v>
      </c>
      <c r="D417" s="29">
        <f>MMcfd!F26</f>
        <v>11.605718476011774</v>
      </c>
      <c r="E417" s="4" t="s">
        <v>33</v>
      </c>
      <c r="F417" s="4" t="s">
        <v>33</v>
      </c>
    </row>
    <row r="418" spans="1:6" ht="15" customHeight="1" x14ac:dyDescent="0.2">
      <c r="A418" s="28">
        <v>2045</v>
      </c>
      <c r="B418" s="4" t="s">
        <v>84</v>
      </c>
      <c r="C418" s="4" t="s">
        <v>87</v>
      </c>
      <c r="D418" s="29">
        <f>MMcfd!F27</f>
        <v>10.420331550371277</v>
      </c>
      <c r="E418" s="4" t="s">
        <v>33</v>
      </c>
      <c r="F418" s="4" t="s">
        <v>33</v>
      </c>
    </row>
    <row r="419" spans="1:6" ht="15" customHeight="1" x14ac:dyDescent="0.2">
      <c r="A419" s="28">
        <v>2046</v>
      </c>
      <c r="B419" s="4" t="s">
        <v>84</v>
      </c>
      <c r="C419" s="4" t="s">
        <v>87</v>
      </c>
      <c r="D419" s="29">
        <f>MMcfd!F28</f>
        <v>9.2718124455432118</v>
      </c>
      <c r="E419" s="4" t="s">
        <v>33</v>
      </c>
      <c r="F419" s="4" t="s">
        <v>33</v>
      </c>
    </row>
    <row r="420" spans="1:6" ht="15" customHeight="1" x14ac:dyDescent="0.2">
      <c r="A420" s="28">
        <v>2047</v>
      </c>
      <c r="B420" s="4" t="s">
        <v>84</v>
      </c>
      <c r="C420" s="4" t="s">
        <v>87</v>
      </c>
      <c r="D420" s="29">
        <f>MMcfd!F29</f>
        <v>8.1616711407963827</v>
      </c>
      <c r="E420" s="4" t="s">
        <v>33</v>
      </c>
      <c r="F420" s="4" t="s">
        <v>33</v>
      </c>
    </row>
    <row r="421" spans="1:6" ht="15" customHeight="1" x14ac:dyDescent="0.2">
      <c r="A421" s="28">
        <v>2048</v>
      </c>
      <c r="B421" s="4" t="s">
        <v>84</v>
      </c>
      <c r="C421" s="4" t="s">
        <v>87</v>
      </c>
      <c r="D421" s="29">
        <f>MMcfd!F30</f>
        <v>7.0914520130873422</v>
      </c>
      <c r="E421" s="4" t="s">
        <v>33</v>
      </c>
      <c r="F421" s="4" t="s">
        <v>33</v>
      </c>
    </row>
    <row r="422" spans="1:6" ht="15" customHeight="1" x14ac:dyDescent="0.2">
      <c r="A422" s="28">
        <v>2049</v>
      </c>
      <c r="B422" s="4" t="s">
        <v>84</v>
      </c>
      <c r="C422" s="4" t="s">
        <v>87</v>
      </c>
      <c r="D422" s="29">
        <f>MMcfd!F31</f>
        <v>6.0627346015156043</v>
      </c>
      <c r="E422" s="4" t="s">
        <v>33</v>
      </c>
      <c r="F422" s="4" t="s">
        <v>33</v>
      </c>
    </row>
    <row r="423" spans="1:6" ht="15" customHeight="1" x14ac:dyDescent="0.2">
      <c r="A423" s="28">
        <v>2050</v>
      </c>
      <c r="B423" s="4" t="s">
        <v>84</v>
      </c>
      <c r="C423" s="4" t="s">
        <v>87</v>
      </c>
      <c r="D423" s="29">
        <f>MMcfd!F32</f>
        <v>5.0771341828490959</v>
      </c>
      <c r="E423" s="4" t="s">
        <v>33</v>
      </c>
      <c r="F423" s="4" t="s">
        <v>33</v>
      </c>
    </row>
    <row r="424" spans="1:6" ht="15" customHeight="1" x14ac:dyDescent="0.2">
      <c r="A424" s="28">
        <v>2023</v>
      </c>
      <c r="B424" s="4" t="s">
        <v>84</v>
      </c>
      <c r="C424" s="4" t="s">
        <v>88</v>
      </c>
      <c r="D424" s="29">
        <f>MMcfd!G5</f>
        <v>84.534509191288493</v>
      </c>
      <c r="E424" s="4" t="s">
        <v>33</v>
      </c>
      <c r="F424" s="4" t="s">
        <v>33</v>
      </c>
    </row>
    <row r="425" spans="1:6" ht="15" customHeight="1" x14ac:dyDescent="0.2">
      <c r="A425" s="28">
        <v>2024</v>
      </c>
      <c r="B425" s="4" t="s">
        <v>84</v>
      </c>
      <c r="C425" s="4" t="s">
        <v>88</v>
      </c>
      <c r="D425" s="29">
        <f>MMcfd!G6</f>
        <v>84.845864720614514</v>
      </c>
      <c r="E425" s="4" t="s">
        <v>33</v>
      </c>
      <c r="F425" s="4" t="s">
        <v>33</v>
      </c>
    </row>
    <row r="426" spans="1:6" ht="15" customHeight="1" x14ac:dyDescent="0.2">
      <c r="A426" s="28">
        <v>2025</v>
      </c>
      <c r="B426" s="4" t="s">
        <v>84</v>
      </c>
      <c r="C426" s="4" t="s">
        <v>88</v>
      </c>
      <c r="D426" s="29">
        <f>MMcfd!G7</f>
        <v>85.046847161710048</v>
      </c>
      <c r="E426" s="4" t="s">
        <v>33</v>
      </c>
      <c r="F426" s="4" t="s">
        <v>33</v>
      </c>
    </row>
    <row r="427" spans="1:6" ht="15" customHeight="1" x14ac:dyDescent="0.2">
      <c r="A427" s="28">
        <v>2026</v>
      </c>
      <c r="B427" s="4" t="s">
        <v>84</v>
      </c>
      <c r="C427" s="4" t="s">
        <v>88</v>
      </c>
      <c r="D427" s="29">
        <f>MMcfd!G8</f>
        <v>90.727383237938781</v>
      </c>
      <c r="E427" s="4" t="s">
        <v>33</v>
      </c>
      <c r="F427" s="4" t="s">
        <v>33</v>
      </c>
    </row>
    <row r="428" spans="1:6" ht="15" customHeight="1" x14ac:dyDescent="0.2">
      <c r="A428" s="28">
        <v>2027</v>
      </c>
      <c r="B428" s="4" t="s">
        <v>84</v>
      </c>
      <c r="C428" s="4" t="s">
        <v>88</v>
      </c>
      <c r="D428" s="29">
        <f>MMcfd!G9</f>
        <v>96.250658662645108</v>
      </c>
      <c r="E428" s="4" t="s">
        <v>33</v>
      </c>
      <c r="F428" s="4" t="s">
        <v>33</v>
      </c>
    </row>
    <row r="429" spans="1:6" ht="15" customHeight="1" x14ac:dyDescent="0.2">
      <c r="A429" s="28">
        <v>2028</v>
      </c>
      <c r="B429" s="4" t="s">
        <v>84</v>
      </c>
      <c r="C429" s="4" t="s">
        <v>88</v>
      </c>
      <c r="D429" s="29">
        <f>MMcfd!G10</f>
        <v>101.47288081236002</v>
      </c>
      <c r="E429" s="4" t="s">
        <v>33</v>
      </c>
      <c r="F429" s="4" t="s">
        <v>33</v>
      </c>
    </row>
    <row r="430" spans="1:6" ht="15" customHeight="1" x14ac:dyDescent="0.2">
      <c r="A430" s="28">
        <v>2029</v>
      </c>
      <c r="B430" s="4" t="s">
        <v>84</v>
      </c>
      <c r="C430" s="4" t="s">
        <v>88</v>
      </c>
      <c r="D430" s="29">
        <f>MMcfd!G11</f>
        <v>106.2441155946626</v>
      </c>
      <c r="E430" s="4" t="s">
        <v>33</v>
      </c>
      <c r="F430" s="4" t="s">
        <v>33</v>
      </c>
    </row>
    <row r="431" spans="1:6" ht="15" customHeight="1" x14ac:dyDescent="0.2">
      <c r="A431" s="28">
        <v>2030</v>
      </c>
      <c r="B431" s="4" t="s">
        <v>84</v>
      </c>
      <c r="C431" s="4" t="s">
        <v>88</v>
      </c>
      <c r="D431" s="29">
        <f>MMcfd!G12</f>
        <v>110.43233095104962</v>
      </c>
      <c r="E431" s="4" t="s">
        <v>33</v>
      </c>
      <c r="F431" s="4" t="s">
        <v>33</v>
      </c>
    </row>
    <row r="432" spans="1:6" ht="15" customHeight="1" x14ac:dyDescent="0.2">
      <c r="A432" s="28">
        <v>2031</v>
      </c>
      <c r="B432" s="4" t="s">
        <v>84</v>
      </c>
      <c r="C432" s="4" t="s">
        <v>88</v>
      </c>
      <c r="D432" s="29">
        <f>MMcfd!G13</f>
        <v>113.95385282435676</v>
      </c>
      <c r="E432" s="4" t="s">
        <v>33</v>
      </c>
      <c r="F432" s="4" t="s">
        <v>33</v>
      </c>
    </row>
    <row r="433" spans="1:6" ht="15" customHeight="1" x14ac:dyDescent="0.2">
      <c r="A433" s="28">
        <v>2032</v>
      </c>
      <c r="B433" s="4" t="s">
        <v>84</v>
      </c>
      <c r="C433" s="4" t="s">
        <v>88</v>
      </c>
      <c r="D433" s="29">
        <f>MMcfd!G14</f>
        <v>116.81264474123796</v>
      </c>
      <c r="E433" s="4" t="s">
        <v>33</v>
      </c>
      <c r="F433" s="4" t="s">
        <v>33</v>
      </c>
    </row>
    <row r="434" spans="1:6" ht="15" customHeight="1" x14ac:dyDescent="0.2">
      <c r="A434" s="28">
        <v>2033</v>
      </c>
      <c r="B434" s="4" t="s">
        <v>84</v>
      </c>
      <c r="C434" s="4" t="s">
        <v>88</v>
      </c>
      <c r="D434" s="29">
        <f>MMcfd!G15</f>
        <v>119.06450404271546</v>
      </c>
      <c r="E434" s="4" t="s">
        <v>33</v>
      </c>
      <c r="F434" s="4" t="s">
        <v>33</v>
      </c>
    </row>
    <row r="435" spans="1:6" ht="15" customHeight="1" x14ac:dyDescent="0.2">
      <c r="A435" s="28">
        <v>2034</v>
      </c>
      <c r="B435" s="4" t="s">
        <v>84</v>
      </c>
      <c r="C435" s="4" t="s">
        <v>88</v>
      </c>
      <c r="D435" s="29">
        <f>MMcfd!G16</f>
        <v>120.79023587384644</v>
      </c>
      <c r="E435" s="4" t="s">
        <v>33</v>
      </c>
      <c r="F435" s="4" t="s">
        <v>33</v>
      </c>
    </row>
    <row r="436" spans="1:6" ht="15" customHeight="1" x14ac:dyDescent="0.2">
      <c r="A436" s="28">
        <v>2035</v>
      </c>
      <c r="B436" s="4" t="s">
        <v>84</v>
      </c>
      <c r="C436" s="4" t="s">
        <v>88</v>
      </c>
      <c r="D436" s="29">
        <f>MMcfd!G17</f>
        <v>122.07684233706971</v>
      </c>
      <c r="E436" s="4" t="s">
        <v>33</v>
      </c>
      <c r="F436" s="4" t="s">
        <v>33</v>
      </c>
    </row>
    <row r="437" spans="1:6" ht="15" customHeight="1" x14ac:dyDescent="0.2">
      <c r="A437" s="28">
        <v>2036</v>
      </c>
      <c r="B437" s="4" t="s">
        <v>84</v>
      </c>
      <c r="C437" s="4" t="s">
        <v>88</v>
      </c>
      <c r="D437" s="29">
        <f>MMcfd!G18</f>
        <v>123.00534111524553</v>
      </c>
      <c r="E437" s="4" t="s">
        <v>33</v>
      </c>
      <c r="F437" s="4" t="s">
        <v>33</v>
      </c>
    </row>
    <row r="438" spans="1:6" ht="15" customHeight="1" x14ac:dyDescent="0.2">
      <c r="A438" s="28">
        <v>2037</v>
      </c>
      <c r="B438" s="4" t="s">
        <v>84</v>
      </c>
      <c r="C438" s="4" t="s">
        <v>88</v>
      </c>
      <c r="D438" s="29">
        <f>MMcfd!G19</f>
        <v>123.64371926488819</v>
      </c>
      <c r="E438" s="4" t="s">
        <v>33</v>
      </c>
      <c r="F438" s="4" t="s">
        <v>33</v>
      </c>
    </row>
    <row r="439" spans="1:6" ht="15" customHeight="1" x14ac:dyDescent="0.2">
      <c r="A439" s="28">
        <v>2038</v>
      </c>
      <c r="B439" s="4" t="s">
        <v>84</v>
      </c>
      <c r="C439" s="4" t="s">
        <v>88</v>
      </c>
      <c r="D439" s="29">
        <f>MMcfd!G20</f>
        <v>124.04443329721501</v>
      </c>
      <c r="E439" s="4" t="s">
        <v>33</v>
      </c>
      <c r="F439" s="4" t="s">
        <v>33</v>
      </c>
    </row>
    <row r="440" spans="1:6" ht="15" customHeight="1" x14ac:dyDescent="0.2">
      <c r="A440" s="28">
        <v>2039</v>
      </c>
      <c r="B440" s="4" t="s">
        <v>84</v>
      </c>
      <c r="C440" s="4" t="s">
        <v>88</v>
      </c>
      <c r="D440" s="29">
        <f>MMcfd!G21</f>
        <v>124.24520526392841</v>
      </c>
      <c r="E440" s="4" t="s">
        <v>33</v>
      </c>
      <c r="F440" s="4" t="s">
        <v>33</v>
      </c>
    </row>
    <row r="441" spans="1:6" ht="15" customHeight="1" x14ac:dyDescent="0.2">
      <c r="A441" s="28">
        <v>2040</v>
      </c>
      <c r="B441" s="4" t="s">
        <v>84</v>
      </c>
      <c r="C441" s="4" t="s">
        <v>88</v>
      </c>
      <c r="D441" s="29">
        <f>MMcfd!G22</f>
        <v>124.2714246439469</v>
      </c>
      <c r="E441" s="4" t="s">
        <v>33</v>
      </c>
      <c r="F441" s="4" t="s">
        <v>33</v>
      </c>
    </row>
    <row r="442" spans="1:6" ht="15" customHeight="1" x14ac:dyDescent="0.2">
      <c r="A442" s="28">
        <v>2041</v>
      </c>
      <c r="B442" s="4" t="s">
        <v>84</v>
      </c>
      <c r="C442" s="4" t="s">
        <v>88</v>
      </c>
      <c r="D442" s="29">
        <f>MMcfd!G23</f>
        <v>124.13947290952601</v>
      </c>
      <c r="E442" s="4" t="s">
        <v>33</v>
      </c>
      <c r="F442" s="4" t="s">
        <v>33</v>
      </c>
    </row>
    <row r="443" spans="1:6" ht="15" customHeight="1" x14ac:dyDescent="0.2">
      <c r="A443" s="28">
        <v>2042</v>
      </c>
      <c r="B443" s="4" t="s">
        <v>84</v>
      </c>
      <c r="C443" s="4" t="s">
        <v>88</v>
      </c>
      <c r="D443" s="29">
        <f>MMcfd!G24</f>
        <v>123.86048984506786</v>
      </c>
      <c r="E443" s="4" t="s">
        <v>33</v>
      </c>
      <c r="F443" s="4" t="s">
        <v>33</v>
      </c>
    </row>
    <row r="444" spans="1:6" ht="15" customHeight="1" x14ac:dyDescent="0.2">
      <c r="A444" s="28">
        <v>2043</v>
      </c>
      <c r="B444" s="4" t="s">
        <v>84</v>
      </c>
      <c r="C444" s="4" t="s">
        <v>88</v>
      </c>
      <c r="D444" s="29">
        <f>MMcfd!G25</f>
        <v>123.44300560358522</v>
      </c>
      <c r="E444" s="4" t="s">
        <v>33</v>
      </c>
      <c r="F444" s="4" t="s">
        <v>33</v>
      </c>
    </row>
    <row r="445" spans="1:6" ht="15" customHeight="1" x14ac:dyDescent="0.2">
      <c r="A445" s="28">
        <v>2044</v>
      </c>
      <c r="B445" s="4" t="s">
        <v>84</v>
      </c>
      <c r="C445" s="4" t="s">
        <v>88</v>
      </c>
      <c r="D445" s="29">
        <f>MMcfd!G26</f>
        <v>122.89542957844905</v>
      </c>
      <c r="E445" s="4" t="s">
        <v>33</v>
      </c>
      <c r="F445" s="4" t="s">
        <v>33</v>
      </c>
    </row>
    <row r="446" spans="1:6" ht="15" customHeight="1" x14ac:dyDescent="0.2">
      <c r="A446" s="28">
        <v>2045</v>
      </c>
      <c r="B446" s="4" t="s">
        <v>84</v>
      </c>
      <c r="C446" s="4" t="s">
        <v>88</v>
      </c>
      <c r="D446" s="29">
        <f>MMcfd!G27</f>
        <v>122.22819064436676</v>
      </c>
      <c r="E446" s="4" t="s">
        <v>33</v>
      </c>
      <c r="F446" s="4" t="s">
        <v>33</v>
      </c>
    </row>
    <row r="447" spans="1:6" ht="15" customHeight="1" x14ac:dyDescent="0.2">
      <c r="A447" s="28">
        <v>2046</v>
      </c>
      <c r="B447" s="4" t="s">
        <v>84</v>
      </c>
      <c r="C447" s="4" t="s">
        <v>88</v>
      </c>
      <c r="D447" s="29">
        <f>MMcfd!G28</f>
        <v>121.4553240233431</v>
      </c>
      <c r="E447" s="4" t="s">
        <v>33</v>
      </c>
      <c r="F447" s="4" t="s">
        <v>33</v>
      </c>
    </row>
    <row r="448" spans="1:6" ht="15" customHeight="1" x14ac:dyDescent="0.2">
      <c r="A448" s="28">
        <v>2047</v>
      </c>
      <c r="B448" s="4" t="s">
        <v>84</v>
      </c>
      <c r="C448" s="4" t="s">
        <v>88</v>
      </c>
      <c r="D448" s="29">
        <f>MMcfd!G29</f>
        <v>120.59526564602197</v>
      </c>
      <c r="E448" s="4" t="s">
        <v>33</v>
      </c>
      <c r="F448" s="4" t="s">
        <v>33</v>
      </c>
    </row>
    <row r="449" spans="1:6" ht="15" customHeight="1" x14ac:dyDescent="0.2">
      <c r="A449" s="28">
        <v>2048</v>
      </c>
      <c r="B449" s="4" t="s">
        <v>84</v>
      </c>
      <c r="C449" s="4" t="s">
        <v>88</v>
      </c>
      <c r="D449" s="29">
        <f>MMcfd!G30</f>
        <v>119.67055477748956</v>
      </c>
      <c r="E449" s="4" t="s">
        <v>33</v>
      </c>
      <c r="F449" s="4" t="s">
        <v>33</v>
      </c>
    </row>
    <row r="450" spans="1:6" ht="15" customHeight="1" x14ac:dyDescent="0.2">
      <c r="A450" s="28">
        <v>2049</v>
      </c>
      <c r="B450" s="4" t="s">
        <v>84</v>
      </c>
      <c r="C450" s="4" t="s">
        <v>88</v>
      </c>
      <c r="D450" s="29">
        <f>MMcfd!G31</f>
        <v>118.70607329718148</v>
      </c>
      <c r="E450" s="4" t="s">
        <v>33</v>
      </c>
      <c r="F450" s="4" t="s">
        <v>33</v>
      </c>
    </row>
    <row r="451" spans="1:6" ht="15" customHeight="1" x14ac:dyDescent="0.2">
      <c r="A451" s="28">
        <v>2050</v>
      </c>
      <c r="B451" s="4" t="s">
        <v>84</v>
      </c>
      <c r="C451" s="4" t="s">
        <v>88</v>
      </c>
      <c r="D451" s="29">
        <f>MMcfd!G32</f>
        <v>117.72538388898553</v>
      </c>
      <c r="E451" s="4" t="s">
        <v>33</v>
      </c>
      <c r="F451" s="4" t="s">
        <v>33</v>
      </c>
    </row>
    <row r="452" spans="1:6" ht="15" customHeight="1" x14ac:dyDescent="0.2">
      <c r="A452" s="28">
        <v>2023</v>
      </c>
      <c r="B452" s="4" t="s">
        <v>84</v>
      </c>
      <c r="C452" s="4" t="s">
        <v>89</v>
      </c>
      <c r="D452" s="29">
        <f>MMcfd!H5</f>
        <v>604.98782444231131</v>
      </c>
      <c r="E452" s="4" t="s">
        <v>33</v>
      </c>
      <c r="F452" s="4" t="s">
        <v>33</v>
      </c>
    </row>
    <row r="453" spans="1:6" ht="15" customHeight="1" x14ac:dyDescent="0.2">
      <c r="A453" s="28">
        <v>2024</v>
      </c>
      <c r="B453" s="4" t="s">
        <v>84</v>
      </c>
      <c r="C453" s="4" t="s">
        <v>89</v>
      </c>
      <c r="D453" s="29">
        <f>MMcfd!H6</f>
        <v>607.96568067079795</v>
      </c>
      <c r="E453" s="4" t="s">
        <v>33</v>
      </c>
      <c r="F453" s="4" t="s">
        <v>33</v>
      </c>
    </row>
    <row r="454" spans="1:6" ht="15" customHeight="1" x14ac:dyDescent="0.2">
      <c r="A454" s="28">
        <v>2025</v>
      </c>
      <c r="B454" s="4" t="s">
        <v>84</v>
      </c>
      <c r="C454" s="4" t="s">
        <v>89</v>
      </c>
      <c r="D454" s="29">
        <f>MMcfd!H7</f>
        <v>598.44389830027956</v>
      </c>
      <c r="E454" s="4" t="s">
        <v>33</v>
      </c>
      <c r="F454" s="4" t="s">
        <v>33</v>
      </c>
    </row>
    <row r="455" spans="1:6" ht="15" customHeight="1" x14ac:dyDescent="0.2">
      <c r="A455" s="28">
        <v>2026</v>
      </c>
      <c r="B455" s="4" t="s">
        <v>84</v>
      </c>
      <c r="C455" s="4" t="s">
        <v>89</v>
      </c>
      <c r="D455" s="29">
        <f>MMcfd!H8</f>
        <v>695.40572074946454</v>
      </c>
      <c r="E455" s="4" t="s">
        <v>33</v>
      </c>
      <c r="F455" s="4" t="s">
        <v>33</v>
      </c>
    </row>
    <row r="456" spans="1:6" ht="15" customHeight="1" x14ac:dyDescent="0.2">
      <c r="A456" s="28">
        <v>2027</v>
      </c>
      <c r="B456" s="4" t="s">
        <v>84</v>
      </c>
      <c r="C456" s="4" t="s">
        <v>89</v>
      </c>
      <c r="D456" s="29">
        <f>MMcfd!H9</f>
        <v>711.03076025472785</v>
      </c>
      <c r="E456" s="4" t="s">
        <v>33</v>
      </c>
      <c r="F456" s="4" t="s">
        <v>33</v>
      </c>
    </row>
    <row r="457" spans="1:6" ht="15" customHeight="1" x14ac:dyDescent="0.2">
      <c r="A457" s="28">
        <v>2028</v>
      </c>
      <c r="B457" s="4" t="s">
        <v>84</v>
      </c>
      <c r="C457" s="4" t="s">
        <v>89</v>
      </c>
      <c r="D457" s="29">
        <f>MMcfd!H10</f>
        <v>694.41061199439582</v>
      </c>
      <c r="E457" s="4" t="s">
        <v>33</v>
      </c>
      <c r="F457" s="4" t="s">
        <v>33</v>
      </c>
    </row>
    <row r="458" spans="1:6" ht="15" customHeight="1" x14ac:dyDescent="0.2">
      <c r="A458" s="28">
        <v>2029</v>
      </c>
      <c r="B458" s="4" t="s">
        <v>84</v>
      </c>
      <c r="C458" s="4" t="s">
        <v>89</v>
      </c>
      <c r="D458" s="29">
        <f>MMcfd!H11</f>
        <v>674.75242747397851</v>
      </c>
      <c r="E458" s="4" t="s">
        <v>33</v>
      </c>
      <c r="F458" s="4" t="s">
        <v>33</v>
      </c>
    </row>
    <row r="459" spans="1:6" ht="15" customHeight="1" x14ac:dyDescent="0.2">
      <c r="A459" s="28">
        <v>2030</v>
      </c>
      <c r="B459" s="4" t="s">
        <v>84</v>
      </c>
      <c r="C459" s="4" t="s">
        <v>89</v>
      </c>
      <c r="D459" s="29">
        <f>MMcfd!H12</f>
        <v>651.7907977586126</v>
      </c>
      <c r="E459" s="4" t="s">
        <v>33</v>
      </c>
      <c r="F459" s="4" t="s">
        <v>33</v>
      </c>
    </row>
    <row r="460" spans="1:6" ht="15" customHeight="1" x14ac:dyDescent="0.2">
      <c r="A460" s="28">
        <v>2031</v>
      </c>
      <c r="B460" s="4" t="s">
        <v>84</v>
      </c>
      <c r="C460" s="4" t="s">
        <v>89</v>
      </c>
      <c r="D460" s="29">
        <f>MMcfd!H13</f>
        <v>615.14925057070502</v>
      </c>
      <c r="E460" s="4" t="s">
        <v>33</v>
      </c>
      <c r="F460" s="4" t="s">
        <v>33</v>
      </c>
    </row>
    <row r="461" spans="1:6" ht="15" customHeight="1" x14ac:dyDescent="0.2">
      <c r="A461" s="28">
        <v>2032</v>
      </c>
      <c r="B461" s="4" t="s">
        <v>84</v>
      </c>
      <c r="C461" s="4" t="s">
        <v>89</v>
      </c>
      <c r="D461" s="29">
        <f>MMcfd!H14</f>
        <v>578.46436375358519</v>
      </c>
      <c r="E461" s="4" t="s">
        <v>33</v>
      </c>
      <c r="F461" s="4" t="s">
        <v>33</v>
      </c>
    </row>
    <row r="462" spans="1:6" ht="15" customHeight="1" x14ac:dyDescent="0.2">
      <c r="A462" s="28">
        <v>2033</v>
      </c>
      <c r="B462" s="4" t="s">
        <v>84</v>
      </c>
      <c r="C462" s="4" t="s">
        <v>89</v>
      </c>
      <c r="D462" s="29">
        <f>MMcfd!H15</f>
        <v>541.84337554929357</v>
      </c>
      <c r="E462" s="4" t="s">
        <v>33</v>
      </c>
      <c r="F462" s="4" t="s">
        <v>33</v>
      </c>
    </row>
    <row r="463" spans="1:6" ht="15" customHeight="1" x14ac:dyDescent="0.2">
      <c r="A463" s="28">
        <v>2034</v>
      </c>
      <c r="B463" s="4" t="s">
        <v>84</v>
      </c>
      <c r="C463" s="4" t="s">
        <v>89</v>
      </c>
      <c r="D463" s="29">
        <f>MMcfd!H16</f>
        <v>505.38191049102119</v>
      </c>
      <c r="E463" s="4" t="s">
        <v>33</v>
      </c>
      <c r="F463" s="4" t="s">
        <v>33</v>
      </c>
    </row>
    <row r="464" spans="1:6" ht="15" customHeight="1" x14ac:dyDescent="0.2">
      <c r="A464" s="28">
        <v>2035</v>
      </c>
      <c r="B464" s="4" t="s">
        <v>84</v>
      </c>
      <c r="C464" s="4" t="s">
        <v>89</v>
      </c>
      <c r="D464" s="29">
        <f>MMcfd!H17</f>
        <v>469.16653047237946</v>
      </c>
      <c r="E464" s="4" t="s">
        <v>33</v>
      </c>
      <c r="F464" s="4" t="s">
        <v>33</v>
      </c>
    </row>
    <row r="465" spans="1:6" ht="15" customHeight="1" x14ac:dyDescent="0.2">
      <c r="A465" s="28">
        <v>2036</v>
      </c>
      <c r="B465" s="4" t="s">
        <v>84</v>
      </c>
      <c r="C465" s="4" t="s">
        <v>89</v>
      </c>
      <c r="D465" s="29">
        <f>MMcfd!H18</f>
        <v>433.43103949198087</v>
      </c>
      <c r="E465" s="4" t="s">
        <v>33</v>
      </c>
      <c r="F465" s="4" t="s">
        <v>33</v>
      </c>
    </row>
    <row r="466" spans="1:6" ht="15" customHeight="1" x14ac:dyDescent="0.2">
      <c r="A466" s="28">
        <v>2037</v>
      </c>
      <c r="B466" s="4" t="s">
        <v>84</v>
      </c>
      <c r="C466" s="4" t="s">
        <v>89</v>
      </c>
      <c r="D466" s="29">
        <f>MMcfd!H19</f>
        <v>398.19732340390459</v>
      </c>
      <c r="E466" s="4" t="s">
        <v>33</v>
      </c>
      <c r="F466" s="4" t="s">
        <v>33</v>
      </c>
    </row>
    <row r="467" spans="1:6" ht="15" customHeight="1" x14ac:dyDescent="0.2">
      <c r="A467" s="28">
        <v>2038</v>
      </c>
      <c r="B467" s="4" t="s">
        <v>84</v>
      </c>
      <c r="C467" s="4" t="s">
        <v>89</v>
      </c>
      <c r="D467" s="29">
        <f>MMcfd!H20</f>
        <v>363.38044281908458</v>
      </c>
      <c r="E467" s="4" t="s">
        <v>33</v>
      </c>
      <c r="F467" s="4" t="s">
        <v>33</v>
      </c>
    </row>
    <row r="468" spans="1:6" ht="15" customHeight="1" x14ac:dyDescent="0.2">
      <c r="A468" s="28">
        <v>2039</v>
      </c>
      <c r="B468" s="4" t="s">
        <v>84</v>
      </c>
      <c r="C468" s="4" t="s">
        <v>89</v>
      </c>
      <c r="D468" s="29">
        <f>MMcfd!H21</f>
        <v>329.05040422195492</v>
      </c>
      <c r="E468" s="4" t="s">
        <v>33</v>
      </c>
      <c r="F468" s="4" t="s">
        <v>33</v>
      </c>
    </row>
    <row r="469" spans="1:6" ht="15" customHeight="1" x14ac:dyDescent="0.2">
      <c r="A469" s="28">
        <v>2040</v>
      </c>
      <c r="B469" s="4" t="s">
        <v>84</v>
      </c>
      <c r="C469" s="4" t="s">
        <v>89</v>
      </c>
      <c r="D469" s="29">
        <f>MMcfd!H22</f>
        <v>295.27391161439323</v>
      </c>
      <c r="E469" s="4" t="s">
        <v>33</v>
      </c>
      <c r="F469" s="4" t="s">
        <v>33</v>
      </c>
    </row>
    <row r="470" spans="1:6" ht="15" customHeight="1" x14ac:dyDescent="0.2">
      <c r="A470" s="28">
        <v>2041</v>
      </c>
      <c r="B470" s="4" t="s">
        <v>84</v>
      </c>
      <c r="C470" s="4" t="s">
        <v>89</v>
      </c>
      <c r="D470" s="29">
        <f>MMcfd!H23</f>
        <v>261.84283817097531</v>
      </c>
      <c r="E470" s="4" t="s">
        <v>33</v>
      </c>
      <c r="F470" s="4" t="s">
        <v>33</v>
      </c>
    </row>
    <row r="471" spans="1:6" ht="15" customHeight="1" x14ac:dyDescent="0.2">
      <c r="A471" s="28">
        <v>2042</v>
      </c>
      <c r="B471" s="4" t="s">
        <v>84</v>
      </c>
      <c r="C471" s="4" t="s">
        <v>89</v>
      </c>
      <c r="D471" s="29">
        <f>MMcfd!H24</f>
        <v>229.15926824637737</v>
      </c>
      <c r="E471" s="4" t="s">
        <v>33</v>
      </c>
      <c r="F471" s="4" t="s">
        <v>33</v>
      </c>
    </row>
    <row r="472" spans="1:6" ht="15" customHeight="1" x14ac:dyDescent="0.2">
      <c r="A472" s="28">
        <v>2043</v>
      </c>
      <c r="B472" s="4" t="s">
        <v>84</v>
      </c>
      <c r="C472" s="4" t="s">
        <v>89</v>
      </c>
      <c r="D472" s="29">
        <f>MMcfd!H25</f>
        <v>197.28083617981144</v>
      </c>
      <c r="E472" s="4" t="s">
        <v>33</v>
      </c>
      <c r="F472" s="4" t="s">
        <v>33</v>
      </c>
    </row>
    <row r="473" spans="1:6" ht="15" customHeight="1" x14ac:dyDescent="0.2">
      <c r="A473" s="28">
        <v>2044</v>
      </c>
      <c r="B473" s="4" t="s">
        <v>84</v>
      </c>
      <c r="C473" s="4" t="s">
        <v>89</v>
      </c>
      <c r="D473" s="29">
        <f>MMcfd!H26</f>
        <v>166.26398976291296</v>
      </c>
      <c r="E473" s="4" t="s">
        <v>33</v>
      </c>
      <c r="F473" s="4" t="s">
        <v>33</v>
      </c>
    </row>
    <row r="474" spans="1:6" ht="15" customHeight="1" x14ac:dyDescent="0.2">
      <c r="A474" s="28">
        <v>2045</v>
      </c>
      <c r="B474" s="4" t="s">
        <v>84</v>
      </c>
      <c r="C474" s="4" t="s">
        <v>89</v>
      </c>
      <c r="D474" s="29">
        <f>MMcfd!H27</f>
        <v>136.16422039555607</v>
      </c>
      <c r="E474" s="4" t="s">
        <v>33</v>
      </c>
      <c r="F474" s="4" t="s">
        <v>33</v>
      </c>
    </row>
    <row r="475" spans="1:6" ht="15" customHeight="1" x14ac:dyDescent="0.2">
      <c r="A475" s="28">
        <v>2046</v>
      </c>
      <c r="B475" s="4" t="s">
        <v>84</v>
      </c>
      <c r="C475" s="4" t="s">
        <v>89</v>
      </c>
      <c r="D475" s="29">
        <f>MMcfd!H28</f>
        <v>107.03620490925337</v>
      </c>
      <c r="E475" s="4" t="s">
        <v>33</v>
      </c>
      <c r="F475" s="4" t="s">
        <v>33</v>
      </c>
    </row>
    <row r="476" spans="1:6" ht="15" customHeight="1" x14ac:dyDescent="0.2">
      <c r="A476" s="28">
        <v>2047</v>
      </c>
      <c r="B476" s="4" t="s">
        <v>84</v>
      </c>
      <c r="C476" s="4" t="s">
        <v>89</v>
      </c>
      <c r="D476" s="29">
        <f>MMcfd!H29</f>
        <v>78.933851503816996</v>
      </c>
      <c r="E476" s="4" t="s">
        <v>33</v>
      </c>
      <c r="F476" s="4" t="s">
        <v>33</v>
      </c>
    </row>
    <row r="477" spans="1:6" ht="15" customHeight="1" x14ac:dyDescent="0.2">
      <c r="A477" s="28">
        <v>2048</v>
      </c>
      <c r="B477" s="4" t="s">
        <v>84</v>
      </c>
      <c r="C477" s="4" t="s">
        <v>89</v>
      </c>
      <c r="D477" s="29">
        <f>MMcfd!H30</f>
        <v>51.91023035398468</v>
      </c>
      <c r="E477" s="4" t="s">
        <v>33</v>
      </c>
      <c r="F477" s="4" t="s">
        <v>33</v>
      </c>
    </row>
    <row r="478" spans="1:6" ht="15" customHeight="1" x14ac:dyDescent="0.2">
      <c r="A478" s="28">
        <v>2049</v>
      </c>
      <c r="B478" s="4" t="s">
        <v>84</v>
      </c>
      <c r="C478" s="4" t="s">
        <v>89</v>
      </c>
      <c r="D478" s="29">
        <f>MMcfd!H31</f>
        <v>26.017355734894053</v>
      </c>
      <c r="E478" s="4" t="s">
        <v>33</v>
      </c>
      <c r="F478" s="4" t="s">
        <v>33</v>
      </c>
    </row>
    <row r="479" spans="1:6" ht="15" customHeight="1" x14ac:dyDescent="0.2">
      <c r="A479" s="28">
        <v>2050</v>
      </c>
      <c r="B479" s="4" t="s">
        <v>84</v>
      </c>
      <c r="C479" s="4" t="s">
        <v>89</v>
      </c>
      <c r="D479" s="29">
        <f>MMcfd!H32</f>
        <v>1.3057521363553342</v>
      </c>
      <c r="E479" s="4" t="s">
        <v>33</v>
      </c>
      <c r="F479" s="4" t="s">
        <v>33</v>
      </c>
    </row>
    <row r="480" spans="1:6" ht="15" customHeight="1" x14ac:dyDescent="0.2">
      <c r="A480" s="28">
        <v>2023</v>
      </c>
      <c r="B480" s="4" t="s">
        <v>84</v>
      </c>
      <c r="C480" s="4" t="s">
        <v>90</v>
      </c>
      <c r="D480" s="29">
        <f>MMcfd!I5</f>
        <v>0</v>
      </c>
      <c r="E480" s="4" t="s">
        <v>33</v>
      </c>
      <c r="F480" s="4" t="s">
        <v>33</v>
      </c>
    </row>
    <row r="481" spans="1:6" ht="15" customHeight="1" x14ac:dyDescent="0.2">
      <c r="A481" s="28">
        <v>2024</v>
      </c>
      <c r="B481" s="4" t="s">
        <v>84</v>
      </c>
      <c r="C481" s="4" t="s">
        <v>90</v>
      </c>
      <c r="D481" s="29">
        <f>MMcfd!I6</f>
        <v>29.8465453511078</v>
      </c>
      <c r="E481" s="4" t="s">
        <v>33</v>
      </c>
      <c r="F481" s="4" t="s">
        <v>33</v>
      </c>
    </row>
    <row r="482" spans="1:6" ht="15" customHeight="1" x14ac:dyDescent="0.2">
      <c r="A482" s="28">
        <v>2025</v>
      </c>
      <c r="B482" s="4" t="s">
        <v>84</v>
      </c>
      <c r="C482" s="4" t="s">
        <v>90</v>
      </c>
      <c r="D482" s="29">
        <f>MMcfd!I7</f>
        <v>59.891193628783192</v>
      </c>
      <c r="E482" s="4" t="s">
        <v>33</v>
      </c>
      <c r="F482" s="4" t="s">
        <v>33</v>
      </c>
    </row>
    <row r="483" spans="1:6" ht="15" customHeight="1" x14ac:dyDescent="0.2">
      <c r="A483" s="28">
        <v>2026</v>
      </c>
      <c r="B483" s="4" t="s">
        <v>84</v>
      </c>
      <c r="C483" s="4" t="s">
        <v>90</v>
      </c>
      <c r="D483" s="29">
        <f>MMcfd!I8</f>
        <v>91.770351681166474</v>
      </c>
      <c r="E483" s="4" t="s">
        <v>33</v>
      </c>
      <c r="F483" s="4" t="s">
        <v>33</v>
      </c>
    </row>
    <row r="484" spans="1:6" ht="15" customHeight="1" x14ac:dyDescent="0.2">
      <c r="A484" s="28">
        <v>2027</v>
      </c>
      <c r="B484" s="4" t="s">
        <v>84</v>
      </c>
      <c r="C484" s="4" t="s">
        <v>90</v>
      </c>
      <c r="D484" s="29">
        <f>MMcfd!I9</f>
        <v>126.48127374794689</v>
      </c>
      <c r="E484" s="4" t="s">
        <v>33</v>
      </c>
      <c r="F484" s="4" t="s">
        <v>33</v>
      </c>
    </row>
    <row r="485" spans="1:6" ht="15" customHeight="1" x14ac:dyDescent="0.2">
      <c r="A485" s="28">
        <v>2028</v>
      </c>
      <c r="B485" s="4" t="s">
        <v>84</v>
      </c>
      <c r="C485" s="4" t="s">
        <v>90</v>
      </c>
      <c r="D485" s="29">
        <f>MMcfd!I10</f>
        <v>164.28609460710317</v>
      </c>
      <c r="E485" s="4" t="s">
        <v>33</v>
      </c>
      <c r="F485" s="4" t="s">
        <v>33</v>
      </c>
    </row>
    <row r="486" spans="1:6" ht="15" customHeight="1" x14ac:dyDescent="0.2">
      <c r="A486" s="28">
        <v>2029</v>
      </c>
      <c r="B486" s="4" t="s">
        <v>84</v>
      </c>
      <c r="C486" s="4" t="s">
        <v>90</v>
      </c>
      <c r="D486" s="29">
        <f>MMcfd!I11</f>
        <v>204.6018109284814</v>
      </c>
      <c r="E486" s="4" t="s">
        <v>33</v>
      </c>
      <c r="F486" s="4" t="s">
        <v>33</v>
      </c>
    </row>
    <row r="487" spans="1:6" ht="15" customHeight="1" x14ac:dyDescent="0.2">
      <c r="A487" s="28">
        <v>2030</v>
      </c>
      <c r="B487" s="4" t="s">
        <v>84</v>
      </c>
      <c r="C487" s="4" t="s">
        <v>90</v>
      </c>
      <c r="D487" s="29">
        <f>MMcfd!I12</f>
        <v>246.37781179856202</v>
      </c>
      <c r="E487" s="4" t="s">
        <v>33</v>
      </c>
      <c r="F487" s="4" t="s">
        <v>33</v>
      </c>
    </row>
    <row r="488" spans="1:6" ht="15" customHeight="1" x14ac:dyDescent="0.2">
      <c r="A488" s="28">
        <v>2031</v>
      </c>
      <c r="B488" s="4" t="s">
        <v>84</v>
      </c>
      <c r="C488" s="4" t="s">
        <v>90</v>
      </c>
      <c r="D488" s="29">
        <f>MMcfd!I13</f>
        <v>294.74149203943199</v>
      </c>
      <c r="E488" s="4" t="s">
        <v>33</v>
      </c>
      <c r="F488" s="4" t="s">
        <v>33</v>
      </c>
    </row>
    <row r="489" spans="1:6" ht="15" customHeight="1" x14ac:dyDescent="0.2">
      <c r="A489" s="28">
        <v>2032</v>
      </c>
      <c r="B489" s="4" t="s">
        <v>84</v>
      </c>
      <c r="C489" s="4" t="s">
        <v>90</v>
      </c>
      <c r="D489" s="29">
        <f>MMcfd!I14</f>
        <v>344.60628682155021</v>
      </c>
      <c r="E489" s="4" t="s">
        <v>33</v>
      </c>
      <c r="F489" s="4" t="s">
        <v>33</v>
      </c>
    </row>
    <row r="490" spans="1:6" ht="15" customHeight="1" x14ac:dyDescent="0.2">
      <c r="A490" s="28">
        <v>2033</v>
      </c>
      <c r="B490" s="4" t="s">
        <v>84</v>
      </c>
      <c r="C490" s="4" t="s">
        <v>90</v>
      </c>
      <c r="D490" s="29">
        <f>MMcfd!I15</f>
        <v>395.37772166616554</v>
      </c>
      <c r="E490" s="4" t="s">
        <v>33</v>
      </c>
      <c r="F490" s="4" t="s">
        <v>33</v>
      </c>
    </row>
    <row r="491" spans="1:6" ht="15" customHeight="1" x14ac:dyDescent="0.2">
      <c r="A491" s="28">
        <v>2034</v>
      </c>
      <c r="B491" s="4" t="s">
        <v>84</v>
      </c>
      <c r="C491" s="4" t="s">
        <v>90</v>
      </c>
      <c r="D491" s="29">
        <f>MMcfd!I16</f>
        <v>446.6862523509671</v>
      </c>
      <c r="E491" s="4" t="s">
        <v>33</v>
      </c>
      <c r="F491" s="4" t="s">
        <v>33</v>
      </c>
    </row>
    <row r="492" spans="1:6" ht="15" customHeight="1" x14ac:dyDescent="0.2">
      <c r="A492" s="28">
        <v>2035</v>
      </c>
      <c r="B492" s="4" t="s">
        <v>84</v>
      </c>
      <c r="C492" s="4" t="s">
        <v>90</v>
      </c>
      <c r="D492" s="29">
        <f>MMcfd!I17</f>
        <v>498.36392198121399</v>
      </c>
      <c r="E492" s="4" t="s">
        <v>33</v>
      </c>
      <c r="F492" s="4" t="s">
        <v>33</v>
      </c>
    </row>
    <row r="493" spans="1:6" ht="15" customHeight="1" x14ac:dyDescent="0.2">
      <c r="A493" s="28">
        <v>2036</v>
      </c>
      <c r="B493" s="4" t="s">
        <v>84</v>
      </c>
      <c r="C493" s="4" t="s">
        <v>90</v>
      </c>
      <c r="D493" s="29">
        <f>MMcfd!I18</f>
        <v>550.40622599652215</v>
      </c>
      <c r="E493" s="4" t="s">
        <v>33</v>
      </c>
      <c r="F493" s="4" t="s">
        <v>33</v>
      </c>
    </row>
    <row r="494" spans="1:6" ht="15" customHeight="1" x14ac:dyDescent="0.2">
      <c r="A494" s="28">
        <v>2037</v>
      </c>
      <c r="B494" s="4" t="s">
        <v>84</v>
      </c>
      <c r="C494" s="4" t="s">
        <v>90</v>
      </c>
      <c r="D494" s="29">
        <f>MMcfd!I19</f>
        <v>602.93022355560299</v>
      </c>
      <c r="E494" s="4" t="s">
        <v>33</v>
      </c>
      <c r="F494" s="4" t="s">
        <v>33</v>
      </c>
    </row>
    <row r="495" spans="1:6" ht="15" customHeight="1" x14ac:dyDescent="0.2">
      <c r="A495" s="28">
        <v>2038</v>
      </c>
      <c r="B495" s="4" t="s">
        <v>84</v>
      </c>
      <c r="C495" s="4" t="s">
        <v>90</v>
      </c>
      <c r="D495" s="29">
        <f>MMcfd!I20</f>
        <v>656.13560738272645</v>
      </c>
      <c r="E495" s="4" t="s">
        <v>33</v>
      </c>
      <c r="F495" s="4" t="s">
        <v>33</v>
      </c>
    </row>
    <row r="496" spans="1:6" ht="15" customHeight="1" x14ac:dyDescent="0.2">
      <c r="A496" s="28">
        <v>2039</v>
      </c>
      <c r="B496" s="4" t="s">
        <v>84</v>
      </c>
      <c r="C496" s="4" t="s">
        <v>90</v>
      </c>
      <c r="D496" s="29">
        <f>MMcfd!I21</f>
        <v>710.26124911274633</v>
      </c>
      <c r="E496" s="4" t="s">
        <v>33</v>
      </c>
      <c r="F496" s="4" t="s">
        <v>33</v>
      </c>
    </row>
    <row r="497" spans="1:6" ht="15" customHeight="1" x14ac:dyDescent="0.2">
      <c r="A497" s="28">
        <v>2040</v>
      </c>
      <c r="B497" s="4" t="s">
        <v>84</v>
      </c>
      <c r="C497" s="4" t="s">
        <v>90</v>
      </c>
      <c r="D497" s="29">
        <f>MMcfd!I22</f>
        <v>765.53770692775083</v>
      </c>
      <c r="E497" s="4" t="s">
        <v>33</v>
      </c>
      <c r="F497" s="4" t="s">
        <v>33</v>
      </c>
    </row>
    <row r="498" spans="1:6" ht="15" customHeight="1" x14ac:dyDescent="0.2">
      <c r="A498" s="28">
        <v>2041</v>
      </c>
      <c r="B498" s="4" t="s">
        <v>84</v>
      </c>
      <c r="C498" s="4" t="s">
        <v>90</v>
      </c>
      <c r="D498" s="29">
        <f>MMcfd!I23</f>
        <v>822.14599250938204</v>
      </c>
      <c r="E498" s="4" t="s">
        <v>33</v>
      </c>
      <c r="F498" s="4" t="s">
        <v>33</v>
      </c>
    </row>
    <row r="499" spans="1:6" ht="15" customHeight="1" x14ac:dyDescent="0.2">
      <c r="A499" s="28">
        <v>2042</v>
      </c>
      <c r="B499" s="4" t="s">
        <v>84</v>
      </c>
      <c r="C499" s="4" t="s">
        <v>90</v>
      </c>
      <c r="D499" s="29">
        <f>MMcfd!I24</f>
        <v>880.18000568244418</v>
      </c>
      <c r="E499" s="4" t="s">
        <v>33</v>
      </c>
      <c r="F499" s="4" t="s">
        <v>33</v>
      </c>
    </row>
    <row r="500" spans="1:6" ht="15" customHeight="1" x14ac:dyDescent="0.2">
      <c r="A500" s="28">
        <v>2043</v>
      </c>
      <c r="B500" s="4" t="s">
        <v>84</v>
      </c>
      <c r="C500" s="4" t="s">
        <v>90</v>
      </c>
      <c r="D500" s="29">
        <f>MMcfd!I25</f>
        <v>939.64647103586265</v>
      </c>
      <c r="E500" s="4" t="s">
        <v>33</v>
      </c>
      <c r="F500" s="4" t="s">
        <v>33</v>
      </c>
    </row>
    <row r="501" spans="1:6" ht="15" customHeight="1" x14ac:dyDescent="0.2">
      <c r="A501" s="28">
        <v>2044</v>
      </c>
      <c r="B501" s="4" t="s">
        <v>84</v>
      </c>
      <c r="C501" s="4" t="s">
        <v>90</v>
      </c>
      <c r="D501" s="29">
        <f>MMcfd!I26</f>
        <v>1000.4771645414176</v>
      </c>
      <c r="E501" s="4" t="s">
        <v>33</v>
      </c>
      <c r="F501" s="4" t="s">
        <v>33</v>
      </c>
    </row>
    <row r="502" spans="1:6" ht="15" customHeight="1" x14ac:dyDescent="0.2">
      <c r="A502" s="28">
        <v>2045</v>
      </c>
      <c r="B502" s="4" t="s">
        <v>84</v>
      </c>
      <c r="C502" s="4" t="s">
        <v>90</v>
      </c>
      <c r="D502" s="29">
        <f>MMcfd!I27</f>
        <v>1062.5407133887022</v>
      </c>
      <c r="E502" s="4" t="s">
        <v>33</v>
      </c>
      <c r="F502" s="4" t="s">
        <v>33</v>
      </c>
    </row>
    <row r="503" spans="1:6" ht="15" customHeight="1" x14ac:dyDescent="0.2">
      <c r="A503" s="28">
        <v>2046</v>
      </c>
      <c r="B503" s="4" t="s">
        <v>84</v>
      </c>
      <c r="C503" s="4" t="s">
        <v>90</v>
      </c>
      <c r="D503" s="29">
        <f>MMcfd!I28</f>
        <v>1125.6543931686315</v>
      </c>
      <c r="E503" s="4" t="s">
        <v>33</v>
      </c>
      <c r="F503" s="4" t="s">
        <v>33</v>
      </c>
    </row>
    <row r="504" spans="1:6" ht="15" customHeight="1" x14ac:dyDescent="0.2">
      <c r="A504" s="28">
        <v>2047</v>
      </c>
      <c r="B504" s="4" t="s">
        <v>84</v>
      </c>
      <c r="C504" s="4" t="s">
        <v>90</v>
      </c>
      <c r="D504" s="29">
        <f>MMcfd!I29</f>
        <v>1189.5972221848258</v>
      </c>
      <c r="E504" s="4" t="s">
        <v>33</v>
      </c>
      <c r="F504" s="4" t="s">
        <v>33</v>
      </c>
    </row>
    <row r="505" spans="1:6" ht="15" customHeight="1" x14ac:dyDescent="0.2">
      <c r="A505" s="28">
        <v>2048</v>
      </c>
      <c r="B505" s="4" t="s">
        <v>84</v>
      </c>
      <c r="C505" s="4" t="s">
        <v>90</v>
      </c>
      <c r="D505" s="29">
        <f>MMcfd!I30</f>
        <v>1254.1264091488517</v>
      </c>
      <c r="E505" s="4" t="s">
        <v>33</v>
      </c>
      <c r="F505" s="4" t="s">
        <v>33</v>
      </c>
    </row>
    <row r="506" spans="1:6" ht="15" customHeight="1" x14ac:dyDescent="0.2">
      <c r="A506" s="28">
        <v>2049</v>
      </c>
      <c r="B506" s="4" t="s">
        <v>84</v>
      </c>
      <c r="C506" s="4" t="s">
        <v>90</v>
      </c>
      <c r="D506" s="29">
        <f>MMcfd!I31</f>
        <v>1308.9958523255937</v>
      </c>
      <c r="E506" s="4" t="s">
        <v>33</v>
      </c>
      <c r="F506" s="4" t="s">
        <v>33</v>
      </c>
    </row>
    <row r="507" spans="1:6" ht="15" customHeight="1" x14ac:dyDescent="0.2">
      <c r="A507" s="28">
        <v>2050</v>
      </c>
      <c r="B507" s="4" t="s">
        <v>84</v>
      </c>
      <c r="C507" s="4" t="s">
        <v>90</v>
      </c>
      <c r="D507" s="29">
        <f>MMcfd!I32</f>
        <v>1346.3157243839596</v>
      </c>
      <c r="E507" s="4" t="s">
        <v>33</v>
      </c>
      <c r="F507" s="4" t="s">
        <v>33</v>
      </c>
    </row>
    <row r="508" spans="1:6" ht="15" customHeight="1" x14ac:dyDescent="0.2">
      <c r="A508" s="28">
        <v>2023</v>
      </c>
      <c r="B508" s="4" t="s">
        <v>85</v>
      </c>
      <c r="C508" s="4" t="s">
        <v>87</v>
      </c>
      <c r="D508" s="29">
        <f>MMcfd!J5</f>
        <v>27.400840910279712</v>
      </c>
      <c r="E508" s="4" t="s">
        <v>33</v>
      </c>
      <c r="F508" s="4" t="s">
        <v>33</v>
      </c>
    </row>
    <row r="509" spans="1:6" ht="15" customHeight="1" x14ac:dyDescent="0.2">
      <c r="A509" s="28">
        <v>2024</v>
      </c>
      <c r="B509" s="4" t="s">
        <v>85</v>
      </c>
      <c r="C509" s="4" t="s">
        <v>87</v>
      </c>
      <c r="D509" s="29">
        <f>MMcfd!J6</f>
        <v>27.261209273692536</v>
      </c>
      <c r="E509" s="4" t="s">
        <v>33</v>
      </c>
      <c r="F509" s="4" t="s">
        <v>33</v>
      </c>
    </row>
    <row r="510" spans="1:6" ht="15" customHeight="1" x14ac:dyDescent="0.2">
      <c r="A510" s="28">
        <v>2025</v>
      </c>
      <c r="B510" s="4" t="s">
        <v>85</v>
      </c>
      <c r="C510" s="4" t="s">
        <v>87</v>
      </c>
      <c r="D510" s="29">
        <f>MMcfd!J7</f>
        <v>27.297210072811399</v>
      </c>
      <c r="E510" s="4" t="s">
        <v>33</v>
      </c>
      <c r="F510" s="4" t="s">
        <v>33</v>
      </c>
    </row>
    <row r="511" spans="1:6" ht="15" customHeight="1" x14ac:dyDescent="0.2">
      <c r="A511" s="28">
        <v>2026</v>
      </c>
      <c r="B511" s="4" t="s">
        <v>85</v>
      </c>
      <c r="C511" s="4" t="s">
        <v>87</v>
      </c>
      <c r="D511" s="29">
        <f>MMcfd!J8</f>
        <v>25.663623463778471</v>
      </c>
      <c r="E511" s="4" t="s">
        <v>33</v>
      </c>
      <c r="F511" s="4" t="s">
        <v>33</v>
      </c>
    </row>
    <row r="512" spans="1:6" ht="15" customHeight="1" x14ac:dyDescent="0.2">
      <c r="A512" s="28">
        <v>2027</v>
      </c>
      <c r="B512" s="4" t="s">
        <v>85</v>
      </c>
      <c r="C512" s="4" t="s">
        <v>87</v>
      </c>
      <c r="D512" s="29">
        <f>MMcfd!J9</f>
        <v>19.819046705136028</v>
      </c>
      <c r="E512" s="4" t="s">
        <v>33</v>
      </c>
      <c r="F512" s="4" t="s">
        <v>33</v>
      </c>
    </row>
    <row r="513" spans="1:6" ht="15" customHeight="1" x14ac:dyDescent="0.2">
      <c r="A513" s="28">
        <v>2028</v>
      </c>
      <c r="B513" s="4" t="s">
        <v>85</v>
      </c>
      <c r="C513" s="4" t="s">
        <v>87</v>
      </c>
      <c r="D513" s="29">
        <f>MMcfd!J10</f>
        <v>13.529399364037808</v>
      </c>
      <c r="E513" s="4" t="s">
        <v>33</v>
      </c>
      <c r="F513" s="4" t="s">
        <v>33</v>
      </c>
    </row>
    <row r="514" spans="1:6" ht="15" customHeight="1" x14ac:dyDescent="0.2">
      <c r="A514" s="28">
        <v>2029</v>
      </c>
      <c r="B514" s="4" t="s">
        <v>85</v>
      </c>
      <c r="C514" s="4" t="s">
        <v>87</v>
      </c>
      <c r="D514" s="29">
        <f>MMcfd!J11</f>
        <v>6.8911990912834318</v>
      </c>
      <c r="E514" s="4" t="s">
        <v>33</v>
      </c>
      <c r="F514" s="4" t="s">
        <v>33</v>
      </c>
    </row>
    <row r="515" spans="1:6" ht="15" customHeight="1" x14ac:dyDescent="0.2">
      <c r="A515" s="28">
        <v>2030</v>
      </c>
      <c r="B515" s="4" t="s">
        <v>85</v>
      </c>
      <c r="C515" s="4" t="s">
        <v>87</v>
      </c>
      <c r="D515" s="29">
        <f>MMcfd!J12</f>
        <v>6.8861921597440602E-3</v>
      </c>
      <c r="E515" s="4" t="s">
        <v>33</v>
      </c>
      <c r="F515" s="4" t="s">
        <v>33</v>
      </c>
    </row>
    <row r="516" spans="1:6" ht="15" customHeight="1" x14ac:dyDescent="0.2">
      <c r="A516" s="28">
        <v>2031</v>
      </c>
      <c r="B516" s="4" t="s">
        <v>85</v>
      </c>
      <c r="C516" s="4" t="s">
        <v>87</v>
      </c>
      <c r="D516" s="29">
        <f>MMcfd!J13</f>
        <v>6.5330848422330747E-3</v>
      </c>
      <c r="E516" s="4" t="s">
        <v>33</v>
      </c>
      <c r="F516" s="4" t="s">
        <v>33</v>
      </c>
    </row>
    <row r="517" spans="1:6" ht="15" customHeight="1" x14ac:dyDescent="0.2">
      <c r="A517" s="28">
        <v>2032</v>
      </c>
      <c r="B517" s="4" t="s">
        <v>85</v>
      </c>
      <c r="C517" s="4" t="s">
        <v>87</v>
      </c>
      <c r="D517" s="29">
        <f>MMcfd!J14</f>
        <v>6.1850398070552861E-3</v>
      </c>
      <c r="E517" s="4" t="s">
        <v>33</v>
      </c>
      <c r="F517" s="4" t="s">
        <v>33</v>
      </c>
    </row>
    <row r="518" spans="1:6" ht="15" customHeight="1" x14ac:dyDescent="0.2">
      <c r="A518" s="28">
        <v>2033</v>
      </c>
      <c r="B518" s="4" t="s">
        <v>85</v>
      </c>
      <c r="C518" s="4" t="s">
        <v>87</v>
      </c>
      <c r="D518" s="29">
        <f>MMcfd!J15</f>
        <v>5.8428136569662554E-3</v>
      </c>
      <c r="E518" s="4" t="s">
        <v>33</v>
      </c>
      <c r="F518" s="4" t="s">
        <v>33</v>
      </c>
    </row>
    <row r="519" spans="1:6" ht="15" customHeight="1" x14ac:dyDescent="0.2">
      <c r="A519" s="28">
        <v>2034</v>
      </c>
      <c r="B519" s="4" t="s">
        <v>85</v>
      </c>
      <c r="C519" s="4" t="s">
        <v>87</v>
      </c>
      <c r="D519" s="29">
        <f>MMcfd!J16</f>
        <v>5.5070202042375024E-3</v>
      </c>
      <c r="E519" s="4" t="s">
        <v>33</v>
      </c>
      <c r="F519" s="4" t="s">
        <v>33</v>
      </c>
    </row>
    <row r="520" spans="1:6" ht="15" customHeight="1" x14ac:dyDescent="0.2">
      <c r="A520" s="28">
        <v>2035</v>
      </c>
      <c r="B520" s="4" t="s">
        <v>85</v>
      </c>
      <c r="C520" s="4" t="s">
        <v>87</v>
      </c>
      <c r="D520" s="29">
        <f>MMcfd!J17</f>
        <v>5.1779871553519971E-3</v>
      </c>
      <c r="E520" s="4" t="s">
        <v>33</v>
      </c>
      <c r="F520" s="4" t="s">
        <v>33</v>
      </c>
    </row>
    <row r="521" spans="1:6" ht="15" customHeight="1" x14ac:dyDescent="0.2">
      <c r="A521" s="28">
        <v>2036</v>
      </c>
      <c r="B521" s="4" t="s">
        <v>85</v>
      </c>
      <c r="C521" s="4" t="s">
        <v>87</v>
      </c>
      <c r="D521" s="29">
        <f>MMcfd!J18</f>
        <v>4.8558695859916793E-3</v>
      </c>
      <c r="E521" s="4" t="s">
        <v>33</v>
      </c>
      <c r="F521" s="4" t="s">
        <v>33</v>
      </c>
    </row>
    <row r="522" spans="1:6" ht="15" customHeight="1" x14ac:dyDescent="0.2">
      <c r="A522" s="28">
        <v>2037</v>
      </c>
      <c r="B522" s="4" t="s">
        <v>85</v>
      </c>
      <c r="C522" s="4" t="s">
        <v>87</v>
      </c>
      <c r="D522" s="29">
        <f>MMcfd!J19</f>
        <v>4.5381087243998915E-3</v>
      </c>
      <c r="E522" s="4" t="s">
        <v>33</v>
      </c>
      <c r="F522" s="4" t="s">
        <v>33</v>
      </c>
    </row>
    <row r="523" spans="1:6" ht="15" customHeight="1" x14ac:dyDescent="0.2">
      <c r="A523" s="28">
        <v>2038</v>
      </c>
      <c r="B523" s="4" t="s">
        <v>85</v>
      </c>
      <c r="C523" s="4" t="s">
        <v>87</v>
      </c>
      <c r="D523" s="29">
        <f>MMcfd!J20</f>
        <v>4.2288000246606602E-3</v>
      </c>
      <c r="E523" s="4" t="s">
        <v>33</v>
      </c>
      <c r="F523" s="4" t="s">
        <v>33</v>
      </c>
    </row>
    <row r="524" spans="1:6" ht="15" customHeight="1" x14ac:dyDescent="0.2">
      <c r="A524" s="28">
        <v>2039</v>
      </c>
      <c r="B524" s="4" t="s">
        <v>85</v>
      </c>
      <c r="C524" s="4" t="s">
        <v>87</v>
      </c>
      <c r="D524" s="29">
        <f>MMcfd!J21</f>
        <v>3.9279296107334796E-3</v>
      </c>
      <c r="E524" s="4" t="s">
        <v>33</v>
      </c>
      <c r="F524" s="4" t="s">
        <v>33</v>
      </c>
    </row>
    <row r="525" spans="1:6" ht="15" customHeight="1" x14ac:dyDescent="0.2">
      <c r="A525" s="28">
        <v>2040</v>
      </c>
      <c r="B525" s="4" t="s">
        <v>85</v>
      </c>
      <c r="C525" s="4" t="s">
        <v>87</v>
      </c>
      <c r="D525" s="29">
        <f>MMcfd!J22</f>
        <v>3.6356829498965047E-3</v>
      </c>
      <c r="E525" s="4" t="s">
        <v>33</v>
      </c>
      <c r="F525" s="4" t="s">
        <v>33</v>
      </c>
    </row>
    <row r="526" spans="1:6" ht="15" customHeight="1" x14ac:dyDescent="0.2">
      <c r="A526" s="28">
        <v>2041</v>
      </c>
      <c r="B526" s="4" t="s">
        <v>85</v>
      </c>
      <c r="C526" s="4" t="s">
        <v>87</v>
      </c>
      <c r="D526" s="29">
        <f>MMcfd!J23</f>
        <v>3.3586034925076492E-3</v>
      </c>
      <c r="E526" s="4" t="s">
        <v>33</v>
      </c>
      <c r="F526" s="4" t="s">
        <v>33</v>
      </c>
    </row>
    <row r="527" spans="1:6" ht="15" customHeight="1" x14ac:dyDescent="0.2">
      <c r="A527" s="28">
        <v>2042</v>
      </c>
      <c r="B527" s="4" t="s">
        <v>85</v>
      </c>
      <c r="C527" s="4" t="s">
        <v>87</v>
      </c>
      <c r="D527" s="29">
        <f>MMcfd!J24</f>
        <v>3.0896581525150547E-3</v>
      </c>
      <c r="E527" s="4" t="s">
        <v>33</v>
      </c>
      <c r="F527" s="4" t="s">
        <v>33</v>
      </c>
    </row>
    <row r="528" spans="1:6" ht="15" customHeight="1" x14ac:dyDescent="0.2">
      <c r="A528" s="28">
        <v>2043</v>
      </c>
      <c r="B528" s="4" t="s">
        <v>85</v>
      </c>
      <c r="C528" s="4" t="s">
        <v>87</v>
      </c>
      <c r="D528" s="29">
        <f>MMcfd!J25</f>
        <v>2.8756638231188123E-3</v>
      </c>
      <c r="E528" s="4" t="s">
        <v>33</v>
      </c>
      <c r="F528" s="4" t="s">
        <v>33</v>
      </c>
    </row>
    <row r="529" spans="1:6" ht="15" customHeight="1" x14ac:dyDescent="0.2">
      <c r="A529" s="28">
        <v>2044</v>
      </c>
      <c r="B529" s="4" t="s">
        <v>85</v>
      </c>
      <c r="C529" s="4" t="s">
        <v>87</v>
      </c>
      <c r="D529" s="29">
        <f>MMcfd!J26</f>
        <v>2.6606915413175014E-3</v>
      </c>
      <c r="E529" s="4" t="s">
        <v>33</v>
      </c>
      <c r="F529" s="4" t="s">
        <v>33</v>
      </c>
    </row>
    <row r="530" spans="1:6" ht="15" customHeight="1" x14ac:dyDescent="0.2">
      <c r="A530" s="28">
        <v>2045</v>
      </c>
      <c r="B530" s="4" t="s">
        <v>85</v>
      </c>
      <c r="C530" s="4" t="s">
        <v>87</v>
      </c>
      <c r="D530" s="29">
        <f>MMcfd!J27</f>
        <v>2.4448800764265174E-3</v>
      </c>
      <c r="E530" s="4" t="s">
        <v>33</v>
      </c>
      <c r="F530" s="4" t="s">
        <v>33</v>
      </c>
    </row>
    <row r="531" spans="1:6" ht="15" customHeight="1" x14ac:dyDescent="0.2">
      <c r="A531" s="28">
        <v>2046</v>
      </c>
      <c r="B531" s="4" t="s">
        <v>85</v>
      </c>
      <c r="C531" s="4" t="s">
        <v>87</v>
      </c>
      <c r="D531" s="29">
        <f>MMcfd!J28</f>
        <v>2.2283516872235449E-3</v>
      </c>
      <c r="E531" s="4" t="s">
        <v>33</v>
      </c>
      <c r="F531" s="4" t="s">
        <v>33</v>
      </c>
    </row>
    <row r="532" spans="1:6" ht="15" customHeight="1" x14ac:dyDescent="0.2">
      <c r="A532" s="28">
        <v>2047</v>
      </c>
      <c r="B532" s="4" t="s">
        <v>85</v>
      </c>
      <c r="C532" s="4" t="s">
        <v>87</v>
      </c>
      <c r="D532" s="29">
        <f>MMcfd!J29</f>
        <v>2.0112668999829547E-3</v>
      </c>
      <c r="E532" s="4" t="s">
        <v>33</v>
      </c>
      <c r="F532" s="4" t="s">
        <v>33</v>
      </c>
    </row>
    <row r="533" spans="1:6" ht="15" customHeight="1" x14ac:dyDescent="0.2">
      <c r="A533" s="28">
        <v>2048</v>
      </c>
      <c r="B533" s="4" t="s">
        <v>85</v>
      </c>
      <c r="C533" s="4" t="s">
        <v>87</v>
      </c>
      <c r="D533" s="29">
        <f>MMcfd!J30</f>
        <v>1.7937649863039523E-3</v>
      </c>
      <c r="E533" s="4" t="s">
        <v>33</v>
      </c>
      <c r="F533" s="4" t="s">
        <v>33</v>
      </c>
    </row>
    <row r="534" spans="1:6" ht="15" customHeight="1" x14ac:dyDescent="0.2">
      <c r="A534" s="28">
        <v>2049</v>
      </c>
      <c r="B534" s="4" t="s">
        <v>85</v>
      </c>
      <c r="C534" s="4" t="s">
        <v>87</v>
      </c>
      <c r="D534" s="29">
        <f>MMcfd!J31</f>
        <v>1.5759854208475105E-3</v>
      </c>
      <c r="E534" s="4" t="s">
        <v>33</v>
      </c>
      <c r="F534" s="4" t="s">
        <v>33</v>
      </c>
    </row>
    <row r="535" spans="1:6" ht="15" customHeight="1" x14ac:dyDescent="0.2">
      <c r="A535" s="28">
        <v>2050</v>
      </c>
      <c r="B535" s="4" t="s">
        <v>85</v>
      </c>
      <c r="C535" s="4" t="s">
        <v>87</v>
      </c>
      <c r="D535" s="29">
        <f>MMcfd!J32</f>
        <v>1.3580551341258146E-3</v>
      </c>
      <c r="E535" s="4" t="s">
        <v>33</v>
      </c>
      <c r="F535" s="4" t="s">
        <v>33</v>
      </c>
    </row>
    <row r="536" spans="1:6" ht="15" customHeight="1" x14ac:dyDescent="0.2">
      <c r="A536" s="28">
        <v>2023</v>
      </c>
      <c r="B536" s="4" t="s">
        <v>85</v>
      </c>
      <c r="C536" s="4" t="s">
        <v>88</v>
      </c>
      <c r="D536" s="29">
        <f>MMcfd!K5</f>
        <v>84.534509191288493</v>
      </c>
      <c r="E536" s="4" t="s">
        <v>33</v>
      </c>
      <c r="F536" s="4" t="s">
        <v>33</v>
      </c>
    </row>
    <row r="537" spans="1:6" ht="15" customHeight="1" x14ac:dyDescent="0.2">
      <c r="A537" s="28">
        <v>2024</v>
      </c>
      <c r="B537" s="4" t="s">
        <v>85</v>
      </c>
      <c r="C537" s="4" t="s">
        <v>88</v>
      </c>
      <c r="D537" s="29">
        <f>MMcfd!K6</f>
        <v>84.860222276461442</v>
      </c>
      <c r="E537" s="4" t="s">
        <v>33</v>
      </c>
      <c r="F537" s="4" t="s">
        <v>33</v>
      </c>
    </row>
    <row r="538" spans="1:6" ht="15" customHeight="1" x14ac:dyDescent="0.2">
      <c r="A538" s="28">
        <v>2025</v>
      </c>
      <c r="B538" s="4" t="s">
        <v>85</v>
      </c>
      <c r="C538" s="4" t="s">
        <v>88</v>
      </c>
      <c r="D538" s="29">
        <f>MMcfd!K7</f>
        <v>85.075899432134534</v>
      </c>
      <c r="E538" s="4" t="s">
        <v>33</v>
      </c>
      <c r="F538" s="4" t="s">
        <v>33</v>
      </c>
    </row>
    <row r="539" spans="1:6" ht="15" customHeight="1" x14ac:dyDescent="0.2">
      <c r="A539" s="28">
        <v>2026</v>
      </c>
      <c r="B539" s="4" t="s">
        <v>85</v>
      </c>
      <c r="C539" s="4" t="s">
        <v>88</v>
      </c>
      <c r="D539" s="29">
        <f>MMcfd!K8</f>
        <v>71.051979409853232</v>
      </c>
      <c r="E539" s="4" t="s">
        <v>33</v>
      </c>
      <c r="F539" s="4" t="s">
        <v>33</v>
      </c>
    </row>
    <row r="540" spans="1:6" ht="15" customHeight="1" x14ac:dyDescent="0.2">
      <c r="A540" s="28">
        <v>2027</v>
      </c>
      <c r="B540" s="4" t="s">
        <v>85</v>
      </c>
      <c r="C540" s="4" t="s">
        <v>88</v>
      </c>
      <c r="D540" s="29">
        <f>MMcfd!K9</f>
        <v>56.796625364304745</v>
      </c>
      <c r="E540" s="4" t="s">
        <v>33</v>
      </c>
      <c r="F540" s="4" t="s">
        <v>33</v>
      </c>
    </row>
    <row r="541" spans="1:6" ht="15" customHeight="1" x14ac:dyDescent="0.2">
      <c r="A541" s="28">
        <v>2028</v>
      </c>
      <c r="B541" s="4" t="s">
        <v>85</v>
      </c>
      <c r="C541" s="4" t="s">
        <v>88</v>
      </c>
      <c r="D541" s="29">
        <f>MMcfd!K10</f>
        <v>42.440681272249471</v>
      </c>
      <c r="E541" s="4" t="s">
        <v>33</v>
      </c>
      <c r="F541" s="4" t="s">
        <v>33</v>
      </c>
    </row>
    <row r="542" spans="1:6" ht="15" customHeight="1" x14ac:dyDescent="0.2">
      <c r="A542" s="28">
        <v>2029</v>
      </c>
      <c r="B542" s="4" t="s">
        <v>85</v>
      </c>
      <c r="C542" s="4" t="s">
        <v>88</v>
      </c>
      <c r="D542" s="29">
        <f>MMcfd!K11</f>
        <v>28.568284948383191</v>
      </c>
      <c r="E542" s="4" t="s">
        <v>33</v>
      </c>
      <c r="F542" s="4" t="s">
        <v>33</v>
      </c>
    </row>
    <row r="543" spans="1:6" ht="15" customHeight="1" x14ac:dyDescent="0.2">
      <c r="A543" s="28">
        <v>2030</v>
      </c>
      <c r="B543" s="4" t="s">
        <v>85</v>
      </c>
      <c r="C543" s="4" t="s">
        <v>88</v>
      </c>
      <c r="D543" s="29">
        <f>MMcfd!K12</f>
        <v>15.99951223921858</v>
      </c>
      <c r="E543" s="4" t="s">
        <v>33</v>
      </c>
      <c r="F543" s="4" t="s">
        <v>33</v>
      </c>
    </row>
    <row r="544" spans="1:6" ht="15" customHeight="1" x14ac:dyDescent="0.2">
      <c r="A544" s="28">
        <v>2031</v>
      </c>
      <c r="B544" s="4" t="s">
        <v>85</v>
      </c>
      <c r="C544" s="4" t="s">
        <v>88</v>
      </c>
      <c r="D544" s="29">
        <f>MMcfd!K13</f>
        <v>5.4696734766860704</v>
      </c>
      <c r="E544" s="4" t="s">
        <v>33</v>
      </c>
      <c r="F544" s="4" t="s">
        <v>33</v>
      </c>
    </row>
    <row r="545" spans="1:6" ht="15" customHeight="1" x14ac:dyDescent="0.2">
      <c r="A545" s="28">
        <v>2032</v>
      </c>
      <c r="B545" s="4" t="s">
        <v>85</v>
      </c>
      <c r="C545" s="4" t="s">
        <v>88</v>
      </c>
      <c r="D545" s="29">
        <f>MMcfd!K14</f>
        <v>0</v>
      </c>
      <c r="E545" s="4" t="s">
        <v>33</v>
      </c>
      <c r="F545" s="4" t="s">
        <v>33</v>
      </c>
    </row>
    <row r="546" spans="1:6" ht="15" customHeight="1" x14ac:dyDescent="0.2">
      <c r="A546" s="28">
        <v>2033</v>
      </c>
      <c r="B546" s="4" t="s">
        <v>85</v>
      </c>
      <c r="C546" s="4" t="s">
        <v>88</v>
      </c>
      <c r="D546" s="29">
        <f>MMcfd!K15</f>
        <v>0</v>
      </c>
      <c r="E546" s="4" t="s">
        <v>33</v>
      </c>
      <c r="F546" s="4" t="s">
        <v>33</v>
      </c>
    </row>
    <row r="547" spans="1:6" ht="15" customHeight="1" x14ac:dyDescent="0.2">
      <c r="A547" s="28">
        <v>2034</v>
      </c>
      <c r="B547" s="4" t="s">
        <v>85</v>
      </c>
      <c r="C547" s="4" t="s">
        <v>88</v>
      </c>
      <c r="D547" s="29">
        <f>MMcfd!K16</f>
        <v>0</v>
      </c>
      <c r="E547" s="4" t="s">
        <v>33</v>
      </c>
      <c r="F547" s="4" t="s">
        <v>33</v>
      </c>
    </row>
    <row r="548" spans="1:6" ht="15" customHeight="1" x14ac:dyDescent="0.2">
      <c r="A548" s="28">
        <v>2035</v>
      </c>
      <c r="B548" s="4" t="s">
        <v>85</v>
      </c>
      <c r="C548" s="4" t="s">
        <v>88</v>
      </c>
      <c r="D548" s="29">
        <f>MMcfd!K17</f>
        <v>0</v>
      </c>
      <c r="E548" s="4" t="s">
        <v>33</v>
      </c>
      <c r="F548" s="4" t="s">
        <v>33</v>
      </c>
    </row>
    <row r="549" spans="1:6" ht="15" customHeight="1" x14ac:dyDescent="0.2">
      <c r="A549" s="28">
        <v>2036</v>
      </c>
      <c r="B549" s="4" t="s">
        <v>85</v>
      </c>
      <c r="C549" s="4" t="s">
        <v>88</v>
      </c>
      <c r="D549" s="29">
        <f>MMcfd!K18</f>
        <v>0</v>
      </c>
      <c r="E549" s="4" t="s">
        <v>33</v>
      </c>
      <c r="F549" s="4" t="s">
        <v>33</v>
      </c>
    </row>
    <row r="550" spans="1:6" ht="15" customHeight="1" x14ac:dyDescent="0.2">
      <c r="A550" s="28">
        <v>2037</v>
      </c>
      <c r="B550" s="4" t="s">
        <v>85</v>
      </c>
      <c r="C550" s="4" t="s">
        <v>88</v>
      </c>
      <c r="D550" s="29">
        <f>MMcfd!K19</f>
        <v>0</v>
      </c>
      <c r="E550" s="4" t="s">
        <v>33</v>
      </c>
      <c r="F550" s="4" t="s">
        <v>33</v>
      </c>
    </row>
    <row r="551" spans="1:6" ht="15" customHeight="1" x14ac:dyDescent="0.2">
      <c r="A551" s="28">
        <v>2038</v>
      </c>
      <c r="B551" s="4" t="s">
        <v>85</v>
      </c>
      <c r="C551" s="4" t="s">
        <v>88</v>
      </c>
      <c r="D551" s="29">
        <f>MMcfd!K20</f>
        <v>0</v>
      </c>
      <c r="E551" s="4" t="s">
        <v>33</v>
      </c>
      <c r="F551" s="4" t="s">
        <v>33</v>
      </c>
    </row>
    <row r="552" spans="1:6" ht="15" customHeight="1" x14ac:dyDescent="0.2">
      <c r="A552" s="28">
        <v>2039</v>
      </c>
      <c r="B552" s="4" t="s">
        <v>85</v>
      </c>
      <c r="C552" s="4" t="s">
        <v>88</v>
      </c>
      <c r="D552" s="29">
        <f>MMcfd!K21</f>
        <v>0</v>
      </c>
      <c r="E552" s="4" t="s">
        <v>33</v>
      </c>
      <c r="F552" s="4" t="s">
        <v>33</v>
      </c>
    </row>
    <row r="553" spans="1:6" ht="15" customHeight="1" x14ac:dyDescent="0.2">
      <c r="A553" s="28">
        <v>2040</v>
      </c>
      <c r="B553" s="4" t="s">
        <v>85</v>
      </c>
      <c r="C553" s="4" t="s">
        <v>88</v>
      </c>
      <c r="D553" s="29">
        <f>MMcfd!K22</f>
        <v>0</v>
      </c>
      <c r="E553" s="4" t="s">
        <v>33</v>
      </c>
      <c r="F553" s="4" t="s">
        <v>33</v>
      </c>
    </row>
    <row r="554" spans="1:6" ht="15" customHeight="1" x14ac:dyDescent="0.2">
      <c r="A554" s="28">
        <v>2041</v>
      </c>
      <c r="B554" s="4" t="s">
        <v>85</v>
      </c>
      <c r="C554" s="4" t="s">
        <v>88</v>
      </c>
      <c r="D554" s="29">
        <f>MMcfd!K23</f>
        <v>0</v>
      </c>
      <c r="E554" s="4" t="s">
        <v>33</v>
      </c>
      <c r="F554" s="4" t="s">
        <v>33</v>
      </c>
    </row>
    <row r="555" spans="1:6" ht="15" customHeight="1" x14ac:dyDescent="0.2">
      <c r="A555" s="28">
        <v>2042</v>
      </c>
      <c r="B555" s="4" t="s">
        <v>85</v>
      </c>
      <c r="C555" s="4" t="s">
        <v>88</v>
      </c>
      <c r="D555" s="29">
        <f>MMcfd!K24</f>
        <v>0</v>
      </c>
      <c r="E555" s="4" t="s">
        <v>33</v>
      </c>
      <c r="F555" s="4" t="s">
        <v>33</v>
      </c>
    </row>
    <row r="556" spans="1:6" ht="15" customHeight="1" x14ac:dyDescent="0.2">
      <c r="A556" s="28">
        <v>2043</v>
      </c>
      <c r="B556" s="4" t="s">
        <v>85</v>
      </c>
      <c r="C556" s="4" t="s">
        <v>88</v>
      </c>
      <c r="D556" s="29">
        <f>MMcfd!K25</f>
        <v>0</v>
      </c>
      <c r="E556" s="4" t="s">
        <v>33</v>
      </c>
      <c r="F556" s="4" t="s">
        <v>33</v>
      </c>
    </row>
    <row r="557" spans="1:6" ht="15" customHeight="1" x14ac:dyDescent="0.2">
      <c r="A557" s="28">
        <v>2044</v>
      </c>
      <c r="B557" s="4" t="s">
        <v>85</v>
      </c>
      <c r="C557" s="4" t="s">
        <v>88</v>
      </c>
      <c r="D557" s="29">
        <f>MMcfd!K26</f>
        <v>0</v>
      </c>
      <c r="E557" s="4" t="s">
        <v>33</v>
      </c>
      <c r="F557" s="4" t="s">
        <v>33</v>
      </c>
    </row>
    <row r="558" spans="1:6" ht="15" customHeight="1" x14ac:dyDescent="0.2">
      <c r="A558" s="28">
        <v>2045</v>
      </c>
      <c r="B558" s="4" t="s">
        <v>85</v>
      </c>
      <c r="C558" s="4" t="s">
        <v>88</v>
      </c>
      <c r="D558" s="29">
        <f>MMcfd!K27</f>
        <v>0</v>
      </c>
      <c r="E558" s="4" t="s">
        <v>33</v>
      </c>
      <c r="F558" s="4" t="s">
        <v>33</v>
      </c>
    </row>
    <row r="559" spans="1:6" ht="15" customHeight="1" x14ac:dyDescent="0.2">
      <c r="A559" s="28">
        <v>2046</v>
      </c>
      <c r="B559" s="4" t="s">
        <v>85</v>
      </c>
      <c r="C559" s="4" t="s">
        <v>88</v>
      </c>
      <c r="D559" s="29">
        <f>MMcfd!K28</f>
        <v>0</v>
      </c>
      <c r="E559" s="4" t="s">
        <v>33</v>
      </c>
      <c r="F559" s="4" t="s">
        <v>33</v>
      </c>
    </row>
    <row r="560" spans="1:6" ht="15" customHeight="1" x14ac:dyDescent="0.2">
      <c r="A560" s="28">
        <v>2047</v>
      </c>
      <c r="B560" s="4" t="s">
        <v>85</v>
      </c>
      <c r="C560" s="4" t="s">
        <v>88</v>
      </c>
      <c r="D560" s="29">
        <f>MMcfd!K29</f>
        <v>0</v>
      </c>
      <c r="E560" s="4" t="s">
        <v>33</v>
      </c>
      <c r="F560" s="4" t="s">
        <v>33</v>
      </c>
    </row>
    <row r="561" spans="1:6" ht="15" customHeight="1" x14ac:dyDescent="0.2">
      <c r="A561" s="28">
        <v>2048</v>
      </c>
      <c r="B561" s="4" t="s">
        <v>85</v>
      </c>
      <c r="C561" s="4" t="s">
        <v>88</v>
      </c>
      <c r="D561" s="29">
        <f>MMcfd!K30</f>
        <v>0</v>
      </c>
      <c r="E561" s="4" t="s">
        <v>33</v>
      </c>
      <c r="F561" s="4" t="s">
        <v>33</v>
      </c>
    </row>
    <row r="562" spans="1:6" ht="15" customHeight="1" x14ac:dyDescent="0.2">
      <c r="A562" s="28">
        <v>2049</v>
      </c>
      <c r="B562" s="4" t="s">
        <v>85</v>
      </c>
      <c r="C562" s="4" t="s">
        <v>88</v>
      </c>
      <c r="D562" s="29">
        <f>MMcfd!K31</f>
        <v>0</v>
      </c>
      <c r="E562" s="4" t="s">
        <v>33</v>
      </c>
      <c r="F562" s="4" t="s">
        <v>33</v>
      </c>
    </row>
    <row r="563" spans="1:6" ht="15" customHeight="1" x14ac:dyDescent="0.2">
      <c r="A563" s="28">
        <v>2050</v>
      </c>
      <c r="B563" s="4" t="s">
        <v>85</v>
      </c>
      <c r="C563" s="4" t="s">
        <v>88</v>
      </c>
      <c r="D563" s="29">
        <f>MMcfd!K32</f>
        <v>0</v>
      </c>
      <c r="E563" s="4" t="s">
        <v>33</v>
      </c>
      <c r="F563" s="4" t="s">
        <v>33</v>
      </c>
    </row>
    <row r="564" spans="1:6" ht="15" customHeight="1" x14ac:dyDescent="0.2">
      <c r="A564" s="28">
        <v>2023</v>
      </c>
      <c r="B564" s="4" t="s">
        <v>85</v>
      </c>
      <c r="C564" s="4" t="s">
        <v>89</v>
      </c>
      <c r="D564" s="29">
        <f>MMcfd!L5</f>
        <v>604.98782444231131</v>
      </c>
      <c r="E564" s="4" t="s">
        <v>33</v>
      </c>
      <c r="F564" s="4" t="s">
        <v>33</v>
      </c>
    </row>
    <row r="565" spans="1:6" ht="15" customHeight="1" x14ac:dyDescent="0.2">
      <c r="A565" s="28">
        <v>2024</v>
      </c>
      <c r="B565" s="4" t="s">
        <v>85</v>
      </c>
      <c r="C565" s="4" t="s">
        <v>89</v>
      </c>
      <c r="D565" s="29">
        <f>MMcfd!L6</f>
        <v>608.17697027207862</v>
      </c>
      <c r="E565" s="4" t="s">
        <v>33</v>
      </c>
      <c r="F565" s="4" t="s">
        <v>33</v>
      </c>
    </row>
    <row r="566" spans="1:6" ht="15" customHeight="1" x14ac:dyDescent="0.2">
      <c r="A566" s="28">
        <v>2025</v>
      </c>
      <c r="B566" s="4" t="s">
        <v>85</v>
      </c>
      <c r="C566" s="4" t="s">
        <v>89</v>
      </c>
      <c r="D566" s="29">
        <f>MMcfd!L7</f>
        <v>598.86338299044803</v>
      </c>
      <c r="E566" s="4" t="s">
        <v>33</v>
      </c>
      <c r="F566" s="4" t="s">
        <v>33</v>
      </c>
    </row>
    <row r="567" spans="1:6" ht="15" customHeight="1" x14ac:dyDescent="0.2">
      <c r="A567" s="28">
        <v>2026</v>
      </c>
      <c r="B567" s="4" t="s">
        <v>85</v>
      </c>
      <c r="C567" s="4" t="s">
        <v>89</v>
      </c>
      <c r="D567" s="29">
        <f>MMcfd!L8</f>
        <v>244.1500643049163</v>
      </c>
      <c r="E567" s="4" t="s">
        <v>33</v>
      </c>
      <c r="F567" s="4" t="s">
        <v>33</v>
      </c>
    </row>
    <row r="568" spans="1:6" ht="15" customHeight="1" x14ac:dyDescent="0.2">
      <c r="A568" s="28">
        <v>2027</v>
      </c>
      <c r="B568" s="4" t="s">
        <v>85</v>
      </c>
      <c r="C568" s="4" t="s">
        <v>89</v>
      </c>
      <c r="D568" s="29">
        <f>MMcfd!L9</f>
        <v>24.779247254466302</v>
      </c>
      <c r="E568" s="4" t="s">
        <v>33</v>
      </c>
      <c r="F568" s="4" t="s">
        <v>33</v>
      </c>
    </row>
    <row r="569" spans="1:6" ht="15" customHeight="1" x14ac:dyDescent="0.2">
      <c r="A569" s="28">
        <v>2028</v>
      </c>
      <c r="B569" s="4" t="s">
        <v>85</v>
      </c>
      <c r="C569" s="4" t="s">
        <v>89</v>
      </c>
      <c r="D569" s="29">
        <f>MMcfd!L10</f>
        <v>2.0356773878104937</v>
      </c>
      <c r="E569" s="4" t="s">
        <v>33</v>
      </c>
      <c r="F569" s="4" t="s">
        <v>33</v>
      </c>
    </row>
    <row r="570" spans="1:6" ht="15" customHeight="1" x14ac:dyDescent="0.2">
      <c r="A570" s="28">
        <v>2029</v>
      </c>
      <c r="B570" s="4" t="s">
        <v>85</v>
      </c>
      <c r="C570" s="4" t="s">
        <v>89</v>
      </c>
      <c r="D570" s="29">
        <f>MMcfd!L11</f>
        <v>0.37828568558189418</v>
      </c>
      <c r="E570" s="4" t="s">
        <v>33</v>
      </c>
      <c r="F570" s="4" t="s">
        <v>33</v>
      </c>
    </row>
    <row r="571" spans="1:6" ht="15" customHeight="1" x14ac:dyDescent="0.2">
      <c r="A571" s="28">
        <v>2030</v>
      </c>
      <c r="B571" s="4" t="s">
        <v>85</v>
      </c>
      <c r="C571" s="4" t="s">
        <v>89</v>
      </c>
      <c r="D571" s="29">
        <f>MMcfd!L12</f>
        <v>0</v>
      </c>
      <c r="E571" s="4" t="s">
        <v>33</v>
      </c>
      <c r="F571" s="4" t="s">
        <v>33</v>
      </c>
    </row>
    <row r="572" spans="1:6" ht="15" customHeight="1" x14ac:dyDescent="0.2">
      <c r="A572" s="28">
        <v>2031</v>
      </c>
      <c r="B572" s="4" t="s">
        <v>85</v>
      </c>
      <c r="C572" s="4" t="s">
        <v>89</v>
      </c>
      <c r="D572" s="29">
        <f>MMcfd!L13</f>
        <v>0</v>
      </c>
      <c r="E572" s="4" t="s">
        <v>33</v>
      </c>
      <c r="F572" s="4" t="s">
        <v>33</v>
      </c>
    </row>
    <row r="573" spans="1:6" ht="15" customHeight="1" x14ac:dyDescent="0.2">
      <c r="A573" s="28">
        <v>2032</v>
      </c>
      <c r="B573" s="4" t="s">
        <v>85</v>
      </c>
      <c r="C573" s="4" t="s">
        <v>89</v>
      </c>
      <c r="D573" s="29">
        <f>MMcfd!L14</f>
        <v>0</v>
      </c>
      <c r="E573" s="4" t="s">
        <v>33</v>
      </c>
      <c r="F573" s="4" t="s">
        <v>33</v>
      </c>
    </row>
    <row r="574" spans="1:6" ht="15" customHeight="1" x14ac:dyDescent="0.2">
      <c r="A574" s="28">
        <v>2033</v>
      </c>
      <c r="B574" s="4" t="s">
        <v>85</v>
      </c>
      <c r="C574" s="4" t="s">
        <v>89</v>
      </c>
      <c r="D574" s="29">
        <f>MMcfd!L15</f>
        <v>0</v>
      </c>
      <c r="E574" s="4" t="s">
        <v>33</v>
      </c>
      <c r="F574" s="4" t="s">
        <v>33</v>
      </c>
    </row>
    <row r="575" spans="1:6" ht="15" customHeight="1" x14ac:dyDescent="0.2">
      <c r="A575" s="28">
        <v>2034</v>
      </c>
      <c r="B575" s="4" t="s">
        <v>85</v>
      </c>
      <c r="C575" s="4" t="s">
        <v>89</v>
      </c>
      <c r="D575" s="29">
        <f>MMcfd!L16</f>
        <v>0</v>
      </c>
      <c r="E575" s="4" t="s">
        <v>33</v>
      </c>
      <c r="F575" s="4" t="s">
        <v>33</v>
      </c>
    </row>
    <row r="576" spans="1:6" ht="15" customHeight="1" x14ac:dyDescent="0.2">
      <c r="A576" s="28">
        <v>2035</v>
      </c>
      <c r="B576" s="4" t="s">
        <v>85</v>
      </c>
      <c r="C576" s="4" t="s">
        <v>89</v>
      </c>
      <c r="D576" s="29">
        <f>MMcfd!L17</f>
        <v>0</v>
      </c>
      <c r="E576" s="4" t="s">
        <v>33</v>
      </c>
      <c r="F576" s="4" t="s">
        <v>33</v>
      </c>
    </row>
    <row r="577" spans="1:6" ht="15" customHeight="1" x14ac:dyDescent="0.2">
      <c r="A577" s="28">
        <v>2036</v>
      </c>
      <c r="B577" s="4" t="s">
        <v>85</v>
      </c>
      <c r="C577" s="4" t="s">
        <v>89</v>
      </c>
      <c r="D577" s="29">
        <f>MMcfd!L18</f>
        <v>0</v>
      </c>
      <c r="E577" s="4" t="s">
        <v>33</v>
      </c>
      <c r="F577" s="4" t="s">
        <v>33</v>
      </c>
    </row>
    <row r="578" spans="1:6" ht="15" customHeight="1" x14ac:dyDescent="0.2">
      <c r="A578" s="28">
        <v>2037</v>
      </c>
      <c r="B578" s="4" t="s">
        <v>85</v>
      </c>
      <c r="C578" s="4" t="s">
        <v>89</v>
      </c>
      <c r="D578" s="29">
        <f>MMcfd!L19</f>
        <v>0</v>
      </c>
      <c r="E578" s="4" t="s">
        <v>33</v>
      </c>
      <c r="F578" s="4" t="s">
        <v>33</v>
      </c>
    </row>
    <row r="579" spans="1:6" ht="15" customHeight="1" x14ac:dyDescent="0.2">
      <c r="A579" s="28">
        <v>2038</v>
      </c>
      <c r="B579" s="4" t="s">
        <v>85</v>
      </c>
      <c r="C579" s="4" t="s">
        <v>89</v>
      </c>
      <c r="D579" s="29">
        <f>MMcfd!L20</f>
        <v>0</v>
      </c>
      <c r="E579" s="4" t="s">
        <v>33</v>
      </c>
      <c r="F579" s="4" t="s">
        <v>33</v>
      </c>
    </row>
    <row r="580" spans="1:6" ht="15" customHeight="1" x14ac:dyDescent="0.2">
      <c r="A580" s="28">
        <v>2039</v>
      </c>
      <c r="B580" s="4" t="s">
        <v>85</v>
      </c>
      <c r="C580" s="4" t="s">
        <v>89</v>
      </c>
      <c r="D580" s="29">
        <f>MMcfd!L21</f>
        <v>0</v>
      </c>
      <c r="E580" s="4" t="s">
        <v>33</v>
      </c>
      <c r="F580" s="4" t="s">
        <v>33</v>
      </c>
    </row>
    <row r="581" spans="1:6" ht="15" customHeight="1" x14ac:dyDescent="0.2">
      <c r="A581" s="28">
        <v>2040</v>
      </c>
      <c r="B581" s="4" t="s">
        <v>85</v>
      </c>
      <c r="C581" s="4" t="s">
        <v>89</v>
      </c>
      <c r="D581" s="29">
        <f>MMcfd!L22</f>
        <v>0</v>
      </c>
      <c r="E581" s="4" t="s">
        <v>33</v>
      </c>
      <c r="F581" s="4" t="s">
        <v>33</v>
      </c>
    </row>
    <row r="582" spans="1:6" ht="15" customHeight="1" x14ac:dyDescent="0.2">
      <c r="A582" s="28">
        <v>2041</v>
      </c>
      <c r="B582" s="4" t="s">
        <v>85</v>
      </c>
      <c r="C582" s="4" t="s">
        <v>89</v>
      </c>
      <c r="D582" s="29">
        <f>MMcfd!L23</f>
        <v>0</v>
      </c>
      <c r="E582" s="4" t="s">
        <v>33</v>
      </c>
      <c r="F582" s="4" t="s">
        <v>33</v>
      </c>
    </row>
    <row r="583" spans="1:6" ht="15" customHeight="1" x14ac:dyDescent="0.2">
      <c r="A583" s="28">
        <v>2042</v>
      </c>
      <c r="B583" s="4" t="s">
        <v>85</v>
      </c>
      <c r="C583" s="4" t="s">
        <v>89</v>
      </c>
      <c r="D583" s="29">
        <f>MMcfd!L24</f>
        <v>0</v>
      </c>
      <c r="E583" s="4" t="s">
        <v>33</v>
      </c>
      <c r="F583" s="4" t="s">
        <v>33</v>
      </c>
    </row>
    <row r="584" spans="1:6" ht="15" customHeight="1" x14ac:dyDescent="0.2">
      <c r="A584" s="28">
        <v>2043</v>
      </c>
      <c r="B584" s="4" t="s">
        <v>85</v>
      </c>
      <c r="C584" s="4" t="s">
        <v>89</v>
      </c>
      <c r="D584" s="29">
        <f>MMcfd!L25</f>
        <v>0</v>
      </c>
      <c r="E584" s="4" t="s">
        <v>33</v>
      </c>
      <c r="F584" s="4" t="s">
        <v>33</v>
      </c>
    </row>
    <row r="585" spans="1:6" ht="15" customHeight="1" x14ac:dyDescent="0.2">
      <c r="A585" s="28">
        <v>2044</v>
      </c>
      <c r="B585" s="4" t="s">
        <v>85</v>
      </c>
      <c r="C585" s="4" t="s">
        <v>89</v>
      </c>
      <c r="D585" s="29">
        <f>MMcfd!L26</f>
        <v>0</v>
      </c>
      <c r="E585" s="4" t="s">
        <v>33</v>
      </c>
      <c r="F585" s="4" t="s">
        <v>33</v>
      </c>
    </row>
    <row r="586" spans="1:6" ht="15" customHeight="1" x14ac:dyDescent="0.2">
      <c r="A586" s="28">
        <v>2045</v>
      </c>
      <c r="B586" s="4" t="s">
        <v>85</v>
      </c>
      <c r="C586" s="4" t="s">
        <v>89</v>
      </c>
      <c r="D586" s="29">
        <f>MMcfd!L27</f>
        <v>0</v>
      </c>
      <c r="E586" s="4" t="s">
        <v>33</v>
      </c>
      <c r="F586" s="4" t="s">
        <v>33</v>
      </c>
    </row>
    <row r="587" spans="1:6" ht="15" customHeight="1" x14ac:dyDescent="0.2">
      <c r="A587" s="28">
        <v>2046</v>
      </c>
      <c r="B587" s="4" t="s">
        <v>85</v>
      </c>
      <c r="C587" s="4" t="s">
        <v>89</v>
      </c>
      <c r="D587" s="29">
        <f>MMcfd!L28</f>
        <v>0</v>
      </c>
      <c r="E587" s="4" t="s">
        <v>33</v>
      </c>
      <c r="F587" s="4" t="s">
        <v>33</v>
      </c>
    </row>
    <row r="588" spans="1:6" ht="15" customHeight="1" x14ac:dyDescent="0.2">
      <c r="A588" s="28">
        <v>2047</v>
      </c>
      <c r="B588" s="4" t="s">
        <v>85</v>
      </c>
      <c r="C588" s="4" t="s">
        <v>89</v>
      </c>
      <c r="D588" s="29">
        <f>MMcfd!L29</f>
        <v>0</v>
      </c>
      <c r="E588" s="4" t="s">
        <v>33</v>
      </c>
      <c r="F588" s="4" t="s">
        <v>33</v>
      </c>
    </row>
    <row r="589" spans="1:6" ht="15" customHeight="1" x14ac:dyDescent="0.2">
      <c r="A589" s="28">
        <v>2048</v>
      </c>
      <c r="B589" s="4" t="s">
        <v>85</v>
      </c>
      <c r="C589" s="4" t="s">
        <v>89</v>
      </c>
      <c r="D589" s="29">
        <f>MMcfd!L30</f>
        <v>0</v>
      </c>
      <c r="E589" s="4" t="s">
        <v>33</v>
      </c>
      <c r="F589" s="4" t="s">
        <v>33</v>
      </c>
    </row>
    <row r="590" spans="1:6" ht="15" customHeight="1" x14ac:dyDescent="0.2">
      <c r="A590" s="28">
        <v>2049</v>
      </c>
      <c r="B590" s="4" t="s">
        <v>85</v>
      </c>
      <c r="C590" s="4" t="s">
        <v>89</v>
      </c>
      <c r="D590" s="29">
        <f>MMcfd!L31</f>
        <v>0</v>
      </c>
      <c r="E590" s="4" t="s">
        <v>33</v>
      </c>
      <c r="F590" s="4" t="s">
        <v>33</v>
      </c>
    </row>
    <row r="591" spans="1:6" ht="15" customHeight="1" x14ac:dyDescent="0.2">
      <c r="A591" s="28">
        <v>2050</v>
      </c>
      <c r="B591" s="4" t="s">
        <v>85</v>
      </c>
      <c r="C591" s="4" t="s">
        <v>89</v>
      </c>
      <c r="D591" s="29">
        <f>MMcfd!L32</f>
        <v>0</v>
      </c>
      <c r="E591" s="4" t="s">
        <v>33</v>
      </c>
      <c r="F591" s="4" t="s">
        <v>33</v>
      </c>
    </row>
    <row r="592" spans="1:6" ht="15" customHeight="1" x14ac:dyDescent="0.2">
      <c r="A592" s="28">
        <v>2023</v>
      </c>
      <c r="B592" s="4" t="s">
        <v>85</v>
      </c>
      <c r="C592" s="4" t="s">
        <v>90</v>
      </c>
      <c r="D592" s="29">
        <f>MMcfd!M5</f>
        <v>0</v>
      </c>
      <c r="E592" s="4" t="s">
        <v>33</v>
      </c>
      <c r="F592" s="4" t="s">
        <v>33</v>
      </c>
    </row>
    <row r="593" spans="1:6" ht="15" customHeight="1" x14ac:dyDescent="0.2">
      <c r="A593" s="28">
        <v>2024</v>
      </c>
      <c r="B593" s="4" t="s">
        <v>85</v>
      </c>
      <c r="C593" s="4" t="s">
        <v>90</v>
      </c>
      <c r="D593" s="29">
        <f>MMcfd!M6</f>
        <v>558.51035969190832</v>
      </c>
      <c r="E593" s="4" t="s">
        <v>33</v>
      </c>
      <c r="F593" s="4" t="s">
        <v>33</v>
      </c>
    </row>
    <row r="594" spans="1:6" ht="15" customHeight="1" x14ac:dyDescent="0.2">
      <c r="A594" s="28">
        <v>2025</v>
      </c>
      <c r="B594" s="4" t="s">
        <v>85</v>
      </c>
      <c r="C594" s="4" t="s">
        <v>90</v>
      </c>
      <c r="D594" s="29">
        <f>MMcfd!M7</f>
        <v>1095.4345271838797</v>
      </c>
      <c r="E594" s="4" t="s">
        <v>33</v>
      </c>
      <c r="F594" s="4" t="s">
        <v>33</v>
      </c>
    </row>
    <row r="595" spans="1:6" ht="15" customHeight="1" x14ac:dyDescent="0.2">
      <c r="A595" s="28">
        <v>2026</v>
      </c>
      <c r="B595" s="4" t="s">
        <v>85</v>
      </c>
      <c r="C595" s="4" t="s">
        <v>90</v>
      </c>
      <c r="D595" s="29">
        <f>MMcfd!M8</f>
        <v>1601.8451766468163</v>
      </c>
      <c r="E595" s="4" t="s">
        <v>33</v>
      </c>
      <c r="F595" s="4" t="s">
        <v>33</v>
      </c>
    </row>
    <row r="596" spans="1:6" ht="15" customHeight="1" x14ac:dyDescent="0.2">
      <c r="A596" s="28">
        <v>2027</v>
      </c>
      <c r="B596" s="4" t="s">
        <v>85</v>
      </c>
      <c r="C596" s="4" t="s">
        <v>90</v>
      </c>
      <c r="D596" s="29">
        <f>MMcfd!M9</f>
        <v>2053.277673599775</v>
      </c>
      <c r="E596" s="4" t="s">
        <v>33</v>
      </c>
      <c r="F596" s="4" t="s">
        <v>33</v>
      </c>
    </row>
    <row r="597" spans="1:6" ht="15" customHeight="1" x14ac:dyDescent="0.2">
      <c r="A597" s="28">
        <v>2028</v>
      </c>
      <c r="B597" s="4" t="s">
        <v>85</v>
      </c>
      <c r="C597" s="4" t="s">
        <v>90</v>
      </c>
      <c r="D597" s="29">
        <f>MMcfd!M10</f>
        <v>2428.5289218879111</v>
      </c>
      <c r="E597" s="4" t="s">
        <v>33</v>
      </c>
      <c r="F597" s="4" t="s">
        <v>33</v>
      </c>
    </row>
    <row r="598" spans="1:6" ht="15" customHeight="1" x14ac:dyDescent="0.2">
      <c r="A598" s="28">
        <v>2029</v>
      </c>
      <c r="B598" s="4" t="s">
        <v>85</v>
      </c>
      <c r="C598" s="4" t="s">
        <v>90</v>
      </c>
      <c r="D598" s="29">
        <f>MMcfd!M11</f>
        <v>2718.9441833802002</v>
      </c>
      <c r="E598" s="4" t="s">
        <v>33</v>
      </c>
      <c r="F598" s="4" t="s">
        <v>33</v>
      </c>
    </row>
    <row r="599" spans="1:6" ht="15" customHeight="1" x14ac:dyDescent="0.2">
      <c r="A599" s="28">
        <v>2030</v>
      </c>
      <c r="B599" s="4" t="s">
        <v>85</v>
      </c>
      <c r="C599" s="4" t="s">
        <v>90</v>
      </c>
      <c r="D599" s="29">
        <f>MMcfd!M12</f>
        <v>2925.6032182654726</v>
      </c>
      <c r="E599" s="4" t="s">
        <v>33</v>
      </c>
      <c r="F599" s="4" t="s">
        <v>33</v>
      </c>
    </row>
    <row r="600" spans="1:6" ht="15" customHeight="1" x14ac:dyDescent="0.2">
      <c r="A600" s="28">
        <v>2031</v>
      </c>
      <c r="B600" s="4" t="s">
        <v>85</v>
      </c>
      <c r="C600" s="4" t="s">
        <v>90</v>
      </c>
      <c r="D600" s="29">
        <f>MMcfd!M13</f>
        <v>3121.8629494562892</v>
      </c>
      <c r="E600" s="4" t="s">
        <v>33</v>
      </c>
      <c r="F600" s="4" t="s">
        <v>33</v>
      </c>
    </row>
    <row r="601" spans="1:6" ht="15" customHeight="1" x14ac:dyDescent="0.2">
      <c r="A601" s="28">
        <v>2032</v>
      </c>
      <c r="B601" s="4" t="s">
        <v>85</v>
      </c>
      <c r="C601" s="4" t="s">
        <v>90</v>
      </c>
      <c r="D601" s="29">
        <f>MMcfd!M14</f>
        <v>3234.646409021263</v>
      </c>
      <c r="E601" s="4" t="s">
        <v>33</v>
      </c>
      <c r="F601" s="4" t="s">
        <v>33</v>
      </c>
    </row>
    <row r="602" spans="1:6" ht="15" customHeight="1" x14ac:dyDescent="0.2">
      <c r="A602" s="28">
        <v>2033</v>
      </c>
      <c r="B602" s="4" t="s">
        <v>85</v>
      </c>
      <c r="C602" s="4" t="s">
        <v>90</v>
      </c>
      <c r="D602" s="29">
        <f>MMcfd!M15</f>
        <v>3295.6236743331528</v>
      </c>
      <c r="E602" s="4" t="s">
        <v>33</v>
      </c>
      <c r="F602" s="4" t="s">
        <v>33</v>
      </c>
    </row>
    <row r="603" spans="1:6" ht="15" customHeight="1" x14ac:dyDescent="0.2">
      <c r="A603" s="28">
        <v>2034</v>
      </c>
      <c r="B603" s="4" t="s">
        <v>85</v>
      </c>
      <c r="C603" s="4" t="s">
        <v>90</v>
      </c>
      <c r="D603" s="29">
        <f>MMcfd!M16</f>
        <v>3320.8653744981989</v>
      </c>
      <c r="E603" s="4" t="s">
        <v>33</v>
      </c>
      <c r="F603" s="4" t="s">
        <v>33</v>
      </c>
    </row>
    <row r="604" spans="1:6" ht="15" customHeight="1" x14ac:dyDescent="0.2">
      <c r="A604" s="28">
        <v>2035</v>
      </c>
      <c r="B604" s="4" t="s">
        <v>85</v>
      </c>
      <c r="C604" s="4" t="s">
        <v>90</v>
      </c>
      <c r="D604" s="29">
        <f>MMcfd!M17</f>
        <v>3336.0877459556241</v>
      </c>
      <c r="E604" s="4" t="s">
        <v>33</v>
      </c>
      <c r="F604" s="4" t="s">
        <v>33</v>
      </c>
    </row>
    <row r="605" spans="1:6" ht="15" customHeight="1" x14ac:dyDescent="0.2">
      <c r="A605" s="28">
        <v>2036</v>
      </c>
      <c r="B605" s="4" t="s">
        <v>85</v>
      </c>
      <c r="C605" s="4" t="s">
        <v>90</v>
      </c>
      <c r="D605" s="29">
        <f>MMcfd!M18</f>
        <v>3343.9317457933357</v>
      </c>
      <c r="E605" s="4" t="s">
        <v>33</v>
      </c>
      <c r="F605" s="4" t="s">
        <v>33</v>
      </c>
    </row>
    <row r="606" spans="1:6" ht="15" customHeight="1" x14ac:dyDescent="0.2">
      <c r="A606" s="28">
        <v>2037</v>
      </c>
      <c r="B606" s="4" t="s">
        <v>85</v>
      </c>
      <c r="C606" s="4" t="s">
        <v>90</v>
      </c>
      <c r="D606" s="29">
        <f>MMcfd!M19</f>
        <v>3346.7184601806057</v>
      </c>
      <c r="E606" s="4" t="s">
        <v>33</v>
      </c>
      <c r="F606" s="4" t="s">
        <v>33</v>
      </c>
    </row>
    <row r="607" spans="1:6" ht="15" customHeight="1" x14ac:dyDescent="0.2">
      <c r="A607" s="28">
        <v>2038</v>
      </c>
      <c r="B607" s="4" t="s">
        <v>85</v>
      </c>
      <c r="C607" s="4" t="s">
        <v>90</v>
      </c>
      <c r="D607" s="29">
        <f>MMcfd!M20</f>
        <v>3346.3728731911469</v>
      </c>
      <c r="E607" s="4" t="s">
        <v>33</v>
      </c>
      <c r="F607" s="4" t="s">
        <v>33</v>
      </c>
    </row>
    <row r="608" spans="1:6" ht="15" customHeight="1" x14ac:dyDescent="0.2">
      <c r="A608" s="28">
        <v>2039</v>
      </c>
      <c r="B608" s="4" t="s">
        <v>85</v>
      </c>
      <c r="C608" s="4" t="s">
        <v>90</v>
      </c>
      <c r="D608" s="29">
        <f>MMcfd!M21</f>
        <v>3344.4107946686172</v>
      </c>
      <c r="E608" s="4" t="s">
        <v>33</v>
      </c>
      <c r="F608" s="4" t="s">
        <v>33</v>
      </c>
    </row>
    <row r="609" spans="1:6" ht="15" customHeight="1" x14ac:dyDescent="0.2">
      <c r="A609" s="28">
        <v>2040</v>
      </c>
      <c r="B609" s="4" t="s">
        <v>85</v>
      </c>
      <c r="C609" s="4" t="s">
        <v>90</v>
      </c>
      <c r="D609" s="29">
        <f>MMcfd!M22</f>
        <v>3341.9633290247302</v>
      </c>
      <c r="E609" s="4" t="s">
        <v>33</v>
      </c>
      <c r="F609" s="4" t="s">
        <v>33</v>
      </c>
    </row>
    <row r="610" spans="1:6" ht="15" customHeight="1" x14ac:dyDescent="0.2">
      <c r="A610" s="28">
        <v>2041</v>
      </c>
      <c r="B610" s="4" t="s">
        <v>85</v>
      </c>
      <c r="C610" s="4" t="s">
        <v>90</v>
      </c>
      <c r="D610" s="29">
        <f>MMcfd!M23</f>
        <v>3339.8188789378305</v>
      </c>
      <c r="E610" s="4" t="s">
        <v>33</v>
      </c>
      <c r="F610" s="4" t="s">
        <v>33</v>
      </c>
    </row>
    <row r="611" spans="1:6" ht="15" customHeight="1" x14ac:dyDescent="0.2">
      <c r="A611" s="28">
        <v>2042</v>
      </c>
      <c r="B611" s="4" t="s">
        <v>85</v>
      </c>
      <c r="C611" s="4" t="s">
        <v>90</v>
      </c>
      <c r="D611" s="29">
        <f>MMcfd!M24</f>
        <v>3338.467987160469</v>
      </c>
      <c r="E611" s="4" t="s">
        <v>33</v>
      </c>
      <c r="F611" s="4" t="s">
        <v>33</v>
      </c>
    </row>
    <row r="612" spans="1:6" ht="15" customHeight="1" x14ac:dyDescent="0.2">
      <c r="A612" s="28">
        <v>2043</v>
      </c>
      <c r="B612" s="4" t="s">
        <v>85</v>
      </c>
      <c r="C612" s="4" t="s">
        <v>90</v>
      </c>
      <c r="D612" s="29">
        <f>MMcfd!M25</f>
        <v>3338.0413887932805</v>
      </c>
      <c r="E612" s="4" t="s">
        <v>33</v>
      </c>
      <c r="F612" s="4" t="s">
        <v>33</v>
      </c>
    </row>
    <row r="613" spans="1:6" ht="15" customHeight="1" x14ac:dyDescent="0.2">
      <c r="A613" s="28">
        <v>2044</v>
      </c>
      <c r="B613" s="4" t="s">
        <v>85</v>
      </c>
      <c r="C613" s="4" t="s">
        <v>90</v>
      </c>
      <c r="D613" s="29">
        <f>MMcfd!M26</f>
        <v>3338.2604409516312</v>
      </c>
      <c r="E613" s="4" t="s">
        <v>33</v>
      </c>
      <c r="F613" s="4" t="s">
        <v>33</v>
      </c>
    </row>
    <row r="614" spans="1:6" ht="15" customHeight="1" x14ac:dyDescent="0.2">
      <c r="A614" s="28">
        <v>2045</v>
      </c>
      <c r="B614" s="4" t="s">
        <v>85</v>
      </c>
      <c r="C614" s="4" t="s">
        <v>90</v>
      </c>
      <c r="D614" s="29">
        <f>MMcfd!M27</f>
        <v>3339.8734070538576</v>
      </c>
      <c r="E614" s="4" t="s">
        <v>33</v>
      </c>
      <c r="F614" s="4" t="s">
        <v>33</v>
      </c>
    </row>
    <row r="615" spans="1:6" ht="15" customHeight="1" x14ac:dyDescent="0.2">
      <c r="A615" s="28">
        <v>2046</v>
      </c>
      <c r="B615" s="4" t="s">
        <v>85</v>
      </c>
      <c r="C615" s="4" t="s">
        <v>90</v>
      </c>
      <c r="D615" s="29">
        <f>MMcfd!M28</f>
        <v>3342.6776048486231</v>
      </c>
      <c r="E615" s="4" t="s">
        <v>33</v>
      </c>
      <c r="F615" s="4" t="s">
        <v>33</v>
      </c>
    </row>
    <row r="616" spans="1:6" ht="15" customHeight="1" x14ac:dyDescent="0.2">
      <c r="A616" s="28">
        <v>2047</v>
      </c>
      <c r="B616" s="4" t="s">
        <v>85</v>
      </c>
      <c r="C616" s="4" t="s">
        <v>90</v>
      </c>
      <c r="D616" s="29">
        <f>MMcfd!M29</f>
        <v>3344.4799061187073</v>
      </c>
      <c r="E616" s="4" t="s">
        <v>33</v>
      </c>
      <c r="F616" s="4" t="s">
        <v>33</v>
      </c>
    </row>
    <row r="617" spans="1:6" ht="15" customHeight="1" x14ac:dyDescent="0.2">
      <c r="A617" s="28">
        <v>2048</v>
      </c>
      <c r="B617" s="4" t="s">
        <v>85</v>
      </c>
      <c r="C617" s="4" t="s">
        <v>90</v>
      </c>
      <c r="D617" s="29">
        <f>MMcfd!M30</f>
        <v>3346.7341051091416</v>
      </c>
      <c r="E617" s="4" t="s">
        <v>33</v>
      </c>
      <c r="F617" s="4" t="s">
        <v>33</v>
      </c>
    </row>
    <row r="618" spans="1:6" ht="15" customHeight="1" x14ac:dyDescent="0.2">
      <c r="A618" s="28">
        <v>2049</v>
      </c>
      <c r="B618" s="4" t="s">
        <v>85</v>
      </c>
      <c r="C618" s="4" t="s">
        <v>90</v>
      </c>
      <c r="D618" s="29">
        <f>MMcfd!M31</f>
        <v>3349.5770517207216</v>
      </c>
      <c r="E618" s="4" t="s">
        <v>33</v>
      </c>
      <c r="F618" s="4" t="s">
        <v>33</v>
      </c>
    </row>
    <row r="619" spans="1:6" ht="15" customHeight="1" x14ac:dyDescent="0.2">
      <c r="A619" s="28">
        <v>2050</v>
      </c>
      <c r="B619" s="4" t="s">
        <v>85</v>
      </c>
      <c r="C619" s="4" t="s">
        <v>90</v>
      </c>
      <c r="D619" s="29">
        <f>MMcfd!M32</f>
        <v>3352.6433875175244</v>
      </c>
      <c r="E619" s="4" t="s">
        <v>33</v>
      </c>
      <c r="F619" s="4" t="s">
        <v>33</v>
      </c>
    </row>
    <row r="621" spans="1:6" ht="15" customHeight="1" x14ac:dyDescent="0.2">
      <c r="A621" s="41" t="s">
        <v>188</v>
      </c>
      <c r="B621" s="41"/>
      <c r="C621" s="41"/>
      <c r="D621" s="41"/>
      <c r="E621" s="41"/>
      <c r="F621" s="41"/>
    </row>
    <row r="622" spans="1:6" x14ac:dyDescent="0.2">
      <c r="A622" s="32">
        <v>2023</v>
      </c>
      <c r="B622" s="32" t="s">
        <v>84</v>
      </c>
      <c r="C622" s="32" t="s">
        <v>189</v>
      </c>
      <c r="D622" s="33">
        <f>'Gas Recovery Revenue'!F22</f>
        <v>0</v>
      </c>
      <c r="E622" s="32" t="s">
        <v>190</v>
      </c>
      <c r="F622" s="32" t="s">
        <v>191</v>
      </c>
    </row>
    <row r="623" spans="1:6" x14ac:dyDescent="0.2">
      <c r="A623" s="32">
        <v>2024</v>
      </c>
      <c r="B623" s="32" t="s">
        <v>84</v>
      </c>
      <c r="C623" s="32" t="s">
        <v>189</v>
      </c>
      <c r="D623" s="33">
        <f>'Gas Recovery Revenue'!F23</f>
        <v>44.883234898995909</v>
      </c>
      <c r="E623" s="32" t="s">
        <v>190</v>
      </c>
      <c r="F623" s="32" t="s">
        <v>191</v>
      </c>
    </row>
    <row r="624" spans="1:6" x14ac:dyDescent="0.2">
      <c r="A624" s="32">
        <v>2025</v>
      </c>
      <c r="B624" s="32" t="s">
        <v>84</v>
      </c>
      <c r="C624" s="32" t="s">
        <v>189</v>
      </c>
      <c r="D624" s="33">
        <f>'Gas Recovery Revenue'!F24</f>
        <v>90.064376978964162</v>
      </c>
      <c r="E624" s="32" t="s">
        <v>190</v>
      </c>
      <c r="F624" s="32" t="s">
        <v>191</v>
      </c>
    </row>
    <row r="625" spans="1:6" x14ac:dyDescent="0.2">
      <c r="A625" s="32">
        <v>2026</v>
      </c>
      <c r="B625" s="32" t="s">
        <v>84</v>
      </c>
      <c r="C625" s="32" t="s">
        <v>189</v>
      </c>
      <c r="D625" s="33">
        <f>'Gas Recovery Revenue'!F25</f>
        <v>138.00425485813815</v>
      </c>
      <c r="E625" s="32" t="s">
        <v>190</v>
      </c>
      <c r="F625" s="32" t="s">
        <v>191</v>
      </c>
    </row>
    <row r="626" spans="1:6" x14ac:dyDescent="0.2">
      <c r="A626" s="32">
        <v>2027</v>
      </c>
      <c r="B626" s="32" t="s">
        <v>84</v>
      </c>
      <c r="C626" s="32" t="s">
        <v>189</v>
      </c>
      <c r="D626" s="33">
        <f>'Gas Recovery Revenue'!F26</f>
        <v>190.20253946216255</v>
      </c>
      <c r="E626" s="32" t="s">
        <v>190</v>
      </c>
      <c r="F626" s="32" t="s">
        <v>191</v>
      </c>
    </row>
    <row r="627" spans="1:6" x14ac:dyDescent="0.2">
      <c r="A627" s="32">
        <v>2028</v>
      </c>
      <c r="B627" s="32" t="s">
        <v>84</v>
      </c>
      <c r="C627" s="32" t="s">
        <v>189</v>
      </c>
      <c r="D627" s="33">
        <f>'Gas Recovery Revenue'!F27</f>
        <v>247.05342907016174</v>
      </c>
      <c r="E627" s="32" t="s">
        <v>190</v>
      </c>
      <c r="F627" s="32" t="s">
        <v>191</v>
      </c>
    </row>
    <row r="628" spans="1:6" x14ac:dyDescent="0.2">
      <c r="A628" s="32">
        <v>2029</v>
      </c>
      <c r="B628" s="32" t="s">
        <v>84</v>
      </c>
      <c r="C628" s="32" t="s">
        <v>189</v>
      </c>
      <c r="D628" s="33">
        <f>'Gas Recovery Revenue'!F28</f>
        <v>307.68020327425035</v>
      </c>
      <c r="E628" s="32" t="s">
        <v>190</v>
      </c>
      <c r="F628" s="32" t="s">
        <v>191</v>
      </c>
    </row>
    <row r="629" spans="1:6" x14ac:dyDescent="0.2">
      <c r="A629" s="32">
        <v>2030</v>
      </c>
      <c r="B629" s="32" t="s">
        <v>84</v>
      </c>
      <c r="C629" s="32" t="s">
        <v>189</v>
      </c>
      <c r="D629" s="33">
        <f>'Gas Recovery Revenue'!F29</f>
        <v>370.50295338267756</v>
      </c>
      <c r="E629" s="32" t="s">
        <v>190</v>
      </c>
      <c r="F629" s="32" t="s">
        <v>191</v>
      </c>
    </row>
    <row r="630" spans="1:6" x14ac:dyDescent="0.2">
      <c r="A630" s="32">
        <v>2031</v>
      </c>
      <c r="B630" s="32" t="s">
        <v>84</v>
      </c>
      <c r="C630" s="32" t="s">
        <v>189</v>
      </c>
      <c r="D630" s="33">
        <f>'Gas Recovery Revenue'!F30</f>
        <v>443.23225572889788</v>
      </c>
      <c r="E630" s="32" t="s">
        <v>190</v>
      </c>
      <c r="F630" s="32" t="s">
        <v>191</v>
      </c>
    </row>
    <row r="631" spans="1:6" x14ac:dyDescent="0.2">
      <c r="A631" s="32">
        <v>2032</v>
      </c>
      <c r="B631" s="32" t="s">
        <v>84</v>
      </c>
      <c r="C631" s="32" t="s">
        <v>189</v>
      </c>
      <c r="D631" s="33">
        <f>'Gas Recovery Revenue'!F31</f>
        <v>518.21893412224722</v>
      </c>
      <c r="E631" s="32" t="s">
        <v>190</v>
      </c>
      <c r="F631" s="32" t="s">
        <v>191</v>
      </c>
    </row>
    <row r="632" spans="1:6" x14ac:dyDescent="0.2">
      <c r="A632" s="32">
        <v>2033</v>
      </c>
      <c r="B632" s="32" t="s">
        <v>84</v>
      </c>
      <c r="C632" s="32" t="s">
        <v>189</v>
      </c>
      <c r="D632" s="33">
        <f>'Gas Recovery Revenue'!F32</f>
        <v>594.56901784157969</v>
      </c>
      <c r="E632" s="32" t="s">
        <v>190</v>
      </c>
      <c r="F632" s="32" t="s">
        <v>191</v>
      </c>
    </row>
    <row r="633" spans="1:6" x14ac:dyDescent="0.2">
      <c r="A633" s="32">
        <v>2034</v>
      </c>
      <c r="B633" s="32" t="s">
        <v>84</v>
      </c>
      <c r="C633" s="32" t="s">
        <v>189</v>
      </c>
      <c r="D633" s="33">
        <f>'Gas Recovery Revenue'!F33</f>
        <v>671.72678628538438</v>
      </c>
      <c r="E633" s="32" t="s">
        <v>190</v>
      </c>
      <c r="F633" s="32" t="s">
        <v>191</v>
      </c>
    </row>
    <row r="634" spans="1:6" x14ac:dyDescent="0.2">
      <c r="A634" s="32">
        <v>2035</v>
      </c>
      <c r="B634" s="32" t="s">
        <v>84</v>
      </c>
      <c r="C634" s="32" t="s">
        <v>189</v>
      </c>
      <c r="D634" s="33">
        <f>'Gas Recovery Revenue'!F34</f>
        <v>749.43966587534965</v>
      </c>
      <c r="E634" s="32" t="s">
        <v>190</v>
      </c>
      <c r="F634" s="32" t="s">
        <v>191</v>
      </c>
    </row>
    <row r="635" spans="1:6" x14ac:dyDescent="0.2">
      <c r="A635" s="32">
        <v>2036</v>
      </c>
      <c r="B635" s="32" t="s">
        <v>84</v>
      </c>
      <c r="C635" s="32" t="s">
        <v>189</v>
      </c>
      <c r="D635" s="33">
        <f>'Gas Recovery Revenue'!F35</f>
        <v>827.70088265357003</v>
      </c>
      <c r="E635" s="32" t="s">
        <v>190</v>
      </c>
      <c r="F635" s="32" t="s">
        <v>191</v>
      </c>
    </row>
    <row r="636" spans="1:6" x14ac:dyDescent="0.2">
      <c r="A636" s="32">
        <v>2037</v>
      </c>
      <c r="B636" s="32" t="s">
        <v>84</v>
      </c>
      <c r="C636" s="32" t="s">
        <v>189</v>
      </c>
      <c r="D636" s="33">
        <f>'Gas Recovery Revenue'!F36</f>
        <v>906.68647018291574</v>
      </c>
      <c r="E636" s="32" t="s">
        <v>190</v>
      </c>
      <c r="F636" s="32" t="s">
        <v>191</v>
      </c>
    </row>
    <row r="637" spans="1:6" x14ac:dyDescent="0.2">
      <c r="A637" s="32">
        <v>2038</v>
      </c>
      <c r="B637" s="32" t="s">
        <v>84</v>
      </c>
      <c r="C637" s="32" t="s">
        <v>189</v>
      </c>
      <c r="D637" s="33">
        <f>'Gas Recovery Revenue'!F37</f>
        <v>986.69672638214399</v>
      </c>
      <c r="E637" s="32" t="s">
        <v>190</v>
      </c>
      <c r="F637" s="32" t="s">
        <v>191</v>
      </c>
    </row>
    <row r="638" spans="1:6" x14ac:dyDescent="0.2">
      <c r="A638" s="32">
        <v>2039</v>
      </c>
      <c r="B638" s="32" t="s">
        <v>84</v>
      </c>
      <c r="C638" s="32" t="s">
        <v>189</v>
      </c>
      <c r="D638" s="33">
        <f>'Gas Recovery Revenue'!F38</f>
        <v>1068.090866415748</v>
      </c>
      <c r="E638" s="32" t="s">
        <v>190</v>
      </c>
      <c r="F638" s="32" t="s">
        <v>191</v>
      </c>
    </row>
    <row r="639" spans="1:6" x14ac:dyDescent="0.2">
      <c r="A639" s="32">
        <v>2040</v>
      </c>
      <c r="B639" s="32" t="s">
        <v>84</v>
      </c>
      <c r="C639" s="32" t="s">
        <v>189</v>
      </c>
      <c r="D639" s="33">
        <f>'Gas Recovery Revenue'!F39</f>
        <v>1151.2156036779518</v>
      </c>
      <c r="E639" s="32" t="s">
        <v>190</v>
      </c>
      <c r="F639" s="32" t="s">
        <v>191</v>
      </c>
    </row>
    <row r="640" spans="1:6" x14ac:dyDescent="0.2">
      <c r="A640" s="32">
        <v>2041</v>
      </c>
      <c r="B640" s="32" t="s">
        <v>84</v>
      </c>
      <c r="C640" s="32" t="s">
        <v>189</v>
      </c>
      <c r="D640" s="33">
        <f>'Gas Recovery Revenue'!F40</f>
        <v>1236.3431435356088</v>
      </c>
      <c r="E640" s="32" t="s">
        <v>190</v>
      </c>
      <c r="F640" s="32" t="s">
        <v>191</v>
      </c>
    </row>
    <row r="641" spans="1:6" x14ac:dyDescent="0.2">
      <c r="A641" s="32">
        <v>2042</v>
      </c>
      <c r="B641" s="32" t="s">
        <v>84</v>
      </c>
      <c r="C641" s="32" t="s">
        <v>189</v>
      </c>
      <c r="D641" s="33">
        <f>'Gas Recovery Revenue'!F41</f>
        <v>1323.6146925452595</v>
      </c>
      <c r="E641" s="32" t="s">
        <v>190</v>
      </c>
      <c r="F641" s="32" t="s">
        <v>191</v>
      </c>
    </row>
    <row r="642" spans="1:6" x14ac:dyDescent="0.2">
      <c r="A642" s="32">
        <v>2043</v>
      </c>
      <c r="B642" s="32" t="s">
        <v>84</v>
      </c>
      <c r="C642" s="32" t="s">
        <v>189</v>
      </c>
      <c r="D642" s="33">
        <f>'Gas Recovery Revenue'!F42</f>
        <v>1413.0403631437302</v>
      </c>
      <c r="E642" s="32" t="s">
        <v>190</v>
      </c>
      <c r="F642" s="32" t="s">
        <v>191</v>
      </c>
    </row>
    <row r="643" spans="1:6" x14ac:dyDescent="0.2">
      <c r="A643" s="32">
        <v>2044</v>
      </c>
      <c r="B643" s="32" t="s">
        <v>84</v>
      </c>
      <c r="C643" s="32" t="s">
        <v>189</v>
      </c>
      <c r="D643" s="33">
        <f>'Gas Recovery Revenue'!F43</f>
        <v>1504.5175600373839</v>
      </c>
      <c r="E643" s="32" t="s">
        <v>190</v>
      </c>
      <c r="F643" s="32" t="s">
        <v>191</v>
      </c>
    </row>
    <row r="644" spans="1:6" x14ac:dyDescent="0.2">
      <c r="A644" s="32">
        <v>2045</v>
      </c>
      <c r="B644" s="32" t="s">
        <v>84</v>
      </c>
      <c r="C644" s="32" t="s">
        <v>189</v>
      </c>
      <c r="D644" s="33">
        <f>'Gas Recovery Revenue'!F44</f>
        <v>1597.8487247939306</v>
      </c>
      <c r="E644" s="32" t="s">
        <v>190</v>
      </c>
      <c r="F644" s="32" t="s">
        <v>191</v>
      </c>
    </row>
    <row r="645" spans="1:6" x14ac:dyDescent="0.2">
      <c r="A645" s="32">
        <v>2046</v>
      </c>
      <c r="B645" s="32" t="s">
        <v>84</v>
      </c>
      <c r="C645" s="32" t="s">
        <v>189</v>
      </c>
      <c r="D645" s="33">
        <f>'Gas Recovery Revenue'!F45</f>
        <v>1692.759076446988</v>
      </c>
      <c r="E645" s="32" t="s">
        <v>190</v>
      </c>
      <c r="F645" s="32" t="s">
        <v>191</v>
      </c>
    </row>
    <row r="646" spans="1:6" x14ac:dyDescent="0.2">
      <c r="A646" s="32">
        <v>2047</v>
      </c>
      <c r="B646" s="32" t="s">
        <v>84</v>
      </c>
      <c r="C646" s="32" t="s">
        <v>189</v>
      </c>
      <c r="D646" s="33">
        <f>'Gas Recovery Revenue'!F46</f>
        <v>1788.9163027215409</v>
      </c>
      <c r="E646" s="32" t="s">
        <v>190</v>
      </c>
      <c r="F646" s="32" t="s">
        <v>191</v>
      </c>
    </row>
    <row r="647" spans="1:6" x14ac:dyDescent="0.2">
      <c r="A647" s="32">
        <v>2048</v>
      </c>
      <c r="B647" s="32" t="s">
        <v>84</v>
      </c>
      <c r="C647" s="32" t="s">
        <v>189</v>
      </c>
      <c r="D647" s="33">
        <f>'Gas Recovery Revenue'!F47</f>
        <v>1885.9552940780434</v>
      </c>
      <c r="E647" s="32" t="s">
        <v>190</v>
      </c>
      <c r="F647" s="32" t="s">
        <v>191</v>
      </c>
    </row>
    <row r="648" spans="1:6" x14ac:dyDescent="0.2">
      <c r="A648" s="32">
        <v>2049</v>
      </c>
      <c r="B648" s="32" t="s">
        <v>84</v>
      </c>
      <c r="C648" s="32" t="s">
        <v>189</v>
      </c>
      <c r="D648" s="33">
        <f>'Gas Recovery Revenue'!F48</f>
        <v>1968.4679627272278</v>
      </c>
      <c r="E648" s="32" t="s">
        <v>190</v>
      </c>
      <c r="F648" s="32" t="s">
        <v>191</v>
      </c>
    </row>
    <row r="649" spans="1:6" x14ac:dyDescent="0.2">
      <c r="A649" s="32">
        <v>2050</v>
      </c>
      <c r="B649" s="32" t="s">
        <v>84</v>
      </c>
      <c r="C649" s="32" t="s">
        <v>189</v>
      </c>
      <c r="D649" s="33">
        <f>'Gas Recovery Revenue'!F49</f>
        <v>2024.5895863285984</v>
      </c>
      <c r="E649" s="32" t="s">
        <v>190</v>
      </c>
      <c r="F649" s="32" t="s">
        <v>191</v>
      </c>
    </row>
    <row r="650" spans="1:6" x14ac:dyDescent="0.2">
      <c r="A650" s="32">
        <v>2023</v>
      </c>
      <c r="B650" s="32" t="s">
        <v>84</v>
      </c>
      <c r="C650" s="32" t="s">
        <v>192</v>
      </c>
      <c r="D650" s="33">
        <f>'Gas Recovery Revenue'!G22</f>
        <v>0</v>
      </c>
      <c r="E650" s="32" t="s">
        <v>190</v>
      </c>
      <c r="F650" s="32" t="s">
        <v>191</v>
      </c>
    </row>
    <row r="651" spans="1:6" x14ac:dyDescent="0.2">
      <c r="A651" s="32">
        <v>2024</v>
      </c>
      <c r="B651" s="32" t="s">
        <v>84</v>
      </c>
      <c r="C651" s="32" t="s">
        <v>192</v>
      </c>
      <c r="D651" s="33">
        <f>'Gas Recovery Revenue'!G23</f>
        <v>89.766469797991817</v>
      </c>
      <c r="E651" s="32" t="s">
        <v>190</v>
      </c>
      <c r="F651" s="32" t="s">
        <v>191</v>
      </c>
    </row>
    <row r="652" spans="1:6" x14ac:dyDescent="0.2">
      <c r="A652" s="32">
        <v>2025</v>
      </c>
      <c r="B652" s="32" t="s">
        <v>84</v>
      </c>
      <c r="C652" s="32" t="s">
        <v>192</v>
      </c>
      <c r="D652" s="33">
        <f>'Gas Recovery Revenue'!G24</f>
        <v>180.12875395792832</v>
      </c>
      <c r="E652" s="32" t="s">
        <v>190</v>
      </c>
      <c r="F652" s="32" t="s">
        <v>191</v>
      </c>
    </row>
    <row r="653" spans="1:6" x14ac:dyDescent="0.2">
      <c r="A653" s="32">
        <v>2026</v>
      </c>
      <c r="B653" s="32" t="s">
        <v>84</v>
      </c>
      <c r="C653" s="32" t="s">
        <v>192</v>
      </c>
      <c r="D653" s="33">
        <f>'Gas Recovery Revenue'!G25</f>
        <v>276.00850971627631</v>
      </c>
      <c r="E653" s="32" t="s">
        <v>190</v>
      </c>
      <c r="F653" s="32" t="s">
        <v>191</v>
      </c>
    </row>
    <row r="654" spans="1:6" x14ac:dyDescent="0.2">
      <c r="A654" s="32">
        <v>2027</v>
      </c>
      <c r="B654" s="32" t="s">
        <v>84</v>
      </c>
      <c r="C654" s="32" t="s">
        <v>192</v>
      </c>
      <c r="D654" s="33">
        <f>'Gas Recovery Revenue'!G26</f>
        <v>380.4050789243251</v>
      </c>
      <c r="E654" s="32" t="s">
        <v>190</v>
      </c>
      <c r="F654" s="32" t="s">
        <v>191</v>
      </c>
    </row>
    <row r="655" spans="1:6" x14ac:dyDescent="0.2">
      <c r="A655" s="32">
        <v>2028</v>
      </c>
      <c r="B655" s="32" t="s">
        <v>84</v>
      </c>
      <c r="C655" s="32" t="s">
        <v>192</v>
      </c>
      <c r="D655" s="33">
        <f>'Gas Recovery Revenue'!G27</f>
        <v>494.10685814032348</v>
      </c>
      <c r="E655" s="32" t="s">
        <v>190</v>
      </c>
      <c r="F655" s="32" t="s">
        <v>191</v>
      </c>
    </row>
    <row r="656" spans="1:6" x14ac:dyDescent="0.2">
      <c r="A656" s="32">
        <v>2029</v>
      </c>
      <c r="B656" s="32" t="s">
        <v>84</v>
      </c>
      <c r="C656" s="32" t="s">
        <v>192</v>
      </c>
      <c r="D656" s="33">
        <f>'Gas Recovery Revenue'!G28</f>
        <v>615.36040654850069</v>
      </c>
      <c r="E656" s="32" t="s">
        <v>190</v>
      </c>
      <c r="F656" s="32" t="s">
        <v>191</v>
      </c>
    </row>
    <row r="657" spans="1:6" x14ac:dyDescent="0.2">
      <c r="A657" s="32">
        <v>2030</v>
      </c>
      <c r="B657" s="32" t="s">
        <v>84</v>
      </c>
      <c r="C657" s="32" t="s">
        <v>192</v>
      </c>
      <c r="D657" s="33">
        <f>'Gas Recovery Revenue'!G29</f>
        <v>741.00590676535512</v>
      </c>
      <c r="E657" s="32" t="s">
        <v>190</v>
      </c>
      <c r="F657" s="32" t="s">
        <v>191</v>
      </c>
    </row>
    <row r="658" spans="1:6" x14ac:dyDescent="0.2">
      <c r="A658" s="32">
        <v>2031</v>
      </c>
      <c r="B658" s="32" t="s">
        <v>84</v>
      </c>
      <c r="C658" s="32" t="s">
        <v>192</v>
      </c>
      <c r="D658" s="33">
        <f>'Gas Recovery Revenue'!G30</f>
        <v>886.46451145779577</v>
      </c>
      <c r="E658" s="32" t="s">
        <v>190</v>
      </c>
      <c r="F658" s="32" t="s">
        <v>191</v>
      </c>
    </row>
    <row r="659" spans="1:6" x14ac:dyDescent="0.2">
      <c r="A659" s="32">
        <v>2032</v>
      </c>
      <c r="B659" s="32" t="s">
        <v>84</v>
      </c>
      <c r="C659" s="32" t="s">
        <v>192</v>
      </c>
      <c r="D659" s="33">
        <f>'Gas Recovery Revenue'!G31</f>
        <v>1036.4378682444944</v>
      </c>
      <c r="E659" s="32" t="s">
        <v>190</v>
      </c>
      <c r="F659" s="32" t="s">
        <v>191</v>
      </c>
    </row>
    <row r="660" spans="1:6" x14ac:dyDescent="0.2">
      <c r="A660" s="32">
        <v>2033</v>
      </c>
      <c r="B660" s="32" t="s">
        <v>84</v>
      </c>
      <c r="C660" s="32" t="s">
        <v>192</v>
      </c>
      <c r="D660" s="33">
        <f>'Gas Recovery Revenue'!G32</f>
        <v>1189.1380356831594</v>
      </c>
      <c r="E660" s="32" t="s">
        <v>190</v>
      </c>
      <c r="F660" s="32" t="s">
        <v>191</v>
      </c>
    </row>
    <row r="661" spans="1:6" x14ac:dyDescent="0.2">
      <c r="A661" s="32">
        <v>2034</v>
      </c>
      <c r="B661" s="32" t="s">
        <v>84</v>
      </c>
      <c r="C661" s="32" t="s">
        <v>192</v>
      </c>
      <c r="D661" s="33">
        <f>'Gas Recovery Revenue'!G33</f>
        <v>1343.4535725707688</v>
      </c>
      <c r="E661" s="32" t="s">
        <v>190</v>
      </c>
      <c r="F661" s="32" t="s">
        <v>191</v>
      </c>
    </row>
    <row r="662" spans="1:6" x14ac:dyDescent="0.2">
      <c r="A662" s="32">
        <v>2035</v>
      </c>
      <c r="B662" s="32" t="s">
        <v>84</v>
      </c>
      <c r="C662" s="32" t="s">
        <v>192</v>
      </c>
      <c r="D662" s="33">
        <f>'Gas Recovery Revenue'!G34</f>
        <v>1498.8793317506993</v>
      </c>
      <c r="E662" s="32" t="s">
        <v>190</v>
      </c>
      <c r="F662" s="32" t="s">
        <v>191</v>
      </c>
    </row>
    <row r="663" spans="1:6" x14ac:dyDescent="0.2">
      <c r="A663" s="32">
        <v>2036</v>
      </c>
      <c r="B663" s="32" t="s">
        <v>84</v>
      </c>
      <c r="C663" s="32" t="s">
        <v>192</v>
      </c>
      <c r="D663" s="33">
        <f>'Gas Recovery Revenue'!G35</f>
        <v>1655.4017653071401</v>
      </c>
      <c r="E663" s="32" t="s">
        <v>190</v>
      </c>
      <c r="F663" s="32" t="s">
        <v>191</v>
      </c>
    </row>
    <row r="664" spans="1:6" x14ac:dyDescent="0.2">
      <c r="A664" s="32">
        <v>2037</v>
      </c>
      <c r="B664" s="32" t="s">
        <v>84</v>
      </c>
      <c r="C664" s="32" t="s">
        <v>192</v>
      </c>
      <c r="D664" s="33">
        <f>'Gas Recovery Revenue'!G36</f>
        <v>1813.3729403658315</v>
      </c>
      <c r="E664" s="32" t="s">
        <v>190</v>
      </c>
      <c r="F664" s="32" t="s">
        <v>191</v>
      </c>
    </row>
    <row r="665" spans="1:6" x14ac:dyDescent="0.2">
      <c r="A665" s="32">
        <v>2038</v>
      </c>
      <c r="B665" s="32" t="s">
        <v>84</v>
      </c>
      <c r="C665" s="32" t="s">
        <v>192</v>
      </c>
      <c r="D665" s="33">
        <f>'Gas Recovery Revenue'!G37</f>
        <v>1973.393452764288</v>
      </c>
      <c r="E665" s="32" t="s">
        <v>190</v>
      </c>
      <c r="F665" s="32" t="s">
        <v>191</v>
      </c>
    </row>
    <row r="666" spans="1:6" x14ac:dyDescent="0.2">
      <c r="A666" s="32">
        <v>2039</v>
      </c>
      <c r="B666" s="32" t="s">
        <v>84</v>
      </c>
      <c r="C666" s="32" t="s">
        <v>192</v>
      </c>
      <c r="D666" s="33">
        <f>'Gas Recovery Revenue'!G38</f>
        <v>2136.181732831496</v>
      </c>
      <c r="E666" s="32" t="s">
        <v>190</v>
      </c>
      <c r="F666" s="32" t="s">
        <v>191</v>
      </c>
    </row>
    <row r="667" spans="1:6" x14ac:dyDescent="0.2">
      <c r="A667" s="32">
        <v>2040</v>
      </c>
      <c r="B667" s="32" t="s">
        <v>84</v>
      </c>
      <c r="C667" s="32" t="s">
        <v>192</v>
      </c>
      <c r="D667" s="33">
        <f>'Gas Recovery Revenue'!G39</f>
        <v>2302.4312073559036</v>
      </c>
      <c r="E667" s="32" t="s">
        <v>190</v>
      </c>
      <c r="F667" s="32" t="s">
        <v>191</v>
      </c>
    </row>
    <row r="668" spans="1:6" x14ac:dyDescent="0.2">
      <c r="A668" s="32">
        <v>2041</v>
      </c>
      <c r="B668" s="32" t="s">
        <v>84</v>
      </c>
      <c r="C668" s="32" t="s">
        <v>192</v>
      </c>
      <c r="D668" s="33">
        <f>'Gas Recovery Revenue'!G40</f>
        <v>2472.6862870712175</v>
      </c>
      <c r="E668" s="32" t="s">
        <v>190</v>
      </c>
      <c r="F668" s="32" t="s">
        <v>191</v>
      </c>
    </row>
    <row r="669" spans="1:6" x14ac:dyDescent="0.2">
      <c r="A669" s="32">
        <v>2042</v>
      </c>
      <c r="B669" s="32" t="s">
        <v>84</v>
      </c>
      <c r="C669" s="32" t="s">
        <v>192</v>
      </c>
      <c r="D669" s="33">
        <f>'Gas Recovery Revenue'!G41</f>
        <v>2647.2293850905189</v>
      </c>
      <c r="E669" s="32" t="s">
        <v>190</v>
      </c>
      <c r="F669" s="32" t="s">
        <v>191</v>
      </c>
    </row>
    <row r="670" spans="1:6" x14ac:dyDescent="0.2">
      <c r="A670" s="32">
        <v>2043</v>
      </c>
      <c r="B670" s="32" t="s">
        <v>84</v>
      </c>
      <c r="C670" s="32" t="s">
        <v>192</v>
      </c>
      <c r="D670" s="33">
        <f>'Gas Recovery Revenue'!G42</f>
        <v>2826.0807262874605</v>
      </c>
      <c r="E670" s="32" t="s">
        <v>190</v>
      </c>
      <c r="F670" s="32" t="s">
        <v>191</v>
      </c>
    </row>
    <row r="671" spans="1:6" x14ac:dyDescent="0.2">
      <c r="A671" s="32">
        <v>2044</v>
      </c>
      <c r="B671" s="32" t="s">
        <v>84</v>
      </c>
      <c r="C671" s="32" t="s">
        <v>192</v>
      </c>
      <c r="D671" s="33">
        <f>'Gas Recovery Revenue'!G43</f>
        <v>3009.0351200747677</v>
      </c>
      <c r="E671" s="32" t="s">
        <v>190</v>
      </c>
      <c r="F671" s="32" t="s">
        <v>191</v>
      </c>
    </row>
    <row r="672" spans="1:6" x14ac:dyDescent="0.2">
      <c r="A672" s="32">
        <v>2045</v>
      </c>
      <c r="B672" s="32" t="s">
        <v>84</v>
      </c>
      <c r="C672" s="32" t="s">
        <v>192</v>
      </c>
      <c r="D672" s="33">
        <f>'Gas Recovery Revenue'!G44</f>
        <v>3195.6974495878612</v>
      </c>
      <c r="E672" s="32" t="s">
        <v>190</v>
      </c>
      <c r="F672" s="32" t="s">
        <v>191</v>
      </c>
    </row>
    <row r="673" spans="1:6" x14ac:dyDescent="0.2">
      <c r="A673" s="32">
        <v>2046</v>
      </c>
      <c r="B673" s="32" t="s">
        <v>84</v>
      </c>
      <c r="C673" s="32" t="s">
        <v>192</v>
      </c>
      <c r="D673" s="33">
        <f>'Gas Recovery Revenue'!G45</f>
        <v>3385.5181528939761</v>
      </c>
      <c r="E673" s="32" t="s">
        <v>190</v>
      </c>
      <c r="F673" s="32" t="s">
        <v>191</v>
      </c>
    </row>
    <row r="674" spans="1:6" x14ac:dyDescent="0.2">
      <c r="A674" s="32">
        <v>2047</v>
      </c>
      <c r="B674" s="32" t="s">
        <v>84</v>
      </c>
      <c r="C674" s="32" t="s">
        <v>192</v>
      </c>
      <c r="D674" s="33">
        <f>'Gas Recovery Revenue'!G46</f>
        <v>3577.8326054430818</v>
      </c>
      <c r="E674" s="32" t="s">
        <v>190</v>
      </c>
      <c r="F674" s="32" t="s">
        <v>191</v>
      </c>
    </row>
    <row r="675" spans="1:6" x14ac:dyDescent="0.2">
      <c r="A675" s="32">
        <v>2048</v>
      </c>
      <c r="B675" s="32" t="s">
        <v>84</v>
      </c>
      <c r="C675" s="32" t="s">
        <v>192</v>
      </c>
      <c r="D675" s="33">
        <f>'Gas Recovery Revenue'!G47</f>
        <v>3771.9105881560868</v>
      </c>
      <c r="E675" s="32" t="s">
        <v>190</v>
      </c>
      <c r="F675" s="32" t="s">
        <v>191</v>
      </c>
    </row>
    <row r="676" spans="1:6" x14ac:dyDescent="0.2">
      <c r="A676" s="32">
        <v>2049</v>
      </c>
      <c r="B676" s="32" t="s">
        <v>84</v>
      </c>
      <c r="C676" s="32" t="s">
        <v>192</v>
      </c>
      <c r="D676" s="33">
        <f>'Gas Recovery Revenue'!G48</f>
        <v>3936.9359254544556</v>
      </c>
      <c r="E676" s="32" t="s">
        <v>190</v>
      </c>
      <c r="F676" s="32" t="s">
        <v>191</v>
      </c>
    </row>
    <row r="677" spans="1:6" x14ac:dyDescent="0.2">
      <c r="A677" s="32">
        <v>2050</v>
      </c>
      <c r="B677" s="32" t="s">
        <v>84</v>
      </c>
      <c r="C677" s="32" t="s">
        <v>192</v>
      </c>
      <c r="D677" s="33">
        <f>'Gas Recovery Revenue'!G49</f>
        <v>4049.1791726571969</v>
      </c>
      <c r="E677" s="32" t="s">
        <v>190</v>
      </c>
      <c r="F677" s="32" t="s">
        <v>191</v>
      </c>
    </row>
    <row r="678" spans="1:6" x14ac:dyDescent="0.2">
      <c r="A678" s="32">
        <v>2023</v>
      </c>
      <c r="B678" s="32" t="s">
        <v>84</v>
      </c>
      <c r="C678" s="32" t="s">
        <v>193</v>
      </c>
      <c r="D678" s="33">
        <f>'Gas Recovery Revenue'!H22</f>
        <v>0</v>
      </c>
      <c r="E678" s="32" t="s">
        <v>190</v>
      </c>
      <c r="F678" s="32" t="s">
        <v>191</v>
      </c>
    </row>
    <row r="679" spans="1:6" x14ac:dyDescent="0.2">
      <c r="A679" s="32">
        <v>2024</v>
      </c>
      <c r="B679" s="32" t="s">
        <v>84</v>
      </c>
      <c r="C679" s="32" t="s">
        <v>193</v>
      </c>
      <c r="D679" s="33">
        <f>'Gas Recovery Revenue'!H23</f>
        <v>134.64970469698773</v>
      </c>
      <c r="E679" s="32" t="s">
        <v>190</v>
      </c>
      <c r="F679" s="32" t="s">
        <v>191</v>
      </c>
    </row>
    <row r="680" spans="1:6" x14ac:dyDescent="0.2">
      <c r="A680" s="32">
        <v>2025</v>
      </c>
      <c r="B680" s="32" t="s">
        <v>84</v>
      </c>
      <c r="C680" s="32" t="s">
        <v>193</v>
      </c>
      <c r="D680" s="33">
        <f>'Gas Recovery Revenue'!H24</f>
        <v>270.19313093689249</v>
      </c>
      <c r="E680" s="32" t="s">
        <v>190</v>
      </c>
      <c r="F680" s="32" t="s">
        <v>191</v>
      </c>
    </row>
    <row r="681" spans="1:6" x14ac:dyDescent="0.2">
      <c r="A681" s="32">
        <v>2026</v>
      </c>
      <c r="B681" s="32" t="s">
        <v>84</v>
      </c>
      <c r="C681" s="32" t="s">
        <v>193</v>
      </c>
      <c r="D681" s="33">
        <f>'Gas Recovery Revenue'!H25</f>
        <v>414.01276457441446</v>
      </c>
      <c r="E681" s="32" t="s">
        <v>190</v>
      </c>
      <c r="F681" s="32" t="s">
        <v>191</v>
      </c>
    </row>
    <row r="682" spans="1:6" x14ac:dyDescent="0.2">
      <c r="A682" s="32">
        <v>2027</v>
      </c>
      <c r="B682" s="32" t="s">
        <v>84</v>
      </c>
      <c r="C682" s="32" t="s">
        <v>193</v>
      </c>
      <c r="D682" s="33">
        <f>'Gas Recovery Revenue'!H26</f>
        <v>570.60761838648762</v>
      </c>
      <c r="E682" s="32" t="s">
        <v>190</v>
      </c>
      <c r="F682" s="32" t="s">
        <v>191</v>
      </c>
    </row>
    <row r="683" spans="1:6" x14ac:dyDescent="0.2">
      <c r="A683" s="32">
        <v>2028</v>
      </c>
      <c r="B683" s="32" t="s">
        <v>84</v>
      </c>
      <c r="C683" s="32" t="s">
        <v>193</v>
      </c>
      <c r="D683" s="33">
        <f>'Gas Recovery Revenue'!H27</f>
        <v>741.16028721048519</v>
      </c>
      <c r="E683" s="32" t="s">
        <v>190</v>
      </c>
      <c r="F683" s="32" t="s">
        <v>191</v>
      </c>
    </row>
    <row r="684" spans="1:6" x14ac:dyDescent="0.2">
      <c r="A684" s="32">
        <v>2029</v>
      </c>
      <c r="B684" s="32" t="s">
        <v>84</v>
      </c>
      <c r="C684" s="32" t="s">
        <v>193</v>
      </c>
      <c r="D684" s="33">
        <f>'Gas Recovery Revenue'!H28</f>
        <v>923.04060982275109</v>
      </c>
      <c r="E684" s="32" t="s">
        <v>190</v>
      </c>
      <c r="F684" s="32" t="s">
        <v>191</v>
      </c>
    </row>
    <row r="685" spans="1:6" x14ac:dyDescent="0.2">
      <c r="A685" s="32">
        <v>2030</v>
      </c>
      <c r="B685" s="32" t="s">
        <v>84</v>
      </c>
      <c r="C685" s="32" t="s">
        <v>193</v>
      </c>
      <c r="D685" s="33">
        <f>'Gas Recovery Revenue'!H29</f>
        <v>1111.5088601480327</v>
      </c>
      <c r="E685" s="32" t="s">
        <v>190</v>
      </c>
      <c r="F685" s="32" t="s">
        <v>191</v>
      </c>
    </row>
    <row r="686" spans="1:6" x14ac:dyDescent="0.2">
      <c r="A686" s="32">
        <v>2031</v>
      </c>
      <c r="B686" s="32" t="s">
        <v>84</v>
      </c>
      <c r="C686" s="32" t="s">
        <v>193</v>
      </c>
      <c r="D686" s="33">
        <f>'Gas Recovery Revenue'!H30</f>
        <v>1329.6967671866937</v>
      </c>
      <c r="E686" s="32" t="s">
        <v>190</v>
      </c>
      <c r="F686" s="32" t="s">
        <v>191</v>
      </c>
    </row>
    <row r="687" spans="1:6" x14ac:dyDescent="0.2">
      <c r="A687" s="32">
        <v>2032</v>
      </c>
      <c r="B687" s="32" t="s">
        <v>84</v>
      </c>
      <c r="C687" s="32" t="s">
        <v>193</v>
      </c>
      <c r="D687" s="33">
        <f>'Gas Recovery Revenue'!H31</f>
        <v>1554.6568023667417</v>
      </c>
      <c r="E687" s="32" t="s">
        <v>190</v>
      </c>
      <c r="F687" s="32" t="s">
        <v>191</v>
      </c>
    </row>
    <row r="688" spans="1:6" x14ac:dyDescent="0.2">
      <c r="A688" s="32">
        <v>2033</v>
      </c>
      <c r="B688" s="32" t="s">
        <v>84</v>
      </c>
      <c r="C688" s="32" t="s">
        <v>193</v>
      </c>
      <c r="D688" s="33">
        <f>'Gas Recovery Revenue'!H32</f>
        <v>1783.707053524739</v>
      </c>
      <c r="E688" s="32" t="s">
        <v>190</v>
      </c>
      <c r="F688" s="32" t="s">
        <v>191</v>
      </c>
    </row>
    <row r="689" spans="1:6" x14ac:dyDescent="0.2">
      <c r="A689" s="32">
        <v>2034</v>
      </c>
      <c r="B689" s="32" t="s">
        <v>84</v>
      </c>
      <c r="C689" s="32" t="s">
        <v>193</v>
      </c>
      <c r="D689" s="33">
        <f>'Gas Recovery Revenue'!H33</f>
        <v>2015.1803588561531</v>
      </c>
      <c r="E689" s="32" t="s">
        <v>190</v>
      </c>
      <c r="F689" s="32" t="s">
        <v>191</v>
      </c>
    </row>
    <row r="690" spans="1:6" x14ac:dyDescent="0.2">
      <c r="A690" s="32">
        <v>2035</v>
      </c>
      <c r="B690" s="32" t="s">
        <v>84</v>
      </c>
      <c r="C690" s="32" t="s">
        <v>193</v>
      </c>
      <c r="D690" s="33">
        <f>'Gas Recovery Revenue'!H34</f>
        <v>2248.3189976260492</v>
      </c>
      <c r="E690" s="32" t="s">
        <v>190</v>
      </c>
      <c r="F690" s="32" t="s">
        <v>191</v>
      </c>
    </row>
    <row r="691" spans="1:6" x14ac:dyDescent="0.2">
      <c r="A691" s="32">
        <v>2036</v>
      </c>
      <c r="B691" s="32" t="s">
        <v>84</v>
      </c>
      <c r="C691" s="32" t="s">
        <v>193</v>
      </c>
      <c r="D691" s="33">
        <f>'Gas Recovery Revenue'!H35</f>
        <v>2483.1026479607099</v>
      </c>
      <c r="E691" s="32" t="s">
        <v>190</v>
      </c>
      <c r="F691" s="32" t="s">
        <v>191</v>
      </c>
    </row>
    <row r="692" spans="1:6" x14ac:dyDescent="0.2">
      <c r="A692" s="32">
        <v>2037</v>
      </c>
      <c r="B692" s="32" t="s">
        <v>84</v>
      </c>
      <c r="C692" s="32" t="s">
        <v>193</v>
      </c>
      <c r="D692" s="33">
        <f>'Gas Recovery Revenue'!H36</f>
        <v>2720.0594105487471</v>
      </c>
      <c r="E692" s="32" t="s">
        <v>190</v>
      </c>
      <c r="F692" s="32" t="s">
        <v>191</v>
      </c>
    </row>
    <row r="693" spans="1:6" x14ac:dyDescent="0.2">
      <c r="A693" s="32">
        <v>2038</v>
      </c>
      <c r="B693" s="32" t="s">
        <v>84</v>
      </c>
      <c r="C693" s="32" t="s">
        <v>193</v>
      </c>
      <c r="D693" s="33">
        <f>'Gas Recovery Revenue'!H37</f>
        <v>2960.0901791464321</v>
      </c>
      <c r="E693" s="32" t="s">
        <v>190</v>
      </c>
      <c r="F693" s="32" t="s">
        <v>191</v>
      </c>
    </row>
    <row r="694" spans="1:6" x14ac:dyDescent="0.2">
      <c r="A694" s="32">
        <v>2039</v>
      </c>
      <c r="B694" s="32" t="s">
        <v>84</v>
      </c>
      <c r="C694" s="32" t="s">
        <v>193</v>
      </c>
      <c r="D694" s="33">
        <f>'Gas Recovery Revenue'!H38</f>
        <v>3204.2725992472442</v>
      </c>
      <c r="E694" s="32" t="s">
        <v>190</v>
      </c>
      <c r="F694" s="32" t="s">
        <v>191</v>
      </c>
    </row>
    <row r="695" spans="1:6" x14ac:dyDescent="0.2">
      <c r="A695" s="32">
        <v>2040</v>
      </c>
      <c r="B695" s="32" t="s">
        <v>84</v>
      </c>
      <c r="C695" s="32" t="s">
        <v>193</v>
      </c>
      <c r="D695" s="33">
        <f>'Gas Recovery Revenue'!H39</f>
        <v>3453.6468110338556</v>
      </c>
      <c r="E695" s="32" t="s">
        <v>190</v>
      </c>
      <c r="F695" s="32" t="s">
        <v>191</v>
      </c>
    </row>
    <row r="696" spans="1:6" x14ac:dyDescent="0.2">
      <c r="A696" s="32">
        <v>2041</v>
      </c>
      <c r="B696" s="32" t="s">
        <v>84</v>
      </c>
      <c r="C696" s="32" t="s">
        <v>193</v>
      </c>
      <c r="D696" s="33">
        <f>'Gas Recovery Revenue'!H40</f>
        <v>3709.0294306068263</v>
      </c>
      <c r="E696" s="32" t="s">
        <v>190</v>
      </c>
      <c r="F696" s="32" t="s">
        <v>191</v>
      </c>
    </row>
    <row r="697" spans="1:6" x14ac:dyDescent="0.2">
      <c r="A697" s="32">
        <v>2042</v>
      </c>
      <c r="B697" s="32" t="s">
        <v>84</v>
      </c>
      <c r="C697" s="32" t="s">
        <v>193</v>
      </c>
      <c r="D697" s="33">
        <f>'Gas Recovery Revenue'!H41</f>
        <v>3970.8440776357784</v>
      </c>
      <c r="E697" s="32" t="s">
        <v>190</v>
      </c>
      <c r="F697" s="32" t="s">
        <v>191</v>
      </c>
    </row>
    <row r="698" spans="1:6" x14ac:dyDescent="0.2">
      <c r="A698" s="32">
        <v>2043</v>
      </c>
      <c r="B698" s="32" t="s">
        <v>84</v>
      </c>
      <c r="C698" s="32" t="s">
        <v>193</v>
      </c>
      <c r="D698" s="33">
        <f>'Gas Recovery Revenue'!H42</f>
        <v>4239.1210894311907</v>
      </c>
      <c r="E698" s="32" t="s">
        <v>190</v>
      </c>
      <c r="F698" s="32" t="s">
        <v>191</v>
      </c>
    </row>
    <row r="699" spans="1:6" x14ac:dyDescent="0.2">
      <c r="A699" s="32">
        <v>2044</v>
      </c>
      <c r="B699" s="32" t="s">
        <v>84</v>
      </c>
      <c r="C699" s="32" t="s">
        <v>193</v>
      </c>
      <c r="D699" s="33">
        <f>'Gas Recovery Revenue'!H43</f>
        <v>4513.5526801121514</v>
      </c>
      <c r="E699" s="32" t="s">
        <v>190</v>
      </c>
      <c r="F699" s="32" t="s">
        <v>191</v>
      </c>
    </row>
    <row r="700" spans="1:6" x14ac:dyDescent="0.2">
      <c r="A700" s="32">
        <v>2045</v>
      </c>
      <c r="B700" s="32" t="s">
        <v>84</v>
      </c>
      <c r="C700" s="32" t="s">
        <v>193</v>
      </c>
      <c r="D700" s="33">
        <f>'Gas Recovery Revenue'!H44</f>
        <v>4793.5461743817923</v>
      </c>
      <c r="E700" s="32" t="s">
        <v>190</v>
      </c>
      <c r="F700" s="32" t="s">
        <v>191</v>
      </c>
    </row>
    <row r="701" spans="1:6" x14ac:dyDescent="0.2">
      <c r="A701" s="32">
        <v>2046</v>
      </c>
      <c r="B701" s="32" t="s">
        <v>84</v>
      </c>
      <c r="C701" s="32" t="s">
        <v>193</v>
      </c>
      <c r="D701" s="33">
        <f>'Gas Recovery Revenue'!H45</f>
        <v>5078.2772293409644</v>
      </c>
      <c r="E701" s="32" t="s">
        <v>190</v>
      </c>
      <c r="F701" s="32" t="s">
        <v>191</v>
      </c>
    </row>
    <row r="702" spans="1:6" x14ac:dyDescent="0.2">
      <c r="A702" s="32">
        <v>2047</v>
      </c>
      <c r="B702" s="32" t="s">
        <v>84</v>
      </c>
      <c r="C702" s="32" t="s">
        <v>193</v>
      </c>
      <c r="D702" s="33">
        <f>'Gas Recovery Revenue'!H46</f>
        <v>5366.7489081646227</v>
      </c>
      <c r="E702" s="32" t="s">
        <v>190</v>
      </c>
      <c r="F702" s="32" t="s">
        <v>191</v>
      </c>
    </row>
    <row r="703" spans="1:6" x14ac:dyDescent="0.2">
      <c r="A703" s="32">
        <v>2048</v>
      </c>
      <c r="B703" s="32" t="s">
        <v>84</v>
      </c>
      <c r="C703" s="32" t="s">
        <v>193</v>
      </c>
      <c r="D703" s="33">
        <f>'Gas Recovery Revenue'!H47</f>
        <v>5657.8658822341304</v>
      </c>
      <c r="E703" s="32" t="s">
        <v>190</v>
      </c>
      <c r="F703" s="32" t="s">
        <v>191</v>
      </c>
    </row>
    <row r="704" spans="1:6" x14ac:dyDescent="0.2">
      <c r="A704" s="32">
        <v>2049</v>
      </c>
      <c r="B704" s="32" t="s">
        <v>84</v>
      </c>
      <c r="C704" s="32" t="s">
        <v>193</v>
      </c>
      <c r="D704" s="33">
        <f>'Gas Recovery Revenue'!H48</f>
        <v>5905.4038881816832</v>
      </c>
      <c r="E704" s="32" t="s">
        <v>190</v>
      </c>
      <c r="F704" s="32" t="s">
        <v>191</v>
      </c>
    </row>
    <row r="705" spans="1:6" x14ac:dyDescent="0.2">
      <c r="A705" s="32">
        <v>2050</v>
      </c>
      <c r="B705" s="32" t="s">
        <v>84</v>
      </c>
      <c r="C705" s="32" t="s">
        <v>193</v>
      </c>
      <c r="D705" s="33">
        <f>'Gas Recovery Revenue'!H49</f>
        <v>6073.7687589857951</v>
      </c>
      <c r="E705" s="32" t="s">
        <v>190</v>
      </c>
      <c r="F705" s="32" t="s">
        <v>191</v>
      </c>
    </row>
    <row r="706" spans="1:6" x14ac:dyDescent="0.2">
      <c r="A706" s="32">
        <v>2023</v>
      </c>
      <c r="B706" s="32" t="s">
        <v>85</v>
      </c>
      <c r="C706" s="32" t="s">
        <v>189</v>
      </c>
      <c r="D706" s="33">
        <f>'Gas Recovery Revenue'!I22</f>
        <v>0</v>
      </c>
      <c r="E706" s="32" t="s">
        <v>190</v>
      </c>
      <c r="F706" s="32" t="s">
        <v>191</v>
      </c>
    </row>
    <row r="707" spans="1:6" x14ac:dyDescent="0.2">
      <c r="A707" s="32">
        <v>2024</v>
      </c>
      <c r="B707" s="32" t="s">
        <v>85</v>
      </c>
      <c r="C707" s="32" t="s">
        <v>189</v>
      </c>
      <c r="D707" s="33">
        <f>'Gas Recovery Revenue'!I23</f>
        <v>839.88787890469177</v>
      </c>
      <c r="E707" s="32" t="s">
        <v>190</v>
      </c>
      <c r="F707" s="32" t="s">
        <v>191</v>
      </c>
    </row>
    <row r="708" spans="1:6" x14ac:dyDescent="0.2">
      <c r="A708" s="32">
        <v>2025</v>
      </c>
      <c r="B708" s="32" t="s">
        <v>85</v>
      </c>
      <c r="C708" s="32" t="s">
        <v>189</v>
      </c>
      <c r="D708" s="33">
        <f>'Gas Recovery Revenue'!I24</f>
        <v>1647.3144419791183</v>
      </c>
      <c r="E708" s="32" t="s">
        <v>190</v>
      </c>
      <c r="F708" s="32" t="s">
        <v>191</v>
      </c>
    </row>
    <row r="709" spans="1:6" x14ac:dyDescent="0.2">
      <c r="A709" s="32">
        <v>2026</v>
      </c>
      <c r="B709" s="32" t="s">
        <v>85</v>
      </c>
      <c r="C709" s="32" t="s">
        <v>189</v>
      </c>
      <c r="D709" s="33">
        <f>'Gas Recovery Revenue'!I25</f>
        <v>2408.8547766414822</v>
      </c>
      <c r="E709" s="32" t="s">
        <v>190</v>
      </c>
      <c r="F709" s="32" t="s">
        <v>191</v>
      </c>
    </row>
    <row r="710" spans="1:6" x14ac:dyDescent="0.2">
      <c r="A710" s="32">
        <v>2027</v>
      </c>
      <c r="B710" s="32" t="s">
        <v>85</v>
      </c>
      <c r="C710" s="32" t="s">
        <v>189</v>
      </c>
      <c r="D710" s="33">
        <f>'Gas Recovery Revenue'!I26</f>
        <v>3087.7189655593415</v>
      </c>
      <c r="E710" s="32" t="s">
        <v>190</v>
      </c>
      <c r="F710" s="32" t="s">
        <v>191</v>
      </c>
    </row>
    <row r="711" spans="1:6" x14ac:dyDescent="0.2">
      <c r="A711" s="32">
        <v>2028</v>
      </c>
      <c r="B711" s="32" t="s">
        <v>85</v>
      </c>
      <c r="C711" s="32" t="s">
        <v>189</v>
      </c>
      <c r="D711" s="33">
        <f>'Gas Recovery Revenue'!I27</f>
        <v>3652.0217927350413</v>
      </c>
      <c r="E711" s="32" t="s">
        <v>190</v>
      </c>
      <c r="F711" s="32" t="s">
        <v>191</v>
      </c>
    </row>
    <row r="712" spans="1:6" x14ac:dyDescent="0.2">
      <c r="A712" s="32">
        <v>2029</v>
      </c>
      <c r="B712" s="32" t="s">
        <v>85</v>
      </c>
      <c r="C712" s="32" t="s">
        <v>189</v>
      </c>
      <c r="D712" s="33">
        <f>'Gas Recovery Revenue'!I28</f>
        <v>4088.7482629671449</v>
      </c>
      <c r="E712" s="32" t="s">
        <v>190</v>
      </c>
      <c r="F712" s="32" t="s">
        <v>191</v>
      </c>
    </row>
    <row r="713" spans="1:6" x14ac:dyDescent="0.2">
      <c r="A713" s="32">
        <v>2030</v>
      </c>
      <c r="B713" s="32" t="s">
        <v>85</v>
      </c>
      <c r="C713" s="32" t="s">
        <v>189</v>
      </c>
      <c r="D713" s="33">
        <f>'Gas Recovery Revenue'!I29</f>
        <v>4399.5221196276179</v>
      </c>
      <c r="E713" s="32" t="s">
        <v>190</v>
      </c>
      <c r="F713" s="32" t="s">
        <v>191</v>
      </c>
    </row>
    <row r="714" spans="1:6" x14ac:dyDescent="0.2">
      <c r="A714" s="32">
        <v>2031</v>
      </c>
      <c r="B714" s="32" t="s">
        <v>85</v>
      </c>
      <c r="C714" s="32" t="s">
        <v>189</v>
      </c>
      <c r="D714" s="33">
        <f>'Gas Recovery Revenue'!I30</f>
        <v>4694.6575033923682</v>
      </c>
      <c r="E714" s="32" t="s">
        <v>190</v>
      </c>
      <c r="F714" s="32" t="s">
        <v>191</v>
      </c>
    </row>
    <row r="715" spans="1:6" x14ac:dyDescent="0.2">
      <c r="A715" s="32">
        <v>2032</v>
      </c>
      <c r="B715" s="32" t="s">
        <v>85</v>
      </c>
      <c r="C715" s="32" t="s">
        <v>189</v>
      </c>
      <c r="D715" s="33">
        <f>'Gas Recovery Revenue'!I31</f>
        <v>4864.2612698861758</v>
      </c>
      <c r="E715" s="32" t="s">
        <v>190</v>
      </c>
      <c r="F715" s="32" t="s">
        <v>191</v>
      </c>
    </row>
    <row r="716" spans="1:6" x14ac:dyDescent="0.2">
      <c r="A716" s="32">
        <v>2033</v>
      </c>
      <c r="B716" s="32" t="s">
        <v>85</v>
      </c>
      <c r="C716" s="32" t="s">
        <v>189</v>
      </c>
      <c r="D716" s="33">
        <f>'Gas Recovery Revenue'!I32</f>
        <v>4955.9588814621957</v>
      </c>
      <c r="E716" s="32" t="s">
        <v>190</v>
      </c>
      <c r="F716" s="32" t="s">
        <v>191</v>
      </c>
    </row>
    <row r="717" spans="1:6" x14ac:dyDescent="0.2">
      <c r="A717" s="32">
        <v>2034</v>
      </c>
      <c r="B717" s="32" t="s">
        <v>85</v>
      </c>
      <c r="C717" s="32" t="s">
        <v>189</v>
      </c>
      <c r="D717" s="33">
        <f>'Gas Recovery Revenue'!I33</f>
        <v>4993.9173501703908</v>
      </c>
      <c r="E717" s="32" t="s">
        <v>190</v>
      </c>
      <c r="F717" s="32" t="s">
        <v>191</v>
      </c>
    </row>
    <row r="718" spans="1:6" x14ac:dyDescent="0.2">
      <c r="A718" s="32">
        <v>2035</v>
      </c>
      <c r="B718" s="32" t="s">
        <v>85</v>
      </c>
      <c r="C718" s="32" t="s">
        <v>189</v>
      </c>
      <c r="D718" s="33">
        <f>'Gas Recovery Revenue'!I34</f>
        <v>5016.8087523680679</v>
      </c>
      <c r="E718" s="32" t="s">
        <v>190</v>
      </c>
      <c r="F718" s="32" t="s">
        <v>191</v>
      </c>
    </row>
    <row r="719" spans="1:6" x14ac:dyDescent="0.2">
      <c r="A719" s="32">
        <v>2036</v>
      </c>
      <c r="B719" s="32" t="s">
        <v>85</v>
      </c>
      <c r="C719" s="32" t="s">
        <v>189</v>
      </c>
      <c r="D719" s="33">
        <f>'Gas Recovery Revenue'!I35</f>
        <v>5028.6045593240178</v>
      </c>
      <c r="E719" s="32" t="s">
        <v>190</v>
      </c>
      <c r="F719" s="32" t="s">
        <v>191</v>
      </c>
    </row>
    <row r="720" spans="1:6" x14ac:dyDescent="0.2">
      <c r="A720" s="32">
        <v>2037</v>
      </c>
      <c r="B720" s="32" t="s">
        <v>85</v>
      </c>
      <c r="C720" s="32" t="s">
        <v>189</v>
      </c>
      <c r="D720" s="33">
        <f>'Gas Recovery Revenue'!I36</f>
        <v>5032.7952204195954</v>
      </c>
      <c r="E720" s="32" t="s">
        <v>190</v>
      </c>
      <c r="F720" s="32" t="s">
        <v>191</v>
      </c>
    </row>
    <row r="721" spans="1:6" x14ac:dyDescent="0.2">
      <c r="A721" s="32">
        <v>2038</v>
      </c>
      <c r="B721" s="32" t="s">
        <v>85</v>
      </c>
      <c r="C721" s="32" t="s">
        <v>189</v>
      </c>
      <c r="D721" s="33">
        <f>'Gas Recovery Revenue'!I37</f>
        <v>5032.2755267048469</v>
      </c>
      <c r="E721" s="32" t="s">
        <v>190</v>
      </c>
      <c r="F721" s="32" t="s">
        <v>191</v>
      </c>
    </row>
    <row r="722" spans="1:6" x14ac:dyDescent="0.2">
      <c r="A722" s="32">
        <v>2039</v>
      </c>
      <c r="B722" s="32" t="s">
        <v>85</v>
      </c>
      <c r="C722" s="32" t="s">
        <v>189</v>
      </c>
      <c r="D722" s="33">
        <f>'Gas Recovery Revenue'!I38</f>
        <v>5029.3249530226658</v>
      </c>
      <c r="E722" s="32" t="s">
        <v>190</v>
      </c>
      <c r="F722" s="32" t="s">
        <v>191</v>
      </c>
    </row>
    <row r="723" spans="1:6" x14ac:dyDescent="0.2">
      <c r="A723" s="32">
        <v>2040</v>
      </c>
      <c r="B723" s="32" t="s">
        <v>85</v>
      </c>
      <c r="C723" s="32" t="s">
        <v>189</v>
      </c>
      <c r="D723" s="33">
        <f>'Gas Recovery Revenue'!I39</f>
        <v>5025.6444541873898</v>
      </c>
      <c r="E723" s="32" t="s">
        <v>190</v>
      </c>
      <c r="F723" s="32" t="s">
        <v>191</v>
      </c>
    </row>
    <row r="724" spans="1:6" x14ac:dyDescent="0.2">
      <c r="A724" s="32">
        <v>2041</v>
      </c>
      <c r="B724" s="32" t="s">
        <v>85</v>
      </c>
      <c r="C724" s="32" t="s">
        <v>189</v>
      </c>
      <c r="D724" s="33">
        <f>'Gas Recovery Revenue'!I40</f>
        <v>5022.4196301467091</v>
      </c>
      <c r="E724" s="32" t="s">
        <v>190</v>
      </c>
      <c r="F724" s="32" t="s">
        <v>191</v>
      </c>
    </row>
    <row r="725" spans="1:6" x14ac:dyDescent="0.2">
      <c r="A725" s="32">
        <v>2042</v>
      </c>
      <c r="B725" s="32" t="s">
        <v>85</v>
      </c>
      <c r="C725" s="32" t="s">
        <v>189</v>
      </c>
      <c r="D725" s="33">
        <f>'Gas Recovery Revenue'!I41</f>
        <v>5020.3881590919136</v>
      </c>
      <c r="E725" s="32" t="s">
        <v>190</v>
      </c>
      <c r="F725" s="32" t="s">
        <v>191</v>
      </c>
    </row>
    <row r="726" spans="1:6" x14ac:dyDescent="0.2">
      <c r="A726" s="32">
        <v>2043</v>
      </c>
      <c r="B726" s="32" t="s">
        <v>85</v>
      </c>
      <c r="C726" s="32" t="s">
        <v>189</v>
      </c>
      <c r="D726" s="33">
        <f>'Gas Recovery Revenue'!I42</f>
        <v>5019.746640467336</v>
      </c>
      <c r="E726" s="32" t="s">
        <v>190</v>
      </c>
      <c r="F726" s="32" t="s">
        <v>191</v>
      </c>
    </row>
    <row r="727" spans="1:6" x14ac:dyDescent="0.2">
      <c r="A727" s="32">
        <v>2044</v>
      </c>
      <c r="B727" s="32" t="s">
        <v>85</v>
      </c>
      <c r="C727" s="32" t="s">
        <v>189</v>
      </c>
      <c r="D727" s="33">
        <f>'Gas Recovery Revenue'!I43</f>
        <v>5020.076051103063</v>
      </c>
      <c r="E727" s="32" t="s">
        <v>190</v>
      </c>
      <c r="F727" s="32" t="s">
        <v>191</v>
      </c>
    </row>
    <row r="728" spans="1:6" x14ac:dyDescent="0.2">
      <c r="A728" s="32">
        <v>2045</v>
      </c>
      <c r="B728" s="32" t="s">
        <v>85</v>
      </c>
      <c r="C728" s="32" t="s">
        <v>189</v>
      </c>
      <c r="D728" s="33">
        <f>'Gas Recovery Revenue'!I44</f>
        <v>5022.5016295275909</v>
      </c>
      <c r="E728" s="32" t="s">
        <v>190</v>
      </c>
      <c r="F728" s="32" t="s">
        <v>191</v>
      </c>
    </row>
    <row r="729" spans="1:6" x14ac:dyDescent="0.2">
      <c r="A729" s="32">
        <v>2046</v>
      </c>
      <c r="B729" s="32" t="s">
        <v>85</v>
      </c>
      <c r="C729" s="32" t="s">
        <v>189</v>
      </c>
      <c r="D729" s="33">
        <f>'Gas Recovery Revenue'!I45</f>
        <v>5026.7185821713592</v>
      </c>
      <c r="E729" s="32" t="s">
        <v>190</v>
      </c>
      <c r="F729" s="32" t="s">
        <v>191</v>
      </c>
    </row>
    <row r="730" spans="1:6" x14ac:dyDescent="0.2">
      <c r="A730" s="32">
        <v>2047</v>
      </c>
      <c r="B730" s="32" t="s">
        <v>85</v>
      </c>
      <c r="C730" s="32" t="s">
        <v>189</v>
      </c>
      <c r="D730" s="33">
        <f>'Gas Recovery Revenue'!I46</f>
        <v>5029.4288828213121</v>
      </c>
      <c r="E730" s="32" t="s">
        <v>190</v>
      </c>
      <c r="F730" s="32" t="s">
        <v>191</v>
      </c>
    </row>
    <row r="731" spans="1:6" x14ac:dyDescent="0.2">
      <c r="A731" s="32">
        <v>2048</v>
      </c>
      <c r="B731" s="32" t="s">
        <v>85</v>
      </c>
      <c r="C731" s="32" t="s">
        <v>189</v>
      </c>
      <c r="D731" s="33">
        <f>'Gas Recovery Revenue'!I47</f>
        <v>5032.8187472631271</v>
      </c>
      <c r="E731" s="32" t="s">
        <v>190</v>
      </c>
      <c r="F731" s="32" t="s">
        <v>191</v>
      </c>
    </row>
    <row r="732" spans="1:6" x14ac:dyDescent="0.2">
      <c r="A732" s="32">
        <v>2049</v>
      </c>
      <c r="B732" s="32" t="s">
        <v>85</v>
      </c>
      <c r="C732" s="32" t="s">
        <v>189</v>
      </c>
      <c r="D732" s="33">
        <f>'Gas Recovery Revenue'!I48</f>
        <v>5037.0939703776221</v>
      </c>
      <c r="E732" s="32" t="s">
        <v>190</v>
      </c>
      <c r="F732" s="32" t="s">
        <v>191</v>
      </c>
    </row>
    <row r="733" spans="1:6" x14ac:dyDescent="0.2">
      <c r="A733" s="32">
        <v>2050</v>
      </c>
      <c r="B733" s="32" t="s">
        <v>85</v>
      </c>
      <c r="C733" s="32" t="s">
        <v>189</v>
      </c>
      <c r="D733" s="33">
        <f>'Gas Recovery Revenue'!I49</f>
        <v>5041.7051261488532</v>
      </c>
      <c r="E733" s="32" t="s">
        <v>190</v>
      </c>
      <c r="F733" s="32" t="s">
        <v>191</v>
      </c>
    </row>
    <row r="734" spans="1:6" x14ac:dyDescent="0.2">
      <c r="A734" s="32">
        <v>2023</v>
      </c>
      <c r="B734" s="32" t="s">
        <v>85</v>
      </c>
      <c r="C734" s="32" t="s">
        <v>192</v>
      </c>
      <c r="D734" s="33">
        <f>'Gas Recovery Revenue'!J22</f>
        <v>0</v>
      </c>
      <c r="E734" s="32" t="s">
        <v>190</v>
      </c>
      <c r="F734" s="32" t="s">
        <v>191</v>
      </c>
    </row>
    <row r="735" spans="1:6" x14ac:dyDescent="0.2">
      <c r="A735" s="32">
        <v>2024</v>
      </c>
      <c r="B735" s="32" t="s">
        <v>85</v>
      </c>
      <c r="C735" s="32" t="s">
        <v>192</v>
      </c>
      <c r="D735" s="33">
        <f>'Gas Recovery Revenue'!J23</f>
        <v>1679.7757578093835</v>
      </c>
      <c r="E735" s="32" t="s">
        <v>190</v>
      </c>
      <c r="F735" s="32" t="s">
        <v>191</v>
      </c>
    </row>
    <row r="736" spans="1:6" x14ac:dyDescent="0.2">
      <c r="A736" s="32">
        <v>2025</v>
      </c>
      <c r="B736" s="32" t="s">
        <v>85</v>
      </c>
      <c r="C736" s="32" t="s">
        <v>192</v>
      </c>
      <c r="D736" s="33">
        <f>'Gas Recovery Revenue'!J24</f>
        <v>3294.6288839582367</v>
      </c>
      <c r="E736" s="32" t="s">
        <v>190</v>
      </c>
      <c r="F736" s="32" t="s">
        <v>191</v>
      </c>
    </row>
    <row r="737" spans="1:6" x14ac:dyDescent="0.2">
      <c r="A737" s="32">
        <v>2026</v>
      </c>
      <c r="B737" s="32" t="s">
        <v>85</v>
      </c>
      <c r="C737" s="32" t="s">
        <v>192</v>
      </c>
      <c r="D737" s="33">
        <f>'Gas Recovery Revenue'!J25</f>
        <v>4817.7095532829644</v>
      </c>
      <c r="E737" s="32" t="s">
        <v>190</v>
      </c>
      <c r="F737" s="32" t="s">
        <v>191</v>
      </c>
    </row>
    <row r="738" spans="1:6" x14ac:dyDescent="0.2">
      <c r="A738" s="32">
        <v>2027</v>
      </c>
      <c r="B738" s="32" t="s">
        <v>85</v>
      </c>
      <c r="C738" s="32" t="s">
        <v>192</v>
      </c>
      <c r="D738" s="33">
        <f>'Gas Recovery Revenue'!J26</f>
        <v>6175.4379311186831</v>
      </c>
      <c r="E738" s="32" t="s">
        <v>190</v>
      </c>
      <c r="F738" s="32" t="s">
        <v>191</v>
      </c>
    </row>
    <row r="739" spans="1:6" x14ac:dyDescent="0.2">
      <c r="A739" s="32">
        <v>2028</v>
      </c>
      <c r="B739" s="32" t="s">
        <v>85</v>
      </c>
      <c r="C739" s="32" t="s">
        <v>192</v>
      </c>
      <c r="D739" s="33">
        <f>'Gas Recovery Revenue'!J27</f>
        <v>7304.0435854700827</v>
      </c>
      <c r="E739" s="32" t="s">
        <v>190</v>
      </c>
      <c r="F739" s="32" t="s">
        <v>191</v>
      </c>
    </row>
    <row r="740" spans="1:6" x14ac:dyDescent="0.2">
      <c r="A740" s="32">
        <v>2029</v>
      </c>
      <c r="B740" s="32" t="s">
        <v>85</v>
      </c>
      <c r="C740" s="32" t="s">
        <v>192</v>
      </c>
      <c r="D740" s="33">
        <f>'Gas Recovery Revenue'!J28</f>
        <v>8177.4965259342898</v>
      </c>
      <c r="E740" s="32" t="s">
        <v>190</v>
      </c>
      <c r="F740" s="32" t="s">
        <v>191</v>
      </c>
    </row>
    <row r="741" spans="1:6" x14ac:dyDescent="0.2">
      <c r="A741" s="32">
        <v>2030</v>
      </c>
      <c r="B741" s="32" t="s">
        <v>85</v>
      </c>
      <c r="C741" s="32" t="s">
        <v>192</v>
      </c>
      <c r="D741" s="33">
        <f>'Gas Recovery Revenue'!J29</f>
        <v>8799.0442392552359</v>
      </c>
      <c r="E741" s="32" t="s">
        <v>190</v>
      </c>
      <c r="F741" s="32" t="s">
        <v>191</v>
      </c>
    </row>
    <row r="742" spans="1:6" x14ac:dyDescent="0.2">
      <c r="A742" s="32">
        <v>2031</v>
      </c>
      <c r="B742" s="32" t="s">
        <v>85</v>
      </c>
      <c r="C742" s="32" t="s">
        <v>192</v>
      </c>
      <c r="D742" s="33">
        <f>'Gas Recovery Revenue'!J30</f>
        <v>9389.3150067847364</v>
      </c>
      <c r="E742" s="32" t="s">
        <v>190</v>
      </c>
      <c r="F742" s="32" t="s">
        <v>191</v>
      </c>
    </row>
    <row r="743" spans="1:6" x14ac:dyDescent="0.2">
      <c r="A743" s="32">
        <v>2032</v>
      </c>
      <c r="B743" s="32" t="s">
        <v>85</v>
      </c>
      <c r="C743" s="32" t="s">
        <v>192</v>
      </c>
      <c r="D743" s="33">
        <f>'Gas Recovery Revenue'!J31</f>
        <v>9728.5225397723516</v>
      </c>
      <c r="E743" s="32" t="s">
        <v>190</v>
      </c>
      <c r="F743" s="32" t="s">
        <v>191</v>
      </c>
    </row>
    <row r="744" spans="1:6" x14ac:dyDescent="0.2">
      <c r="A744" s="32">
        <v>2033</v>
      </c>
      <c r="B744" s="32" t="s">
        <v>85</v>
      </c>
      <c r="C744" s="32" t="s">
        <v>192</v>
      </c>
      <c r="D744" s="33">
        <f>'Gas Recovery Revenue'!J32</f>
        <v>9911.9177629243914</v>
      </c>
      <c r="E744" s="32" t="s">
        <v>190</v>
      </c>
      <c r="F744" s="32" t="s">
        <v>191</v>
      </c>
    </row>
    <row r="745" spans="1:6" x14ac:dyDescent="0.2">
      <c r="A745" s="32">
        <v>2034</v>
      </c>
      <c r="B745" s="32" t="s">
        <v>85</v>
      </c>
      <c r="C745" s="32" t="s">
        <v>192</v>
      </c>
      <c r="D745" s="33">
        <f>'Gas Recovery Revenue'!J33</f>
        <v>9987.8347003407816</v>
      </c>
      <c r="E745" s="32" t="s">
        <v>190</v>
      </c>
      <c r="F745" s="32" t="s">
        <v>191</v>
      </c>
    </row>
    <row r="746" spans="1:6" x14ac:dyDescent="0.2">
      <c r="A746" s="32">
        <v>2035</v>
      </c>
      <c r="B746" s="32" t="s">
        <v>85</v>
      </c>
      <c r="C746" s="32" t="s">
        <v>192</v>
      </c>
      <c r="D746" s="33">
        <f>'Gas Recovery Revenue'!J34</f>
        <v>10033.617504736136</v>
      </c>
      <c r="E746" s="32" t="s">
        <v>190</v>
      </c>
      <c r="F746" s="32" t="s">
        <v>191</v>
      </c>
    </row>
    <row r="747" spans="1:6" x14ac:dyDescent="0.2">
      <c r="A747" s="32">
        <v>2036</v>
      </c>
      <c r="B747" s="32" t="s">
        <v>85</v>
      </c>
      <c r="C747" s="32" t="s">
        <v>192</v>
      </c>
      <c r="D747" s="33">
        <f>'Gas Recovery Revenue'!J35</f>
        <v>10057.209118648036</v>
      </c>
      <c r="E747" s="32" t="s">
        <v>190</v>
      </c>
      <c r="F747" s="32" t="s">
        <v>191</v>
      </c>
    </row>
    <row r="748" spans="1:6" x14ac:dyDescent="0.2">
      <c r="A748" s="32">
        <v>2037</v>
      </c>
      <c r="B748" s="32" t="s">
        <v>85</v>
      </c>
      <c r="C748" s="32" t="s">
        <v>192</v>
      </c>
      <c r="D748" s="33">
        <f>'Gas Recovery Revenue'!J36</f>
        <v>10065.590440839191</v>
      </c>
      <c r="E748" s="32" t="s">
        <v>190</v>
      </c>
      <c r="F748" s="32" t="s">
        <v>191</v>
      </c>
    </row>
    <row r="749" spans="1:6" x14ac:dyDescent="0.2">
      <c r="A749" s="32">
        <v>2038</v>
      </c>
      <c r="B749" s="32" t="s">
        <v>85</v>
      </c>
      <c r="C749" s="32" t="s">
        <v>192</v>
      </c>
      <c r="D749" s="33">
        <f>'Gas Recovery Revenue'!J37</f>
        <v>10064.551053409694</v>
      </c>
      <c r="E749" s="32" t="s">
        <v>190</v>
      </c>
      <c r="F749" s="32" t="s">
        <v>191</v>
      </c>
    </row>
    <row r="750" spans="1:6" x14ac:dyDescent="0.2">
      <c r="A750" s="32">
        <v>2039</v>
      </c>
      <c r="B750" s="32" t="s">
        <v>85</v>
      </c>
      <c r="C750" s="32" t="s">
        <v>192</v>
      </c>
      <c r="D750" s="33">
        <f>'Gas Recovery Revenue'!J38</f>
        <v>10058.649906045332</v>
      </c>
      <c r="E750" s="32" t="s">
        <v>190</v>
      </c>
      <c r="F750" s="32" t="s">
        <v>191</v>
      </c>
    </row>
    <row r="751" spans="1:6" x14ac:dyDescent="0.2">
      <c r="A751" s="32">
        <v>2040</v>
      </c>
      <c r="B751" s="32" t="s">
        <v>85</v>
      </c>
      <c r="C751" s="32" t="s">
        <v>192</v>
      </c>
      <c r="D751" s="33">
        <f>'Gas Recovery Revenue'!J39</f>
        <v>10051.28890837478</v>
      </c>
      <c r="E751" s="32" t="s">
        <v>190</v>
      </c>
      <c r="F751" s="32" t="s">
        <v>191</v>
      </c>
    </row>
    <row r="752" spans="1:6" x14ac:dyDescent="0.2">
      <c r="A752" s="32">
        <v>2041</v>
      </c>
      <c r="B752" s="32" t="s">
        <v>85</v>
      </c>
      <c r="C752" s="32" t="s">
        <v>192</v>
      </c>
      <c r="D752" s="33">
        <f>'Gas Recovery Revenue'!J40</f>
        <v>10044.839260293418</v>
      </c>
      <c r="E752" s="32" t="s">
        <v>190</v>
      </c>
      <c r="F752" s="32" t="s">
        <v>191</v>
      </c>
    </row>
    <row r="753" spans="1:6" x14ac:dyDescent="0.2">
      <c r="A753" s="32">
        <v>2042</v>
      </c>
      <c r="B753" s="32" t="s">
        <v>85</v>
      </c>
      <c r="C753" s="32" t="s">
        <v>192</v>
      </c>
      <c r="D753" s="33">
        <f>'Gas Recovery Revenue'!J41</f>
        <v>10040.776318183827</v>
      </c>
      <c r="E753" s="32" t="s">
        <v>190</v>
      </c>
      <c r="F753" s="32" t="s">
        <v>191</v>
      </c>
    </row>
    <row r="754" spans="1:6" x14ac:dyDescent="0.2">
      <c r="A754" s="32">
        <v>2043</v>
      </c>
      <c r="B754" s="32" t="s">
        <v>85</v>
      </c>
      <c r="C754" s="32" t="s">
        <v>192</v>
      </c>
      <c r="D754" s="33">
        <f>'Gas Recovery Revenue'!J42</f>
        <v>10039.493280934672</v>
      </c>
      <c r="E754" s="32" t="s">
        <v>190</v>
      </c>
      <c r="F754" s="32" t="s">
        <v>191</v>
      </c>
    </row>
    <row r="755" spans="1:6" x14ac:dyDescent="0.2">
      <c r="A755" s="32">
        <v>2044</v>
      </c>
      <c r="B755" s="32" t="s">
        <v>85</v>
      </c>
      <c r="C755" s="32" t="s">
        <v>192</v>
      </c>
      <c r="D755" s="33">
        <f>'Gas Recovery Revenue'!J43</f>
        <v>10040.152102206126</v>
      </c>
      <c r="E755" s="32" t="s">
        <v>190</v>
      </c>
      <c r="F755" s="32" t="s">
        <v>191</v>
      </c>
    </row>
    <row r="756" spans="1:6" x14ac:dyDescent="0.2">
      <c r="A756" s="32">
        <v>2045</v>
      </c>
      <c r="B756" s="32" t="s">
        <v>85</v>
      </c>
      <c r="C756" s="32" t="s">
        <v>192</v>
      </c>
      <c r="D756" s="33">
        <f>'Gas Recovery Revenue'!J44</f>
        <v>10045.003259055182</v>
      </c>
      <c r="E756" s="32" t="s">
        <v>190</v>
      </c>
      <c r="F756" s="32" t="s">
        <v>191</v>
      </c>
    </row>
    <row r="757" spans="1:6" x14ac:dyDescent="0.2">
      <c r="A757" s="32">
        <v>2046</v>
      </c>
      <c r="B757" s="32" t="s">
        <v>85</v>
      </c>
      <c r="C757" s="32" t="s">
        <v>192</v>
      </c>
      <c r="D757" s="33">
        <f>'Gas Recovery Revenue'!J45</f>
        <v>10053.437164342718</v>
      </c>
      <c r="E757" s="32" t="s">
        <v>190</v>
      </c>
      <c r="F757" s="32" t="s">
        <v>191</v>
      </c>
    </row>
    <row r="758" spans="1:6" x14ac:dyDescent="0.2">
      <c r="A758" s="32">
        <v>2047</v>
      </c>
      <c r="B758" s="32" t="s">
        <v>85</v>
      </c>
      <c r="C758" s="32" t="s">
        <v>192</v>
      </c>
      <c r="D758" s="33">
        <f>'Gas Recovery Revenue'!J46</f>
        <v>10058.857765642624</v>
      </c>
      <c r="E758" s="32" t="s">
        <v>190</v>
      </c>
      <c r="F758" s="32" t="s">
        <v>191</v>
      </c>
    </row>
    <row r="759" spans="1:6" x14ac:dyDescent="0.2">
      <c r="A759" s="32">
        <v>2048</v>
      </c>
      <c r="B759" s="32" t="s">
        <v>85</v>
      </c>
      <c r="C759" s="32" t="s">
        <v>192</v>
      </c>
      <c r="D759" s="33">
        <f>'Gas Recovery Revenue'!J47</f>
        <v>10065.637494526254</v>
      </c>
      <c r="E759" s="32" t="s">
        <v>190</v>
      </c>
      <c r="F759" s="32" t="s">
        <v>191</v>
      </c>
    </row>
    <row r="760" spans="1:6" x14ac:dyDescent="0.2">
      <c r="A760" s="32">
        <v>2049</v>
      </c>
      <c r="B760" s="32" t="s">
        <v>85</v>
      </c>
      <c r="C760" s="32" t="s">
        <v>192</v>
      </c>
      <c r="D760" s="33">
        <f>'Gas Recovery Revenue'!J48</f>
        <v>10074.187940755244</v>
      </c>
      <c r="E760" s="32" t="s">
        <v>190</v>
      </c>
      <c r="F760" s="32" t="s">
        <v>191</v>
      </c>
    </row>
    <row r="761" spans="1:6" x14ac:dyDescent="0.2">
      <c r="A761" s="32">
        <v>2050</v>
      </c>
      <c r="B761" s="32" t="s">
        <v>85</v>
      </c>
      <c r="C761" s="32" t="s">
        <v>192</v>
      </c>
      <c r="D761" s="33">
        <f>'Gas Recovery Revenue'!J49</f>
        <v>10083.410252297706</v>
      </c>
      <c r="E761" s="32" t="s">
        <v>190</v>
      </c>
      <c r="F761" s="32" t="s">
        <v>191</v>
      </c>
    </row>
    <row r="762" spans="1:6" x14ac:dyDescent="0.2">
      <c r="A762" s="32">
        <v>2023</v>
      </c>
      <c r="B762" s="32" t="s">
        <v>85</v>
      </c>
      <c r="C762" s="32" t="s">
        <v>193</v>
      </c>
      <c r="D762" s="33">
        <f>'Gas Recovery Revenue'!K22</f>
        <v>0</v>
      </c>
      <c r="E762" s="32" t="s">
        <v>190</v>
      </c>
      <c r="F762" s="32" t="s">
        <v>191</v>
      </c>
    </row>
    <row r="763" spans="1:6" x14ac:dyDescent="0.2">
      <c r="A763" s="32">
        <v>2024</v>
      </c>
      <c r="B763" s="32" t="s">
        <v>85</v>
      </c>
      <c r="C763" s="32" t="s">
        <v>193</v>
      </c>
      <c r="D763" s="33">
        <f>'Gas Recovery Revenue'!K23</f>
        <v>2519.6636367140754</v>
      </c>
      <c r="E763" s="32" t="s">
        <v>190</v>
      </c>
      <c r="F763" s="32" t="s">
        <v>191</v>
      </c>
    </row>
    <row r="764" spans="1:6" x14ac:dyDescent="0.2">
      <c r="A764" s="32">
        <v>2025</v>
      </c>
      <c r="B764" s="32" t="s">
        <v>85</v>
      </c>
      <c r="C764" s="32" t="s">
        <v>193</v>
      </c>
      <c r="D764" s="33">
        <f>'Gas Recovery Revenue'!K24</f>
        <v>4941.9433259373545</v>
      </c>
      <c r="E764" s="32" t="s">
        <v>190</v>
      </c>
      <c r="F764" s="32" t="s">
        <v>191</v>
      </c>
    </row>
    <row r="765" spans="1:6" x14ac:dyDescent="0.2">
      <c r="A765" s="32">
        <v>2026</v>
      </c>
      <c r="B765" s="32" t="s">
        <v>85</v>
      </c>
      <c r="C765" s="32" t="s">
        <v>193</v>
      </c>
      <c r="D765" s="33">
        <f>'Gas Recovery Revenue'!K25</f>
        <v>7226.5643299244466</v>
      </c>
      <c r="E765" s="32" t="s">
        <v>190</v>
      </c>
      <c r="F765" s="32" t="s">
        <v>191</v>
      </c>
    </row>
    <row r="766" spans="1:6" x14ac:dyDescent="0.2">
      <c r="A766" s="32">
        <v>2027</v>
      </c>
      <c r="B766" s="32" t="s">
        <v>85</v>
      </c>
      <c r="C766" s="32" t="s">
        <v>193</v>
      </c>
      <c r="D766" s="33">
        <f>'Gas Recovery Revenue'!K26</f>
        <v>9263.1568966780251</v>
      </c>
      <c r="E766" s="32" t="s">
        <v>190</v>
      </c>
      <c r="F766" s="32" t="s">
        <v>191</v>
      </c>
    </row>
    <row r="767" spans="1:6" x14ac:dyDescent="0.2">
      <c r="A767" s="32">
        <v>2028</v>
      </c>
      <c r="B767" s="32" t="s">
        <v>85</v>
      </c>
      <c r="C767" s="32" t="s">
        <v>193</v>
      </c>
      <c r="D767" s="33">
        <f>'Gas Recovery Revenue'!K27</f>
        <v>10956.065378205123</v>
      </c>
      <c r="E767" s="32" t="s">
        <v>190</v>
      </c>
      <c r="F767" s="32" t="s">
        <v>191</v>
      </c>
    </row>
    <row r="768" spans="1:6" x14ac:dyDescent="0.2">
      <c r="A768" s="32">
        <v>2029</v>
      </c>
      <c r="B768" s="32" t="s">
        <v>85</v>
      </c>
      <c r="C768" s="32" t="s">
        <v>193</v>
      </c>
      <c r="D768" s="33">
        <f>'Gas Recovery Revenue'!K28</f>
        <v>12266.244788901435</v>
      </c>
      <c r="E768" s="32" t="s">
        <v>190</v>
      </c>
      <c r="F768" s="32" t="s">
        <v>191</v>
      </c>
    </row>
    <row r="769" spans="1:6" x14ac:dyDescent="0.2">
      <c r="A769" s="32">
        <v>2030</v>
      </c>
      <c r="B769" s="32" t="s">
        <v>85</v>
      </c>
      <c r="C769" s="32" t="s">
        <v>193</v>
      </c>
      <c r="D769" s="33">
        <f>'Gas Recovery Revenue'!K29</f>
        <v>13198.566358882854</v>
      </c>
      <c r="E769" s="32" t="s">
        <v>190</v>
      </c>
      <c r="F769" s="32" t="s">
        <v>191</v>
      </c>
    </row>
    <row r="770" spans="1:6" x14ac:dyDescent="0.2">
      <c r="A770" s="32">
        <v>2031</v>
      </c>
      <c r="B770" s="32" t="s">
        <v>85</v>
      </c>
      <c r="C770" s="32" t="s">
        <v>193</v>
      </c>
      <c r="D770" s="33">
        <f>'Gas Recovery Revenue'!K30</f>
        <v>14083.972510177104</v>
      </c>
      <c r="E770" s="32" t="s">
        <v>190</v>
      </c>
      <c r="F770" s="32" t="s">
        <v>191</v>
      </c>
    </row>
    <row r="771" spans="1:6" x14ac:dyDescent="0.2">
      <c r="A771" s="32">
        <v>2032</v>
      </c>
      <c r="B771" s="32" t="s">
        <v>85</v>
      </c>
      <c r="C771" s="32" t="s">
        <v>193</v>
      </c>
      <c r="D771" s="33">
        <f>'Gas Recovery Revenue'!K31</f>
        <v>14592.783809658527</v>
      </c>
      <c r="E771" s="32" t="s">
        <v>190</v>
      </c>
      <c r="F771" s="32" t="s">
        <v>191</v>
      </c>
    </row>
    <row r="772" spans="1:6" x14ac:dyDescent="0.2">
      <c r="A772" s="32">
        <v>2033</v>
      </c>
      <c r="B772" s="32" t="s">
        <v>85</v>
      </c>
      <c r="C772" s="32" t="s">
        <v>193</v>
      </c>
      <c r="D772" s="33">
        <f>'Gas Recovery Revenue'!K32</f>
        <v>14867.876644386586</v>
      </c>
      <c r="E772" s="32" t="s">
        <v>190</v>
      </c>
      <c r="F772" s="32" t="s">
        <v>191</v>
      </c>
    </row>
    <row r="773" spans="1:6" x14ac:dyDescent="0.2">
      <c r="A773" s="32">
        <v>2034</v>
      </c>
      <c r="B773" s="32" t="s">
        <v>85</v>
      </c>
      <c r="C773" s="32" t="s">
        <v>193</v>
      </c>
      <c r="D773" s="33">
        <f>'Gas Recovery Revenue'!K33</f>
        <v>14981.752050511172</v>
      </c>
      <c r="E773" s="32" t="s">
        <v>190</v>
      </c>
      <c r="F773" s="32" t="s">
        <v>191</v>
      </c>
    </row>
    <row r="774" spans="1:6" x14ac:dyDescent="0.2">
      <c r="A774" s="32">
        <v>2035</v>
      </c>
      <c r="B774" s="32" t="s">
        <v>85</v>
      </c>
      <c r="C774" s="32" t="s">
        <v>193</v>
      </c>
      <c r="D774" s="33">
        <f>'Gas Recovery Revenue'!K34</f>
        <v>15050.426257104204</v>
      </c>
      <c r="E774" s="32" t="s">
        <v>190</v>
      </c>
      <c r="F774" s="32" t="s">
        <v>191</v>
      </c>
    </row>
    <row r="775" spans="1:6" x14ac:dyDescent="0.2">
      <c r="A775" s="32">
        <v>2036</v>
      </c>
      <c r="B775" s="32" t="s">
        <v>85</v>
      </c>
      <c r="C775" s="32" t="s">
        <v>193</v>
      </c>
      <c r="D775" s="33">
        <f>'Gas Recovery Revenue'!K35</f>
        <v>15085.813677972053</v>
      </c>
      <c r="E775" s="32" t="s">
        <v>190</v>
      </c>
      <c r="F775" s="32" t="s">
        <v>191</v>
      </c>
    </row>
    <row r="776" spans="1:6" x14ac:dyDescent="0.2">
      <c r="A776" s="32">
        <v>2037</v>
      </c>
      <c r="B776" s="32" t="s">
        <v>85</v>
      </c>
      <c r="C776" s="32" t="s">
        <v>193</v>
      </c>
      <c r="D776" s="33">
        <f>'Gas Recovery Revenue'!K36</f>
        <v>15098.385661258786</v>
      </c>
      <c r="E776" s="32" t="s">
        <v>190</v>
      </c>
      <c r="F776" s="32" t="s">
        <v>191</v>
      </c>
    </row>
    <row r="777" spans="1:6" x14ac:dyDescent="0.2">
      <c r="A777" s="32">
        <v>2038</v>
      </c>
      <c r="B777" s="32" t="s">
        <v>85</v>
      </c>
      <c r="C777" s="32" t="s">
        <v>193</v>
      </c>
      <c r="D777" s="33">
        <f>'Gas Recovery Revenue'!K37</f>
        <v>15096.826580114541</v>
      </c>
      <c r="E777" s="32" t="s">
        <v>190</v>
      </c>
      <c r="F777" s="32" t="s">
        <v>191</v>
      </c>
    </row>
    <row r="778" spans="1:6" x14ac:dyDescent="0.2">
      <c r="A778" s="32">
        <v>2039</v>
      </c>
      <c r="B778" s="32" t="s">
        <v>85</v>
      </c>
      <c r="C778" s="32" t="s">
        <v>193</v>
      </c>
      <c r="D778" s="33">
        <f>'Gas Recovery Revenue'!K38</f>
        <v>15087.974859067997</v>
      </c>
      <c r="E778" s="32" t="s">
        <v>190</v>
      </c>
      <c r="F778" s="32" t="s">
        <v>191</v>
      </c>
    </row>
    <row r="779" spans="1:6" x14ac:dyDescent="0.2">
      <c r="A779" s="32">
        <v>2040</v>
      </c>
      <c r="B779" s="32" t="s">
        <v>85</v>
      </c>
      <c r="C779" s="32" t="s">
        <v>193</v>
      </c>
      <c r="D779" s="33">
        <f>'Gas Recovery Revenue'!K39</f>
        <v>15076.933362562169</v>
      </c>
      <c r="E779" s="32" t="s">
        <v>190</v>
      </c>
      <c r="F779" s="32" t="s">
        <v>191</v>
      </c>
    </row>
    <row r="780" spans="1:6" x14ac:dyDescent="0.2">
      <c r="A780" s="32">
        <v>2041</v>
      </c>
      <c r="B780" s="32" t="s">
        <v>85</v>
      </c>
      <c r="C780" s="32" t="s">
        <v>193</v>
      </c>
      <c r="D780" s="33">
        <f>'Gas Recovery Revenue'!K40</f>
        <v>15067.258890440127</v>
      </c>
      <c r="E780" s="32" t="s">
        <v>190</v>
      </c>
      <c r="F780" s="32" t="s">
        <v>191</v>
      </c>
    </row>
    <row r="781" spans="1:6" x14ac:dyDescent="0.2">
      <c r="A781" s="32">
        <v>2042</v>
      </c>
      <c r="B781" s="32" t="s">
        <v>85</v>
      </c>
      <c r="C781" s="32" t="s">
        <v>193</v>
      </c>
      <c r="D781" s="33">
        <f>'Gas Recovery Revenue'!K41</f>
        <v>15061.164477275741</v>
      </c>
      <c r="E781" s="32" t="s">
        <v>190</v>
      </c>
      <c r="F781" s="32" t="s">
        <v>191</v>
      </c>
    </row>
    <row r="782" spans="1:6" x14ac:dyDescent="0.2">
      <c r="A782" s="32">
        <v>2043</v>
      </c>
      <c r="B782" s="32" t="s">
        <v>85</v>
      </c>
      <c r="C782" s="32" t="s">
        <v>193</v>
      </c>
      <c r="D782" s="33">
        <f>'Gas Recovery Revenue'!K42</f>
        <v>15059.239921402008</v>
      </c>
      <c r="E782" s="32" t="s">
        <v>190</v>
      </c>
      <c r="F782" s="32" t="s">
        <v>191</v>
      </c>
    </row>
    <row r="783" spans="1:6" x14ac:dyDescent="0.2">
      <c r="A783" s="32">
        <v>2044</v>
      </c>
      <c r="B783" s="32" t="s">
        <v>85</v>
      </c>
      <c r="C783" s="32" t="s">
        <v>193</v>
      </c>
      <c r="D783" s="33">
        <f>'Gas Recovery Revenue'!K43</f>
        <v>15060.228153309188</v>
      </c>
      <c r="E783" s="32" t="s">
        <v>190</v>
      </c>
      <c r="F783" s="32" t="s">
        <v>191</v>
      </c>
    </row>
    <row r="784" spans="1:6" x14ac:dyDescent="0.2">
      <c r="A784" s="32">
        <v>2045</v>
      </c>
      <c r="B784" s="32" t="s">
        <v>85</v>
      </c>
      <c r="C784" s="32" t="s">
        <v>193</v>
      </c>
      <c r="D784" s="33">
        <f>'Gas Recovery Revenue'!K44</f>
        <v>15067.504888582773</v>
      </c>
      <c r="E784" s="32" t="s">
        <v>190</v>
      </c>
      <c r="F784" s="32" t="s">
        <v>191</v>
      </c>
    </row>
    <row r="785" spans="1:6" x14ac:dyDescent="0.2">
      <c r="A785" s="32">
        <v>2046</v>
      </c>
      <c r="B785" s="32" t="s">
        <v>85</v>
      </c>
      <c r="C785" s="32" t="s">
        <v>193</v>
      </c>
      <c r="D785" s="33">
        <f>'Gas Recovery Revenue'!K45</f>
        <v>15080.155746514078</v>
      </c>
      <c r="E785" s="32" t="s">
        <v>190</v>
      </c>
      <c r="F785" s="32" t="s">
        <v>191</v>
      </c>
    </row>
    <row r="786" spans="1:6" x14ac:dyDescent="0.2">
      <c r="A786" s="32">
        <v>2047</v>
      </c>
      <c r="B786" s="32" t="s">
        <v>85</v>
      </c>
      <c r="C786" s="32" t="s">
        <v>193</v>
      </c>
      <c r="D786" s="33">
        <f>'Gas Recovery Revenue'!K46</f>
        <v>15088.286648463936</v>
      </c>
      <c r="E786" s="32" t="s">
        <v>190</v>
      </c>
      <c r="F786" s="32" t="s">
        <v>191</v>
      </c>
    </row>
    <row r="787" spans="1:6" x14ac:dyDescent="0.2">
      <c r="A787" s="32">
        <v>2048</v>
      </c>
      <c r="B787" s="32" t="s">
        <v>85</v>
      </c>
      <c r="C787" s="32" t="s">
        <v>193</v>
      </c>
      <c r="D787" s="33">
        <f>'Gas Recovery Revenue'!K47</f>
        <v>15098.456241789381</v>
      </c>
      <c r="E787" s="32" t="s">
        <v>190</v>
      </c>
      <c r="F787" s="32" t="s">
        <v>191</v>
      </c>
    </row>
    <row r="788" spans="1:6" x14ac:dyDescent="0.2">
      <c r="A788" s="32">
        <v>2049</v>
      </c>
      <c r="B788" s="32" t="s">
        <v>85</v>
      </c>
      <c r="C788" s="32" t="s">
        <v>193</v>
      </c>
      <c r="D788" s="33">
        <f>'Gas Recovery Revenue'!K48</f>
        <v>15111.281911132866</v>
      </c>
      <c r="E788" s="32" t="s">
        <v>190</v>
      </c>
      <c r="F788" s="32" t="s">
        <v>191</v>
      </c>
    </row>
    <row r="789" spans="1:6" x14ac:dyDescent="0.2">
      <c r="A789" s="32">
        <v>2050</v>
      </c>
      <c r="B789" s="32" t="s">
        <v>85</v>
      </c>
      <c r="C789" s="32" t="s">
        <v>193</v>
      </c>
      <c r="D789" s="33">
        <f>'Gas Recovery Revenue'!K49</f>
        <v>15125.11537844656</v>
      </c>
      <c r="E789" s="32" t="s">
        <v>190</v>
      </c>
      <c r="F789" s="32" t="s">
        <v>191</v>
      </c>
    </row>
  </sheetData>
  <autoFilter ref="A3:F619" xr:uid="{00000000-0009-0000-0000-000004000000}"/>
  <mergeCells count="8">
    <mergeCell ref="H131:L131"/>
    <mergeCell ref="H163:L163"/>
    <mergeCell ref="A621:F621"/>
    <mergeCell ref="A1:F1"/>
    <mergeCell ref="H3:K3"/>
    <mergeCell ref="H35:L35"/>
    <mergeCell ref="H67:L67"/>
    <mergeCell ref="H99:K9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5"/>
  <sheetViews>
    <sheetView tabSelected="1" zoomScaleNormal="100" workbookViewId="0">
      <pane ySplit="1" topLeftCell="A581" activePane="bottomLeft" state="frozen"/>
      <selection pane="bottomLeft"/>
    </sheetView>
  </sheetViews>
  <sheetFormatPr baseColWidth="10" defaultColWidth="8.6640625" defaultRowHeight="15" x14ac:dyDescent="0.2"/>
  <cols>
    <col min="1" max="1" width="8" customWidth="1"/>
    <col min="2" max="2" width="16" customWidth="1"/>
    <col min="3" max="4" width="14" customWidth="1"/>
    <col min="5" max="5" width="10" customWidth="1"/>
  </cols>
  <sheetData>
    <row r="1" spans="1:5" ht="15" customHeight="1" x14ac:dyDescent="0.2">
      <c r="A1" s="27" t="s">
        <v>58</v>
      </c>
      <c r="B1" s="27" t="s">
        <v>99</v>
      </c>
      <c r="C1" s="27" t="s">
        <v>179</v>
      </c>
      <c r="D1" s="27" t="s">
        <v>3</v>
      </c>
      <c r="E1" s="27" t="s">
        <v>4</v>
      </c>
    </row>
    <row r="2" spans="1:5" ht="15" customHeight="1" x14ac:dyDescent="0.2">
      <c r="A2" s="28">
        <f>Summary!A4</f>
        <v>2023</v>
      </c>
      <c r="B2" s="4" t="str">
        <f>Summary!B4</f>
        <v>BAU</v>
      </c>
      <c r="C2" s="4" t="str">
        <f>Summary!C4</f>
        <v>Fugitive</v>
      </c>
      <c r="D2" s="29">
        <f>Summary!D4</f>
        <v>5.0812639999999991</v>
      </c>
      <c r="E2" s="4" t="str">
        <f>Summary!E4</f>
        <v>MtCO2e</v>
      </c>
    </row>
    <row r="3" spans="1:5" ht="15" customHeight="1" x14ac:dyDescent="0.2">
      <c r="A3" s="28">
        <f>Summary!A5</f>
        <v>2024</v>
      </c>
      <c r="B3" s="4" t="str">
        <f>Summary!B5</f>
        <v>BAU</v>
      </c>
      <c r="C3" s="4" t="str">
        <f>Summary!C5</f>
        <v>Fugitive</v>
      </c>
      <c r="D3" s="29">
        <f>Summary!D5</f>
        <v>5.0556700113012329</v>
      </c>
      <c r="E3" s="4" t="str">
        <f>Summary!E5</f>
        <v>MtCO2e</v>
      </c>
    </row>
    <row r="4" spans="1:5" ht="15" customHeight="1" x14ac:dyDescent="0.2">
      <c r="A4" s="28">
        <f>Summary!A6</f>
        <v>2025</v>
      </c>
      <c r="B4" s="4" t="str">
        <f>Summary!B6</f>
        <v>BAU</v>
      </c>
      <c r="C4" s="4" t="str">
        <f>Summary!C6</f>
        <v>Fugitive</v>
      </c>
      <c r="D4" s="29">
        <f>Summary!D6</f>
        <v>5.0626536647226734</v>
      </c>
      <c r="E4" s="4" t="str">
        <f>Summary!E6</f>
        <v>MtCO2e</v>
      </c>
    </row>
    <row r="5" spans="1:5" ht="15" customHeight="1" x14ac:dyDescent="0.2">
      <c r="A5" s="28">
        <f>Summary!A7</f>
        <v>2026</v>
      </c>
      <c r="B5" s="4" t="str">
        <f>Summary!B7</f>
        <v>BAU</v>
      </c>
      <c r="C5" s="4" t="str">
        <f>Summary!C7</f>
        <v>Fugitive</v>
      </c>
      <c r="D5" s="29">
        <f>Summary!D7</f>
        <v>5.9497827861877486</v>
      </c>
      <c r="E5" s="4" t="str">
        <f>Summary!E7</f>
        <v>MtCO2e</v>
      </c>
    </row>
    <row r="6" spans="1:5" ht="15" customHeight="1" x14ac:dyDescent="0.2">
      <c r="A6" s="28">
        <f>Summary!A8</f>
        <v>2027</v>
      </c>
      <c r="B6" s="4" t="str">
        <f>Summary!B8</f>
        <v>BAU</v>
      </c>
      <c r="C6" s="4" t="str">
        <f>Summary!C8</f>
        <v>Fugitive</v>
      </c>
      <c r="D6" s="29">
        <f>Summary!D8</f>
        <v>6.1263994546520095</v>
      </c>
      <c r="E6" s="4" t="str">
        <f>Summary!E8</f>
        <v>MtCO2e</v>
      </c>
    </row>
    <row r="7" spans="1:5" ht="15" customHeight="1" x14ac:dyDescent="0.2">
      <c r="A7" s="28">
        <f>Summary!A9</f>
        <v>2028</v>
      </c>
      <c r="B7" s="4" t="str">
        <f>Summary!B9</f>
        <v>BAU</v>
      </c>
      <c r="C7" s="4" t="str">
        <f>Summary!C9</f>
        <v>Fugitive</v>
      </c>
      <c r="D7" s="29">
        <f>Summary!D9</f>
        <v>6.2776822458090731</v>
      </c>
      <c r="E7" s="4" t="str">
        <f>Summary!E9</f>
        <v>MtCO2e</v>
      </c>
    </row>
    <row r="8" spans="1:5" ht="15" customHeight="1" x14ac:dyDescent="0.2">
      <c r="A8" s="28">
        <f>Summary!A10</f>
        <v>2029</v>
      </c>
      <c r="B8" s="4" t="str">
        <f>Summary!B10</f>
        <v>BAU</v>
      </c>
      <c r="C8" s="4" t="str">
        <f>Summary!C10</f>
        <v>Fugitive</v>
      </c>
      <c r="D8" s="29">
        <f>Summary!D10</f>
        <v>6.3957649619436019</v>
      </c>
      <c r="E8" s="4" t="str">
        <f>Summary!E10</f>
        <v>MtCO2e</v>
      </c>
    </row>
    <row r="9" spans="1:5" ht="15" customHeight="1" x14ac:dyDescent="0.2">
      <c r="A9" s="28">
        <f>Summary!A11</f>
        <v>2030</v>
      </c>
      <c r="B9" s="4" t="str">
        <f>Summary!B11</f>
        <v>BAU</v>
      </c>
      <c r="C9" s="4" t="str">
        <f>Summary!C11</f>
        <v>Fugitive</v>
      </c>
      <c r="D9" s="29">
        <f>Summary!D11</f>
        <v>6.4904661177445542</v>
      </c>
      <c r="E9" s="4" t="str">
        <f>Summary!E11</f>
        <v>MtCO2e</v>
      </c>
    </row>
    <row r="10" spans="1:5" ht="15" customHeight="1" x14ac:dyDescent="0.2">
      <c r="A10" s="28">
        <f>Summary!A12</f>
        <v>2031</v>
      </c>
      <c r="B10" s="4" t="str">
        <f>Summary!B12</f>
        <v>BAU</v>
      </c>
      <c r="C10" s="4" t="str">
        <f>Summary!C12</f>
        <v>Fugitive</v>
      </c>
      <c r="D10" s="29">
        <f>Summary!D12</f>
        <v>6.303531248105279</v>
      </c>
      <c r="E10" s="4" t="str">
        <f>Summary!E12</f>
        <v>MtCO2e</v>
      </c>
    </row>
    <row r="11" spans="1:5" ht="15" customHeight="1" x14ac:dyDescent="0.2">
      <c r="A11" s="28">
        <f>Summary!A13</f>
        <v>2032</v>
      </c>
      <c r="B11" s="4" t="str">
        <f>Summary!B13</f>
        <v>BAU</v>
      </c>
      <c r="C11" s="4" t="str">
        <f>Summary!C13</f>
        <v>Fugitive</v>
      </c>
      <c r="D11" s="29">
        <f>Summary!D13</f>
        <v>6.1122969569214547</v>
      </c>
      <c r="E11" s="4" t="str">
        <f>Summary!E13</f>
        <v>MtCO2e</v>
      </c>
    </row>
    <row r="12" spans="1:5" ht="15" customHeight="1" x14ac:dyDescent="0.2">
      <c r="A12" s="28">
        <f>Summary!A14</f>
        <v>2033</v>
      </c>
      <c r="B12" s="4" t="str">
        <f>Summary!B14</f>
        <v>BAU</v>
      </c>
      <c r="C12" s="4" t="str">
        <f>Summary!C14</f>
        <v>Fugitive</v>
      </c>
      <c r="D12" s="29">
        <f>Summary!D14</f>
        <v>5.9167057438771558</v>
      </c>
      <c r="E12" s="4" t="str">
        <f>Summary!E14</f>
        <v>MtCO2e</v>
      </c>
    </row>
    <row r="13" spans="1:5" ht="15" customHeight="1" x14ac:dyDescent="0.2">
      <c r="A13" s="28">
        <f>Summary!A15</f>
        <v>2034</v>
      </c>
      <c r="B13" s="4" t="str">
        <f>Summary!B15</f>
        <v>BAU</v>
      </c>
      <c r="C13" s="4" t="str">
        <f>Summary!C15</f>
        <v>Fugitive</v>
      </c>
      <c r="D13" s="29">
        <f>Summary!D15</f>
        <v>5.7166996350524268</v>
      </c>
      <c r="E13" s="4" t="str">
        <f>Summary!E15</f>
        <v>MtCO2e</v>
      </c>
    </row>
    <row r="14" spans="1:5" ht="15" customHeight="1" x14ac:dyDescent="0.2">
      <c r="A14" s="28">
        <f>Summary!A16</f>
        <v>2035</v>
      </c>
      <c r="B14" s="4" t="str">
        <f>Summary!B16</f>
        <v>BAU</v>
      </c>
      <c r="C14" s="4" t="str">
        <f>Summary!C16</f>
        <v>Fugitive</v>
      </c>
      <c r="D14" s="29">
        <f>Summary!D16</f>
        <v>5.5122204177566445</v>
      </c>
      <c r="E14" s="4" t="str">
        <f>Summary!E16</f>
        <v>MtCO2e</v>
      </c>
    </row>
    <row r="15" spans="1:5" ht="15" customHeight="1" x14ac:dyDescent="0.2">
      <c r="A15" s="28">
        <f>Summary!A17</f>
        <v>2036</v>
      </c>
      <c r="B15" s="4" t="str">
        <f>Summary!B17</f>
        <v>BAU</v>
      </c>
      <c r="C15" s="4" t="str">
        <f>Summary!C17</f>
        <v>Fugitive</v>
      </c>
      <c r="D15" s="29">
        <f>Summary!D17</f>
        <v>5.3032094985221567</v>
      </c>
      <c r="E15" s="4" t="str">
        <f>Summary!E17</f>
        <v>MtCO2e</v>
      </c>
    </row>
    <row r="16" spans="1:5" ht="15" customHeight="1" x14ac:dyDescent="0.2">
      <c r="A16" s="28">
        <f>Summary!A18</f>
        <v>2037</v>
      </c>
      <c r="B16" s="4" t="str">
        <f>Summary!B18</f>
        <v>BAU</v>
      </c>
      <c r="C16" s="4" t="str">
        <f>Summary!C18</f>
        <v>Fugitive</v>
      </c>
      <c r="D16" s="29">
        <f>Summary!D18</f>
        <v>5.0896079167097241</v>
      </c>
      <c r="E16" s="4" t="str">
        <f>Summary!E18</f>
        <v>MtCO2e</v>
      </c>
    </row>
    <row r="17" spans="1:5" ht="15" customHeight="1" x14ac:dyDescent="0.2">
      <c r="A17" s="28">
        <f>Summary!A19</f>
        <v>2038</v>
      </c>
      <c r="B17" s="4" t="str">
        <f>Summary!B19</f>
        <v>BAU</v>
      </c>
      <c r="C17" s="4" t="str">
        <f>Summary!C19</f>
        <v>Fugitive</v>
      </c>
      <c r="D17" s="29">
        <f>Summary!D19</f>
        <v>4.8713564729616401</v>
      </c>
      <c r="E17" s="4" t="str">
        <f>Summary!E19</f>
        <v>MtCO2e</v>
      </c>
    </row>
    <row r="18" spans="1:5" ht="15" customHeight="1" x14ac:dyDescent="0.2">
      <c r="A18" s="28">
        <f>Summary!A20</f>
        <v>2039</v>
      </c>
      <c r="B18" s="4" t="str">
        <f>Summary!B20</f>
        <v>BAU</v>
      </c>
      <c r="C18" s="4" t="str">
        <f>Summary!C20</f>
        <v>Fugitive</v>
      </c>
      <c r="D18" s="29">
        <f>Summary!D20</f>
        <v>4.6483957754308429</v>
      </c>
      <c r="E18" s="4" t="str">
        <f>Summary!E20</f>
        <v>MtCO2e</v>
      </c>
    </row>
    <row r="19" spans="1:5" ht="15" customHeight="1" x14ac:dyDescent="0.2">
      <c r="A19" s="28">
        <f>Summary!A21</f>
        <v>2040</v>
      </c>
      <c r="B19" s="4" t="str">
        <f>Summary!B21</f>
        <v>BAU</v>
      </c>
      <c r="C19" s="4" t="str">
        <f>Summary!C21</f>
        <v>Fugitive</v>
      </c>
      <c r="D19" s="29">
        <f>Summary!D21</f>
        <v>4.4226033301378882</v>
      </c>
      <c r="E19" s="4" t="str">
        <f>Summary!E21</f>
        <v>MtCO2e</v>
      </c>
    </row>
    <row r="20" spans="1:5" ht="15" customHeight="1" x14ac:dyDescent="0.2">
      <c r="A20" s="28">
        <f>Summary!A22</f>
        <v>2041</v>
      </c>
      <c r="B20" s="4" t="str">
        <f>Summary!B22</f>
        <v>BAU</v>
      </c>
      <c r="C20" s="4" t="str">
        <f>Summary!C22</f>
        <v>Fugitive</v>
      </c>
      <c r="D20" s="29">
        <f>Summary!D22</f>
        <v>4.1931284949893941</v>
      </c>
      <c r="E20" s="4" t="str">
        <f>Summary!E22</f>
        <v>MtCO2e</v>
      </c>
    </row>
    <row r="21" spans="1:5" ht="15" customHeight="1" x14ac:dyDescent="0.2">
      <c r="A21" s="28">
        <f>Summary!A23</f>
        <v>2042</v>
      </c>
      <c r="B21" s="4" t="str">
        <f>Summary!B23</f>
        <v>BAU</v>
      </c>
      <c r="C21" s="4" t="str">
        <f>Summary!C23</f>
        <v>Fugitive</v>
      </c>
      <c r="D21" s="29">
        <f>Summary!D23</f>
        <v>3.9584798185772119</v>
      </c>
      <c r="E21" s="4" t="str">
        <f>Summary!E23</f>
        <v>MtCO2e</v>
      </c>
    </row>
    <row r="22" spans="1:5" ht="15" customHeight="1" x14ac:dyDescent="0.2">
      <c r="A22" s="28">
        <f>Summary!A24</f>
        <v>2043</v>
      </c>
      <c r="B22" s="4" t="str">
        <f>Summary!B24</f>
        <v>BAU</v>
      </c>
      <c r="C22" s="4" t="str">
        <f>Summary!C24</f>
        <v>Fugitive</v>
      </c>
      <c r="D22" s="29">
        <f>Summary!D24</f>
        <v>3.7185724106231031</v>
      </c>
      <c r="E22" s="4" t="str">
        <f>Summary!E24</f>
        <v>MtCO2e</v>
      </c>
    </row>
    <row r="23" spans="1:5" ht="15" customHeight="1" x14ac:dyDescent="0.2">
      <c r="A23" s="28">
        <f>Summary!A25</f>
        <v>2044</v>
      </c>
      <c r="B23" s="4" t="str">
        <f>Summary!B25</f>
        <v>BAU</v>
      </c>
      <c r="C23" s="4" t="str">
        <f>Summary!C25</f>
        <v>Fugitive</v>
      </c>
      <c r="D23" s="29">
        <f>Summary!D25</f>
        <v>3.4733200859608067</v>
      </c>
      <c r="E23" s="4" t="str">
        <f>Summary!E25</f>
        <v>MtCO2e</v>
      </c>
    </row>
    <row r="24" spans="1:5" ht="15" customHeight="1" x14ac:dyDescent="0.2">
      <c r="A24" s="28">
        <f>Summary!A26</f>
        <v>2045</v>
      </c>
      <c r="B24" s="4" t="str">
        <f>Summary!B26</f>
        <v>BAU</v>
      </c>
      <c r="C24" s="4" t="str">
        <f>Summary!C26</f>
        <v>Fugitive</v>
      </c>
      <c r="D24" s="29">
        <f>Summary!D26</f>
        <v>3.222635378153849</v>
      </c>
      <c r="E24" s="4" t="str">
        <f>Summary!E26</f>
        <v>MtCO2e</v>
      </c>
    </row>
    <row r="25" spans="1:5" ht="15" customHeight="1" x14ac:dyDescent="0.2">
      <c r="A25" s="28">
        <f>Summary!A27</f>
        <v>2046</v>
      </c>
      <c r="B25" s="4" t="str">
        <f>Summary!B27</f>
        <v>BAU</v>
      </c>
      <c r="C25" s="4" t="str">
        <f>Summary!C27</f>
        <v>Fugitive</v>
      </c>
      <c r="D25" s="29">
        <f>Summary!D27</f>
        <v>2.9664294537495777</v>
      </c>
      <c r="E25" s="4" t="str">
        <f>Summary!E27</f>
        <v>MtCO2e</v>
      </c>
    </row>
    <row r="26" spans="1:5" ht="15" customHeight="1" x14ac:dyDescent="0.2">
      <c r="A26" s="28">
        <f>Summary!A28</f>
        <v>2047</v>
      </c>
      <c r="B26" s="4" t="str">
        <f>Summary!B28</f>
        <v>BAU</v>
      </c>
      <c r="C26" s="4" t="str">
        <f>Summary!C28</f>
        <v>Fugitive</v>
      </c>
      <c r="D26" s="29">
        <f>Summary!D28</f>
        <v>2.7046121905244416</v>
      </c>
      <c r="E26" s="4" t="str">
        <f>Summary!E28</f>
        <v>MtCO2e</v>
      </c>
    </row>
    <row r="27" spans="1:5" ht="15" customHeight="1" x14ac:dyDescent="0.2">
      <c r="A27" s="28">
        <f>Summary!A29</f>
        <v>2048</v>
      </c>
      <c r="B27" s="4" t="str">
        <f>Summary!B29</f>
        <v>BAU</v>
      </c>
      <c r="C27" s="4" t="str">
        <f>Summary!C29</f>
        <v>Fugitive</v>
      </c>
      <c r="D27" s="29">
        <f>Summary!D29</f>
        <v>2.437092049069971</v>
      </c>
      <c r="E27" s="4" t="str">
        <f>Summary!E29</f>
        <v>MtCO2e</v>
      </c>
    </row>
    <row r="28" spans="1:5" ht="15" customHeight="1" x14ac:dyDescent="0.2">
      <c r="A28" s="28">
        <f>Summary!A30</f>
        <v>2049</v>
      </c>
      <c r="B28" s="4" t="str">
        <f>Summary!B30</f>
        <v>BAU</v>
      </c>
      <c r="C28" s="4" t="str">
        <f>Summary!C30</f>
        <v>Fugitive</v>
      </c>
      <c r="D28" s="29">
        <f>Summary!D30</f>
        <v>2.1637761390695225</v>
      </c>
      <c r="E28" s="4" t="str">
        <f>Summary!E30</f>
        <v>MtCO2e</v>
      </c>
    </row>
    <row r="29" spans="1:5" ht="15" customHeight="1" x14ac:dyDescent="0.2">
      <c r="A29" s="28">
        <f>Summary!A31</f>
        <v>2050</v>
      </c>
      <c r="B29" s="4" t="str">
        <f>Summary!B31</f>
        <v>BAU</v>
      </c>
      <c r="C29" s="4" t="str">
        <f>Summary!C31</f>
        <v>Fugitive</v>
      </c>
      <c r="D29" s="29">
        <f>Summary!D31</f>
        <v>1.8845701433356825</v>
      </c>
      <c r="E29" s="4" t="str">
        <f>Summary!E31</f>
        <v>MtCO2e</v>
      </c>
    </row>
    <row r="30" spans="1:5" ht="15" customHeight="1" x14ac:dyDescent="0.2">
      <c r="A30" s="28">
        <f>Summary!A32</f>
        <v>2023</v>
      </c>
      <c r="B30" s="4" t="str">
        <f>Summary!B32</f>
        <v>BAU</v>
      </c>
      <c r="C30" s="4" t="str">
        <f>Summary!C32</f>
        <v>Venting</v>
      </c>
      <c r="D30" s="29">
        <f>Summary!D32</f>
        <v>15.67624</v>
      </c>
      <c r="E30" s="4" t="str">
        <f>Summary!E32</f>
        <v>MtCO2e</v>
      </c>
    </row>
    <row r="31" spans="1:5" ht="15" customHeight="1" x14ac:dyDescent="0.2">
      <c r="A31" s="28">
        <f>Summary!A33</f>
        <v>2024</v>
      </c>
      <c r="B31" s="4" t="str">
        <f>Summary!B33</f>
        <v>BAU</v>
      </c>
      <c r="C31" s="4" t="str">
        <f>Summary!C33</f>
        <v>Venting</v>
      </c>
      <c r="D31" s="29">
        <f>Summary!D33</f>
        <v>15.721238160046342</v>
      </c>
      <c r="E31" s="4" t="str">
        <f>Summary!E33</f>
        <v>MtCO2e</v>
      </c>
    </row>
    <row r="32" spans="1:5" ht="15" customHeight="1" x14ac:dyDescent="0.2">
      <c r="A32" s="28">
        <f>Summary!A34</f>
        <v>2025</v>
      </c>
      <c r="B32" s="4" t="str">
        <f>Summary!B34</f>
        <v>BAU</v>
      </c>
      <c r="C32" s="4" t="str">
        <f>Summary!C34</f>
        <v>Venting</v>
      </c>
      <c r="D32" s="29">
        <f>Summary!D34</f>
        <v>15.745493018461996</v>
      </c>
      <c r="E32" s="4" t="str">
        <f>Summary!E34</f>
        <v>MtCO2e</v>
      </c>
    </row>
    <row r="33" spans="1:5" ht="15" customHeight="1" x14ac:dyDescent="0.2">
      <c r="A33" s="28">
        <f>Summary!A35</f>
        <v>2026</v>
      </c>
      <c r="B33" s="4" t="str">
        <f>Summary!B35</f>
        <v>BAU</v>
      </c>
      <c r="C33" s="4" t="str">
        <f>Summary!C35</f>
        <v>Venting</v>
      </c>
      <c r="D33" s="29">
        <f>Summary!D35</f>
        <v>16.26219771599159</v>
      </c>
      <c r="E33" s="4" t="str">
        <f>Summary!E35</f>
        <v>MtCO2e</v>
      </c>
    </row>
    <row r="34" spans="1:5" ht="15" customHeight="1" x14ac:dyDescent="0.2">
      <c r="A34" s="28">
        <f>Summary!A36</f>
        <v>2027</v>
      </c>
      <c r="B34" s="4" t="str">
        <f>Summary!B36</f>
        <v>BAU</v>
      </c>
      <c r="C34" s="4" t="str">
        <f>Summary!C36</f>
        <v>Venting</v>
      </c>
      <c r="D34" s="29">
        <f>Summary!D36</f>
        <v>16.730890555064448</v>
      </c>
      <c r="E34" s="4" t="str">
        <f>Summary!E36</f>
        <v>MtCO2e</v>
      </c>
    </row>
    <row r="35" spans="1:5" ht="15" customHeight="1" x14ac:dyDescent="0.2">
      <c r="A35" s="28">
        <f>Summary!A37</f>
        <v>2028</v>
      </c>
      <c r="B35" s="4" t="str">
        <f>Summary!B37</f>
        <v>BAU</v>
      </c>
      <c r="C35" s="4" t="str">
        <f>Summary!C37</f>
        <v>Venting</v>
      </c>
      <c r="D35" s="29">
        <f>Summary!D37</f>
        <v>17.102304246803666</v>
      </c>
      <c r="E35" s="4" t="str">
        <f>Summary!E37</f>
        <v>MtCO2e</v>
      </c>
    </row>
    <row r="36" spans="1:5" ht="15" customHeight="1" x14ac:dyDescent="0.2">
      <c r="A36" s="28">
        <f>Summary!A38</f>
        <v>2029</v>
      </c>
      <c r="B36" s="4" t="str">
        <f>Summary!B38</f>
        <v>BAU</v>
      </c>
      <c r="C36" s="4" t="str">
        <f>Summary!C38</f>
        <v>Venting</v>
      </c>
      <c r="D36" s="29">
        <f>Summary!D38</f>
        <v>17.338510360856802</v>
      </c>
      <c r="E36" s="4" t="str">
        <f>Summary!E38</f>
        <v>MtCO2e</v>
      </c>
    </row>
    <row r="37" spans="1:5" ht="15" customHeight="1" x14ac:dyDescent="0.2">
      <c r="A37" s="28">
        <f>Summary!A39</f>
        <v>2030</v>
      </c>
      <c r="B37" s="4" t="str">
        <f>Summary!B39</f>
        <v>BAU</v>
      </c>
      <c r="C37" s="4" t="str">
        <f>Summary!C39</f>
        <v>Venting</v>
      </c>
      <c r="D37" s="29">
        <f>Summary!D39</f>
        <v>17.414389576445195</v>
      </c>
      <c r="E37" s="4" t="str">
        <f>Summary!E39</f>
        <v>MtCO2e</v>
      </c>
    </row>
    <row r="38" spans="1:5" ht="15" customHeight="1" x14ac:dyDescent="0.2">
      <c r="A38" s="28">
        <f>Summary!A40</f>
        <v>2031</v>
      </c>
      <c r="B38" s="4" t="str">
        <f>Summary!B40</f>
        <v>BAU</v>
      </c>
      <c r="C38" s="4" t="str">
        <f>Summary!C40</f>
        <v>Venting</v>
      </c>
      <c r="D38" s="29">
        <f>Summary!D40</f>
        <v>17.320072608368257</v>
      </c>
      <c r="E38" s="4" t="str">
        <f>Summary!E40</f>
        <v>MtCO2e</v>
      </c>
    </row>
    <row r="39" spans="1:5" ht="15" customHeight="1" x14ac:dyDescent="0.2">
      <c r="A39" s="28">
        <f>Summary!A41</f>
        <v>2032</v>
      </c>
      <c r="B39" s="4" t="str">
        <f>Summary!B41</f>
        <v>BAU</v>
      </c>
      <c r="C39" s="4" t="str">
        <f>Summary!C41</f>
        <v>Venting</v>
      </c>
      <c r="D39" s="29">
        <f>Summary!D41</f>
        <v>17.064835891597166</v>
      </c>
      <c r="E39" s="4" t="str">
        <f>Summary!E41</f>
        <v>MtCO2e</v>
      </c>
    </row>
    <row r="40" spans="1:5" ht="15" customHeight="1" x14ac:dyDescent="0.2">
      <c r="A40" s="28">
        <f>Summary!A42</f>
        <v>2033</v>
      </c>
      <c r="B40" s="4" t="str">
        <f>Summary!B42</f>
        <v>BAU</v>
      </c>
      <c r="C40" s="4" t="str">
        <f>Summary!C42</f>
        <v>Venting</v>
      </c>
      <c r="D40" s="29">
        <f>Summary!D42</f>
        <v>16.668473978539065</v>
      </c>
      <c r="E40" s="4" t="str">
        <f>Summary!E42</f>
        <v>MtCO2e</v>
      </c>
    </row>
    <row r="41" spans="1:5" ht="15" customHeight="1" x14ac:dyDescent="0.2">
      <c r="A41" s="28">
        <f>Summary!A43</f>
        <v>2034</v>
      </c>
      <c r="B41" s="4" t="str">
        <f>Summary!B43</f>
        <v>BAU</v>
      </c>
      <c r="C41" s="4" t="str">
        <f>Summary!C43</f>
        <v>Venting</v>
      </c>
      <c r="D41" s="29">
        <f>Summary!D43</f>
        <v>16.155069933031275</v>
      </c>
      <c r="E41" s="4" t="str">
        <f>Summary!E43</f>
        <v>MtCO2e</v>
      </c>
    </row>
    <row r="42" spans="1:5" ht="15" customHeight="1" x14ac:dyDescent="0.2">
      <c r="A42" s="28">
        <f>Summary!A44</f>
        <v>2035</v>
      </c>
      <c r="B42" s="4" t="str">
        <f>Summary!B44</f>
        <v>BAU</v>
      </c>
      <c r="C42" s="4" t="str">
        <f>Summary!C44</f>
        <v>Venting</v>
      </c>
      <c r="D42" s="29">
        <f>Summary!D44</f>
        <v>15.548827951448544</v>
      </c>
      <c r="E42" s="4" t="str">
        <f>Summary!E44</f>
        <v>MtCO2e</v>
      </c>
    </row>
    <row r="43" spans="1:5" ht="15" customHeight="1" x14ac:dyDescent="0.2">
      <c r="A43" s="28">
        <f>Summary!A45</f>
        <v>2036</v>
      </c>
      <c r="B43" s="4" t="str">
        <f>Summary!B45</f>
        <v>BAU</v>
      </c>
      <c r="C43" s="4" t="str">
        <f>Summary!C45</f>
        <v>Venting</v>
      </c>
      <c r="D43" s="29">
        <f>Summary!D45</f>
        <v>14.871560844629334</v>
      </c>
      <c r="E43" s="4" t="str">
        <f>Summary!E45</f>
        <v>MtCO2e</v>
      </c>
    </row>
    <row r="44" spans="1:5" ht="15" customHeight="1" x14ac:dyDescent="0.2">
      <c r="A44" s="28">
        <f>Summary!A46</f>
        <v>2037</v>
      </c>
      <c r="B44" s="4" t="str">
        <f>Summary!B46</f>
        <v>BAU</v>
      </c>
      <c r="C44" s="4" t="str">
        <f>Summary!C46</f>
        <v>Venting</v>
      </c>
      <c r="D44" s="29">
        <f>Summary!D46</f>
        <v>14.141422879873993</v>
      </c>
      <c r="E44" s="4" t="str">
        <f>Summary!E46</f>
        <v>MtCO2e</v>
      </c>
    </row>
    <row r="45" spans="1:5" ht="15" customHeight="1" x14ac:dyDescent="0.2">
      <c r="A45" s="28">
        <f>Summary!A47</f>
        <v>2038</v>
      </c>
      <c r="B45" s="4" t="str">
        <f>Summary!B47</f>
        <v>BAU</v>
      </c>
      <c r="C45" s="4" t="str">
        <f>Summary!C47</f>
        <v>Venting</v>
      </c>
      <c r="D45" s="29">
        <f>Summary!D47</f>
        <v>13.37251821555089</v>
      </c>
      <c r="E45" s="4" t="str">
        <f>Summary!E47</f>
        <v>MtCO2e</v>
      </c>
    </row>
    <row r="46" spans="1:5" ht="15" customHeight="1" x14ac:dyDescent="0.2">
      <c r="A46" s="28">
        <f>Summary!A48</f>
        <v>2039</v>
      </c>
      <c r="B46" s="4" t="str">
        <f>Summary!B48</f>
        <v>BAU</v>
      </c>
      <c r="C46" s="4" t="str">
        <f>Summary!C48</f>
        <v>Venting</v>
      </c>
      <c r="D46" s="29">
        <f>Summary!D48</f>
        <v>12.575076010877041</v>
      </c>
      <c r="E46" s="4" t="str">
        <f>Summary!E48</f>
        <v>MtCO2e</v>
      </c>
    </row>
    <row r="47" spans="1:5" ht="15" customHeight="1" x14ac:dyDescent="0.2">
      <c r="A47" s="28">
        <f>Summary!A49</f>
        <v>2040</v>
      </c>
      <c r="B47" s="4" t="str">
        <f>Summary!B49</f>
        <v>BAU</v>
      </c>
      <c r="C47" s="4" t="str">
        <f>Summary!C49</f>
        <v>Venting</v>
      </c>
      <c r="D47" s="29">
        <f>Summary!D49</f>
        <v>11.755950671828895</v>
      </c>
      <c r="E47" s="4" t="str">
        <f>Summary!E49</f>
        <v>MtCO2e</v>
      </c>
    </row>
    <row r="48" spans="1:5" ht="15" customHeight="1" x14ac:dyDescent="0.2">
      <c r="A48" s="28">
        <f>Summary!A50</f>
        <v>2041</v>
      </c>
      <c r="B48" s="4" t="str">
        <f>Summary!B50</f>
        <v>BAU</v>
      </c>
      <c r="C48" s="4" t="str">
        <f>Summary!C50</f>
        <v>Venting</v>
      </c>
      <c r="D48" s="29">
        <f>Summary!D50</f>
        <v>10.919270152958502</v>
      </c>
      <c r="E48" s="4" t="str">
        <f>Summary!E50</f>
        <v>MtCO2e</v>
      </c>
    </row>
    <row r="49" spans="1:5" ht="15" customHeight="1" x14ac:dyDescent="0.2">
      <c r="A49" s="28">
        <f>Summary!A51</f>
        <v>2042</v>
      </c>
      <c r="B49" s="4" t="str">
        <f>Summary!B51</f>
        <v>BAU</v>
      </c>
      <c r="C49" s="4" t="str">
        <f>Summary!C51</f>
        <v>Venting</v>
      </c>
      <c r="D49" s="29">
        <f>Summary!D51</f>
        <v>10.067213570215966</v>
      </c>
      <c r="E49" s="4" t="str">
        <f>Summary!E51</f>
        <v>MtCO2e</v>
      </c>
    </row>
    <row r="50" spans="1:5" ht="15" customHeight="1" x14ac:dyDescent="0.2">
      <c r="A50" s="28">
        <f>Summary!A52</f>
        <v>2043</v>
      </c>
      <c r="B50" s="4" t="str">
        <f>Summary!B52</f>
        <v>BAU</v>
      </c>
      <c r="C50" s="4" t="str">
        <f>Summary!C52</f>
        <v>Venting</v>
      </c>
      <c r="D50" s="29">
        <f>Summary!D52</f>
        <v>9.200799436044985</v>
      </c>
      <c r="E50" s="4" t="str">
        <f>Summary!E52</f>
        <v>MtCO2e</v>
      </c>
    </row>
    <row r="51" spans="1:5" ht="15" customHeight="1" x14ac:dyDescent="0.2">
      <c r="A51" s="28">
        <f>Summary!A53</f>
        <v>2044</v>
      </c>
      <c r="B51" s="4" t="str">
        <f>Summary!B53</f>
        <v>BAU</v>
      </c>
      <c r="C51" s="4" t="str">
        <f>Summary!C53</f>
        <v>Venting</v>
      </c>
      <c r="D51" s="29">
        <f>Summary!D53</f>
        <v>8.3205652448813154</v>
      </c>
      <c r="E51" s="4" t="str">
        <f>Summary!E53</f>
        <v>MtCO2e</v>
      </c>
    </row>
    <row r="52" spans="1:5" ht="15" customHeight="1" x14ac:dyDescent="0.2">
      <c r="A52" s="28">
        <f>Summary!A54</f>
        <v>2045</v>
      </c>
      <c r="B52" s="4" t="str">
        <f>Summary!B54</f>
        <v>BAU</v>
      </c>
      <c r="C52" s="4" t="str">
        <f>Summary!C54</f>
        <v>Venting</v>
      </c>
      <c r="D52" s="29">
        <f>Summary!D54</f>
        <v>7.4271128938107136</v>
      </c>
      <c r="E52" s="4" t="str">
        <f>Summary!E54</f>
        <v>MtCO2e</v>
      </c>
    </row>
    <row r="53" spans="1:5" ht="15" customHeight="1" x14ac:dyDescent="0.2">
      <c r="A53" s="28">
        <f>Summary!A55</f>
        <v>2046</v>
      </c>
      <c r="B53" s="4" t="str">
        <f>Summary!B55</f>
        <v>BAU</v>
      </c>
      <c r="C53" s="4" t="str">
        <f>Summary!C55</f>
        <v>Venting</v>
      </c>
      <c r="D53" s="29">
        <f>Summary!D55</f>
        <v>6.5215022375582308</v>
      </c>
      <c r="E53" s="4" t="str">
        <f>Summary!E55</f>
        <v>MtCO2e</v>
      </c>
    </row>
    <row r="54" spans="1:5" ht="15" customHeight="1" x14ac:dyDescent="0.2">
      <c r="A54" s="28">
        <f>Summary!A56</f>
        <v>2047</v>
      </c>
      <c r="B54" s="4" t="str">
        <f>Summary!B56</f>
        <v>BAU</v>
      </c>
      <c r="C54" s="4" t="str">
        <f>Summary!C56</f>
        <v>Venting</v>
      </c>
      <c r="D54" s="29">
        <f>Summary!D56</f>
        <v>5.6054737961335253</v>
      </c>
      <c r="E54" s="4" t="str">
        <f>Summary!E56</f>
        <v>MtCO2e</v>
      </c>
    </row>
    <row r="55" spans="1:5" ht="15" customHeight="1" x14ac:dyDescent="0.2">
      <c r="A55" s="28">
        <f>Summary!A57</f>
        <v>2048</v>
      </c>
      <c r="B55" s="4" t="str">
        <f>Summary!B57</f>
        <v>BAU</v>
      </c>
      <c r="C55" s="4" t="str">
        <f>Summary!C57</f>
        <v>Venting</v>
      </c>
      <c r="D55" s="29">
        <f>Summary!D57</f>
        <v>4.6814737887024798</v>
      </c>
      <c r="E55" s="4" t="str">
        <f>Summary!E57</f>
        <v>MtCO2e</v>
      </c>
    </row>
    <row r="56" spans="1:5" ht="15" customHeight="1" x14ac:dyDescent="0.2">
      <c r="A56" s="28">
        <f>Summary!A58</f>
        <v>2049</v>
      </c>
      <c r="B56" s="4" t="str">
        <f>Summary!B58</f>
        <v>BAU</v>
      </c>
      <c r="C56" s="4" t="str">
        <f>Summary!C58</f>
        <v>Venting</v>
      </c>
      <c r="D56" s="29">
        <f>Summary!D58</f>
        <v>3.7524431061174703</v>
      </c>
      <c r="E56" s="4" t="str">
        <f>Summary!E58</f>
        <v>MtCO2e</v>
      </c>
    </row>
    <row r="57" spans="1:5" ht="15" customHeight="1" x14ac:dyDescent="0.2">
      <c r="A57" s="28">
        <f>Summary!A59</f>
        <v>2050</v>
      </c>
      <c r="B57" s="4" t="str">
        <f>Summary!B59</f>
        <v>BAU</v>
      </c>
      <c r="C57" s="4" t="str">
        <f>Summary!C59</f>
        <v>Venting</v>
      </c>
      <c r="D57" s="29">
        <f>Summary!D59</f>
        <v>2.8213198498065131</v>
      </c>
      <c r="E57" s="4" t="str">
        <f>Summary!E59</f>
        <v>MtCO2e</v>
      </c>
    </row>
    <row r="58" spans="1:5" ht="15" customHeight="1" x14ac:dyDescent="0.2">
      <c r="A58" s="28">
        <f>Summary!A60</f>
        <v>2023</v>
      </c>
      <c r="B58" s="4" t="str">
        <f>Summary!B60</f>
        <v>BAU</v>
      </c>
      <c r="C58" s="4" t="str">
        <f>Summary!C60</f>
        <v>Flaring</v>
      </c>
      <c r="D58" s="29">
        <f>Summary!D60</f>
        <v>6.2704959999999996</v>
      </c>
      <c r="E58" s="4" t="str">
        <f>Summary!E60</f>
        <v>MtCO2e</v>
      </c>
    </row>
    <row r="59" spans="1:5" ht="15" customHeight="1" x14ac:dyDescent="0.2">
      <c r="A59" s="28">
        <f>Summary!A61</f>
        <v>2024</v>
      </c>
      <c r="B59" s="4" t="str">
        <f>Summary!B61</f>
        <v>BAU</v>
      </c>
      <c r="C59" s="4" t="str">
        <f>Summary!C61</f>
        <v>Flaring</v>
      </c>
      <c r="D59" s="29">
        <f>Summary!D61</f>
        <v>6.2913515251461725</v>
      </c>
      <c r="E59" s="4" t="str">
        <f>Summary!E61</f>
        <v>MtCO2e</v>
      </c>
    </row>
    <row r="60" spans="1:5" ht="15" customHeight="1" x14ac:dyDescent="0.2">
      <c r="A60" s="28">
        <f>Summary!A62</f>
        <v>2025</v>
      </c>
      <c r="B60" s="4" t="str">
        <f>Summary!B62</f>
        <v>BAU</v>
      </c>
      <c r="C60" s="4" t="str">
        <f>Summary!C62</f>
        <v>Flaring</v>
      </c>
      <c r="D60" s="29">
        <f>Summary!D62</f>
        <v>6.3020224517049908</v>
      </c>
      <c r="E60" s="4" t="str">
        <f>Summary!E62</f>
        <v>MtCO2e</v>
      </c>
    </row>
    <row r="61" spans="1:5" ht="15" customHeight="1" x14ac:dyDescent="0.2">
      <c r="A61" s="28">
        <f>Summary!A63</f>
        <v>2026</v>
      </c>
      <c r="B61" s="4" t="str">
        <f>Summary!B63</f>
        <v>BAU</v>
      </c>
      <c r="C61" s="4" t="str">
        <f>Summary!C63</f>
        <v>Flaring</v>
      </c>
      <c r="D61" s="29">
        <f>Summary!D63</f>
        <v>7.6133347025133533</v>
      </c>
      <c r="E61" s="4" t="str">
        <f>Summary!E63</f>
        <v>MtCO2e</v>
      </c>
    </row>
    <row r="62" spans="1:5" ht="15" customHeight="1" x14ac:dyDescent="0.2">
      <c r="A62" s="28">
        <f>Summary!A64</f>
        <v>2027</v>
      </c>
      <c r="B62" s="4" t="str">
        <f>Summary!B64</f>
        <v>BAU</v>
      </c>
      <c r="C62" s="4" t="str">
        <f>Summary!C64</f>
        <v>Flaring</v>
      </c>
      <c r="D62" s="29">
        <f>Summary!D64</f>
        <v>8.0973357943553683</v>
      </c>
      <c r="E62" s="4" t="str">
        <f>Summary!E64</f>
        <v>MtCO2e</v>
      </c>
    </row>
    <row r="63" spans="1:5" ht="15" customHeight="1" x14ac:dyDescent="0.2">
      <c r="A63" s="28">
        <f>Summary!A65</f>
        <v>2028</v>
      </c>
      <c r="B63" s="4" t="str">
        <f>Summary!B65</f>
        <v>BAU</v>
      </c>
      <c r="C63" s="4" t="str">
        <f>Summary!C65</f>
        <v>Flaring</v>
      </c>
      <c r="D63" s="29">
        <f>Summary!D65</f>
        <v>9.1742311689267044</v>
      </c>
      <c r="E63" s="4" t="str">
        <f>Summary!E65</f>
        <v>MtCO2e</v>
      </c>
    </row>
    <row r="64" spans="1:5" ht="15" customHeight="1" x14ac:dyDescent="0.2">
      <c r="A64" s="28">
        <f>Summary!A66</f>
        <v>2029</v>
      </c>
      <c r="B64" s="4" t="str">
        <f>Summary!B66</f>
        <v>BAU</v>
      </c>
      <c r="C64" s="4" t="str">
        <f>Summary!C66</f>
        <v>Flaring</v>
      </c>
      <c r="D64" s="29">
        <f>Summary!D66</f>
        <v>10.339134623164217</v>
      </c>
      <c r="E64" s="4" t="str">
        <f>Summary!E66</f>
        <v>MtCO2e</v>
      </c>
    </row>
    <row r="65" spans="1:5" ht="15" customHeight="1" x14ac:dyDescent="0.2">
      <c r="A65" s="28">
        <f>Summary!A67</f>
        <v>2030</v>
      </c>
      <c r="B65" s="4" t="str">
        <f>Summary!B67</f>
        <v>BAU</v>
      </c>
      <c r="C65" s="4" t="str">
        <f>Summary!C67</f>
        <v>Flaring</v>
      </c>
      <c r="D65" s="29">
        <f>Summary!D67</f>
        <v>11.586339432720507</v>
      </c>
      <c r="E65" s="4" t="str">
        <f>Summary!E67</f>
        <v>MtCO2e</v>
      </c>
    </row>
    <row r="66" spans="1:5" ht="15" customHeight="1" x14ac:dyDescent="0.2">
      <c r="A66" s="28">
        <f>Summary!A68</f>
        <v>2031</v>
      </c>
      <c r="B66" s="4" t="str">
        <f>Summary!B68</f>
        <v>BAU</v>
      </c>
      <c r="C66" s="4" t="str">
        <f>Summary!C68</f>
        <v>Flaring</v>
      </c>
      <c r="D66" s="29">
        <f>Summary!D68</f>
        <v>12.416791087598595</v>
      </c>
      <c r="E66" s="4" t="str">
        <f>Summary!E68</f>
        <v>MtCO2e</v>
      </c>
    </row>
    <row r="67" spans="1:5" ht="15" customHeight="1" x14ac:dyDescent="0.2">
      <c r="A67" s="28">
        <f>Summary!A69</f>
        <v>2032</v>
      </c>
      <c r="B67" s="4" t="str">
        <f>Summary!B69</f>
        <v>BAU</v>
      </c>
      <c r="C67" s="4" t="str">
        <f>Summary!C69</f>
        <v>Flaring</v>
      </c>
      <c r="D67" s="29">
        <f>Summary!D69</f>
        <v>13.268254402891788</v>
      </c>
      <c r="E67" s="4" t="str">
        <f>Summary!E69</f>
        <v>MtCO2e</v>
      </c>
    </row>
    <row r="68" spans="1:5" ht="15" customHeight="1" x14ac:dyDescent="0.2">
      <c r="A68" s="28">
        <f>Summary!A70</f>
        <v>2033</v>
      </c>
      <c r="B68" s="4" t="str">
        <f>Summary!B70</f>
        <v>BAU</v>
      </c>
      <c r="C68" s="4" t="str">
        <f>Summary!C70</f>
        <v>Flaring</v>
      </c>
      <c r="D68" s="29">
        <f>Summary!D70</f>
        <v>14.141225355492093</v>
      </c>
      <c r="E68" s="4" t="str">
        <f>Summary!E70</f>
        <v>MtCO2e</v>
      </c>
    </row>
    <row r="69" spans="1:5" ht="15" customHeight="1" x14ac:dyDescent="0.2">
      <c r="A69" s="28">
        <f>Summary!A71</f>
        <v>2034</v>
      </c>
      <c r="B69" s="4" t="str">
        <f>Summary!B71</f>
        <v>BAU</v>
      </c>
      <c r="C69" s="4" t="str">
        <f>Summary!C71</f>
        <v>Flaring</v>
      </c>
      <c r="D69" s="29">
        <f>Summary!D71</f>
        <v>15.036211405091976</v>
      </c>
      <c r="E69" s="4" t="str">
        <f>Summary!E71</f>
        <v>MtCO2e</v>
      </c>
    </row>
    <row r="70" spans="1:5" ht="15" customHeight="1" x14ac:dyDescent="0.2">
      <c r="A70" s="28">
        <f>Summary!A72</f>
        <v>2035</v>
      </c>
      <c r="B70" s="4" t="str">
        <f>Summary!B72</f>
        <v>BAU</v>
      </c>
      <c r="C70" s="4" t="str">
        <f>Summary!C72</f>
        <v>Flaring</v>
      </c>
      <c r="D70" s="29">
        <f>Summary!D72</f>
        <v>15.953732064187022</v>
      </c>
      <c r="E70" s="4" t="str">
        <f>Summary!E72</f>
        <v>MtCO2e</v>
      </c>
    </row>
    <row r="71" spans="1:5" ht="15" customHeight="1" x14ac:dyDescent="0.2">
      <c r="A71" s="28">
        <f>Summary!A73</f>
        <v>2036</v>
      </c>
      <c r="B71" s="4" t="str">
        <f>Summary!B73</f>
        <v>BAU</v>
      </c>
      <c r="C71" s="4" t="str">
        <f>Summary!C73</f>
        <v>Flaring</v>
      </c>
      <c r="D71" s="29">
        <f>Summary!D73</f>
        <v>16.894318937684275</v>
      </c>
      <c r="E71" s="4" t="str">
        <f>Summary!E73</f>
        <v>MtCO2e</v>
      </c>
    </row>
    <row r="72" spans="1:5" ht="15" customHeight="1" x14ac:dyDescent="0.2">
      <c r="A72" s="28">
        <f>Summary!A74</f>
        <v>2037</v>
      </c>
      <c r="B72" s="4" t="str">
        <f>Summary!B74</f>
        <v>BAU</v>
      </c>
      <c r="C72" s="4" t="str">
        <f>Summary!C74</f>
        <v>Flaring</v>
      </c>
      <c r="D72" s="29">
        <f>Summary!D74</f>
        <v>17.85851591124537</v>
      </c>
      <c r="E72" s="4" t="str">
        <f>Summary!E74</f>
        <v>MtCO2e</v>
      </c>
    </row>
    <row r="73" spans="1:5" ht="15" customHeight="1" x14ac:dyDescent="0.2">
      <c r="A73" s="28">
        <f>Summary!A75</f>
        <v>2038</v>
      </c>
      <c r="B73" s="4" t="str">
        <f>Summary!B75</f>
        <v>BAU</v>
      </c>
      <c r="C73" s="4" t="str">
        <f>Summary!C75</f>
        <v>Flaring</v>
      </c>
      <c r="D73" s="29">
        <f>Summary!D75</f>
        <v>18.846879654282031</v>
      </c>
      <c r="E73" s="4" t="str">
        <f>Summary!E75</f>
        <v>MtCO2e</v>
      </c>
    </row>
    <row r="74" spans="1:5" ht="15" customHeight="1" x14ac:dyDescent="0.2">
      <c r="A74" s="28">
        <f>Summary!A76</f>
        <v>2039</v>
      </c>
      <c r="B74" s="4" t="str">
        <f>Summary!B76</f>
        <v>BAU</v>
      </c>
      <c r="C74" s="4" t="str">
        <f>Summary!C76</f>
        <v>Flaring</v>
      </c>
      <c r="D74" s="29">
        <f>Summary!D76</f>
        <v>19.859980044000771</v>
      </c>
      <c r="E74" s="4" t="str">
        <f>Summary!E76</f>
        <v>MtCO2e</v>
      </c>
    </row>
    <row r="75" spans="1:5" ht="15" customHeight="1" x14ac:dyDescent="0.2">
      <c r="A75" s="28">
        <f>Summary!A77</f>
        <v>2040</v>
      </c>
      <c r="B75" s="4" t="str">
        <f>Summary!B77</f>
        <v>BAU</v>
      </c>
      <c r="C75" s="4" t="str">
        <f>Summary!C77</f>
        <v>Flaring</v>
      </c>
      <c r="D75" s="29">
        <f>Summary!D77</f>
        <v>20.906939507815643</v>
      </c>
      <c r="E75" s="4" t="str">
        <f>Summary!E77</f>
        <v>MtCO2e</v>
      </c>
    </row>
    <row r="76" spans="1:5" ht="15" customHeight="1" x14ac:dyDescent="0.2">
      <c r="A76" s="28">
        <f>Summary!A78</f>
        <v>2041</v>
      </c>
      <c r="B76" s="4" t="str">
        <f>Summary!B78</f>
        <v>BAU</v>
      </c>
      <c r="C76" s="4" t="str">
        <f>Summary!C78</f>
        <v>Flaring</v>
      </c>
      <c r="D76" s="29">
        <f>Summary!D78</f>
        <v>21.987178838414273</v>
      </c>
      <c r="E76" s="4" t="str">
        <f>Summary!E78</f>
        <v>MtCO2e</v>
      </c>
    </row>
    <row r="77" spans="1:5" ht="15" customHeight="1" x14ac:dyDescent="0.2">
      <c r="A77" s="28">
        <f>Summary!A79</f>
        <v>2042</v>
      </c>
      <c r="B77" s="4" t="str">
        <f>Summary!B79</f>
        <v>BAU</v>
      </c>
      <c r="C77" s="4" t="str">
        <f>Summary!C79</f>
        <v>Flaring</v>
      </c>
      <c r="D77" s="29">
        <f>Summary!D79</f>
        <v>23.095769760713566</v>
      </c>
      <c r="E77" s="4" t="str">
        <f>Summary!E79</f>
        <v>MtCO2e</v>
      </c>
    </row>
    <row r="78" spans="1:5" ht="15" customHeight="1" x14ac:dyDescent="0.2">
      <c r="A78" s="28">
        <f>Summary!A80</f>
        <v>2043</v>
      </c>
      <c r="B78" s="4" t="str">
        <f>Summary!B80</f>
        <v>BAU</v>
      </c>
      <c r="C78" s="4" t="str">
        <f>Summary!C80</f>
        <v>Flaring</v>
      </c>
      <c r="D78" s="29">
        <f>Summary!D80</f>
        <v>24.233435170067708</v>
      </c>
      <c r="E78" s="4" t="str">
        <f>Summary!E80</f>
        <v>MtCO2e</v>
      </c>
    </row>
    <row r="79" spans="1:5" ht="15" customHeight="1" x14ac:dyDescent="0.2">
      <c r="A79" s="28">
        <f>Summary!A81</f>
        <v>2044</v>
      </c>
      <c r="B79" s="4" t="str">
        <f>Summary!B81</f>
        <v>BAU</v>
      </c>
      <c r="C79" s="4" t="str">
        <f>Summary!C81</f>
        <v>Flaring</v>
      </c>
      <c r="D79" s="29">
        <f>Summary!D81</f>
        <v>25.400916288939115</v>
      </c>
      <c r="E79" s="4" t="str">
        <f>Summary!E81</f>
        <v>MtCO2e</v>
      </c>
    </row>
    <row r="80" spans="1:5" ht="15" customHeight="1" x14ac:dyDescent="0.2">
      <c r="A80" s="28">
        <f>Summary!A82</f>
        <v>2045</v>
      </c>
      <c r="B80" s="4" t="str">
        <f>Summary!B82</f>
        <v>BAU</v>
      </c>
      <c r="C80" s="4" t="str">
        <f>Summary!C82</f>
        <v>Flaring</v>
      </c>
      <c r="D80" s="29">
        <f>Summary!D82</f>
        <v>26.598973090093061</v>
      </c>
      <c r="E80" s="4" t="str">
        <f>Summary!E82</f>
        <v>MtCO2e</v>
      </c>
    </row>
    <row r="81" spans="1:5" ht="15" customHeight="1" x14ac:dyDescent="0.2">
      <c r="A81" s="28">
        <f>Summary!A83</f>
        <v>2046</v>
      </c>
      <c r="B81" s="4" t="str">
        <f>Summary!B83</f>
        <v>BAU</v>
      </c>
      <c r="C81" s="4" t="str">
        <f>Summary!C83</f>
        <v>Flaring</v>
      </c>
      <c r="D81" s="29">
        <f>Summary!D83</f>
        <v>27.828384778101295</v>
      </c>
      <c r="E81" s="4" t="str">
        <f>Summary!E83</f>
        <v>MtCO2e</v>
      </c>
    </row>
    <row r="82" spans="1:5" ht="15" customHeight="1" x14ac:dyDescent="0.2">
      <c r="A82" s="28">
        <f>Summary!A84</f>
        <v>2047</v>
      </c>
      <c r="B82" s="4" t="str">
        <f>Summary!B84</f>
        <v>BAU</v>
      </c>
      <c r="C82" s="4" t="str">
        <f>Summary!C84</f>
        <v>Flaring</v>
      </c>
      <c r="D82" s="29">
        <f>Summary!D84</f>
        <v>29.089950348817737</v>
      </c>
      <c r="E82" s="4" t="str">
        <f>Summary!E84</f>
        <v>MtCO2e</v>
      </c>
    </row>
    <row r="83" spans="1:5" ht="15" customHeight="1" x14ac:dyDescent="0.2">
      <c r="A83" s="28">
        <f>Summary!A85</f>
        <v>2048</v>
      </c>
      <c r="B83" s="4" t="str">
        <f>Summary!B85</f>
        <v>BAU</v>
      </c>
      <c r="C83" s="4" t="str">
        <f>Summary!C85</f>
        <v>Flaring</v>
      </c>
      <c r="D83" s="29">
        <f>Summary!D85</f>
        <v>30.384488815334755</v>
      </c>
      <c r="E83" s="4" t="str">
        <f>Summary!E85</f>
        <v>MtCO2e</v>
      </c>
    </row>
    <row r="84" spans="1:5" ht="15" customHeight="1" x14ac:dyDescent="0.2">
      <c r="A84" s="28">
        <f>Summary!A86</f>
        <v>2049</v>
      </c>
      <c r="B84" s="4" t="str">
        <f>Summary!B86</f>
        <v>BAU</v>
      </c>
      <c r="C84" s="4" t="str">
        <f>Summary!C86</f>
        <v>Flaring</v>
      </c>
      <c r="D84" s="29">
        <f>Summary!D86</f>
        <v>31.712840048691348</v>
      </c>
      <c r="E84" s="4" t="str">
        <f>Summary!E86</f>
        <v>MtCO2e</v>
      </c>
    </row>
    <row r="85" spans="1:5" ht="15" customHeight="1" x14ac:dyDescent="0.2">
      <c r="A85" s="28">
        <f>Summary!A87</f>
        <v>2050</v>
      </c>
      <c r="B85" s="4" t="str">
        <f>Summary!B87</f>
        <v>BAU</v>
      </c>
      <c r="C85" s="4" t="str">
        <f>Summary!C87</f>
        <v>Flaring</v>
      </c>
      <c r="D85" s="29">
        <f>Summary!D87</f>
        <v>33.075864925792246</v>
      </c>
      <c r="E85" s="4" t="str">
        <f>Summary!E87</f>
        <v>MtCO2e</v>
      </c>
    </row>
    <row r="86" spans="1:5" ht="15" customHeight="1" x14ac:dyDescent="0.2">
      <c r="A86" s="28">
        <f>Summary!A88</f>
        <v>2023</v>
      </c>
      <c r="B86" s="4" t="str">
        <f>Summary!B88</f>
        <v>Unconditional</v>
      </c>
      <c r="C86" s="4" t="str">
        <f>Summary!C88</f>
        <v>Fugitive</v>
      </c>
      <c r="D86" s="29">
        <f>Summary!D88</f>
        <v>5.0812639999999991</v>
      </c>
      <c r="E86" s="4" t="str">
        <f>Summary!E88</f>
        <v>MtCO2e</v>
      </c>
    </row>
    <row r="87" spans="1:5" ht="15" customHeight="1" x14ac:dyDescent="0.2">
      <c r="A87" s="28">
        <f>Summary!A89</f>
        <v>2024</v>
      </c>
      <c r="B87" s="4" t="str">
        <f>Summary!B89</f>
        <v>Unconditional</v>
      </c>
      <c r="C87" s="4" t="str">
        <f>Summary!C89</f>
        <v>Fugitive</v>
      </c>
      <c r="D87" s="29">
        <f>Summary!D89</f>
        <v>5.0554929125757013</v>
      </c>
      <c r="E87" s="4" t="str">
        <f>Summary!E89</f>
        <v>MtCO2e</v>
      </c>
    </row>
    <row r="88" spans="1:5" ht="15" customHeight="1" x14ac:dyDescent="0.2">
      <c r="A88" s="28">
        <f>Summary!A90</f>
        <v>2025</v>
      </c>
      <c r="B88" s="4" t="str">
        <f>Summary!B90</f>
        <v>Unconditional</v>
      </c>
      <c r="C88" s="4" t="str">
        <f>Summary!C90</f>
        <v>Fugitive</v>
      </c>
      <c r="D88" s="29">
        <f>Summary!D90</f>
        <v>5.0622945995669477</v>
      </c>
      <c r="E88" s="4" t="str">
        <f>Summary!E90</f>
        <v>MtCO2e</v>
      </c>
    </row>
    <row r="89" spans="1:5" ht="15" customHeight="1" x14ac:dyDescent="0.2">
      <c r="A89" s="28">
        <f>Summary!A91</f>
        <v>2026</v>
      </c>
      <c r="B89" s="4" t="str">
        <f>Summary!B91</f>
        <v>Unconditional</v>
      </c>
      <c r="C89" s="4" t="str">
        <f>Summary!C91</f>
        <v>Fugitive</v>
      </c>
      <c r="D89" s="29">
        <f>Summary!D91</f>
        <v>5.8302237384679616</v>
      </c>
      <c r="E89" s="4" t="str">
        <f>Summary!E91</f>
        <v>MtCO2e</v>
      </c>
    </row>
    <row r="90" spans="1:5" ht="15" customHeight="1" x14ac:dyDescent="0.2">
      <c r="A90" s="28">
        <f>Summary!A92</f>
        <v>2027</v>
      </c>
      <c r="B90" s="4" t="str">
        <f>Summary!B92</f>
        <v>Unconditional</v>
      </c>
      <c r="C90" s="4" t="str">
        <f>Summary!C92</f>
        <v>Fugitive</v>
      </c>
      <c r="D90" s="29">
        <f>Summary!D92</f>
        <v>5.8805971559034429</v>
      </c>
      <c r="E90" s="4" t="str">
        <f>Summary!E92</f>
        <v>MtCO2e</v>
      </c>
    </row>
    <row r="91" spans="1:5" ht="15" customHeight="1" x14ac:dyDescent="0.2">
      <c r="A91" s="28">
        <f>Summary!A93</f>
        <v>2028</v>
      </c>
      <c r="B91" s="4" t="str">
        <f>Summary!B93</f>
        <v>Unconditional</v>
      </c>
      <c r="C91" s="4" t="str">
        <f>Summary!C93</f>
        <v>Fugitive</v>
      </c>
      <c r="D91" s="29">
        <f>Summary!D93</f>
        <v>5.8961376400055379</v>
      </c>
      <c r="E91" s="4" t="str">
        <f>Summary!E93</f>
        <v>MtCO2e</v>
      </c>
    </row>
    <row r="92" spans="1:5" ht="15" customHeight="1" x14ac:dyDescent="0.2">
      <c r="A92" s="28">
        <f>Summary!A94</f>
        <v>2029</v>
      </c>
      <c r="B92" s="4" t="str">
        <f>Summary!B94</f>
        <v>Unconditional</v>
      </c>
      <c r="C92" s="4" t="str">
        <f>Summary!C94</f>
        <v>Fugitive</v>
      </c>
      <c r="D92" s="29">
        <f>Summary!D94</f>
        <v>5.8762266125440599</v>
      </c>
      <c r="E92" s="4" t="str">
        <f>Summary!E94</f>
        <v>MtCO2e</v>
      </c>
    </row>
    <row r="93" spans="1:5" ht="15" customHeight="1" x14ac:dyDescent="0.2">
      <c r="A93" s="28">
        <f>Summary!A95</f>
        <v>2030</v>
      </c>
      <c r="B93" s="4" t="str">
        <f>Summary!B95</f>
        <v>Unconditional</v>
      </c>
      <c r="C93" s="4" t="str">
        <f>Summary!C95</f>
        <v>Fugitive</v>
      </c>
      <c r="D93" s="29">
        <f>Summary!D95</f>
        <v>5.8313374143293748</v>
      </c>
      <c r="E93" s="4" t="str">
        <f>Summary!E95</f>
        <v>MtCO2e</v>
      </c>
    </row>
    <row r="94" spans="1:5" ht="15" customHeight="1" x14ac:dyDescent="0.2">
      <c r="A94" s="28">
        <f>Summary!A96</f>
        <v>2031</v>
      </c>
      <c r="B94" s="4" t="str">
        <f>Summary!B96</f>
        <v>Unconditional</v>
      </c>
      <c r="C94" s="4" t="str">
        <f>Summary!C96</f>
        <v>Fugitive</v>
      </c>
      <c r="D94" s="29">
        <f>Summary!D96</f>
        <v>5.5355106496291047</v>
      </c>
      <c r="E94" s="4" t="str">
        <f>Summary!E96</f>
        <v>MtCO2e</v>
      </c>
    </row>
    <row r="95" spans="1:5" ht="15" customHeight="1" x14ac:dyDescent="0.2">
      <c r="A95" s="28">
        <f>Summary!A97</f>
        <v>2032</v>
      </c>
      <c r="B95" s="4" t="str">
        <f>Summary!B97</f>
        <v>Unconditional</v>
      </c>
      <c r="C95" s="4" t="str">
        <f>Summary!C97</f>
        <v>Fugitive</v>
      </c>
      <c r="D95" s="29">
        <f>Summary!D97</f>
        <v>5.2440168821295661</v>
      </c>
      <c r="E95" s="4" t="str">
        <f>Summary!E97</f>
        <v>MtCO2e</v>
      </c>
    </row>
    <row r="96" spans="1:5" ht="15" customHeight="1" x14ac:dyDescent="0.2">
      <c r="A96" s="28">
        <f>Summary!A98</f>
        <v>2033</v>
      </c>
      <c r="B96" s="4" t="str">
        <f>Summary!B98</f>
        <v>Unconditional</v>
      </c>
      <c r="C96" s="4" t="str">
        <f>Summary!C98</f>
        <v>Fugitive</v>
      </c>
      <c r="D96" s="29">
        <f>Summary!D98</f>
        <v>4.9569560464703928</v>
      </c>
      <c r="E96" s="4" t="str">
        <f>Summary!E98</f>
        <v>MtCO2e</v>
      </c>
    </row>
    <row r="97" spans="1:5" ht="15" customHeight="1" x14ac:dyDescent="0.2">
      <c r="A97" s="28">
        <f>Summary!A99</f>
        <v>2034</v>
      </c>
      <c r="B97" s="4" t="str">
        <f>Summary!B99</f>
        <v>Unconditional</v>
      </c>
      <c r="C97" s="4" t="str">
        <f>Summary!C99</f>
        <v>Fugitive</v>
      </c>
      <c r="D97" s="29">
        <f>Summary!D99</f>
        <v>4.6744521737537585</v>
      </c>
      <c r="E97" s="4" t="str">
        <f>Summary!E99</f>
        <v>MtCO2e</v>
      </c>
    </row>
    <row r="98" spans="1:5" ht="15" customHeight="1" x14ac:dyDescent="0.2">
      <c r="A98" s="28">
        <f>Summary!A100</f>
        <v>2035</v>
      </c>
      <c r="B98" s="4" t="str">
        <f>Summary!B100</f>
        <v>Unconditional</v>
      </c>
      <c r="C98" s="4" t="str">
        <f>Summary!C100</f>
        <v>Fugitive</v>
      </c>
      <c r="D98" s="29">
        <f>Summary!D100</f>
        <v>4.396649180829443</v>
      </c>
      <c r="E98" s="4" t="str">
        <f>Summary!E100</f>
        <v>MtCO2e</v>
      </c>
    </row>
    <row r="99" spans="1:5" ht="15" customHeight="1" x14ac:dyDescent="0.2">
      <c r="A99" s="28">
        <f>Summary!A101</f>
        <v>2036</v>
      </c>
      <c r="B99" s="4" t="str">
        <f>Summary!B101</f>
        <v>Unconditional</v>
      </c>
      <c r="C99" s="4" t="str">
        <f>Summary!C101</f>
        <v>Fugitive</v>
      </c>
      <c r="D99" s="29">
        <f>Summary!D101</f>
        <v>4.125295940583392</v>
      </c>
      <c r="E99" s="4" t="str">
        <f>Summary!E101</f>
        <v>MtCO2e</v>
      </c>
    </row>
    <row r="100" spans="1:5" ht="15" customHeight="1" x14ac:dyDescent="0.2">
      <c r="A100" s="28">
        <f>Summary!A102</f>
        <v>2037</v>
      </c>
      <c r="B100" s="4" t="str">
        <f>Summary!B102</f>
        <v>Unconditional</v>
      </c>
      <c r="C100" s="4" t="str">
        <f>Summary!C102</f>
        <v>Fugitive</v>
      </c>
      <c r="D100" s="29">
        <f>Summary!D102</f>
        <v>3.8601313706487974</v>
      </c>
      <c r="E100" s="4" t="str">
        <f>Summary!E102</f>
        <v>MtCO2e</v>
      </c>
    </row>
    <row r="101" spans="1:5" ht="15" customHeight="1" x14ac:dyDescent="0.2">
      <c r="A101" s="28">
        <f>Summary!A103</f>
        <v>2038</v>
      </c>
      <c r="B101" s="4" t="str">
        <f>Summary!B103</f>
        <v>Unconditional</v>
      </c>
      <c r="C101" s="4" t="str">
        <f>Summary!C103</f>
        <v>Fugitive</v>
      </c>
      <c r="D101" s="29">
        <f>Summary!D103</f>
        <v>3.5997798709709588</v>
      </c>
      <c r="E101" s="4" t="str">
        <f>Summary!E103</f>
        <v>MtCO2e</v>
      </c>
    </row>
    <row r="102" spans="1:5" ht="15" customHeight="1" x14ac:dyDescent="0.2">
      <c r="A102" s="28">
        <f>Summary!A104</f>
        <v>2039</v>
      </c>
      <c r="B102" s="4" t="str">
        <f>Summary!B104</f>
        <v>Unconditional</v>
      </c>
      <c r="C102" s="4" t="str">
        <f>Summary!C104</f>
        <v>Fugitive</v>
      </c>
      <c r="D102" s="29">
        <f>Summary!D104</f>
        <v>3.3444744168386413</v>
      </c>
      <c r="E102" s="4" t="str">
        <f>Summary!E104</f>
        <v>MtCO2e</v>
      </c>
    </row>
    <row r="103" spans="1:5" ht="15" customHeight="1" x14ac:dyDescent="0.2">
      <c r="A103" s="28">
        <f>Summary!A105</f>
        <v>2040</v>
      </c>
      <c r="B103" s="4" t="str">
        <f>Summary!B105</f>
        <v>Unconditional</v>
      </c>
      <c r="C103" s="4" t="str">
        <f>Summary!C105</f>
        <v>Fugitive</v>
      </c>
      <c r="D103" s="29">
        <f>Summary!D105</f>
        <v>3.094453534567164</v>
      </c>
      <c r="E103" s="4" t="str">
        <f>Summary!E105</f>
        <v>MtCO2e</v>
      </c>
    </row>
    <row r="104" spans="1:5" ht="15" customHeight="1" x14ac:dyDescent="0.2">
      <c r="A104" s="28">
        <f>Summary!A106</f>
        <v>2041</v>
      </c>
      <c r="B104" s="4" t="str">
        <f>Summary!B106</f>
        <v>Unconditional</v>
      </c>
      <c r="C104" s="4" t="str">
        <f>Summary!C106</f>
        <v>Fugitive</v>
      </c>
      <c r="D104" s="29">
        <f>Summary!D106</f>
        <v>2.8499620991433217</v>
      </c>
      <c r="E104" s="4" t="str">
        <f>Summary!E106</f>
        <v>MtCO2e</v>
      </c>
    </row>
    <row r="105" spans="1:5" ht="15" customHeight="1" x14ac:dyDescent="0.2">
      <c r="A105" s="28">
        <f>Summary!A107</f>
        <v>2042</v>
      </c>
      <c r="B105" s="4" t="str">
        <f>Summary!B107</f>
        <v>Unconditional</v>
      </c>
      <c r="C105" s="4" t="str">
        <f>Summary!C107</f>
        <v>Fugitive</v>
      </c>
      <c r="D105" s="29">
        <f>Summary!D107</f>
        <v>2.6112490533857033</v>
      </c>
      <c r="E105" s="4" t="str">
        <f>Summary!E107</f>
        <v>MtCO2e</v>
      </c>
    </row>
    <row r="106" spans="1:5" ht="15" customHeight="1" x14ac:dyDescent="0.2">
      <c r="A106" s="28">
        <f>Summary!A108</f>
        <v>2043</v>
      </c>
      <c r="B106" s="4" t="str">
        <f>Summary!B108</f>
        <v>Unconditional</v>
      </c>
      <c r="C106" s="4" t="str">
        <f>Summary!C108</f>
        <v>Fugitive</v>
      </c>
      <c r="D106" s="29">
        <f>Summary!D108</f>
        <v>2.3785700007366923</v>
      </c>
      <c r="E106" s="4" t="str">
        <f>Summary!E108</f>
        <v>MtCO2e</v>
      </c>
    </row>
    <row r="107" spans="1:5" ht="15" customHeight="1" x14ac:dyDescent="0.2">
      <c r="A107" s="28">
        <f>Summary!A109</f>
        <v>2044</v>
      </c>
      <c r="B107" s="4" t="str">
        <f>Summary!B109</f>
        <v>Unconditional</v>
      </c>
      <c r="C107" s="4" t="str">
        <f>Summary!C109</f>
        <v>Fugitive</v>
      </c>
      <c r="D107" s="29">
        <f>Summary!D109</f>
        <v>2.1521864850567276</v>
      </c>
      <c r="E107" s="4" t="str">
        <f>Summary!E109</f>
        <v>MtCO2e</v>
      </c>
    </row>
    <row r="108" spans="1:5" ht="15" customHeight="1" x14ac:dyDescent="0.2">
      <c r="A108" s="28">
        <f>Summary!A110</f>
        <v>2045</v>
      </c>
      <c r="B108" s="4" t="str">
        <f>Summary!B110</f>
        <v>Unconditional</v>
      </c>
      <c r="C108" s="4" t="str">
        <f>Summary!C110</f>
        <v>Fugitive</v>
      </c>
      <c r="D108" s="29">
        <f>Summary!D110</f>
        <v>1.932366081330795</v>
      </c>
      <c r="E108" s="4" t="str">
        <f>Summary!E110</f>
        <v>MtCO2e</v>
      </c>
    </row>
    <row r="109" spans="1:5" ht="15" customHeight="1" x14ac:dyDescent="0.2">
      <c r="A109" s="28">
        <f>Summary!A111</f>
        <v>2046</v>
      </c>
      <c r="B109" s="4" t="str">
        <f>Summary!B111</f>
        <v>Unconditional</v>
      </c>
      <c r="C109" s="4" t="str">
        <f>Summary!C111</f>
        <v>Fugitive</v>
      </c>
      <c r="D109" s="29">
        <f>Summary!D111</f>
        <v>1.7193825163451795</v>
      </c>
      <c r="E109" s="4" t="str">
        <f>Summary!E111</f>
        <v>MtCO2e</v>
      </c>
    </row>
    <row r="110" spans="1:5" ht="15" customHeight="1" x14ac:dyDescent="0.2">
      <c r="A110" s="28">
        <f>Summary!A112</f>
        <v>2047</v>
      </c>
      <c r="B110" s="4" t="str">
        <f>Summary!B112</f>
        <v>Unconditional</v>
      </c>
      <c r="C110" s="4" t="str">
        <f>Summary!C112</f>
        <v>Fugitive</v>
      </c>
      <c r="D110" s="29">
        <f>Summary!D112</f>
        <v>1.5135158035244487</v>
      </c>
      <c r="E110" s="4" t="str">
        <f>Summary!E112</f>
        <v>MtCO2e</v>
      </c>
    </row>
    <row r="111" spans="1:5" ht="15" customHeight="1" x14ac:dyDescent="0.2">
      <c r="A111" s="28">
        <f>Summary!A113</f>
        <v>2048</v>
      </c>
      <c r="B111" s="4" t="str">
        <f>Summary!B113</f>
        <v>Unconditional</v>
      </c>
      <c r="C111" s="4" t="str">
        <f>Summary!C113</f>
        <v>Fugitive</v>
      </c>
      <c r="D111" s="29">
        <f>Summary!D113</f>
        <v>1.3150523350657415</v>
      </c>
      <c r="E111" s="4" t="str">
        <f>Summary!E113</f>
        <v>MtCO2e</v>
      </c>
    </row>
    <row r="112" spans="1:5" ht="15" customHeight="1" x14ac:dyDescent="0.2">
      <c r="A112" s="28">
        <f>Summary!A114</f>
        <v>2049</v>
      </c>
      <c r="B112" s="4" t="str">
        <f>Summary!B114</f>
        <v>Unconditional</v>
      </c>
      <c r="C112" s="4" t="str">
        <f>Summary!C114</f>
        <v>Fugitive</v>
      </c>
      <c r="D112" s="29">
        <f>Summary!D114</f>
        <v>1.1242850237007964</v>
      </c>
      <c r="E112" s="4" t="str">
        <f>Summary!E114</f>
        <v>MtCO2e</v>
      </c>
    </row>
    <row r="113" spans="1:5" ht="15" customHeight="1" x14ac:dyDescent="0.2">
      <c r="A113" s="28">
        <f>Summary!A115</f>
        <v>2050</v>
      </c>
      <c r="B113" s="4" t="str">
        <f>Summary!B115</f>
        <v>Unconditional</v>
      </c>
      <c r="C113" s="4" t="str">
        <f>Summary!C115</f>
        <v>Fugitive</v>
      </c>
      <c r="D113" s="29">
        <f>Summary!D115</f>
        <v>0.94151340942248374</v>
      </c>
      <c r="E113" s="4" t="str">
        <f>Summary!E115</f>
        <v>MtCO2e</v>
      </c>
    </row>
    <row r="114" spans="1:5" ht="15" customHeight="1" x14ac:dyDescent="0.2">
      <c r="A114" s="28">
        <f>Summary!A116</f>
        <v>2023</v>
      </c>
      <c r="B114" s="4" t="str">
        <f>Summary!B116</f>
        <v>Unconditional</v>
      </c>
      <c r="C114" s="4" t="str">
        <f>Summary!C116</f>
        <v>Venting</v>
      </c>
      <c r="D114" s="29">
        <f>Summary!D116</f>
        <v>15.67624</v>
      </c>
      <c r="E114" s="4" t="str">
        <f>Summary!E116</f>
        <v>MtCO2e</v>
      </c>
    </row>
    <row r="115" spans="1:5" ht="15" customHeight="1" x14ac:dyDescent="0.2">
      <c r="A115" s="28">
        <f>Summary!A117</f>
        <v>2024</v>
      </c>
      <c r="B115" s="4" t="str">
        <f>Summary!B117</f>
        <v>Unconditional</v>
      </c>
      <c r="C115" s="4" t="str">
        <f>Summary!C117</f>
        <v>Venting</v>
      </c>
      <c r="D115" s="29">
        <f>Summary!D117</f>
        <v>15.733978360933722</v>
      </c>
      <c r="E115" s="4" t="str">
        <f>Summary!E117</f>
        <v>MtCO2e</v>
      </c>
    </row>
    <row r="116" spans="1:5" ht="15" customHeight="1" x14ac:dyDescent="0.2">
      <c r="A116" s="28">
        <f>Summary!A118</f>
        <v>2025</v>
      </c>
      <c r="B116" s="4" t="str">
        <f>Summary!B118</f>
        <v>Unconditional</v>
      </c>
      <c r="C116" s="4" t="str">
        <f>Summary!C118</f>
        <v>Venting</v>
      </c>
      <c r="D116" s="29">
        <f>Summary!D118</f>
        <v>15.771248926677117</v>
      </c>
      <c r="E116" s="4" t="str">
        <f>Summary!E118</f>
        <v>MtCO2e</v>
      </c>
    </row>
    <row r="117" spans="1:5" ht="15" customHeight="1" x14ac:dyDescent="0.2">
      <c r="A117" s="28">
        <f>Summary!A119</f>
        <v>2026</v>
      </c>
      <c r="B117" s="4" t="str">
        <f>Summary!B119</f>
        <v>Unconditional</v>
      </c>
      <c r="C117" s="4" t="str">
        <f>Summary!C119</f>
        <v>Venting</v>
      </c>
      <c r="D117" s="29">
        <f>Summary!D119</f>
        <v>16.824658329671518</v>
      </c>
      <c r="E117" s="4" t="str">
        <f>Summary!E119</f>
        <v>MtCO2e</v>
      </c>
    </row>
    <row r="118" spans="1:5" ht="15" customHeight="1" x14ac:dyDescent="0.2">
      <c r="A118" s="28">
        <f>Summary!A120</f>
        <v>2027</v>
      </c>
      <c r="B118" s="4" t="str">
        <f>Summary!B120</f>
        <v>Unconditional</v>
      </c>
      <c r="C118" s="4" t="str">
        <f>Summary!C120</f>
        <v>Venting</v>
      </c>
      <c r="D118" s="29">
        <f>Summary!D120</f>
        <v>17.848905018652367</v>
      </c>
      <c r="E118" s="4" t="str">
        <f>Summary!E120</f>
        <v>MtCO2e</v>
      </c>
    </row>
    <row r="119" spans="1:5" ht="15" customHeight="1" x14ac:dyDescent="0.2">
      <c r="A119" s="28">
        <f>Summary!A121</f>
        <v>2028</v>
      </c>
      <c r="B119" s="4" t="str">
        <f>Summary!B121</f>
        <v>Unconditional</v>
      </c>
      <c r="C119" s="4" t="str">
        <f>Summary!C121</f>
        <v>Venting</v>
      </c>
      <c r="D119" s="29">
        <f>Summary!D121</f>
        <v>18.817323816317582</v>
      </c>
      <c r="E119" s="4" t="str">
        <f>Summary!E121</f>
        <v>MtCO2e</v>
      </c>
    </row>
    <row r="120" spans="1:5" ht="15" customHeight="1" x14ac:dyDescent="0.2">
      <c r="A120" s="28">
        <f>Summary!A122</f>
        <v>2029</v>
      </c>
      <c r="B120" s="4" t="str">
        <f>Summary!B122</f>
        <v>Unconditional</v>
      </c>
      <c r="C120" s="4" t="str">
        <f>Summary!C122</f>
        <v>Venting</v>
      </c>
      <c r="D120" s="29">
        <f>Summary!D122</f>
        <v>19.702110659693862</v>
      </c>
      <c r="E120" s="4" t="str">
        <f>Summary!E122</f>
        <v>MtCO2e</v>
      </c>
    </row>
    <row r="121" spans="1:5" ht="15" customHeight="1" x14ac:dyDescent="0.2">
      <c r="A121" s="28">
        <f>Summary!A123</f>
        <v>2030</v>
      </c>
      <c r="B121" s="4" t="str">
        <f>Summary!B123</f>
        <v>Unconditional</v>
      </c>
      <c r="C121" s="4" t="str">
        <f>Summary!C123</f>
        <v>Venting</v>
      </c>
      <c r="D121" s="29">
        <f>Summary!D123</f>
        <v>20.478781272991448</v>
      </c>
      <c r="E121" s="4" t="str">
        <f>Summary!E123</f>
        <v>MtCO2e</v>
      </c>
    </row>
    <row r="122" spans="1:5" ht="15" customHeight="1" x14ac:dyDescent="0.2">
      <c r="A122" s="28">
        <f>Summary!A124</f>
        <v>2031</v>
      </c>
      <c r="B122" s="4" t="str">
        <f>Summary!B124</f>
        <v>Unconditional</v>
      </c>
      <c r="C122" s="4" t="str">
        <f>Summary!C124</f>
        <v>Venting</v>
      </c>
      <c r="D122" s="29">
        <f>Summary!D124</f>
        <v>21.131818980069081</v>
      </c>
      <c r="E122" s="4" t="str">
        <f>Summary!E124</f>
        <v>MtCO2e</v>
      </c>
    </row>
    <row r="123" spans="1:5" ht="15" customHeight="1" x14ac:dyDescent="0.2">
      <c r="A123" s="28">
        <f>Summary!A125</f>
        <v>2032</v>
      </c>
      <c r="B123" s="4" t="str">
        <f>Summary!B125</f>
        <v>Unconditional</v>
      </c>
      <c r="C123" s="4" t="str">
        <f>Summary!C125</f>
        <v>Venting</v>
      </c>
      <c r="D123" s="29">
        <f>Summary!D125</f>
        <v>21.661958784840174</v>
      </c>
      <c r="E123" s="4" t="str">
        <f>Summary!E125</f>
        <v>MtCO2e</v>
      </c>
    </row>
    <row r="124" spans="1:5" ht="15" customHeight="1" x14ac:dyDescent="0.2">
      <c r="A124" s="28">
        <f>Summary!A126</f>
        <v>2033</v>
      </c>
      <c r="B124" s="4" t="str">
        <f>Summary!B126</f>
        <v>Unconditional</v>
      </c>
      <c r="C124" s="4" t="str">
        <f>Summary!C126</f>
        <v>Venting</v>
      </c>
      <c r="D124" s="29">
        <f>Summary!D126</f>
        <v>22.079547852238832</v>
      </c>
      <c r="E124" s="4" t="str">
        <f>Summary!E126</f>
        <v>MtCO2e</v>
      </c>
    </row>
    <row r="125" spans="1:5" ht="15" customHeight="1" x14ac:dyDescent="0.2">
      <c r="A125" s="28">
        <f>Summary!A127</f>
        <v>2034</v>
      </c>
      <c r="B125" s="4" t="str">
        <f>Summary!B127</f>
        <v>Unconditional</v>
      </c>
      <c r="C125" s="4" t="str">
        <f>Summary!C127</f>
        <v>Venting</v>
      </c>
      <c r="D125" s="29">
        <f>Summary!D127</f>
        <v>22.399570841894242</v>
      </c>
      <c r="E125" s="4" t="str">
        <f>Summary!E127</f>
        <v>MtCO2e</v>
      </c>
    </row>
    <row r="126" spans="1:5" ht="15" customHeight="1" x14ac:dyDescent="0.2">
      <c r="A126" s="28">
        <f>Summary!A128</f>
        <v>2035</v>
      </c>
      <c r="B126" s="4" t="str">
        <f>Summary!B128</f>
        <v>Unconditional</v>
      </c>
      <c r="C126" s="4" t="str">
        <f>Summary!C128</f>
        <v>Venting</v>
      </c>
      <c r="D126" s="29">
        <f>Summary!D128</f>
        <v>22.638161588986645</v>
      </c>
      <c r="E126" s="4" t="str">
        <f>Summary!E128</f>
        <v>MtCO2e</v>
      </c>
    </row>
    <row r="127" spans="1:5" ht="15" customHeight="1" x14ac:dyDescent="0.2">
      <c r="A127" s="28">
        <f>Summary!A129</f>
        <v>2036</v>
      </c>
      <c r="B127" s="4" t="str">
        <f>Summary!B129</f>
        <v>Unconditional</v>
      </c>
      <c r="C127" s="4" t="str">
        <f>Summary!C129</f>
        <v>Venting</v>
      </c>
      <c r="D127" s="29">
        <f>Summary!D129</f>
        <v>22.810344166559247</v>
      </c>
      <c r="E127" s="4" t="str">
        <f>Summary!E129</f>
        <v>MtCO2e</v>
      </c>
    </row>
    <row r="128" spans="1:5" ht="15" customHeight="1" x14ac:dyDescent="0.2">
      <c r="A128" s="28">
        <f>Summary!A130</f>
        <v>2037</v>
      </c>
      <c r="B128" s="4" t="str">
        <f>Summary!B130</f>
        <v>Unconditional</v>
      </c>
      <c r="C128" s="4" t="str">
        <f>Summary!C130</f>
        <v>Venting</v>
      </c>
      <c r="D128" s="29">
        <f>Summary!D130</f>
        <v>22.928726223547468</v>
      </c>
      <c r="E128" s="4" t="str">
        <f>Summary!E130</f>
        <v>MtCO2e</v>
      </c>
    </row>
    <row r="129" spans="1:5" ht="15" customHeight="1" x14ac:dyDescent="0.2">
      <c r="A129" s="28">
        <f>Summary!A131</f>
        <v>2038</v>
      </c>
      <c r="B129" s="4" t="str">
        <f>Summary!B131</f>
        <v>Unconditional</v>
      </c>
      <c r="C129" s="4" t="str">
        <f>Summary!C131</f>
        <v>Venting</v>
      </c>
      <c r="D129" s="29">
        <f>Summary!D131</f>
        <v>23.003035395058813</v>
      </c>
      <c r="E129" s="4" t="str">
        <f>Summary!E131</f>
        <v>MtCO2e</v>
      </c>
    </row>
    <row r="130" spans="1:5" ht="15" customHeight="1" x14ac:dyDescent="0.2">
      <c r="A130" s="28">
        <f>Summary!A132</f>
        <v>2039</v>
      </c>
      <c r="B130" s="4" t="str">
        <f>Summary!B132</f>
        <v>Unconditional</v>
      </c>
      <c r="C130" s="4" t="str">
        <f>Summary!C132</f>
        <v>Venting</v>
      </c>
      <c r="D130" s="29">
        <f>Summary!D132</f>
        <v>23.040266930032885</v>
      </c>
      <c r="E130" s="4" t="str">
        <f>Summary!E132</f>
        <v>MtCO2e</v>
      </c>
    </row>
    <row r="131" spans="1:5" ht="15" customHeight="1" x14ac:dyDescent="0.2">
      <c r="A131" s="28">
        <f>Summary!A133</f>
        <v>2040</v>
      </c>
      <c r="B131" s="4" t="str">
        <f>Summary!B133</f>
        <v>Unconditional</v>
      </c>
      <c r="C131" s="4" t="str">
        <f>Summary!C133</f>
        <v>Venting</v>
      </c>
      <c r="D131" s="29">
        <f>Summary!D133</f>
        <v>23.045129101680335</v>
      </c>
      <c r="E131" s="4" t="str">
        <f>Summary!E133</f>
        <v>MtCO2e</v>
      </c>
    </row>
    <row r="132" spans="1:5" ht="15" customHeight="1" x14ac:dyDescent="0.2">
      <c r="A132" s="28">
        <f>Summary!A134</f>
        <v>2041</v>
      </c>
      <c r="B132" s="4" t="str">
        <f>Summary!B134</f>
        <v>Unconditional</v>
      </c>
      <c r="C132" s="4" t="str">
        <f>Summary!C134</f>
        <v>Venting</v>
      </c>
      <c r="D132" s="29">
        <f>Summary!D134</f>
        <v>23.02065972134103</v>
      </c>
      <c r="E132" s="4" t="str">
        <f>Summary!E134</f>
        <v>MtCO2e</v>
      </c>
    </row>
    <row r="133" spans="1:5" ht="15" customHeight="1" x14ac:dyDescent="0.2">
      <c r="A133" s="28">
        <f>Summary!A135</f>
        <v>2042</v>
      </c>
      <c r="B133" s="4" t="str">
        <f>Summary!B135</f>
        <v>Unconditional</v>
      </c>
      <c r="C133" s="4" t="str">
        <f>Summary!C135</f>
        <v>Venting</v>
      </c>
      <c r="D133" s="29">
        <f>Summary!D135</f>
        <v>22.968924571800088</v>
      </c>
      <c r="E133" s="4" t="str">
        <f>Summary!E135</f>
        <v>MtCO2e</v>
      </c>
    </row>
    <row r="134" spans="1:5" ht="15" customHeight="1" x14ac:dyDescent="0.2">
      <c r="A134" s="28">
        <f>Summary!A136</f>
        <v>2043</v>
      </c>
      <c r="B134" s="4" t="str">
        <f>Summary!B136</f>
        <v>Unconditional</v>
      </c>
      <c r="C134" s="4" t="str">
        <f>Summary!C136</f>
        <v>Venting</v>
      </c>
      <c r="D134" s="29">
        <f>Summary!D136</f>
        <v>22.891505500839489</v>
      </c>
      <c r="E134" s="4" t="str">
        <f>Summary!E136</f>
        <v>MtCO2e</v>
      </c>
    </row>
    <row r="135" spans="1:5" ht="15" customHeight="1" x14ac:dyDescent="0.2">
      <c r="A135" s="28">
        <f>Summary!A137</f>
        <v>2044</v>
      </c>
      <c r="B135" s="4" t="str">
        <f>Summary!B137</f>
        <v>Unconditional</v>
      </c>
      <c r="C135" s="4" t="str">
        <f>Summary!C137</f>
        <v>Venting</v>
      </c>
      <c r="D135" s="29">
        <f>Summary!D137</f>
        <v>22.789961962343789</v>
      </c>
      <c r="E135" s="4" t="str">
        <f>Summary!E137</f>
        <v>MtCO2e</v>
      </c>
    </row>
    <row r="136" spans="1:5" ht="15" customHeight="1" x14ac:dyDescent="0.2">
      <c r="A136" s="28">
        <f>Summary!A138</f>
        <v>2045</v>
      </c>
      <c r="B136" s="4" t="str">
        <f>Summary!B138</f>
        <v>Unconditional</v>
      </c>
      <c r="C136" s="4" t="str">
        <f>Summary!C138</f>
        <v>Venting</v>
      </c>
      <c r="D136" s="29">
        <f>Summary!D138</f>
        <v>22.666227906653596</v>
      </c>
      <c r="E136" s="4" t="str">
        <f>Summary!E138</f>
        <v>MtCO2e</v>
      </c>
    </row>
    <row r="137" spans="1:5" ht="15" customHeight="1" x14ac:dyDescent="0.2">
      <c r="A137" s="28">
        <f>Summary!A139</f>
        <v>2046</v>
      </c>
      <c r="B137" s="4" t="str">
        <f>Summary!B139</f>
        <v>Unconditional</v>
      </c>
      <c r="C137" s="4" t="str">
        <f>Summary!C139</f>
        <v>Venting</v>
      </c>
      <c r="D137" s="29">
        <f>Summary!D139</f>
        <v>22.522906052004387</v>
      </c>
      <c r="E137" s="4" t="str">
        <f>Summary!E139</f>
        <v>MtCO2e</v>
      </c>
    </row>
    <row r="138" spans="1:5" ht="15" customHeight="1" x14ac:dyDescent="0.2">
      <c r="A138" s="28">
        <f>Summary!A140</f>
        <v>2047</v>
      </c>
      <c r="B138" s="4" t="str">
        <f>Summary!B140</f>
        <v>Unconditional</v>
      </c>
      <c r="C138" s="4" t="str">
        <f>Summary!C140</f>
        <v>Venting</v>
      </c>
      <c r="D138" s="29">
        <f>Summary!D140</f>
        <v>22.363415192403039</v>
      </c>
      <c r="E138" s="4" t="str">
        <f>Summary!E140</f>
        <v>MtCO2e</v>
      </c>
    </row>
    <row r="139" spans="1:5" ht="15" customHeight="1" x14ac:dyDescent="0.2">
      <c r="A139" s="28">
        <f>Summary!A141</f>
        <v>2048</v>
      </c>
      <c r="B139" s="4" t="str">
        <f>Summary!B141</f>
        <v>Unconditional</v>
      </c>
      <c r="C139" s="4" t="str">
        <f>Summary!C141</f>
        <v>Venting</v>
      </c>
      <c r="D139" s="29">
        <f>Summary!D141</f>
        <v>22.191935051991738</v>
      </c>
      <c r="E139" s="4" t="str">
        <f>Summary!E141</f>
        <v>MtCO2e</v>
      </c>
    </row>
    <row r="140" spans="1:5" ht="15" customHeight="1" x14ac:dyDescent="0.2">
      <c r="A140" s="28">
        <f>Summary!A142</f>
        <v>2049</v>
      </c>
      <c r="B140" s="4" t="str">
        <f>Summary!B142</f>
        <v>Unconditional</v>
      </c>
      <c r="C140" s="4" t="str">
        <f>Summary!C142</f>
        <v>Venting</v>
      </c>
      <c r="D140" s="29">
        <f>Summary!D142</f>
        <v>22.013079773768595</v>
      </c>
      <c r="E140" s="4" t="str">
        <f>Summary!E142</f>
        <v>MtCO2e</v>
      </c>
    </row>
    <row r="141" spans="1:5" ht="15" customHeight="1" x14ac:dyDescent="0.2">
      <c r="A141" s="28">
        <f>Summary!A143</f>
        <v>2050</v>
      </c>
      <c r="B141" s="4" t="str">
        <f>Summary!B143</f>
        <v>Unconditional</v>
      </c>
      <c r="C141" s="4" t="str">
        <f>Summary!C143</f>
        <v>Venting</v>
      </c>
      <c r="D141" s="29">
        <f>Summary!D143</f>
        <v>21.831218866602864</v>
      </c>
      <c r="E141" s="4" t="str">
        <f>Summary!E143</f>
        <v>MtCO2e</v>
      </c>
    </row>
    <row r="142" spans="1:5" ht="15" customHeight="1" x14ac:dyDescent="0.2">
      <c r="A142" s="28">
        <f>Summary!A144</f>
        <v>2023</v>
      </c>
      <c r="B142" s="4" t="str">
        <f>Summary!B144</f>
        <v>Unconditional</v>
      </c>
      <c r="C142" s="4" t="str">
        <f>Summary!C144</f>
        <v>Flaring</v>
      </c>
      <c r="D142" s="29">
        <f>Summary!D144</f>
        <v>6.2704959999999996</v>
      </c>
      <c r="E142" s="4" t="str">
        <f>Summary!E144</f>
        <v>MtCO2e</v>
      </c>
    </row>
    <row r="143" spans="1:5" ht="15" customHeight="1" x14ac:dyDescent="0.2">
      <c r="A143" s="28">
        <f>Summary!A145</f>
        <v>2024</v>
      </c>
      <c r="B143" s="4" t="str">
        <f>Summary!B145</f>
        <v>Unconditional</v>
      </c>
      <c r="C143" s="4" t="str">
        <f>Summary!C145</f>
        <v>Flaring</v>
      </c>
      <c r="D143" s="29">
        <f>Summary!D145</f>
        <v>6.3013604815893833</v>
      </c>
      <c r="E143" s="4" t="str">
        <f>Summary!E145</f>
        <v>MtCO2e</v>
      </c>
    </row>
    <row r="144" spans="1:5" ht="15" customHeight="1" x14ac:dyDescent="0.2">
      <c r="A144" s="28">
        <f>Summary!A146</f>
        <v>2025</v>
      </c>
      <c r="B144" s="4" t="str">
        <f>Summary!B146</f>
        <v>Unconditional</v>
      </c>
      <c r="C144" s="4" t="str">
        <f>Summary!C146</f>
        <v>Flaring</v>
      </c>
      <c r="D144" s="29">
        <f>Summary!D146</f>
        <v>6.3222579979439164</v>
      </c>
      <c r="E144" s="4" t="str">
        <f>Summary!E146</f>
        <v>MtCO2e</v>
      </c>
    </row>
    <row r="145" spans="1:5" ht="15" customHeight="1" x14ac:dyDescent="0.2">
      <c r="A145" s="28">
        <f>Summary!A147</f>
        <v>2026</v>
      </c>
      <c r="B145" s="4" t="str">
        <f>Summary!B147</f>
        <v>Unconditional</v>
      </c>
      <c r="C145" s="4" t="str">
        <f>Summary!C147</f>
        <v>Flaring</v>
      </c>
      <c r="D145" s="29">
        <f>Summary!D147</f>
        <v>7.4910381072915913</v>
      </c>
      <c r="E145" s="4" t="str">
        <f>Summary!E147</f>
        <v>MtCO2e</v>
      </c>
    </row>
    <row r="146" spans="1:5" ht="15" customHeight="1" x14ac:dyDescent="0.2">
      <c r="A146" s="28">
        <f>Summary!A148</f>
        <v>2027</v>
      </c>
      <c r="B146" s="4" t="str">
        <f>Summary!B148</f>
        <v>Unconditional</v>
      </c>
      <c r="C146" s="4" t="str">
        <f>Summary!C148</f>
        <v>Flaring</v>
      </c>
      <c r="D146" s="29">
        <f>Summary!D148</f>
        <v>7.8129490184501567</v>
      </c>
      <c r="E146" s="4" t="str">
        <f>Summary!E148</f>
        <v>MtCO2e</v>
      </c>
    </row>
    <row r="147" spans="1:5" ht="15" customHeight="1" x14ac:dyDescent="0.2">
      <c r="A147" s="28">
        <f>Summary!A149</f>
        <v>2028</v>
      </c>
      <c r="B147" s="4" t="str">
        <f>Summary!B149</f>
        <v>Unconditional</v>
      </c>
      <c r="C147" s="4" t="str">
        <f>Summary!C149</f>
        <v>Flaring</v>
      </c>
      <c r="D147" s="29">
        <f>Summary!D149</f>
        <v>7.7864676496162932</v>
      </c>
      <c r="E147" s="4" t="str">
        <f>Summary!E149</f>
        <v>MtCO2e</v>
      </c>
    </row>
    <row r="148" spans="1:5" ht="15" customHeight="1" x14ac:dyDescent="0.2">
      <c r="A148" s="28">
        <f>Summary!A150</f>
        <v>2029</v>
      </c>
      <c r="B148" s="4" t="str">
        <f>Summary!B150</f>
        <v>Unconditional</v>
      </c>
      <c r="C148" s="4" t="str">
        <f>Summary!C150</f>
        <v>Flaring</v>
      </c>
      <c r="D148" s="29">
        <f>Summary!D150</f>
        <v>7.7241024754960321</v>
      </c>
      <c r="E148" s="4" t="str">
        <f>Summary!E150</f>
        <v>MtCO2e</v>
      </c>
    </row>
    <row r="149" spans="1:5" ht="15" customHeight="1" x14ac:dyDescent="0.2">
      <c r="A149" s="28">
        <f>Summary!A151</f>
        <v>2030</v>
      </c>
      <c r="B149" s="4" t="str">
        <f>Summary!B151</f>
        <v>Unconditional</v>
      </c>
      <c r="C149" s="4" t="str">
        <f>Summary!C151</f>
        <v>Flaring</v>
      </c>
      <c r="D149" s="29">
        <f>Summary!D151</f>
        <v>7.6204535034863472</v>
      </c>
      <c r="E149" s="4" t="str">
        <f>Summary!E151</f>
        <v>MtCO2e</v>
      </c>
    </row>
    <row r="150" spans="1:5" ht="15" customHeight="1" x14ac:dyDescent="0.2">
      <c r="A150" s="28">
        <f>Summary!A152</f>
        <v>2031</v>
      </c>
      <c r="B150" s="4" t="str">
        <f>Summary!B152</f>
        <v>Unconditional</v>
      </c>
      <c r="C150" s="4" t="str">
        <f>Summary!C152</f>
        <v>Flaring</v>
      </c>
      <c r="D150" s="29">
        <f>Summary!D152</f>
        <v>7.1920565276446293</v>
      </c>
      <c r="E150" s="4" t="str">
        <f>Summary!E152</f>
        <v>MtCO2e</v>
      </c>
    </row>
    <row r="151" spans="1:5" ht="15" customHeight="1" x14ac:dyDescent="0.2">
      <c r="A151" s="28">
        <f>Summary!A153</f>
        <v>2032</v>
      </c>
      <c r="B151" s="4" t="str">
        <f>Summary!B153</f>
        <v>Unconditional</v>
      </c>
      <c r="C151" s="4" t="str">
        <f>Summary!C153</f>
        <v>Flaring</v>
      </c>
      <c r="D151" s="29">
        <f>Summary!D153</f>
        <v>6.7631528437757247</v>
      </c>
      <c r="E151" s="4" t="str">
        <f>Summary!E153</f>
        <v>MtCO2e</v>
      </c>
    </row>
    <row r="152" spans="1:5" ht="15" customHeight="1" x14ac:dyDescent="0.2">
      <c r="A152" s="28">
        <f>Summary!A154</f>
        <v>2033</v>
      </c>
      <c r="B152" s="4" t="str">
        <f>Summary!B154</f>
        <v>Unconditional</v>
      </c>
      <c r="C152" s="4" t="str">
        <f>Summary!C154</f>
        <v>Flaring</v>
      </c>
      <c r="D152" s="29">
        <f>Summary!D154</f>
        <v>6.3349962345965363</v>
      </c>
      <c r="E152" s="4" t="str">
        <f>Summary!E154</f>
        <v>MtCO2e</v>
      </c>
    </row>
    <row r="153" spans="1:5" ht="15" customHeight="1" x14ac:dyDescent="0.2">
      <c r="A153" s="28">
        <f>Summary!A155</f>
        <v>2034</v>
      </c>
      <c r="B153" s="4" t="str">
        <f>Summary!B155</f>
        <v>Unconditional</v>
      </c>
      <c r="C153" s="4" t="str">
        <f>Summary!C155</f>
        <v>Flaring</v>
      </c>
      <c r="D153" s="29">
        <f>Summary!D155</f>
        <v>5.9087047004094293</v>
      </c>
      <c r="E153" s="4" t="str">
        <f>Summary!E155</f>
        <v>MtCO2e</v>
      </c>
    </row>
    <row r="154" spans="1:5" ht="15" customHeight="1" x14ac:dyDescent="0.2">
      <c r="A154" s="28">
        <f>Summary!A156</f>
        <v>2035</v>
      </c>
      <c r="B154" s="4" t="str">
        <f>Summary!B156</f>
        <v>Unconditional</v>
      </c>
      <c r="C154" s="4" t="str">
        <f>Summary!C156</f>
        <v>Flaring</v>
      </c>
      <c r="D154" s="29">
        <f>Summary!D156</f>
        <v>5.4852902850906133</v>
      </c>
      <c r="E154" s="4" t="str">
        <f>Summary!E156</f>
        <v>MtCO2e</v>
      </c>
    </row>
    <row r="155" spans="1:5" ht="15" customHeight="1" x14ac:dyDescent="0.2">
      <c r="A155" s="28">
        <f>Summary!A157</f>
        <v>2036</v>
      </c>
      <c r="B155" s="4" t="str">
        <f>Summary!B157</f>
        <v>Unconditional</v>
      </c>
      <c r="C155" s="4" t="str">
        <f>Summary!C157</f>
        <v>Flaring</v>
      </c>
      <c r="D155" s="29">
        <f>Summary!D157</f>
        <v>5.067486522937414</v>
      </c>
      <c r="E155" s="4" t="str">
        <f>Summary!E157</f>
        <v>MtCO2e</v>
      </c>
    </row>
    <row r="156" spans="1:5" ht="15" customHeight="1" x14ac:dyDescent="0.2">
      <c r="A156" s="28">
        <f>Summary!A158</f>
        <v>2037</v>
      </c>
      <c r="B156" s="4" t="str">
        <f>Summary!B158</f>
        <v>Unconditional</v>
      </c>
      <c r="C156" s="4" t="str">
        <f>Summary!C158</f>
        <v>Flaring</v>
      </c>
      <c r="D156" s="29">
        <f>Summary!D158</f>
        <v>4.6555492938026442</v>
      </c>
      <c r="E156" s="4" t="str">
        <f>Summary!E158</f>
        <v>MtCO2e</v>
      </c>
    </row>
    <row r="157" spans="1:5" ht="15" customHeight="1" x14ac:dyDescent="0.2">
      <c r="A157" s="28">
        <f>Summary!A159</f>
        <v>2038</v>
      </c>
      <c r="B157" s="4" t="str">
        <f>Summary!B159</f>
        <v>Unconditional</v>
      </c>
      <c r="C157" s="4" t="str">
        <f>Summary!C159</f>
        <v>Flaring</v>
      </c>
      <c r="D157" s="29">
        <f>Summary!D159</f>
        <v>4.2484855234250247</v>
      </c>
      <c r="E157" s="4" t="str">
        <f>Summary!E159</f>
        <v>MtCO2e</v>
      </c>
    </row>
    <row r="158" spans="1:5" ht="15" customHeight="1" x14ac:dyDescent="0.2">
      <c r="A158" s="28">
        <f>Summary!A160</f>
        <v>2039</v>
      </c>
      <c r="B158" s="4" t="str">
        <f>Summary!B160</f>
        <v>Unconditional</v>
      </c>
      <c r="C158" s="4" t="str">
        <f>Summary!C160</f>
        <v>Flaring</v>
      </c>
      <c r="D158" s="29">
        <f>Summary!D160</f>
        <v>3.8471136970630262</v>
      </c>
      <c r="E158" s="4" t="str">
        <f>Summary!E160</f>
        <v>MtCO2e</v>
      </c>
    </row>
    <row r="159" spans="1:5" ht="15" customHeight="1" x14ac:dyDescent="0.2">
      <c r="A159" s="28">
        <f>Summary!A161</f>
        <v>2040</v>
      </c>
      <c r="B159" s="4" t="str">
        <f>Summary!B161</f>
        <v>Unconditional</v>
      </c>
      <c r="C159" s="4" t="str">
        <f>Summary!C161</f>
        <v>Flaring</v>
      </c>
      <c r="D159" s="29">
        <f>Summary!D161</f>
        <v>3.4522136887905894</v>
      </c>
      <c r="E159" s="4" t="str">
        <f>Summary!E161</f>
        <v>MtCO2e</v>
      </c>
    </row>
    <row r="160" spans="1:5" ht="15" customHeight="1" x14ac:dyDescent="0.2">
      <c r="A160" s="28">
        <f>Summary!A162</f>
        <v>2041</v>
      </c>
      <c r="B160" s="4" t="str">
        <f>Summary!B162</f>
        <v>Unconditional</v>
      </c>
      <c r="C160" s="4" t="str">
        <f>Summary!C162</f>
        <v>Flaring</v>
      </c>
      <c r="D160" s="29">
        <f>Summary!D162</f>
        <v>3.0613521706113276</v>
      </c>
      <c r="E160" s="4" t="str">
        <f>Summary!E162</f>
        <v>MtCO2e</v>
      </c>
    </row>
    <row r="161" spans="1:5" ht="15" customHeight="1" x14ac:dyDescent="0.2">
      <c r="A161" s="28">
        <f>Summary!A163</f>
        <v>2042</v>
      </c>
      <c r="B161" s="4" t="str">
        <f>Summary!B163</f>
        <v>Unconditional</v>
      </c>
      <c r="C161" s="4" t="str">
        <f>Summary!C163</f>
        <v>Flaring</v>
      </c>
      <c r="D161" s="29">
        <f>Summary!D163</f>
        <v>2.6792301372920067</v>
      </c>
      <c r="E161" s="4" t="str">
        <f>Summary!E163</f>
        <v>MtCO2e</v>
      </c>
    </row>
    <row r="162" spans="1:5" ht="15" customHeight="1" x14ac:dyDescent="0.2">
      <c r="A162" s="28">
        <f>Summary!A164</f>
        <v>2043</v>
      </c>
      <c r="B162" s="4" t="str">
        <f>Summary!B164</f>
        <v>Unconditional</v>
      </c>
      <c r="C162" s="4" t="str">
        <f>Summary!C164</f>
        <v>Flaring</v>
      </c>
      <c r="D162" s="29">
        <f>Summary!D164</f>
        <v>2.3065214243695498</v>
      </c>
      <c r="E162" s="4" t="str">
        <f>Summary!E164</f>
        <v>MtCO2e</v>
      </c>
    </row>
    <row r="163" spans="1:5" ht="15" customHeight="1" x14ac:dyDescent="0.2">
      <c r="A163" s="28">
        <f>Summary!A165</f>
        <v>2044</v>
      </c>
      <c r="B163" s="4" t="str">
        <f>Summary!B165</f>
        <v>Unconditional</v>
      </c>
      <c r="C163" s="4" t="str">
        <f>Summary!C165</f>
        <v>Flaring</v>
      </c>
      <c r="D163" s="29">
        <f>Summary!D165</f>
        <v>1.9438859947845379</v>
      </c>
      <c r="E163" s="4" t="str">
        <f>Summary!E165</f>
        <v>MtCO2e</v>
      </c>
    </row>
    <row r="164" spans="1:5" ht="15" customHeight="1" x14ac:dyDescent="0.2">
      <c r="A164" s="28">
        <f>Summary!A166</f>
        <v>2045</v>
      </c>
      <c r="B164" s="4" t="str">
        <f>Summary!B166</f>
        <v>Unconditional</v>
      </c>
      <c r="C164" s="4" t="str">
        <f>Summary!C166</f>
        <v>Flaring</v>
      </c>
      <c r="D164" s="29">
        <f>Summary!D166</f>
        <v>1.5919726297625401</v>
      </c>
      <c r="E164" s="4" t="str">
        <f>Summary!E166</f>
        <v>MtCO2e</v>
      </c>
    </row>
    <row r="165" spans="1:5" ht="15" customHeight="1" x14ac:dyDescent="0.2">
      <c r="A165" s="28">
        <f>Summary!A167</f>
        <v>2046</v>
      </c>
      <c r="B165" s="4" t="str">
        <f>Summary!B167</f>
        <v>Unconditional</v>
      </c>
      <c r="C165" s="4" t="str">
        <f>Summary!C167</f>
        <v>Flaring</v>
      </c>
      <c r="D165" s="29">
        <f>Summary!D167</f>
        <v>1.2514205869513972</v>
      </c>
      <c r="E165" s="4" t="str">
        <f>Summary!E167</f>
        <v>MtCO2e</v>
      </c>
    </row>
    <row r="166" spans="1:5" ht="15" customHeight="1" x14ac:dyDescent="0.2">
      <c r="A166" s="28">
        <f>Summary!A168</f>
        <v>2047</v>
      </c>
      <c r="B166" s="4" t="str">
        <f>Summary!B168</f>
        <v>Unconditional</v>
      </c>
      <c r="C166" s="4" t="str">
        <f>Summary!C168</f>
        <v>Flaring</v>
      </c>
      <c r="D166" s="29">
        <f>Summary!D168</f>
        <v>0.92286013749261331</v>
      </c>
      <c r="E166" s="4" t="str">
        <f>Summary!E168</f>
        <v>MtCO2e</v>
      </c>
    </row>
    <row r="167" spans="1:5" ht="15" customHeight="1" x14ac:dyDescent="0.2">
      <c r="A167" s="28">
        <f>Summary!A169</f>
        <v>2048</v>
      </c>
      <c r="B167" s="4" t="str">
        <f>Summary!B169</f>
        <v>Unconditional</v>
      </c>
      <c r="C167" s="4" t="str">
        <f>Summary!C169</f>
        <v>Flaring</v>
      </c>
      <c r="D167" s="29">
        <f>Summary!D169</f>
        <v>0.60691175470431658</v>
      </c>
      <c r="E167" s="4" t="str">
        <f>Summary!E169</f>
        <v>MtCO2e</v>
      </c>
    </row>
    <row r="168" spans="1:5" ht="15" customHeight="1" x14ac:dyDescent="0.2">
      <c r="A168" s="28">
        <f>Summary!A170</f>
        <v>2049</v>
      </c>
      <c r="B168" s="4" t="str">
        <f>Summary!B170</f>
        <v>Unconditional</v>
      </c>
      <c r="C168" s="4" t="str">
        <f>Summary!C170</f>
        <v>Flaring</v>
      </c>
      <c r="D168" s="29">
        <f>Summary!D170</f>
        <v>0.30418356678740666</v>
      </c>
      <c r="E168" s="4" t="str">
        <f>Summary!E170</f>
        <v>MtCO2e</v>
      </c>
    </row>
    <row r="169" spans="1:5" ht="15" customHeight="1" x14ac:dyDescent="0.2">
      <c r="A169" s="28">
        <f>Summary!A171</f>
        <v>2050</v>
      </c>
      <c r="B169" s="4" t="str">
        <f>Summary!B171</f>
        <v>Unconditional</v>
      </c>
      <c r="C169" s="4" t="str">
        <f>Summary!C171</f>
        <v>Flaring</v>
      </c>
      <c r="D169" s="29">
        <f>Summary!D171</f>
        <v>1.5266284023020034E-2</v>
      </c>
      <c r="E169" s="4" t="str">
        <f>Summary!E171</f>
        <v>MtCO2e</v>
      </c>
    </row>
    <row r="170" spans="1:5" ht="15" customHeight="1" x14ac:dyDescent="0.2">
      <c r="A170" s="28">
        <f>Summary!A172</f>
        <v>2023</v>
      </c>
      <c r="B170" s="4" t="str">
        <f>Summary!B172</f>
        <v>Unconditional</v>
      </c>
      <c r="C170" s="4" t="str">
        <f>Summary!C172</f>
        <v>Gas Recovery</v>
      </c>
      <c r="D170" s="29">
        <f>Summary!D172</f>
        <v>0</v>
      </c>
      <c r="E170" s="4" t="str">
        <f>Summary!E172</f>
        <v>MtCO2e</v>
      </c>
    </row>
    <row r="171" spans="1:5" ht="15" customHeight="1" x14ac:dyDescent="0.2">
      <c r="A171" s="28">
        <f>Summary!A173</f>
        <v>2024</v>
      </c>
      <c r="B171" s="4" t="str">
        <f>Summary!B173</f>
        <v>Unconditional</v>
      </c>
      <c r="C171" s="4" t="str">
        <f>Summary!C173</f>
        <v>Gas Recovery</v>
      </c>
      <c r="D171" s="29">
        <f>Summary!D173</f>
        <v>0.30934943758655098</v>
      </c>
      <c r="E171" s="4" t="str">
        <f>Summary!E173</f>
        <v>MtCO2e</v>
      </c>
    </row>
    <row r="172" spans="1:5" ht="15" customHeight="1" x14ac:dyDescent="0.2">
      <c r="A172" s="28">
        <f>Summary!A174</f>
        <v>2025</v>
      </c>
      <c r="B172" s="4" t="str">
        <f>Summary!B174</f>
        <v>Unconditional</v>
      </c>
      <c r="C172" s="4" t="str">
        <f>Summary!C174</f>
        <v>Gas Recovery</v>
      </c>
      <c r="D172" s="29">
        <f>Summary!D174</f>
        <v>0.63272025832568402</v>
      </c>
      <c r="E172" s="4" t="str">
        <f>Summary!E174</f>
        <v>MtCO2e</v>
      </c>
    </row>
    <row r="173" spans="1:5" ht="15" customHeight="1" x14ac:dyDescent="0.2">
      <c r="A173" s="28">
        <f>Summary!A175</f>
        <v>2026</v>
      </c>
      <c r="B173" s="4" t="str">
        <f>Summary!B175</f>
        <v>Unconditional</v>
      </c>
      <c r="C173" s="4" t="str">
        <f>Summary!C175</f>
        <v>Gas Recovery</v>
      </c>
      <c r="D173" s="29">
        <f>Summary!D175</f>
        <v>0.98856707825508405</v>
      </c>
      <c r="E173" s="4" t="str">
        <f>Summary!E175</f>
        <v>MtCO2e</v>
      </c>
    </row>
    <row r="174" spans="1:5" ht="15" customHeight="1" x14ac:dyDescent="0.2">
      <c r="A174" s="28">
        <f>Summary!A176</f>
        <v>2027</v>
      </c>
      <c r="B174" s="4" t="str">
        <f>Summary!B176</f>
        <v>Unconditional</v>
      </c>
      <c r="C174" s="4" t="str">
        <f>Summary!C176</f>
        <v>Gas Recovery</v>
      </c>
      <c r="D174" s="29">
        <f>Summary!D176</f>
        <v>1.3898016778167599</v>
      </c>
      <c r="E174" s="4" t="str">
        <f>Summary!E176</f>
        <v>MtCO2e</v>
      </c>
    </row>
    <row r="175" spans="1:5" ht="15" customHeight="1" x14ac:dyDescent="0.2">
      <c r="A175" s="28">
        <f>Summary!A177</f>
        <v>2028</v>
      </c>
      <c r="B175" s="4" t="str">
        <f>Summary!B177</f>
        <v>Unconditional</v>
      </c>
      <c r="C175" s="4" t="str">
        <f>Summary!C177</f>
        <v>Gas Recovery</v>
      </c>
      <c r="D175" s="29">
        <f>Summary!D177</f>
        <v>1.84214978694815</v>
      </c>
      <c r="E175" s="4" t="str">
        <f>Summary!E177</f>
        <v>MtCO2e</v>
      </c>
    </row>
    <row r="176" spans="1:5" ht="15" customHeight="1" x14ac:dyDescent="0.2">
      <c r="A176" s="28">
        <f>Summary!A178</f>
        <v>2029</v>
      </c>
      <c r="B176" s="4" t="str">
        <f>Summary!B178</f>
        <v>Unconditional</v>
      </c>
      <c r="C176" s="4" t="str">
        <f>Summary!C178</f>
        <v>Gas Recovery</v>
      </c>
      <c r="D176" s="29">
        <f>Summary!D178</f>
        <v>2.3421410430488598</v>
      </c>
      <c r="E176" s="4" t="str">
        <f>Summary!E178</f>
        <v>MtCO2e</v>
      </c>
    </row>
    <row r="177" spans="1:5" ht="15" customHeight="1" x14ac:dyDescent="0.2">
      <c r="A177" s="28">
        <f>Summary!A179</f>
        <v>2030</v>
      </c>
      <c r="B177" s="4" t="str">
        <f>Summary!B179</f>
        <v>Unconditional</v>
      </c>
      <c r="C177" s="4" t="str">
        <f>Summary!C179</f>
        <v>Gas Recovery</v>
      </c>
      <c r="D177" s="29">
        <f>Summary!D179</f>
        <v>2.8805418326832202</v>
      </c>
      <c r="E177" s="4" t="str">
        <f>Summary!E179</f>
        <v>MtCO2e</v>
      </c>
    </row>
    <row r="178" spans="1:5" ht="15" customHeight="1" x14ac:dyDescent="0.2">
      <c r="A178" s="28">
        <f>Summary!A180</f>
        <v>2031</v>
      </c>
      <c r="B178" s="4" t="str">
        <f>Summary!B180</f>
        <v>Unconditional</v>
      </c>
      <c r="C178" s="4" t="str">
        <f>Summary!C180</f>
        <v>Gas Recovery</v>
      </c>
      <c r="D178" s="29">
        <f>Summary!D180</f>
        <v>3.4459888715190199</v>
      </c>
      <c r="E178" s="4" t="str">
        <f>Summary!E180</f>
        <v>MtCO2e</v>
      </c>
    </row>
    <row r="179" spans="1:5" ht="15" customHeight="1" x14ac:dyDescent="0.2">
      <c r="A179" s="28">
        <f>Summary!A181</f>
        <v>2032</v>
      </c>
      <c r="B179" s="4" t="str">
        <f>Summary!B181</f>
        <v>Unconditional</v>
      </c>
      <c r="C179" s="4" t="str">
        <f>Summary!C181</f>
        <v>Gas Recovery</v>
      </c>
      <c r="D179" s="29">
        <f>Summary!D181</f>
        <v>4.0289862863409898</v>
      </c>
      <c r="E179" s="4" t="str">
        <f>Summary!E181</f>
        <v>MtCO2e</v>
      </c>
    </row>
    <row r="180" spans="1:5" ht="15" customHeight="1" x14ac:dyDescent="0.2">
      <c r="A180" s="28">
        <f>Summary!A182</f>
        <v>2033</v>
      </c>
      <c r="B180" s="4" t="str">
        <f>Summary!B182</f>
        <v>Unconditional</v>
      </c>
      <c r="C180" s="4" t="str">
        <f>Summary!C182</f>
        <v>Gas Recovery</v>
      </c>
      <c r="D180" s="29">
        <f>Summary!D182</f>
        <v>4.6225837410291497</v>
      </c>
      <c r="E180" s="4" t="str">
        <f>Summary!E182</f>
        <v>MtCO2e</v>
      </c>
    </row>
    <row r="181" spans="1:5" ht="15" customHeight="1" x14ac:dyDescent="0.2">
      <c r="A181" s="28">
        <f>Summary!A183</f>
        <v>2034</v>
      </c>
      <c r="B181" s="4" t="str">
        <f>Summary!B183</f>
        <v>Unconditional</v>
      </c>
      <c r="C181" s="4" t="str">
        <f>Summary!C183</f>
        <v>Gas Recovery</v>
      </c>
      <c r="D181" s="29">
        <f>Summary!D183</f>
        <v>5.2224606858407201</v>
      </c>
      <c r="E181" s="4" t="str">
        <f>Summary!E183</f>
        <v>MtCO2e</v>
      </c>
    </row>
    <row r="182" spans="1:5" ht="15" customHeight="1" x14ac:dyDescent="0.2">
      <c r="A182" s="28">
        <f>Summary!A184</f>
        <v>2035</v>
      </c>
      <c r="B182" s="4" t="str">
        <f>Summary!B184</f>
        <v>Unconditional</v>
      </c>
      <c r="C182" s="4" t="str">
        <f>Summary!C184</f>
        <v>Gas Recovery</v>
      </c>
      <c r="D182" s="29">
        <f>Summary!D184</f>
        <v>5.8266534420748597</v>
      </c>
      <c r="E182" s="4" t="str">
        <f>Summary!E184</f>
        <v>MtCO2e</v>
      </c>
    </row>
    <row r="183" spans="1:5" ht="15" customHeight="1" x14ac:dyDescent="0.2">
      <c r="A183" s="28">
        <f>Summary!A185</f>
        <v>2036</v>
      </c>
      <c r="B183" s="4" t="str">
        <f>Summary!B185</f>
        <v>Unconditional</v>
      </c>
      <c r="C183" s="4" t="str">
        <f>Summary!C185</f>
        <v>Gas Recovery</v>
      </c>
      <c r="D183" s="29">
        <f>Summary!D185</f>
        <v>6.4351093443777803</v>
      </c>
      <c r="E183" s="4" t="str">
        <f>Summary!E185</f>
        <v>MtCO2e</v>
      </c>
    </row>
    <row r="184" spans="1:5" ht="15" customHeight="1" x14ac:dyDescent="0.2">
      <c r="A184" s="28">
        <f>Summary!A186</f>
        <v>2037</v>
      </c>
      <c r="B184" s="4" t="str">
        <f>Summary!B186</f>
        <v>Unconditional</v>
      </c>
      <c r="C184" s="4" t="str">
        <f>Summary!C186</f>
        <v>Gas Recovery</v>
      </c>
      <c r="D184" s="29">
        <f>Summary!D186</f>
        <v>7.0491969973373099</v>
      </c>
      <c r="E184" s="4" t="str">
        <f>Summary!E186</f>
        <v>MtCO2e</v>
      </c>
    </row>
    <row r="185" spans="1:5" ht="15" customHeight="1" x14ac:dyDescent="0.2">
      <c r="A185" s="28">
        <f>Summary!A187</f>
        <v>2038</v>
      </c>
      <c r="B185" s="4" t="str">
        <f>Summary!B187</f>
        <v>Unconditional</v>
      </c>
      <c r="C185" s="4" t="str">
        <f>Summary!C187</f>
        <v>Gas Recovery</v>
      </c>
      <c r="D185" s="29">
        <f>Summary!D187</f>
        <v>7.6712511211205898</v>
      </c>
      <c r="E185" s="4" t="str">
        <f>Summary!E187</f>
        <v>MtCO2e</v>
      </c>
    </row>
    <row r="186" spans="1:5" ht="15" customHeight="1" x14ac:dyDescent="0.2">
      <c r="A186" s="28">
        <f>Summary!A188</f>
        <v>2039</v>
      </c>
      <c r="B186" s="4" t="str">
        <f>Summary!B188</f>
        <v>Unconditional</v>
      </c>
      <c r="C186" s="4" t="str">
        <f>Summary!C188</f>
        <v>Gas Recovery</v>
      </c>
      <c r="D186" s="29">
        <f>Summary!D188</f>
        <v>8.3040644986158796</v>
      </c>
      <c r="E186" s="4" t="str">
        <f>Summary!E188</f>
        <v>MtCO2e</v>
      </c>
    </row>
    <row r="187" spans="1:5" ht="15" customHeight="1" x14ac:dyDescent="0.2">
      <c r="A187" s="28">
        <f>Summary!A189</f>
        <v>2040</v>
      </c>
      <c r="B187" s="4" t="str">
        <f>Summary!B189</f>
        <v>Unconditional</v>
      </c>
      <c r="C187" s="4" t="str">
        <f>Summary!C189</f>
        <v>Gas Recovery</v>
      </c>
      <c r="D187" s="29">
        <f>Summary!D189</f>
        <v>8.9503327154504895</v>
      </c>
      <c r="E187" s="4" t="str">
        <f>Summary!E189</f>
        <v>MtCO2e</v>
      </c>
    </row>
    <row r="188" spans="1:5" ht="15" customHeight="1" x14ac:dyDescent="0.2">
      <c r="A188" s="28">
        <f>Summary!A190</f>
        <v>2041</v>
      </c>
      <c r="B188" s="4" t="str">
        <f>Summary!B190</f>
        <v>Unconditional</v>
      </c>
      <c r="C188" s="4" t="str">
        <f>Summary!C190</f>
        <v>Gas Recovery</v>
      </c>
      <c r="D188" s="29">
        <f>Summary!D190</f>
        <v>9.6121720811953502</v>
      </c>
      <c r="E188" s="4" t="str">
        <f>Summary!E190</f>
        <v>MtCO2e</v>
      </c>
    </row>
    <row r="189" spans="1:5" ht="15" customHeight="1" x14ac:dyDescent="0.2">
      <c r="A189" s="28">
        <f>Summary!A191</f>
        <v>2042</v>
      </c>
      <c r="B189" s="4" t="str">
        <f>Summary!B191</f>
        <v>Unconditional</v>
      </c>
      <c r="C189" s="4" t="str">
        <f>Summary!C191</f>
        <v>Gas Recovery</v>
      </c>
      <c r="D189" s="29">
        <f>Summary!D191</f>
        <v>10.290680431615201</v>
      </c>
      <c r="E189" s="4" t="str">
        <f>Summary!E191</f>
        <v>MtCO2e</v>
      </c>
    </row>
    <row r="190" spans="1:5" ht="15" customHeight="1" x14ac:dyDescent="0.2">
      <c r="A190" s="28">
        <f>Summary!A192</f>
        <v>2043</v>
      </c>
      <c r="B190" s="4" t="str">
        <f>Summary!B192</f>
        <v>Unconditional</v>
      </c>
      <c r="C190" s="4" t="str">
        <f>Summary!C192</f>
        <v>Gas Recovery</v>
      </c>
      <c r="D190" s="29">
        <f>Summary!D192</f>
        <v>10.985936387668501</v>
      </c>
      <c r="E190" s="4" t="str">
        <f>Summary!E192</f>
        <v>MtCO2e</v>
      </c>
    </row>
    <row r="191" spans="1:5" ht="15" customHeight="1" x14ac:dyDescent="0.2">
      <c r="A191" s="28">
        <f>Summary!A193</f>
        <v>2044</v>
      </c>
      <c r="B191" s="4" t="str">
        <f>Summary!B193</f>
        <v>Unconditional</v>
      </c>
      <c r="C191" s="4" t="str">
        <f>Summary!C193</f>
        <v>Gas Recovery</v>
      </c>
      <c r="D191" s="29">
        <f>Summary!D193</f>
        <v>11.697142303796801</v>
      </c>
      <c r="E191" s="4" t="str">
        <f>Summary!E193</f>
        <v>MtCO2e</v>
      </c>
    </row>
    <row r="192" spans="1:5" ht="15" customHeight="1" x14ac:dyDescent="0.2">
      <c r="A192" s="28">
        <f>Summary!A194</f>
        <v>2045</v>
      </c>
      <c r="B192" s="4" t="str">
        <f>Summary!B194</f>
        <v>Unconditional</v>
      </c>
      <c r="C192" s="4" t="str">
        <f>Summary!C194</f>
        <v>Gas Recovery</v>
      </c>
      <c r="D192" s="29">
        <f>Summary!D194</f>
        <v>12.422762226444499</v>
      </c>
      <c r="E192" s="4" t="str">
        <f>Summary!E194</f>
        <v>MtCO2e</v>
      </c>
    </row>
    <row r="193" spans="1:5" ht="15" customHeight="1" x14ac:dyDescent="0.2">
      <c r="A193" s="28">
        <f>Summary!A195</f>
        <v>2046</v>
      </c>
      <c r="B193" s="4" t="str">
        <f>Summary!B195</f>
        <v>Unconditional</v>
      </c>
      <c r="C193" s="4" t="str">
        <f>Summary!C195</f>
        <v>Gas Recovery</v>
      </c>
      <c r="D193" s="29">
        <f>Summary!D195</f>
        <v>13.160659821578999</v>
      </c>
      <c r="E193" s="4" t="str">
        <f>Summary!E195</f>
        <v>MtCO2e</v>
      </c>
    </row>
    <row r="194" spans="1:5" ht="15" customHeight="1" x14ac:dyDescent="0.2">
      <c r="A194" s="28">
        <f>Summary!A196</f>
        <v>2047</v>
      </c>
      <c r="B194" s="4" t="str">
        <f>Summary!B196</f>
        <v>Unconditional</v>
      </c>
      <c r="C194" s="4" t="str">
        <f>Summary!C196</f>
        <v>Gas Recovery</v>
      </c>
      <c r="D194" s="29">
        <f>Summary!D196</f>
        <v>13.908251467663799</v>
      </c>
      <c r="E194" s="4" t="str">
        <f>Summary!E196</f>
        <v>MtCO2e</v>
      </c>
    </row>
    <row r="195" spans="1:5" ht="15" customHeight="1" x14ac:dyDescent="0.2">
      <c r="A195" s="28">
        <f>Summary!A197</f>
        <v>2048</v>
      </c>
      <c r="B195" s="4" t="str">
        <f>Summary!B197</f>
        <v>Unconditional</v>
      </c>
      <c r="C195" s="4" t="str">
        <f>Summary!C197</f>
        <v>Gas Recovery</v>
      </c>
      <c r="D195" s="29">
        <f>Summary!D197</f>
        <v>14.6626985549319</v>
      </c>
      <c r="E195" s="4" t="str">
        <f>Summary!E197</f>
        <v>MtCO2e</v>
      </c>
    </row>
    <row r="196" spans="1:5" ht="15" customHeight="1" x14ac:dyDescent="0.2">
      <c r="A196" s="28">
        <f>Summary!A198</f>
        <v>2049</v>
      </c>
      <c r="B196" s="4" t="str">
        <f>Summary!B198</f>
        <v>Unconditional</v>
      </c>
      <c r="C196" s="4" t="str">
        <f>Summary!C198</f>
        <v>Gas Recovery</v>
      </c>
      <c r="D196" s="29">
        <f>Summary!D198</f>
        <v>15.3042081342761</v>
      </c>
      <c r="E196" s="4" t="str">
        <f>Summary!E198</f>
        <v>MtCO2e</v>
      </c>
    </row>
    <row r="197" spans="1:5" ht="15" customHeight="1" x14ac:dyDescent="0.2">
      <c r="A197" s="28">
        <f>Summary!A199</f>
        <v>2050</v>
      </c>
      <c r="B197" s="4" t="str">
        <f>Summary!B199</f>
        <v>Unconditional</v>
      </c>
      <c r="C197" s="4" t="str">
        <f>Summary!C199</f>
        <v>Gas Recovery</v>
      </c>
      <c r="D197" s="29">
        <f>Summary!D199</f>
        <v>15.740535788417301</v>
      </c>
      <c r="E197" s="4" t="str">
        <f>Summary!E199</f>
        <v>MtCO2e</v>
      </c>
    </row>
    <row r="198" spans="1:5" ht="15" customHeight="1" x14ac:dyDescent="0.2">
      <c r="A198" s="28">
        <f>Summary!A200</f>
        <v>2023</v>
      </c>
      <c r="B198" s="4" t="str">
        <f>Summary!B200</f>
        <v>Conditional</v>
      </c>
      <c r="C198" s="4" t="str">
        <f>Summary!C200</f>
        <v>Fugitive</v>
      </c>
      <c r="D198" s="29">
        <f>Summary!D200</f>
        <v>5.0812639999999991</v>
      </c>
      <c r="E198" s="4" t="str">
        <f>Summary!E200</f>
        <v>MtCO2e</v>
      </c>
    </row>
    <row r="199" spans="1:5" ht="15" customHeight="1" x14ac:dyDescent="0.2">
      <c r="A199" s="28">
        <f>Summary!A201</f>
        <v>2024</v>
      </c>
      <c r="B199" s="4" t="str">
        <f>Summary!B201</f>
        <v>Conditional</v>
      </c>
      <c r="C199" s="4" t="str">
        <f>Summary!C201</f>
        <v>Fugitive</v>
      </c>
      <c r="D199" s="29">
        <f>Summary!D201</f>
        <v>5.0553704440111638</v>
      </c>
      <c r="E199" s="4" t="str">
        <f>Summary!E201</f>
        <v>MtCO2e</v>
      </c>
    </row>
    <row r="200" spans="1:5" ht="15" customHeight="1" x14ac:dyDescent="0.2">
      <c r="A200" s="28">
        <f>Summary!A202</f>
        <v>2025</v>
      </c>
      <c r="B200" s="4" t="str">
        <f>Summary!B202</f>
        <v>Conditional</v>
      </c>
      <c r="C200" s="4" t="str">
        <f>Summary!C202</f>
        <v>Fugitive</v>
      </c>
      <c r="D200" s="29">
        <f>Summary!D202</f>
        <v>5.0620465006012836</v>
      </c>
      <c r="E200" s="4" t="str">
        <f>Summary!E202</f>
        <v>MtCO2e</v>
      </c>
    </row>
    <row r="201" spans="1:5" ht="15" customHeight="1" x14ac:dyDescent="0.2">
      <c r="A201" s="28">
        <f>Summary!A203</f>
        <v>2026</v>
      </c>
      <c r="B201" s="4" t="str">
        <f>Summary!B203</f>
        <v>Conditional</v>
      </c>
      <c r="C201" s="4" t="str">
        <f>Summary!C203</f>
        <v>Fugitive</v>
      </c>
      <c r="D201" s="29">
        <f>Summary!D203</f>
        <v>4.7591110960076604</v>
      </c>
      <c r="E201" s="4" t="str">
        <f>Summary!E203</f>
        <v>MtCO2e</v>
      </c>
    </row>
    <row r="202" spans="1:5" ht="15" customHeight="1" x14ac:dyDescent="0.2">
      <c r="A202" s="28">
        <f>Summary!A204</f>
        <v>2027</v>
      </c>
      <c r="B202" s="4" t="str">
        <f>Summary!B204</f>
        <v>Conditional</v>
      </c>
      <c r="C202" s="4" t="str">
        <f>Summary!C204</f>
        <v>Fugitive</v>
      </c>
      <c r="D202" s="29">
        <f>Summary!D204</f>
        <v>3.6752816771891643</v>
      </c>
      <c r="E202" s="4" t="str">
        <f>Summary!E204</f>
        <v>MtCO2e</v>
      </c>
    </row>
    <row r="203" spans="1:5" ht="15" customHeight="1" x14ac:dyDescent="0.2">
      <c r="A203" s="28">
        <f>Summary!A205</f>
        <v>2028</v>
      </c>
      <c r="B203" s="4" t="str">
        <f>Summary!B205</f>
        <v>Conditional</v>
      </c>
      <c r="C203" s="4" t="str">
        <f>Summary!C205</f>
        <v>Fugitive</v>
      </c>
      <c r="D203" s="29">
        <f>Summary!D205</f>
        <v>2.5089175239259625</v>
      </c>
      <c r="E203" s="4" t="str">
        <f>Summary!E205</f>
        <v>MtCO2e</v>
      </c>
    </row>
    <row r="204" spans="1:5" ht="15" customHeight="1" x14ac:dyDescent="0.2">
      <c r="A204" s="28">
        <f>Summary!A206</f>
        <v>2029</v>
      </c>
      <c r="B204" s="4" t="str">
        <f>Summary!B206</f>
        <v>Conditional</v>
      </c>
      <c r="C204" s="4" t="str">
        <f>Summary!C206</f>
        <v>Fugitive</v>
      </c>
      <c r="D204" s="29">
        <f>Summary!D206</f>
        <v>1.277917052765873</v>
      </c>
      <c r="E204" s="4" t="str">
        <f>Summary!E206</f>
        <v>MtCO2e</v>
      </c>
    </row>
    <row r="205" spans="1:5" ht="15" customHeight="1" x14ac:dyDescent="0.2">
      <c r="A205" s="28">
        <f>Summary!A207</f>
        <v>2030</v>
      </c>
      <c r="B205" s="4" t="str">
        <f>Summary!B207</f>
        <v>Conditional</v>
      </c>
      <c r="C205" s="4" t="str">
        <f>Summary!C207</f>
        <v>Fugitive</v>
      </c>
      <c r="D205" s="29">
        <f>Summary!D207</f>
        <v>1.2769885578680419E-3</v>
      </c>
      <c r="E205" s="4" t="str">
        <f>Summary!E207</f>
        <v>MtCO2e</v>
      </c>
    </row>
    <row r="206" spans="1:5" ht="15" customHeight="1" x14ac:dyDescent="0.2">
      <c r="A206" s="28">
        <f>Summary!A208</f>
        <v>2031</v>
      </c>
      <c r="B206" s="4" t="str">
        <f>Summary!B208</f>
        <v>Conditional</v>
      </c>
      <c r="C206" s="4" t="str">
        <f>Summary!C208</f>
        <v>Fugitive</v>
      </c>
      <c r="D206" s="29">
        <f>Summary!D208</f>
        <v>1.2115076660049015E-3</v>
      </c>
      <c r="E206" s="4" t="str">
        <f>Summary!E208</f>
        <v>MtCO2e</v>
      </c>
    </row>
    <row r="207" spans="1:5" ht="15" customHeight="1" x14ac:dyDescent="0.2">
      <c r="A207" s="28">
        <f>Summary!A209</f>
        <v>2032</v>
      </c>
      <c r="B207" s="4" t="str">
        <f>Summary!B209</f>
        <v>Conditional</v>
      </c>
      <c r="C207" s="4" t="str">
        <f>Summary!C209</f>
        <v>Fugitive</v>
      </c>
      <c r="D207" s="29">
        <f>Summary!D209</f>
        <v>1.1469655333959656E-3</v>
      </c>
      <c r="E207" s="4" t="str">
        <f>Summary!E209</f>
        <v>MtCO2e</v>
      </c>
    </row>
    <row r="208" spans="1:5" ht="15" customHeight="1" x14ac:dyDescent="0.2">
      <c r="A208" s="28">
        <f>Summary!A210</f>
        <v>2033</v>
      </c>
      <c r="B208" s="4" t="str">
        <f>Summary!B210</f>
        <v>Conditional</v>
      </c>
      <c r="C208" s="4" t="str">
        <f>Summary!C210</f>
        <v>Fugitive</v>
      </c>
      <c r="D208" s="29">
        <f>Summary!D210</f>
        <v>1.0835024658937705E-3</v>
      </c>
      <c r="E208" s="4" t="str">
        <f>Summary!E210</f>
        <v>MtCO2e</v>
      </c>
    </row>
    <row r="209" spans="1:5" ht="15" customHeight="1" x14ac:dyDescent="0.2">
      <c r="A209" s="28">
        <f>Summary!A211</f>
        <v>2034</v>
      </c>
      <c r="B209" s="4" t="str">
        <f>Summary!B211</f>
        <v>Conditional</v>
      </c>
      <c r="C209" s="4" t="str">
        <f>Summary!C211</f>
        <v>Fugitive</v>
      </c>
      <c r="D209" s="29">
        <f>Summary!D211</f>
        <v>1.0212322900121904E-3</v>
      </c>
      <c r="E209" s="4" t="str">
        <f>Summary!E211</f>
        <v>MtCO2e</v>
      </c>
    </row>
    <row r="210" spans="1:5" ht="15" customHeight="1" x14ac:dyDescent="0.2">
      <c r="A210" s="28">
        <f>Summary!A212</f>
        <v>2035</v>
      </c>
      <c r="B210" s="4" t="str">
        <f>Summary!B212</f>
        <v>Conditional</v>
      </c>
      <c r="C210" s="4" t="str">
        <f>Summary!C212</f>
        <v>Fugitive</v>
      </c>
      <c r="D210" s="29">
        <f>Summary!D212</f>
        <v>9.6021577626406946E-4</v>
      </c>
      <c r="E210" s="4" t="str">
        <f>Summary!E212</f>
        <v>MtCO2e</v>
      </c>
    </row>
    <row r="211" spans="1:5" ht="15" customHeight="1" x14ac:dyDescent="0.2">
      <c r="A211" s="28">
        <f>Summary!A213</f>
        <v>2036</v>
      </c>
      <c r="B211" s="4" t="str">
        <f>Summary!B213</f>
        <v>Conditional</v>
      </c>
      <c r="C211" s="4" t="str">
        <f>Summary!C213</f>
        <v>Fugitive</v>
      </c>
      <c r="D211" s="29">
        <f>Summary!D213</f>
        <v>9.0048168217851036E-4</v>
      </c>
      <c r="E211" s="4" t="str">
        <f>Summary!E213</f>
        <v>MtCO2e</v>
      </c>
    </row>
    <row r="212" spans="1:5" ht="15" customHeight="1" x14ac:dyDescent="0.2">
      <c r="A212" s="28">
        <f>Summary!A214</f>
        <v>2037</v>
      </c>
      <c r="B212" s="4" t="str">
        <f>Summary!B214</f>
        <v>Conditional</v>
      </c>
      <c r="C212" s="4" t="str">
        <f>Summary!C214</f>
        <v>Fugitive</v>
      </c>
      <c r="D212" s="29">
        <f>Summary!D214</f>
        <v>8.4155550425929222E-4</v>
      </c>
      <c r="E212" s="4" t="str">
        <f>Summary!E214</f>
        <v>MtCO2e</v>
      </c>
    </row>
    <row r="213" spans="1:5" ht="15" customHeight="1" x14ac:dyDescent="0.2">
      <c r="A213" s="28">
        <f>Summary!A215</f>
        <v>2038</v>
      </c>
      <c r="B213" s="4" t="str">
        <f>Summary!B215</f>
        <v>Conditional</v>
      </c>
      <c r="C213" s="4" t="str">
        <f>Summary!C215</f>
        <v>Fugitive</v>
      </c>
      <c r="D213" s="29">
        <f>Summary!D215</f>
        <v>7.841967112931197E-4</v>
      </c>
      <c r="E213" s="4" t="str">
        <f>Summary!E215</f>
        <v>MtCO2e</v>
      </c>
    </row>
    <row r="214" spans="1:5" ht="15" customHeight="1" x14ac:dyDescent="0.2">
      <c r="A214" s="28">
        <f>Summary!A216</f>
        <v>2039</v>
      </c>
      <c r="B214" s="4" t="str">
        <f>Summary!B216</f>
        <v>Conditional</v>
      </c>
      <c r="C214" s="4" t="str">
        <f>Summary!C216</f>
        <v>Fugitive</v>
      </c>
      <c r="D214" s="29">
        <f>Summary!D216</f>
        <v>7.2840273008067686E-4</v>
      </c>
      <c r="E214" s="4" t="str">
        <f>Summary!E216</f>
        <v>MtCO2e</v>
      </c>
    </row>
    <row r="215" spans="1:5" ht="15" customHeight="1" x14ac:dyDescent="0.2">
      <c r="A215" s="28">
        <f>Summary!A217</f>
        <v>2040</v>
      </c>
      <c r="B215" s="4" t="str">
        <f>Summary!B217</f>
        <v>Conditional</v>
      </c>
      <c r="C215" s="4" t="str">
        <f>Summary!C217</f>
        <v>Fugitive</v>
      </c>
      <c r="D215" s="29">
        <f>Summary!D217</f>
        <v>6.7420795402641258E-4</v>
      </c>
      <c r="E215" s="4" t="str">
        <f>Summary!E217</f>
        <v>MtCO2e</v>
      </c>
    </row>
    <row r="216" spans="1:5" ht="15" customHeight="1" x14ac:dyDescent="0.2">
      <c r="A216" s="28">
        <f>Summary!A218</f>
        <v>2041</v>
      </c>
      <c r="B216" s="4" t="str">
        <f>Summary!B218</f>
        <v>Conditional</v>
      </c>
      <c r="C216" s="4" t="str">
        <f>Summary!C218</f>
        <v>Fugitive</v>
      </c>
      <c r="D216" s="29">
        <f>Summary!D218</f>
        <v>6.2282581299725418E-4</v>
      </c>
      <c r="E216" s="4" t="str">
        <f>Summary!E218</f>
        <v>MtCO2e</v>
      </c>
    </row>
    <row r="217" spans="1:5" ht="15" customHeight="1" x14ac:dyDescent="0.2">
      <c r="A217" s="28">
        <f>Summary!A219</f>
        <v>2042</v>
      </c>
      <c r="B217" s="4" t="str">
        <f>Summary!B219</f>
        <v>Conditional</v>
      </c>
      <c r="C217" s="4" t="str">
        <f>Summary!C219</f>
        <v>Fugitive</v>
      </c>
      <c r="D217" s="29">
        <f>Summary!D219</f>
        <v>5.7295207815288146E-4</v>
      </c>
      <c r="E217" s="4" t="str">
        <f>Summary!E219</f>
        <v>MtCO2e</v>
      </c>
    </row>
    <row r="218" spans="1:5" ht="15" customHeight="1" x14ac:dyDescent="0.2">
      <c r="A218" s="28">
        <f>Summary!A220</f>
        <v>2043</v>
      </c>
      <c r="B218" s="4" t="str">
        <f>Summary!B220</f>
        <v>Conditional</v>
      </c>
      <c r="C218" s="4" t="str">
        <f>Summary!C220</f>
        <v>Fugitive</v>
      </c>
      <c r="D218" s="29">
        <f>Summary!D220</f>
        <v>5.3326856312041644E-4</v>
      </c>
      <c r="E218" s="4" t="str">
        <f>Summary!E220</f>
        <v>MtCO2e</v>
      </c>
    </row>
    <row r="219" spans="1:5" ht="15" customHeight="1" x14ac:dyDescent="0.2">
      <c r="A219" s="28">
        <f>Summary!A221</f>
        <v>2044</v>
      </c>
      <c r="B219" s="4" t="str">
        <f>Summary!B221</f>
        <v>Conditional</v>
      </c>
      <c r="C219" s="4" t="str">
        <f>Summary!C221</f>
        <v>Fugitive</v>
      </c>
      <c r="D219" s="29">
        <f>Summary!D221</f>
        <v>4.934036947358459E-4</v>
      </c>
      <c r="E219" s="4" t="str">
        <f>Summary!E221</f>
        <v>MtCO2e</v>
      </c>
    </row>
    <row r="220" spans="1:5" ht="15" customHeight="1" x14ac:dyDescent="0.2">
      <c r="A220" s="28">
        <f>Summary!A222</f>
        <v>2045</v>
      </c>
      <c r="B220" s="4" t="str">
        <f>Summary!B222</f>
        <v>Conditional</v>
      </c>
      <c r="C220" s="4" t="str">
        <f>Summary!C222</f>
        <v>Fugitive</v>
      </c>
      <c r="D220" s="29">
        <f>Summary!D222</f>
        <v>4.5338320664467855E-4</v>
      </c>
      <c r="E220" s="4" t="str">
        <f>Summary!E222</f>
        <v>MtCO2e</v>
      </c>
    </row>
    <row r="221" spans="1:5" ht="15" customHeight="1" x14ac:dyDescent="0.2">
      <c r="A221" s="28">
        <f>Summary!A223</f>
        <v>2046</v>
      </c>
      <c r="B221" s="4" t="str">
        <f>Summary!B223</f>
        <v>Conditional</v>
      </c>
      <c r="C221" s="4" t="str">
        <f>Summary!C223</f>
        <v>Fugitive</v>
      </c>
      <c r="D221" s="29">
        <f>Summary!D223</f>
        <v>4.1322977074693989E-4</v>
      </c>
      <c r="E221" s="4" t="str">
        <f>Summary!E223</f>
        <v>MtCO2e</v>
      </c>
    </row>
    <row r="222" spans="1:5" ht="15" customHeight="1" x14ac:dyDescent="0.2">
      <c r="A222" s="28">
        <f>Summary!A224</f>
        <v>2047</v>
      </c>
      <c r="B222" s="4" t="str">
        <f>Summary!B224</f>
        <v>Conditional</v>
      </c>
      <c r="C222" s="4" t="str">
        <f>Summary!C224</f>
        <v>Fugitive</v>
      </c>
      <c r="D222" s="29">
        <f>Summary!D224</f>
        <v>3.729731553399491E-4</v>
      </c>
      <c r="E222" s="4" t="str">
        <f>Summary!E224</f>
        <v>MtCO2e</v>
      </c>
    </row>
    <row r="223" spans="1:5" ht="15" customHeight="1" x14ac:dyDescent="0.2">
      <c r="A223" s="28">
        <f>Summary!A225</f>
        <v>2048</v>
      </c>
      <c r="B223" s="4" t="str">
        <f>Summary!B225</f>
        <v>Conditional</v>
      </c>
      <c r="C223" s="4" t="str">
        <f>Summary!C225</f>
        <v>Fugitive</v>
      </c>
      <c r="D223" s="29">
        <f>Summary!D225</f>
        <v>3.3263918721367888E-4</v>
      </c>
      <c r="E223" s="4" t="str">
        <f>Summary!E225</f>
        <v>MtCO2e</v>
      </c>
    </row>
    <row r="224" spans="1:5" ht="15" customHeight="1" x14ac:dyDescent="0.2">
      <c r="A224" s="28">
        <f>Summary!A226</f>
        <v>2049</v>
      </c>
      <c r="B224" s="4" t="str">
        <f>Summary!B226</f>
        <v>Conditional</v>
      </c>
      <c r="C224" s="4" t="str">
        <f>Summary!C226</f>
        <v>Fugitive</v>
      </c>
      <c r="D224" s="29">
        <f>Summary!D226</f>
        <v>2.9225373081426194E-4</v>
      </c>
      <c r="E224" s="4" t="str">
        <f>Summary!E226</f>
        <v>MtCO2e</v>
      </c>
    </row>
    <row r="225" spans="1:5" ht="15" customHeight="1" x14ac:dyDescent="0.2">
      <c r="A225" s="28">
        <f>Summary!A227</f>
        <v>2050</v>
      </c>
      <c r="B225" s="4" t="str">
        <f>Summary!B227</f>
        <v>Conditional</v>
      </c>
      <c r="C225" s="4" t="str">
        <f>Summary!C227</f>
        <v>Fugitive</v>
      </c>
      <c r="D225" s="29">
        <f>Summary!D227</f>
        <v>2.5184032437704587E-4</v>
      </c>
      <c r="E225" s="4" t="str">
        <f>Summary!E227</f>
        <v>MtCO2e</v>
      </c>
    </row>
    <row r="226" spans="1:5" ht="15" customHeight="1" x14ac:dyDescent="0.2">
      <c r="A226" s="28">
        <f>Summary!A228</f>
        <v>2023</v>
      </c>
      <c r="B226" s="4" t="str">
        <f>Summary!B228</f>
        <v>Conditional</v>
      </c>
      <c r="C226" s="4" t="str">
        <f>Summary!C228</f>
        <v>Venting</v>
      </c>
      <c r="D226" s="29">
        <f>Summary!D228</f>
        <v>15.67624</v>
      </c>
      <c r="E226" s="4" t="str">
        <f>Summary!E228</f>
        <v>MtCO2e</v>
      </c>
    </row>
    <row r="227" spans="1:5" ht="15" customHeight="1" x14ac:dyDescent="0.2">
      <c r="A227" s="28">
        <f>Summary!A229</f>
        <v>2024</v>
      </c>
      <c r="B227" s="4" t="str">
        <f>Summary!B229</f>
        <v>Conditional</v>
      </c>
      <c r="C227" s="4" t="str">
        <f>Summary!C229</f>
        <v>Venting</v>
      </c>
      <c r="D227" s="29">
        <f>Summary!D229</f>
        <v>15.736640853369334</v>
      </c>
      <c r="E227" s="4" t="str">
        <f>Summary!E229</f>
        <v>MtCO2e</v>
      </c>
    </row>
    <row r="228" spans="1:5" ht="15" customHeight="1" x14ac:dyDescent="0.2">
      <c r="A228" s="28">
        <f>Summary!A230</f>
        <v>2025</v>
      </c>
      <c r="B228" s="4" t="str">
        <f>Summary!B230</f>
        <v>Conditional</v>
      </c>
      <c r="C228" s="4" t="str">
        <f>Summary!C230</f>
        <v>Venting</v>
      </c>
      <c r="D228" s="29">
        <f>Summary!D230</f>
        <v>15.776636434903947</v>
      </c>
      <c r="E228" s="4" t="str">
        <f>Summary!E230</f>
        <v>MtCO2e</v>
      </c>
    </row>
    <row r="229" spans="1:5" ht="15" customHeight="1" x14ac:dyDescent="0.2">
      <c r="A229" s="28">
        <f>Summary!A231</f>
        <v>2026</v>
      </c>
      <c r="B229" s="4" t="str">
        <f>Summary!B231</f>
        <v>Conditional</v>
      </c>
      <c r="C229" s="4" t="str">
        <f>Summary!C231</f>
        <v>Venting</v>
      </c>
      <c r="D229" s="29">
        <f>Summary!D231</f>
        <v>13.176014060524061</v>
      </c>
      <c r="E229" s="4" t="str">
        <f>Summary!E231</f>
        <v>MtCO2e</v>
      </c>
    </row>
    <row r="230" spans="1:5" ht="15" customHeight="1" x14ac:dyDescent="0.2">
      <c r="A230" s="28">
        <f>Summary!A232</f>
        <v>2027</v>
      </c>
      <c r="B230" s="4" t="str">
        <f>Summary!B232</f>
        <v>Conditional</v>
      </c>
      <c r="C230" s="4" t="str">
        <f>Summary!C232</f>
        <v>Venting</v>
      </c>
      <c r="D230" s="29">
        <f>Summary!D232</f>
        <v>10.532474121144864</v>
      </c>
      <c r="E230" s="4" t="str">
        <f>Summary!E232</f>
        <v>MtCO2e</v>
      </c>
    </row>
    <row r="231" spans="1:5" ht="15" customHeight="1" x14ac:dyDescent="0.2">
      <c r="A231" s="28">
        <f>Summary!A233</f>
        <v>2028</v>
      </c>
      <c r="B231" s="4" t="str">
        <f>Summary!B233</f>
        <v>Conditional</v>
      </c>
      <c r="C231" s="4" t="str">
        <f>Summary!C233</f>
        <v>Venting</v>
      </c>
      <c r="D231" s="29">
        <f>Summary!D233</f>
        <v>7.8702805724203584</v>
      </c>
      <c r="E231" s="4" t="str">
        <f>Summary!E233</f>
        <v>MtCO2e</v>
      </c>
    </row>
    <row r="232" spans="1:5" ht="15" customHeight="1" x14ac:dyDescent="0.2">
      <c r="A232" s="28">
        <f>Summary!A234</f>
        <v>2029</v>
      </c>
      <c r="B232" s="4" t="str">
        <f>Summary!B234</f>
        <v>Conditional</v>
      </c>
      <c r="C232" s="4" t="str">
        <f>Summary!C234</f>
        <v>Venting</v>
      </c>
      <c r="D232" s="29">
        <f>Summary!D234</f>
        <v>5.2977570405695804</v>
      </c>
      <c r="E232" s="4" t="str">
        <f>Summary!E234</f>
        <v>MtCO2e</v>
      </c>
    </row>
    <row r="233" spans="1:5" ht="15" customHeight="1" x14ac:dyDescent="0.2">
      <c r="A233" s="28">
        <f>Summary!A235</f>
        <v>2030</v>
      </c>
      <c r="B233" s="4" t="str">
        <f>Summary!B235</f>
        <v>Conditional</v>
      </c>
      <c r="C233" s="4" t="str">
        <f>Summary!C235</f>
        <v>Venting</v>
      </c>
      <c r="D233" s="29">
        <f>Summary!D235</f>
        <v>2.9669799487139477</v>
      </c>
      <c r="E233" s="4" t="str">
        <f>Summary!E235</f>
        <v>MtCO2e</v>
      </c>
    </row>
    <row r="234" spans="1:5" ht="15" customHeight="1" x14ac:dyDescent="0.2">
      <c r="A234" s="28">
        <f>Summary!A236</f>
        <v>2031</v>
      </c>
      <c r="B234" s="4" t="str">
        <f>Summary!B236</f>
        <v>Conditional</v>
      </c>
      <c r="C234" s="4" t="str">
        <f>Summary!C236</f>
        <v>Venting</v>
      </c>
      <c r="D234" s="29">
        <f>Summary!D236</f>
        <v>1.0143066418962705</v>
      </c>
      <c r="E234" s="4" t="str">
        <f>Summary!E236</f>
        <v>MtCO2e</v>
      </c>
    </row>
    <row r="235" spans="1:5" ht="15" customHeight="1" x14ac:dyDescent="0.2">
      <c r="A235" s="28">
        <f>Summary!A237</f>
        <v>2032</v>
      </c>
      <c r="B235" s="4" t="str">
        <f>Summary!B237</f>
        <v>Conditional</v>
      </c>
      <c r="C235" s="4" t="str">
        <f>Summary!C237</f>
        <v>Venting</v>
      </c>
      <c r="D235" s="29">
        <f>Summary!D237</f>
        <v>0</v>
      </c>
      <c r="E235" s="4" t="str">
        <f>Summary!E237</f>
        <v>MtCO2e</v>
      </c>
    </row>
    <row r="236" spans="1:5" ht="15" customHeight="1" x14ac:dyDescent="0.2">
      <c r="A236" s="28">
        <f>Summary!A238</f>
        <v>2033</v>
      </c>
      <c r="B236" s="4" t="str">
        <f>Summary!B238</f>
        <v>Conditional</v>
      </c>
      <c r="C236" s="4" t="str">
        <f>Summary!C238</f>
        <v>Venting</v>
      </c>
      <c r="D236" s="29">
        <f>Summary!D238</f>
        <v>0</v>
      </c>
      <c r="E236" s="4" t="str">
        <f>Summary!E238</f>
        <v>MtCO2e</v>
      </c>
    </row>
    <row r="237" spans="1:5" ht="15" customHeight="1" x14ac:dyDescent="0.2">
      <c r="A237" s="28">
        <f>Summary!A239</f>
        <v>2034</v>
      </c>
      <c r="B237" s="4" t="str">
        <f>Summary!B239</f>
        <v>Conditional</v>
      </c>
      <c r="C237" s="4" t="str">
        <f>Summary!C239</f>
        <v>Venting</v>
      </c>
      <c r="D237" s="29">
        <f>Summary!D239</f>
        <v>0</v>
      </c>
      <c r="E237" s="4" t="str">
        <f>Summary!E239</f>
        <v>MtCO2e</v>
      </c>
    </row>
    <row r="238" spans="1:5" ht="15" customHeight="1" x14ac:dyDescent="0.2">
      <c r="A238" s="28">
        <f>Summary!A240</f>
        <v>2035</v>
      </c>
      <c r="B238" s="4" t="str">
        <f>Summary!B240</f>
        <v>Conditional</v>
      </c>
      <c r="C238" s="4" t="str">
        <f>Summary!C240</f>
        <v>Venting</v>
      </c>
      <c r="D238" s="29">
        <f>Summary!D240</f>
        <v>0</v>
      </c>
      <c r="E238" s="4" t="str">
        <f>Summary!E240</f>
        <v>MtCO2e</v>
      </c>
    </row>
    <row r="239" spans="1:5" ht="15" customHeight="1" x14ac:dyDescent="0.2">
      <c r="A239" s="28">
        <f>Summary!A241</f>
        <v>2036</v>
      </c>
      <c r="B239" s="4" t="str">
        <f>Summary!B241</f>
        <v>Conditional</v>
      </c>
      <c r="C239" s="4" t="str">
        <f>Summary!C241</f>
        <v>Venting</v>
      </c>
      <c r="D239" s="29">
        <f>Summary!D241</f>
        <v>0</v>
      </c>
      <c r="E239" s="4" t="str">
        <f>Summary!E241</f>
        <v>MtCO2e</v>
      </c>
    </row>
    <row r="240" spans="1:5" ht="15" customHeight="1" x14ac:dyDescent="0.2">
      <c r="A240" s="28">
        <f>Summary!A242</f>
        <v>2037</v>
      </c>
      <c r="B240" s="4" t="str">
        <f>Summary!B242</f>
        <v>Conditional</v>
      </c>
      <c r="C240" s="4" t="str">
        <f>Summary!C242</f>
        <v>Venting</v>
      </c>
      <c r="D240" s="29">
        <f>Summary!D242</f>
        <v>0</v>
      </c>
      <c r="E240" s="4" t="str">
        <f>Summary!E242</f>
        <v>MtCO2e</v>
      </c>
    </row>
    <row r="241" spans="1:5" ht="15" customHeight="1" x14ac:dyDescent="0.2">
      <c r="A241" s="28">
        <f>Summary!A243</f>
        <v>2038</v>
      </c>
      <c r="B241" s="4" t="str">
        <f>Summary!B243</f>
        <v>Conditional</v>
      </c>
      <c r="C241" s="4" t="str">
        <f>Summary!C243</f>
        <v>Venting</v>
      </c>
      <c r="D241" s="29">
        <f>Summary!D243</f>
        <v>0</v>
      </c>
      <c r="E241" s="4" t="str">
        <f>Summary!E243</f>
        <v>MtCO2e</v>
      </c>
    </row>
    <row r="242" spans="1:5" ht="15" customHeight="1" x14ac:dyDescent="0.2">
      <c r="A242" s="28">
        <f>Summary!A244</f>
        <v>2039</v>
      </c>
      <c r="B242" s="4" t="str">
        <f>Summary!B244</f>
        <v>Conditional</v>
      </c>
      <c r="C242" s="4" t="str">
        <f>Summary!C244</f>
        <v>Venting</v>
      </c>
      <c r="D242" s="29">
        <f>Summary!D244</f>
        <v>0</v>
      </c>
      <c r="E242" s="4" t="str">
        <f>Summary!E244</f>
        <v>MtCO2e</v>
      </c>
    </row>
    <row r="243" spans="1:5" ht="15" customHeight="1" x14ac:dyDescent="0.2">
      <c r="A243" s="28">
        <f>Summary!A245</f>
        <v>2040</v>
      </c>
      <c r="B243" s="4" t="str">
        <f>Summary!B245</f>
        <v>Conditional</v>
      </c>
      <c r="C243" s="4" t="str">
        <f>Summary!C245</f>
        <v>Venting</v>
      </c>
      <c r="D243" s="29">
        <f>Summary!D245</f>
        <v>0</v>
      </c>
      <c r="E243" s="4" t="str">
        <f>Summary!E245</f>
        <v>MtCO2e</v>
      </c>
    </row>
    <row r="244" spans="1:5" ht="15" customHeight="1" x14ac:dyDescent="0.2">
      <c r="A244" s="28">
        <f>Summary!A246</f>
        <v>2041</v>
      </c>
      <c r="B244" s="4" t="str">
        <f>Summary!B246</f>
        <v>Conditional</v>
      </c>
      <c r="C244" s="4" t="str">
        <f>Summary!C246</f>
        <v>Venting</v>
      </c>
      <c r="D244" s="29">
        <f>Summary!D246</f>
        <v>0</v>
      </c>
      <c r="E244" s="4" t="str">
        <f>Summary!E246</f>
        <v>MtCO2e</v>
      </c>
    </row>
    <row r="245" spans="1:5" ht="15" customHeight="1" x14ac:dyDescent="0.2">
      <c r="A245" s="28">
        <f>Summary!A247</f>
        <v>2042</v>
      </c>
      <c r="B245" s="4" t="str">
        <f>Summary!B247</f>
        <v>Conditional</v>
      </c>
      <c r="C245" s="4" t="str">
        <f>Summary!C247</f>
        <v>Venting</v>
      </c>
      <c r="D245" s="29">
        <f>Summary!D247</f>
        <v>0</v>
      </c>
      <c r="E245" s="4" t="str">
        <f>Summary!E247</f>
        <v>MtCO2e</v>
      </c>
    </row>
    <row r="246" spans="1:5" ht="15" customHeight="1" x14ac:dyDescent="0.2">
      <c r="A246" s="28">
        <f>Summary!A248</f>
        <v>2043</v>
      </c>
      <c r="B246" s="4" t="str">
        <f>Summary!B248</f>
        <v>Conditional</v>
      </c>
      <c r="C246" s="4" t="str">
        <f>Summary!C248</f>
        <v>Venting</v>
      </c>
      <c r="D246" s="29">
        <f>Summary!D248</f>
        <v>0</v>
      </c>
      <c r="E246" s="4" t="str">
        <f>Summary!E248</f>
        <v>MtCO2e</v>
      </c>
    </row>
    <row r="247" spans="1:5" ht="15" customHeight="1" x14ac:dyDescent="0.2">
      <c r="A247" s="28">
        <f>Summary!A249</f>
        <v>2044</v>
      </c>
      <c r="B247" s="4" t="str">
        <f>Summary!B249</f>
        <v>Conditional</v>
      </c>
      <c r="C247" s="4" t="str">
        <f>Summary!C249</f>
        <v>Venting</v>
      </c>
      <c r="D247" s="29">
        <f>Summary!D249</f>
        <v>0</v>
      </c>
      <c r="E247" s="4" t="str">
        <f>Summary!E249</f>
        <v>MtCO2e</v>
      </c>
    </row>
    <row r="248" spans="1:5" ht="15" customHeight="1" x14ac:dyDescent="0.2">
      <c r="A248" s="28">
        <f>Summary!A250</f>
        <v>2045</v>
      </c>
      <c r="B248" s="4" t="str">
        <f>Summary!B250</f>
        <v>Conditional</v>
      </c>
      <c r="C248" s="4" t="str">
        <f>Summary!C250</f>
        <v>Venting</v>
      </c>
      <c r="D248" s="29">
        <f>Summary!D250</f>
        <v>0</v>
      </c>
      <c r="E248" s="4" t="str">
        <f>Summary!E250</f>
        <v>MtCO2e</v>
      </c>
    </row>
    <row r="249" spans="1:5" ht="15" customHeight="1" x14ac:dyDescent="0.2">
      <c r="A249" s="28">
        <f>Summary!A251</f>
        <v>2046</v>
      </c>
      <c r="B249" s="4" t="str">
        <f>Summary!B251</f>
        <v>Conditional</v>
      </c>
      <c r="C249" s="4" t="str">
        <f>Summary!C251</f>
        <v>Venting</v>
      </c>
      <c r="D249" s="29">
        <f>Summary!D251</f>
        <v>0</v>
      </c>
      <c r="E249" s="4" t="str">
        <f>Summary!E251</f>
        <v>MtCO2e</v>
      </c>
    </row>
    <row r="250" spans="1:5" ht="15" customHeight="1" x14ac:dyDescent="0.2">
      <c r="A250" s="28">
        <f>Summary!A252</f>
        <v>2047</v>
      </c>
      <c r="B250" s="4" t="str">
        <f>Summary!B252</f>
        <v>Conditional</v>
      </c>
      <c r="C250" s="4" t="str">
        <f>Summary!C252</f>
        <v>Venting</v>
      </c>
      <c r="D250" s="29">
        <f>Summary!D252</f>
        <v>0</v>
      </c>
      <c r="E250" s="4" t="str">
        <f>Summary!E252</f>
        <v>MtCO2e</v>
      </c>
    </row>
    <row r="251" spans="1:5" ht="15" customHeight="1" x14ac:dyDescent="0.2">
      <c r="A251" s="28">
        <f>Summary!A253</f>
        <v>2048</v>
      </c>
      <c r="B251" s="4" t="str">
        <f>Summary!B253</f>
        <v>Conditional</v>
      </c>
      <c r="C251" s="4" t="str">
        <f>Summary!C253</f>
        <v>Venting</v>
      </c>
      <c r="D251" s="29">
        <f>Summary!D253</f>
        <v>0</v>
      </c>
      <c r="E251" s="4" t="str">
        <f>Summary!E253</f>
        <v>MtCO2e</v>
      </c>
    </row>
    <row r="252" spans="1:5" ht="15" customHeight="1" x14ac:dyDescent="0.2">
      <c r="A252" s="28">
        <f>Summary!A254</f>
        <v>2049</v>
      </c>
      <c r="B252" s="4" t="str">
        <f>Summary!B254</f>
        <v>Conditional</v>
      </c>
      <c r="C252" s="4" t="str">
        <f>Summary!C254</f>
        <v>Venting</v>
      </c>
      <c r="D252" s="29">
        <f>Summary!D254</f>
        <v>0</v>
      </c>
      <c r="E252" s="4" t="str">
        <f>Summary!E254</f>
        <v>MtCO2e</v>
      </c>
    </row>
    <row r="253" spans="1:5" ht="15" customHeight="1" x14ac:dyDescent="0.2">
      <c r="A253" s="28">
        <f>Summary!A255</f>
        <v>2050</v>
      </c>
      <c r="B253" s="4" t="str">
        <f>Summary!B255</f>
        <v>Conditional</v>
      </c>
      <c r="C253" s="4" t="str">
        <f>Summary!C255</f>
        <v>Venting</v>
      </c>
      <c r="D253" s="29">
        <f>Summary!D255</f>
        <v>0</v>
      </c>
      <c r="E253" s="4" t="str">
        <f>Summary!E255</f>
        <v>MtCO2e</v>
      </c>
    </row>
    <row r="254" spans="1:5" ht="15" customHeight="1" x14ac:dyDescent="0.2">
      <c r="A254" s="28">
        <f>Summary!A256</f>
        <v>2023</v>
      </c>
      <c r="B254" s="4" t="str">
        <f>Summary!B256</f>
        <v>Conditional</v>
      </c>
      <c r="C254" s="4" t="str">
        <f>Summary!C256</f>
        <v>Flaring</v>
      </c>
      <c r="D254" s="29">
        <f>Summary!D256</f>
        <v>6.2704959999999996</v>
      </c>
      <c r="E254" s="4" t="str">
        <f>Summary!E256</f>
        <v>MtCO2e</v>
      </c>
    </row>
    <row r="255" spans="1:5" ht="15" customHeight="1" x14ac:dyDescent="0.2">
      <c r="A255" s="28">
        <f>Summary!A257</f>
        <v>2024</v>
      </c>
      <c r="B255" s="4" t="str">
        <f>Summary!B257</f>
        <v>Conditional</v>
      </c>
      <c r="C255" s="4" t="str">
        <f>Summary!C257</f>
        <v>Flaring</v>
      </c>
      <c r="D255" s="29">
        <f>Summary!D257</f>
        <v>6.3035504274794398</v>
      </c>
      <c r="E255" s="4" t="str">
        <f>Summary!E257</f>
        <v>MtCO2e</v>
      </c>
    </row>
    <row r="256" spans="1:5" ht="15" customHeight="1" x14ac:dyDescent="0.2">
      <c r="A256" s="28">
        <f>Summary!A258</f>
        <v>2025</v>
      </c>
      <c r="B256" s="4" t="str">
        <f>Summary!B258</f>
        <v>Conditional</v>
      </c>
      <c r="C256" s="4" t="str">
        <f>Summary!C258</f>
        <v>Flaring</v>
      </c>
      <c r="D256" s="29">
        <f>Summary!D258</f>
        <v>6.3266896421547862</v>
      </c>
      <c r="E256" s="4" t="str">
        <f>Summary!E258</f>
        <v>MtCO2e</v>
      </c>
    </row>
    <row r="257" spans="1:5" ht="15" customHeight="1" x14ac:dyDescent="0.2">
      <c r="A257" s="28">
        <f>Summary!A259</f>
        <v>2026</v>
      </c>
      <c r="B257" s="4" t="str">
        <f>Summary!B259</f>
        <v>Conditional</v>
      </c>
      <c r="C257" s="4" t="str">
        <f>Summary!C259</f>
        <v>Flaring</v>
      </c>
      <c r="D257" s="29">
        <f>Summary!D259</f>
        <v>2.6300293210626839</v>
      </c>
      <c r="E257" s="4" t="str">
        <f>Summary!E259</f>
        <v>MtCO2e</v>
      </c>
    </row>
    <row r="258" spans="1:5" ht="15" customHeight="1" x14ac:dyDescent="0.2">
      <c r="A258" s="28">
        <f>Summary!A260</f>
        <v>2027</v>
      </c>
      <c r="B258" s="4" t="str">
        <f>Summary!B260</f>
        <v>Conditional</v>
      </c>
      <c r="C258" s="4" t="str">
        <f>Summary!C260</f>
        <v>Flaring</v>
      </c>
      <c r="D258" s="29">
        <f>Summary!D260</f>
        <v>0.27227935321020302</v>
      </c>
      <c r="E258" s="4" t="str">
        <f>Summary!E260</f>
        <v>MtCO2e</v>
      </c>
    </row>
    <row r="259" spans="1:5" ht="15" customHeight="1" x14ac:dyDescent="0.2">
      <c r="A259" s="28">
        <f>Summary!A261</f>
        <v>2028</v>
      </c>
      <c r="B259" s="4" t="str">
        <f>Summary!B261</f>
        <v>Conditional</v>
      </c>
      <c r="C259" s="4" t="str">
        <f>Summary!C261</f>
        <v>Flaring</v>
      </c>
      <c r="D259" s="29">
        <f>Summary!D261</f>
        <v>2.2826172082418772E-2</v>
      </c>
      <c r="E259" s="4" t="str">
        <f>Summary!E261</f>
        <v>MtCO2e</v>
      </c>
    </row>
    <row r="260" spans="1:5" ht="15" customHeight="1" x14ac:dyDescent="0.2">
      <c r="A260" s="28">
        <f>Summary!A262</f>
        <v>2029</v>
      </c>
      <c r="B260" s="4" t="str">
        <f>Summary!B262</f>
        <v>Conditional</v>
      </c>
      <c r="C260" s="4" t="str">
        <f>Summary!C262</f>
        <v>Flaring</v>
      </c>
      <c r="D260" s="29">
        <f>Summary!D262</f>
        <v>4.3303547812141878E-3</v>
      </c>
      <c r="E260" s="4" t="str">
        <f>Summary!E262</f>
        <v>MtCO2e</v>
      </c>
    </row>
    <row r="261" spans="1:5" ht="15" customHeight="1" x14ac:dyDescent="0.2">
      <c r="A261" s="28">
        <f>Summary!A263</f>
        <v>2030</v>
      </c>
      <c r="B261" s="4" t="str">
        <f>Summary!B263</f>
        <v>Conditional</v>
      </c>
      <c r="C261" s="4" t="str">
        <f>Summary!C263</f>
        <v>Flaring</v>
      </c>
      <c r="D261" s="29">
        <f>Summary!D263</f>
        <v>0</v>
      </c>
      <c r="E261" s="4" t="str">
        <f>Summary!E263</f>
        <v>MtCO2e</v>
      </c>
    </row>
    <row r="262" spans="1:5" ht="15" customHeight="1" x14ac:dyDescent="0.2">
      <c r="A262" s="28">
        <f>Summary!A264</f>
        <v>2031</v>
      </c>
      <c r="B262" s="4" t="str">
        <f>Summary!B264</f>
        <v>Conditional</v>
      </c>
      <c r="C262" s="4" t="str">
        <f>Summary!C264</f>
        <v>Flaring</v>
      </c>
      <c r="D262" s="29">
        <f>Summary!D264</f>
        <v>0</v>
      </c>
      <c r="E262" s="4" t="str">
        <f>Summary!E264</f>
        <v>MtCO2e</v>
      </c>
    </row>
    <row r="263" spans="1:5" ht="15" customHeight="1" x14ac:dyDescent="0.2">
      <c r="A263" s="28">
        <f>Summary!A265</f>
        <v>2032</v>
      </c>
      <c r="B263" s="4" t="str">
        <f>Summary!B265</f>
        <v>Conditional</v>
      </c>
      <c r="C263" s="4" t="str">
        <f>Summary!C265</f>
        <v>Flaring</v>
      </c>
      <c r="D263" s="29">
        <f>Summary!D265</f>
        <v>0</v>
      </c>
      <c r="E263" s="4" t="str">
        <f>Summary!E265</f>
        <v>MtCO2e</v>
      </c>
    </row>
    <row r="264" spans="1:5" ht="15" customHeight="1" x14ac:dyDescent="0.2">
      <c r="A264" s="28">
        <f>Summary!A266</f>
        <v>2033</v>
      </c>
      <c r="B264" s="4" t="str">
        <f>Summary!B266</f>
        <v>Conditional</v>
      </c>
      <c r="C264" s="4" t="str">
        <f>Summary!C266</f>
        <v>Flaring</v>
      </c>
      <c r="D264" s="29">
        <f>Summary!D266</f>
        <v>0</v>
      </c>
      <c r="E264" s="4" t="str">
        <f>Summary!E266</f>
        <v>MtCO2e</v>
      </c>
    </row>
    <row r="265" spans="1:5" ht="15" customHeight="1" x14ac:dyDescent="0.2">
      <c r="A265" s="28">
        <f>Summary!A267</f>
        <v>2034</v>
      </c>
      <c r="B265" s="4" t="str">
        <f>Summary!B267</f>
        <v>Conditional</v>
      </c>
      <c r="C265" s="4" t="str">
        <f>Summary!C267</f>
        <v>Flaring</v>
      </c>
      <c r="D265" s="29">
        <f>Summary!D267</f>
        <v>0</v>
      </c>
      <c r="E265" s="4" t="str">
        <f>Summary!E267</f>
        <v>MtCO2e</v>
      </c>
    </row>
    <row r="266" spans="1:5" ht="15" customHeight="1" x14ac:dyDescent="0.2">
      <c r="A266" s="28">
        <f>Summary!A268</f>
        <v>2035</v>
      </c>
      <c r="B266" s="4" t="str">
        <f>Summary!B268</f>
        <v>Conditional</v>
      </c>
      <c r="C266" s="4" t="str">
        <f>Summary!C268</f>
        <v>Flaring</v>
      </c>
      <c r="D266" s="29">
        <f>Summary!D268</f>
        <v>0</v>
      </c>
      <c r="E266" s="4" t="str">
        <f>Summary!E268</f>
        <v>MtCO2e</v>
      </c>
    </row>
    <row r="267" spans="1:5" ht="15" customHeight="1" x14ac:dyDescent="0.2">
      <c r="A267" s="28">
        <f>Summary!A269</f>
        <v>2036</v>
      </c>
      <c r="B267" s="4" t="str">
        <f>Summary!B269</f>
        <v>Conditional</v>
      </c>
      <c r="C267" s="4" t="str">
        <f>Summary!C269</f>
        <v>Flaring</v>
      </c>
      <c r="D267" s="29">
        <f>Summary!D269</f>
        <v>0</v>
      </c>
      <c r="E267" s="4" t="str">
        <f>Summary!E269</f>
        <v>MtCO2e</v>
      </c>
    </row>
    <row r="268" spans="1:5" ht="15" customHeight="1" x14ac:dyDescent="0.2">
      <c r="A268" s="28">
        <f>Summary!A270</f>
        <v>2037</v>
      </c>
      <c r="B268" s="4" t="str">
        <f>Summary!B270</f>
        <v>Conditional</v>
      </c>
      <c r="C268" s="4" t="str">
        <f>Summary!C270</f>
        <v>Flaring</v>
      </c>
      <c r="D268" s="29">
        <f>Summary!D270</f>
        <v>0</v>
      </c>
      <c r="E268" s="4" t="str">
        <f>Summary!E270</f>
        <v>MtCO2e</v>
      </c>
    </row>
    <row r="269" spans="1:5" ht="15" customHeight="1" x14ac:dyDescent="0.2">
      <c r="A269" s="28">
        <f>Summary!A271</f>
        <v>2038</v>
      </c>
      <c r="B269" s="4" t="str">
        <f>Summary!B271</f>
        <v>Conditional</v>
      </c>
      <c r="C269" s="4" t="str">
        <f>Summary!C271</f>
        <v>Flaring</v>
      </c>
      <c r="D269" s="29">
        <f>Summary!D271</f>
        <v>0</v>
      </c>
      <c r="E269" s="4" t="str">
        <f>Summary!E271</f>
        <v>MtCO2e</v>
      </c>
    </row>
    <row r="270" spans="1:5" ht="15" customHeight="1" x14ac:dyDescent="0.2">
      <c r="A270" s="28">
        <f>Summary!A272</f>
        <v>2039</v>
      </c>
      <c r="B270" s="4" t="str">
        <f>Summary!B272</f>
        <v>Conditional</v>
      </c>
      <c r="C270" s="4" t="str">
        <f>Summary!C272</f>
        <v>Flaring</v>
      </c>
      <c r="D270" s="29">
        <f>Summary!D272</f>
        <v>0</v>
      </c>
      <c r="E270" s="4" t="str">
        <f>Summary!E272</f>
        <v>MtCO2e</v>
      </c>
    </row>
    <row r="271" spans="1:5" ht="15" customHeight="1" x14ac:dyDescent="0.2">
      <c r="A271" s="28">
        <f>Summary!A273</f>
        <v>2040</v>
      </c>
      <c r="B271" s="4" t="str">
        <f>Summary!B273</f>
        <v>Conditional</v>
      </c>
      <c r="C271" s="4" t="str">
        <f>Summary!C273</f>
        <v>Flaring</v>
      </c>
      <c r="D271" s="29">
        <f>Summary!D273</f>
        <v>0</v>
      </c>
      <c r="E271" s="4" t="str">
        <f>Summary!E273</f>
        <v>MtCO2e</v>
      </c>
    </row>
    <row r="272" spans="1:5" ht="15" customHeight="1" x14ac:dyDescent="0.2">
      <c r="A272" s="28">
        <f>Summary!A274</f>
        <v>2041</v>
      </c>
      <c r="B272" s="4" t="str">
        <f>Summary!B274</f>
        <v>Conditional</v>
      </c>
      <c r="C272" s="4" t="str">
        <f>Summary!C274</f>
        <v>Flaring</v>
      </c>
      <c r="D272" s="29">
        <f>Summary!D274</f>
        <v>0</v>
      </c>
      <c r="E272" s="4" t="str">
        <f>Summary!E274</f>
        <v>MtCO2e</v>
      </c>
    </row>
    <row r="273" spans="1:5" ht="15" customHeight="1" x14ac:dyDescent="0.2">
      <c r="A273" s="28">
        <f>Summary!A275</f>
        <v>2042</v>
      </c>
      <c r="B273" s="4" t="str">
        <f>Summary!B275</f>
        <v>Conditional</v>
      </c>
      <c r="C273" s="4" t="str">
        <f>Summary!C275</f>
        <v>Flaring</v>
      </c>
      <c r="D273" s="29">
        <f>Summary!D275</f>
        <v>0</v>
      </c>
      <c r="E273" s="4" t="str">
        <f>Summary!E275</f>
        <v>MtCO2e</v>
      </c>
    </row>
    <row r="274" spans="1:5" ht="15" customHeight="1" x14ac:dyDescent="0.2">
      <c r="A274" s="28">
        <f>Summary!A276</f>
        <v>2043</v>
      </c>
      <c r="B274" s="4" t="str">
        <f>Summary!B276</f>
        <v>Conditional</v>
      </c>
      <c r="C274" s="4" t="str">
        <f>Summary!C276</f>
        <v>Flaring</v>
      </c>
      <c r="D274" s="29">
        <f>Summary!D276</f>
        <v>0</v>
      </c>
      <c r="E274" s="4" t="str">
        <f>Summary!E276</f>
        <v>MtCO2e</v>
      </c>
    </row>
    <row r="275" spans="1:5" ht="15" customHeight="1" x14ac:dyDescent="0.2">
      <c r="A275" s="28">
        <f>Summary!A277</f>
        <v>2044</v>
      </c>
      <c r="B275" s="4" t="str">
        <f>Summary!B277</f>
        <v>Conditional</v>
      </c>
      <c r="C275" s="4" t="str">
        <f>Summary!C277</f>
        <v>Flaring</v>
      </c>
      <c r="D275" s="29">
        <f>Summary!D277</f>
        <v>0</v>
      </c>
      <c r="E275" s="4" t="str">
        <f>Summary!E277</f>
        <v>MtCO2e</v>
      </c>
    </row>
    <row r="276" spans="1:5" ht="15" customHeight="1" x14ac:dyDescent="0.2">
      <c r="A276" s="28">
        <f>Summary!A278</f>
        <v>2045</v>
      </c>
      <c r="B276" s="4" t="str">
        <f>Summary!B278</f>
        <v>Conditional</v>
      </c>
      <c r="C276" s="4" t="str">
        <f>Summary!C278</f>
        <v>Flaring</v>
      </c>
      <c r="D276" s="29">
        <f>Summary!D278</f>
        <v>0</v>
      </c>
      <c r="E276" s="4" t="str">
        <f>Summary!E278</f>
        <v>MtCO2e</v>
      </c>
    </row>
    <row r="277" spans="1:5" ht="15" customHeight="1" x14ac:dyDescent="0.2">
      <c r="A277" s="28">
        <f>Summary!A279</f>
        <v>2046</v>
      </c>
      <c r="B277" s="4" t="str">
        <f>Summary!B279</f>
        <v>Conditional</v>
      </c>
      <c r="C277" s="4" t="str">
        <f>Summary!C279</f>
        <v>Flaring</v>
      </c>
      <c r="D277" s="29">
        <f>Summary!D279</f>
        <v>0</v>
      </c>
      <c r="E277" s="4" t="str">
        <f>Summary!E279</f>
        <v>MtCO2e</v>
      </c>
    </row>
    <row r="278" spans="1:5" ht="15" customHeight="1" x14ac:dyDescent="0.2">
      <c r="A278" s="28">
        <f>Summary!A280</f>
        <v>2047</v>
      </c>
      <c r="B278" s="4" t="str">
        <f>Summary!B280</f>
        <v>Conditional</v>
      </c>
      <c r="C278" s="4" t="str">
        <f>Summary!C280</f>
        <v>Flaring</v>
      </c>
      <c r="D278" s="29">
        <f>Summary!D280</f>
        <v>0</v>
      </c>
      <c r="E278" s="4" t="str">
        <f>Summary!E280</f>
        <v>MtCO2e</v>
      </c>
    </row>
    <row r="279" spans="1:5" ht="15" customHeight="1" x14ac:dyDescent="0.2">
      <c r="A279" s="28">
        <f>Summary!A281</f>
        <v>2048</v>
      </c>
      <c r="B279" s="4" t="str">
        <f>Summary!B281</f>
        <v>Conditional</v>
      </c>
      <c r="C279" s="4" t="str">
        <f>Summary!C281</f>
        <v>Flaring</v>
      </c>
      <c r="D279" s="29">
        <f>Summary!D281</f>
        <v>0</v>
      </c>
      <c r="E279" s="4" t="str">
        <f>Summary!E281</f>
        <v>MtCO2e</v>
      </c>
    </row>
    <row r="280" spans="1:5" ht="15" customHeight="1" x14ac:dyDescent="0.2">
      <c r="A280" s="28">
        <f>Summary!A282</f>
        <v>2049</v>
      </c>
      <c r="B280" s="4" t="str">
        <f>Summary!B282</f>
        <v>Conditional</v>
      </c>
      <c r="C280" s="4" t="str">
        <f>Summary!C282</f>
        <v>Flaring</v>
      </c>
      <c r="D280" s="29">
        <f>Summary!D282</f>
        <v>0</v>
      </c>
      <c r="E280" s="4" t="str">
        <f>Summary!E282</f>
        <v>MtCO2e</v>
      </c>
    </row>
    <row r="281" spans="1:5" ht="15" customHeight="1" x14ac:dyDescent="0.2">
      <c r="A281" s="28">
        <f>Summary!A283</f>
        <v>2050</v>
      </c>
      <c r="B281" s="4" t="str">
        <f>Summary!B283</f>
        <v>Conditional</v>
      </c>
      <c r="C281" s="4" t="str">
        <f>Summary!C283</f>
        <v>Flaring</v>
      </c>
      <c r="D281" s="29">
        <f>Summary!D283</f>
        <v>0</v>
      </c>
      <c r="E281" s="4" t="str">
        <f>Summary!E283</f>
        <v>MtCO2e</v>
      </c>
    </row>
    <row r="282" spans="1:5" ht="15" customHeight="1" x14ac:dyDescent="0.2">
      <c r="A282" s="28">
        <f>Summary!A284</f>
        <v>2023</v>
      </c>
      <c r="B282" s="4" t="str">
        <f>Summary!B284</f>
        <v>Conditional</v>
      </c>
      <c r="C282" s="4" t="str">
        <f>Summary!C284</f>
        <v>Gas Recovery</v>
      </c>
      <c r="D282" s="29">
        <f>Summary!D284</f>
        <v>0</v>
      </c>
      <c r="E282" s="4" t="str">
        <f>Summary!E284</f>
        <v>MtCO2e</v>
      </c>
    </row>
    <row r="283" spans="1:5" ht="15" customHeight="1" x14ac:dyDescent="0.2">
      <c r="A283" s="28">
        <f>Summary!A285</f>
        <v>2024</v>
      </c>
      <c r="B283" s="4" t="str">
        <f>Summary!B285</f>
        <v>Conditional</v>
      </c>
      <c r="C283" s="4" t="str">
        <f>Summary!C285</f>
        <v>Gas Recovery</v>
      </c>
      <c r="D283" s="29">
        <f>Summary!D285</f>
        <v>5.78877265775556</v>
      </c>
      <c r="E283" s="4" t="str">
        <f>Summary!E285</f>
        <v>MtCO2e</v>
      </c>
    </row>
    <row r="284" spans="1:5" ht="15" customHeight="1" x14ac:dyDescent="0.2">
      <c r="A284" s="28">
        <f>Summary!A286</f>
        <v>2025</v>
      </c>
      <c r="B284" s="4" t="str">
        <f>Summary!B286</f>
        <v>Conditional</v>
      </c>
      <c r="C284" s="4" t="str">
        <f>Summary!C286</f>
        <v>Gas Recovery</v>
      </c>
      <c r="D284" s="29">
        <f>Summary!D286</f>
        <v>11.5727133660859</v>
      </c>
      <c r="E284" s="4" t="str">
        <f>Summary!E286</f>
        <v>MtCO2e</v>
      </c>
    </row>
    <row r="285" spans="1:5" ht="15" customHeight="1" x14ac:dyDescent="0.2">
      <c r="A285" s="28">
        <f>Summary!A287</f>
        <v>2026</v>
      </c>
      <c r="B285" s="4" t="str">
        <f>Summary!B287</f>
        <v>Conditional</v>
      </c>
      <c r="C285" s="4" t="str">
        <f>Summary!C287</f>
        <v>Gas Recovery</v>
      </c>
      <c r="D285" s="29">
        <f>Summary!D287</f>
        <v>17.255370357480299</v>
      </c>
      <c r="E285" s="4" t="str">
        <f>Summary!E287</f>
        <v>MtCO2e</v>
      </c>
    </row>
    <row r="286" spans="1:5" ht="15" customHeight="1" x14ac:dyDescent="0.2">
      <c r="A286" s="28">
        <f>Summary!A288</f>
        <v>2027</v>
      </c>
      <c r="B286" s="4" t="str">
        <f>Summary!B288</f>
        <v>Conditional</v>
      </c>
      <c r="C286" s="4" t="str">
        <f>Summary!C288</f>
        <v>Gas Recovery</v>
      </c>
      <c r="D286" s="29">
        <f>Summary!D288</f>
        <v>22.561828097014899</v>
      </c>
      <c r="E286" s="4" t="str">
        <f>Summary!E288</f>
        <v>MtCO2e</v>
      </c>
    </row>
    <row r="287" spans="1:5" ht="15" customHeight="1" x14ac:dyDescent="0.2">
      <c r="A287" s="28">
        <f>Summary!A289</f>
        <v>2028</v>
      </c>
      <c r="B287" s="4" t="str">
        <f>Summary!B289</f>
        <v>Conditional</v>
      </c>
      <c r="C287" s="4" t="str">
        <f>Summary!C289</f>
        <v>Gas Recovery</v>
      </c>
      <c r="D287" s="29">
        <f>Summary!D289</f>
        <v>27.2312397878366</v>
      </c>
      <c r="E287" s="4" t="str">
        <f>Summary!E289</f>
        <v>MtCO2e</v>
      </c>
    </row>
    <row r="288" spans="1:5" ht="15" customHeight="1" x14ac:dyDescent="0.2">
      <c r="A288" s="28">
        <f>Summary!A290</f>
        <v>2029</v>
      </c>
      <c r="B288" s="4" t="str">
        <f>Summary!B290</f>
        <v>Conditional</v>
      </c>
      <c r="C288" s="4" t="str">
        <f>Summary!C290</f>
        <v>Gas Recovery</v>
      </c>
      <c r="D288" s="29">
        <f>Summary!D290</f>
        <v>31.124606066559799</v>
      </c>
      <c r="E288" s="4" t="str">
        <f>Summary!E290</f>
        <v>MtCO2e</v>
      </c>
    </row>
    <row r="289" spans="1:5" ht="15" customHeight="1" x14ac:dyDescent="0.2">
      <c r="A289" s="28">
        <f>Summary!A291</f>
        <v>2030</v>
      </c>
      <c r="B289" s="4" t="str">
        <f>Summary!B291</f>
        <v>Conditional</v>
      </c>
      <c r="C289" s="4" t="str">
        <f>Summary!C291</f>
        <v>Gas Recovery</v>
      </c>
      <c r="D289" s="29">
        <f>Summary!D291</f>
        <v>34.204875814614802</v>
      </c>
      <c r="E289" s="4" t="str">
        <f>Summary!E291</f>
        <v>MtCO2e</v>
      </c>
    </row>
    <row r="290" spans="1:5" ht="15" customHeight="1" x14ac:dyDescent="0.2">
      <c r="A290" s="28">
        <f>Summary!A292</f>
        <v>2031</v>
      </c>
      <c r="B290" s="4" t="str">
        <f>Summary!B292</f>
        <v>Conditional</v>
      </c>
      <c r="C290" s="4" t="str">
        <f>Summary!C292</f>
        <v>Gas Recovery</v>
      </c>
      <c r="D290" s="29">
        <f>Summary!D292</f>
        <v>36.499458925161001</v>
      </c>
      <c r="E290" s="4" t="str">
        <f>Summary!E292</f>
        <v>MtCO2e</v>
      </c>
    </row>
    <row r="291" spans="1:5" ht="15" customHeight="1" x14ac:dyDescent="0.2">
      <c r="A291" s="28">
        <f>Summary!A293</f>
        <v>2032</v>
      </c>
      <c r="B291" s="4" t="str">
        <f>Summary!B293</f>
        <v>Conditional</v>
      </c>
      <c r="C291" s="4" t="str">
        <f>Summary!C293</f>
        <v>Gas Recovery</v>
      </c>
      <c r="D291" s="29">
        <f>Summary!D293</f>
        <v>37.818073904894902</v>
      </c>
      <c r="E291" s="4" t="str">
        <f>Summary!E293</f>
        <v>MtCO2e</v>
      </c>
    </row>
    <row r="292" spans="1:5" ht="15" customHeight="1" x14ac:dyDescent="0.2">
      <c r="A292" s="28">
        <f>Summary!A294</f>
        <v>2033</v>
      </c>
      <c r="B292" s="4" t="str">
        <f>Summary!B294</f>
        <v>Conditional</v>
      </c>
      <c r="C292" s="4" t="str">
        <f>Summary!C294</f>
        <v>Gas Recovery</v>
      </c>
      <c r="D292" s="29">
        <f>Summary!D294</f>
        <v>38.530993474604898</v>
      </c>
      <c r="E292" s="4" t="str">
        <f>Summary!E294</f>
        <v>MtCO2e</v>
      </c>
    </row>
    <row r="293" spans="1:5" ht="15" customHeight="1" x14ac:dyDescent="0.2">
      <c r="A293" s="28">
        <f>Summary!A295</f>
        <v>2034</v>
      </c>
      <c r="B293" s="4" t="str">
        <f>Summary!B295</f>
        <v>Conditional</v>
      </c>
      <c r="C293" s="4" t="str">
        <f>Summary!C295</f>
        <v>Gas Recovery</v>
      </c>
      <c r="D293" s="29">
        <f>Summary!D295</f>
        <v>38.826108415039997</v>
      </c>
      <c r="E293" s="4" t="str">
        <f>Summary!E295</f>
        <v>MtCO2e</v>
      </c>
    </row>
    <row r="294" spans="1:5" ht="15" customHeight="1" x14ac:dyDescent="0.2">
      <c r="A294" s="28">
        <f>Summary!A296</f>
        <v>2035</v>
      </c>
      <c r="B294" s="4" t="str">
        <f>Summary!B296</f>
        <v>Conditional</v>
      </c>
      <c r="C294" s="4" t="str">
        <f>Summary!C296</f>
        <v>Gas Recovery</v>
      </c>
      <c r="D294" s="29">
        <f>Summary!D296</f>
        <v>39.004081737619899</v>
      </c>
      <c r="E294" s="4" t="str">
        <f>Summary!E296</f>
        <v>MtCO2e</v>
      </c>
    </row>
    <row r="295" spans="1:5" ht="15" customHeight="1" x14ac:dyDescent="0.2">
      <c r="A295" s="28">
        <f>Summary!A297</f>
        <v>2036</v>
      </c>
      <c r="B295" s="4" t="str">
        <f>Summary!B297</f>
        <v>Conditional</v>
      </c>
      <c r="C295" s="4" t="str">
        <f>Summary!C297</f>
        <v>Gas Recovery</v>
      </c>
      <c r="D295" s="29">
        <f>Summary!D297</f>
        <v>39.0957903598499</v>
      </c>
      <c r="E295" s="4" t="str">
        <f>Summary!E297</f>
        <v>MtCO2e</v>
      </c>
    </row>
    <row r="296" spans="1:5" ht="15" customHeight="1" x14ac:dyDescent="0.2">
      <c r="A296" s="28">
        <f>Summary!A298</f>
        <v>2037</v>
      </c>
      <c r="B296" s="4" t="str">
        <f>Summary!B298</f>
        <v>Conditional</v>
      </c>
      <c r="C296" s="4" t="str">
        <f>Summary!C298</f>
        <v>Gas Recovery</v>
      </c>
      <c r="D296" s="29">
        <f>Summary!D298</f>
        <v>39.128371408076902</v>
      </c>
      <c r="E296" s="4" t="str">
        <f>Summary!E298</f>
        <v>MtCO2e</v>
      </c>
    </row>
    <row r="297" spans="1:5" ht="15" customHeight="1" x14ac:dyDescent="0.2">
      <c r="A297" s="28">
        <f>Summary!A299</f>
        <v>2038</v>
      </c>
      <c r="B297" s="4" t="str">
        <f>Summary!B299</f>
        <v>Conditional</v>
      </c>
      <c r="C297" s="4" t="str">
        <f>Summary!C299</f>
        <v>Gas Recovery</v>
      </c>
      <c r="D297" s="29">
        <f>Summary!D299</f>
        <v>39.124330955843398</v>
      </c>
      <c r="E297" s="4" t="str">
        <f>Summary!E299</f>
        <v>MtCO2e</v>
      </c>
    </row>
    <row r="298" spans="1:5" ht="15" customHeight="1" x14ac:dyDescent="0.2">
      <c r="A298" s="28">
        <f>Summary!A300</f>
        <v>2039</v>
      </c>
      <c r="B298" s="4" t="str">
        <f>Summary!B300</f>
        <v>Conditional</v>
      </c>
      <c r="C298" s="4" t="str">
        <f>Summary!C300</f>
        <v>Gas Recovery</v>
      </c>
      <c r="D298" s="29">
        <f>Summary!D300</f>
        <v>39.1013911901969</v>
      </c>
      <c r="E298" s="4" t="str">
        <f>Summary!E300</f>
        <v>MtCO2e</v>
      </c>
    </row>
    <row r="299" spans="1:5" ht="15" customHeight="1" x14ac:dyDescent="0.2">
      <c r="A299" s="28">
        <f>Summary!A301</f>
        <v>2040</v>
      </c>
      <c r="B299" s="4" t="str">
        <f>Summary!B301</f>
        <v>Conditional</v>
      </c>
      <c r="C299" s="4" t="str">
        <f>Summary!C301</f>
        <v>Gas Recovery</v>
      </c>
      <c r="D299" s="29">
        <f>Summary!D301</f>
        <v>39.072776490196901</v>
      </c>
      <c r="E299" s="4" t="str">
        <f>Summary!E301</f>
        <v>MtCO2e</v>
      </c>
    </row>
    <row r="300" spans="1:5" ht="15" customHeight="1" x14ac:dyDescent="0.2">
      <c r="A300" s="28">
        <f>Summary!A302</f>
        <v>2041</v>
      </c>
      <c r="B300" s="4" t="str">
        <f>Summary!B302</f>
        <v>Conditional</v>
      </c>
      <c r="C300" s="4" t="str">
        <f>Summary!C302</f>
        <v>Gas Recovery</v>
      </c>
      <c r="D300" s="29">
        <f>Summary!D302</f>
        <v>39.047704515824201</v>
      </c>
      <c r="E300" s="4" t="str">
        <f>Summary!E302</f>
        <v>MtCO2e</v>
      </c>
    </row>
    <row r="301" spans="1:5" ht="15" customHeight="1" x14ac:dyDescent="0.2">
      <c r="A301" s="28">
        <f>Summary!A303</f>
        <v>2042</v>
      </c>
      <c r="B301" s="4" t="str">
        <f>Summary!B303</f>
        <v>Conditional</v>
      </c>
      <c r="C301" s="4" t="str">
        <f>Summary!C303</f>
        <v>Gas Recovery</v>
      </c>
      <c r="D301" s="29">
        <f>Summary!D303</f>
        <v>39.0319104788218</v>
      </c>
      <c r="E301" s="4" t="str">
        <f>Summary!E303</f>
        <v>MtCO2e</v>
      </c>
    </row>
    <row r="302" spans="1:5" ht="15" customHeight="1" x14ac:dyDescent="0.2">
      <c r="A302" s="28">
        <f>Summary!A304</f>
        <v>2043</v>
      </c>
      <c r="B302" s="4" t="str">
        <f>Summary!B304</f>
        <v>Conditional</v>
      </c>
      <c r="C302" s="4" t="str">
        <f>Summary!C304</f>
        <v>Gas Recovery</v>
      </c>
      <c r="D302" s="29">
        <f>Summary!D304</f>
        <v>39.026922876920999</v>
      </c>
      <c r="E302" s="4" t="str">
        <f>Summary!E304</f>
        <v>MtCO2e</v>
      </c>
    </row>
    <row r="303" spans="1:5" ht="15" customHeight="1" x14ac:dyDescent="0.2">
      <c r="A303" s="28">
        <f>Summary!A305</f>
        <v>2044</v>
      </c>
      <c r="B303" s="4" t="str">
        <f>Summary!B305</f>
        <v>Conditional</v>
      </c>
      <c r="C303" s="4" t="str">
        <f>Summary!C305</f>
        <v>Gas Recovery</v>
      </c>
      <c r="D303" s="29">
        <f>Summary!D305</f>
        <v>39.029483939141102</v>
      </c>
      <c r="E303" s="4" t="str">
        <f>Summary!E305</f>
        <v>MtCO2e</v>
      </c>
    </row>
    <row r="304" spans="1:5" ht="15" customHeight="1" x14ac:dyDescent="0.2">
      <c r="A304" s="28">
        <f>Summary!A306</f>
        <v>2045</v>
      </c>
      <c r="B304" s="4" t="str">
        <f>Summary!B306</f>
        <v>Conditional</v>
      </c>
      <c r="C304" s="4" t="str">
        <f>Summary!C306</f>
        <v>Gas Recovery</v>
      </c>
      <c r="D304" s="29">
        <f>Summary!D306</f>
        <v>39.0483420347555</v>
      </c>
      <c r="E304" s="4" t="str">
        <f>Summary!E306</f>
        <v>MtCO2e</v>
      </c>
    </row>
    <row r="305" spans="1:5" ht="15" customHeight="1" x14ac:dyDescent="0.2">
      <c r="A305" s="28">
        <f>Summary!A307</f>
        <v>2046</v>
      </c>
      <c r="B305" s="4" t="str">
        <f>Summary!B307</f>
        <v>Conditional</v>
      </c>
      <c r="C305" s="4" t="str">
        <f>Summary!C307</f>
        <v>Gas Recovery</v>
      </c>
      <c r="D305" s="29">
        <f>Summary!D307</f>
        <v>39.081127491351502</v>
      </c>
      <c r="E305" s="4" t="str">
        <f>Summary!E307</f>
        <v>MtCO2e</v>
      </c>
    </row>
    <row r="306" spans="1:5" ht="15" customHeight="1" x14ac:dyDescent="0.2">
      <c r="A306" s="28">
        <f>Summary!A308</f>
        <v>2047</v>
      </c>
      <c r="B306" s="4" t="str">
        <f>Summary!B308</f>
        <v>Conditional</v>
      </c>
      <c r="C306" s="4" t="str">
        <f>Summary!C308</f>
        <v>Gas Recovery</v>
      </c>
      <c r="D306" s="29">
        <f>Summary!D308</f>
        <v>39.102199211104498</v>
      </c>
      <c r="E306" s="4" t="str">
        <f>Summary!E308</f>
        <v>MtCO2e</v>
      </c>
    </row>
    <row r="307" spans="1:5" ht="15" customHeight="1" x14ac:dyDescent="0.2">
      <c r="A307" s="28">
        <f>Summary!A309</f>
        <v>2048</v>
      </c>
      <c r="B307" s="4" t="str">
        <f>Summary!B309</f>
        <v>Conditional</v>
      </c>
      <c r="C307" s="4" t="str">
        <f>Summary!C309</f>
        <v>Gas Recovery</v>
      </c>
      <c r="D307" s="29">
        <f>Summary!D309</f>
        <v>39.128554321752397</v>
      </c>
      <c r="E307" s="4" t="str">
        <f>Summary!E309</f>
        <v>MtCO2e</v>
      </c>
    </row>
    <row r="308" spans="1:5" ht="15" customHeight="1" x14ac:dyDescent="0.2">
      <c r="A308" s="28">
        <f>Summary!A310</f>
        <v>2049</v>
      </c>
      <c r="B308" s="4" t="str">
        <f>Summary!B310</f>
        <v>Conditional</v>
      </c>
      <c r="C308" s="4" t="str">
        <f>Summary!C310</f>
        <v>Gas Recovery</v>
      </c>
      <c r="D308" s="29">
        <f>Summary!D310</f>
        <v>39.161792812600901</v>
      </c>
      <c r="E308" s="4" t="str">
        <f>Summary!E310</f>
        <v>MtCO2e</v>
      </c>
    </row>
    <row r="309" spans="1:5" ht="15" customHeight="1" x14ac:dyDescent="0.2">
      <c r="A309" s="28">
        <f>Summary!A311</f>
        <v>2050</v>
      </c>
      <c r="B309" s="4" t="str">
        <f>Summary!B311</f>
        <v>Conditional</v>
      </c>
      <c r="C309" s="4" t="str">
        <f>Summary!C311</f>
        <v>Gas Recovery</v>
      </c>
      <c r="D309" s="29">
        <f>Summary!D311</f>
        <v>39.197643072294603</v>
      </c>
      <c r="E309" s="4" t="str">
        <f>Summary!E311</f>
        <v>MtCO2e</v>
      </c>
    </row>
    <row r="310" spans="1:5" ht="15" customHeight="1" x14ac:dyDescent="0.2">
      <c r="A310" s="28">
        <f>Summary!A312</f>
        <v>2023</v>
      </c>
      <c r="B310" s="4" t="str">
        <f>Summary!B312</f>
        <v>BAU</v>
      </c>
      <c r="C310" s="4" t="str">
        <f>Summary!C312</f>
        <v>Fugitive</v>
      </c>
      <c r="D310" s="29">
        <f>Summary!D312</f>
        <v>27.400840910279712</v>
      </c>
      <c r="E310" s="4" t="str">
        <f>Summary!E312</f>
        <v>MMcfd</v>
      </c>
    </row>
    <row r="311" spans="1:5" ht="15" customHeight="1" x14ac:dyDescent="0.2">
      <c r="A311" s="28">
        <f>Summary!A313</f>
        <v>2024</v>
      </c>
      <c r="B311" s="4" t="str">
        <f>Summary!B313</f>
        <v>BAU</v>
      </c>
      <c r="C311" s="4" t="str">
        <f>Summary!C313</f>
        <v>Fugitive</v>
      </c>
      <c r="D311" s="29">
        <f>Summary!D313</f>
        <v>27.26282469766128</v>
      </c>
      <c r="E311" s="4" t="str">
        <f>Summary!E313</f>
        <v>MMcfd</v>
      </c>
    </row>
    <row r="312" spans="1:5" ht="15" customHeight="1" x14ac:dyDescent="0.2">
      <c r="A312" s="28">
        <f>Summary!A314</f>
        <v>2025</v>
      </c>
      <c r="B312" s="4" t="str">
        <f>Summary!B314</f>
        <v>BAU</v>
      </c>
      <c r="C312" s="4" t="str">
        <f>Summary!C314</f>
        <v>Fugitive</v>
      </c>
      <c r="D312" s="29">
        <f>Summary!D314</f>
        <v>27.300484220247277</v>
      </c>
      <c r="E312" s="4" t="str">
        <f>Summary!E314</f>
        <v>MMcfd</v>
      </c>
    </row>
    <row r="313" spans="1:5" ht="15" customHeight="1" x14ac:dyDescent="0.2">
      <c r="A313" s="28">
        <f>Summary!A315</f>
        <v>2026</v>
      </c>
      <c r="B313" s="4" t="str">
        <f>Summary!B315</f>
        <v>BAU</v>
      </c>
      <c r="C313" s="4" t="str">
        <f>Summary!C315</f>
        <v>Fugitive</v>
      </c>
      <c r="D313" s="29">
        <f>Summary!D315</f>
        <v>32.084349794667489</v>
      </c>
      <c r="E313" s="4" t="str">
        <f>Summary!E315</f>
        <v>MMcfd</v>
      </c>
    </row>
    <row r="314" spans="1:5" ht="15" customHeight="1" x14ac:dyDescent="0.2">
      <c r="A314" s="28">
        <f>Summary!A316</f>
        <v>2027</v>
      </c>
      <c r="B314" s="4" t="str">
        <f>Summary!B316</f>
        <v>BAU</v>
      </c>
      <c r="C314" s="4" t="str">
        <f>Summary!C316</f>
        <v>Fugitive</v>
      </c>
      <c r="D314" s="29">
        <f>Summary!D316</f>
        <v>33.036759516872991</v>
      </c>
      <c r="E314" s="4" t="str">
        <f>Summary!E316</f>
        <v>MMcfd</v>
      </c>
    </row>
    <row r="315" spans="1:5" ht="15" customHeight="1" x14ac:dyDescent="0.2">
      <c r="A315" s="28">
        <f>Summary!A317</f>
        <v>2028</v>
      </c>
      <c r="B315" s="4" t="str">
        <f>Summary!B317</f>
        <v>BAU</v>
      </c>
      <c r="C315" s="4" t="str">
        <f>Summary!C317</f>
        <v>Fugitive</v>
      </c>
      <c r="D315" s="29">
        <f>Summary!D317</f>
        <v>33.85255568352715</v>
      </c>
      <c r="E315" s="4" t="str">
        <f>Summary!E317</f>
        <v>MMcfd</v>
      </c>
    </row>
    <row r="316" spans="1:5" ht="15" customHeight="1" x14ac:dyDescent="0.2">
      <c r="A316" s="28">
        <f>Summary!A318</f>
        <v>2029</v>
      </c>
      <c r="B316" s="4" t="str">
        <f>Summary!B318</f>
        <v>BAU</v>
      </c>
      <c r="C316" s="4" t="str">
        <f>Summary!C318</f>
        <v>Fugitive</v>
      </c>
      <c r="D316" s="29">
        <f>Summary!D318</f>
        <v>34.489319630264802</v>
      </c>
      <c r="E316" s="4" t="str">
        <f>Summary!E318</f>
        <v>MMcfd</v>
      </c>
    </row>
    <row r="317" spans="1:5" ht="15" customHeight="1" x14ac:dyDescent="0.2">
      <c r="A317" s="28">
        <f>Summary!A319</f>
        <v>2030</v>
      </c>
      <c r="B317" s="4" t="str">
        <f>Summary!B319</f>
        <v>BAU</v>
      </c>
      <c r="C317" s="4" t="str">
        <f>Summary!C319</f>
        <v>Fugitive</v>
      </c>
      <c r="D317" s="29">
        <f>Summary!D319</f>
        <v>34.999997938678121</v>
      </c>
      <c r="E317" s="4" t="str">
        <f>Summary!E319</f>
        <v>MMcfd</v>
      </c>
    </row>
    <row r="318" spans="1:5" ht="15" customHeight="1" x14ac:dyDescent="0.2">
      <c r="A318" s="28">
        <f>Summary!A320</f>
        <v>2031</v>
      </c>
      <c r="B318" s="4" t="str">
        <f>Summary!B320</f>
        <v>BAU</v>
      </c>
      <c r="C318" s="4" t="str">
        <f>Summary!C320</f>
        <v>Fugitive</v>
      </c>
      <c r="D318" s="29">
        <f>Summary!D320</f>
        <v>33.991947063232629</v>
      </c>
      <c r="E318" s="4" t="str">
        <f>Summary!E320</f>
        <v>MMcfd</v>
      </c>
    </row>
    <row r="319" spans="1:5" ht="15" customHeight="1" x14ac:dyDescent="0.2">
      <c r="A319" s="28">
        <f>Summary!A321</f>
        <v>2032</v>
      </c>
      <c r="B319" s="4" t="str">
        <f>Summary!B321</f>
        <v>BAU</v>
      </c>
      <c r="C319" s="4" t="str">
        <f>Summary!C321</f>
        <v>Fugitive</v>
      </c>
      <c r="D319" s="29">
        <f>Summary!D321</f>
        <v>32.960711451519074</v>
      </c>
      <c r="E319" s="4" t="str">
        <f>Summary!E321</f>
        <v>MMcfd</v>
      </c>
    </row>
    <row r="320" spans="1:5" ht="15" customHeight="1" x14ac:dyDescent="0.2">
      <c r="A320" s="28">
        <f>Summary!A322</f>
        <v>2033</v>
      </c>
      <c r="B320" s="4" t="str">
        <f>Summary!B322</f>
        <v>BAU</v>
      </c>
      <c r="C320" s="4" t="str">
        <f>Summary!C322</f>
        <v>Fugitive</v>
      </c>
      <c r="D320" s="29">
        <f>Summary!D322</f>
        <v>31.905981031671679</v>
      </c>
      <c r="E320" s="4" t="str">
        <f>Summary!E322</f>
        <v>MMcfd</v>
      </c>
    </row>
    <row r="321" spans="1:5" ht="15" customHeight="1" x14ac:dyDescent="0.2">
      <c r="A321" s="28">
        <f>Summary!A323</f>
        <v>2034</v>
      </c>
      <c r="B321" s="4" t="str">
        <f>Summary!B323</f>
        <v>BAU</v>
      </c>
      <c r="C321" s="4" t="str">
        <f>Summary!C323</f>
        <v>Fugitive</v>
      </c>
      <c r="D321" s="29">
        <f>Summary!D323</f>
        <v>30.827443177903309</v>
      </c>
      <c r="E321" s="4" t="str">
        <f>Summary!E323</f>
        <v>MMcfd</v>
      </c>
    </row>
    <row r="322" spans="1:5" ht="15" customHeight="1" x14ac:dyDescent="0.2">
      <c r="A322" s="28">
        <f>Summary!A324</f>
        <v>2035</v>
      </c>
      <c r="B322" s="4" t="str">
        <f>Summary!B324</f>
        <v>BAU</v>
      </c>
      <c r="C322" s="4" t="str">
        <f>Summary!C324</f>
        <v>Fugitive</v>
      </c>
      <c r="D322" s="29">
        <f>Summary!D324</f>
        <v>29.724783976850134</v>
      </c>
      <c r="E322" s="4" t="str">
        <f>Summary!E324</f>
        <v>MMcfd</v>
      </c>
    </row>
    <row r="323" spans="1:5" ht="15" customHeight="1" x14ac:dyDescent="0.2">
      <c r="A323" s="28">
        <f>Summary!A325</f>
        <v>2036</v>
      </c>
      <c r="B323" s="4" t="str">
        <f>Summary!B325</f>
        <v>BAU</v>
      </c>
      <c r="C323" s="4" t="str">
        <f>Summary!C325</f>
        <v>Fugitive</v>
      </c>
      <c r="D323" s="29">
        <f>Summary!D325</f>
        <v>28.597687461798856</v>
      </c>
      <c r="E323" s="4" t="str">
        <f>Summary!E325</f>
        <v>MMcfd</v>
      </c>
    </row>
    <row r="324" spans="1:5" ht="15" customHeight="1" x14ac:dyDescent="0.2">
      <c r="A324" s="28">
        <f>Summary!A326</f>
        <v>2037</v>
      </c>
      <c r="B324" s="4" t="str">
        <f>Summary!B326</f>
        <v>BAU</v>
      </c>
      <c r="C324" s="4" t="str">
        <f>Summary!C326</f>
        <v>Fugitive</v>
      </c>
      <c r="D324" s="29">
        <f>Summary!D326</f>
        <v>27.445835686054362</v>
      </c>
      <c r="E324" s="4" t="str">
        <f>Summary!E326</f>
        <v>MMcfd</v>
      </c>
    </row>
    <row r="325" spans="1:5" ht="15" customHeight="1" x14ac:dyDescent="0.2">
      <c r="A325" s="28">
        <f>Summary!A327</f>
        <v>2038</v>
      </c>
      <c r="B325" s="4" t="str">
        <f>Summary!B327</f>
        <v>BAU</v>
      </c>
      <c r="C325" s="4" t="str">
        <f>Summary!C327</f>
        <v>Fugitive</v>
      </c>
      <c r="D325" s="29">
        <f>Summary!D327</f>
        <v>26.268909415626354</v>
      </c>
      <c r="E325" s="4" t="str">
        <f>Summary!E327</f>
        <v>MMcfd</v>
      </c>
    </row>
    <row r="326" spans="1:5" ht="15" customHeight="1" x14ac:dyDescent="0.2">
      <c r="A326" s="28">
        <f>Summary!A328</f>
        <v>2039</v>
      </c>
      <c r="B326" s="4" t="str">
        <f>Summary!B328</f>
        <v>BAU</v>
      </c>
      <c r="C326" s="4" t="str">
        <f>Summary!C328</f>
        <v>Fugitive</v>
      </c>
      <c r="D326" s="29">
        <f>Summary!D328</f>
        <v>25.066588378520944</v>
      </c>
      <c r="E326" s="4" t="str">
        <f>Summary!E328</f>
        <v>MMcfd</v>
      </c>
    </row>
    <row r="327" spans="1:5" ht="15" customHeight="1" x14ac:dyDescent="0.2">
      <c r="A327" s="28">
        <f>Summary!A329</f>
        <v>2040</v>
      </c>
      <c r="B327" s="4" t="str">
        <f>Summary!B329</f>
        <v>BAU</v>
      </c>
      <c r="C327" s="4" t="str">
        <f>Summary!C329</f>
        <v>Fugitive</v>
      </c>
      <c r="D327" s="29">
        <f>Summary!D329</f>
        <v>23.848997072063479</v>
      </c>
      <c r="E327" s="4" t="str">
        <f>Summary!E329</f>
        <v>MMcfd</v>
      </c>
    </row>
    <row r="328" spans="1:5" ht="15" customHeight="1" x14ac:dyDescent="0.2">
      <c r="A328" s="28">
        <f>Summary!A330</f>
        <v>2041</v>
      </c>
      <c r="B328" s="4" t="str">
        <f>Summary!B330</f>
        <v>BAU</v>
      </c>
      <c r="C328" s="4" t="str">
        <f>Summary!C330</f>
        <v>Fugitive</v>
      </c>
      <c r="D328" s="29">
        <f>Summary!D330</f>
        <v>22.611548387874556</v>
      </c>
      <c r="E328" s="4" t="str">
        <f>Summary!E330</f>
        <v>MMcfd</v>
      </c>
    </row>
    <row r="329" spans="1:5" ht="15" customHeight="1" x14ac:dyDescent="0.2">
      <c r="A329" s="28">
        <f>Summary!A331</f>
        <v>2042</v>
      </c>
      <c r="B329" s="4" t="str">
        <f>Summary!B331</f>
        <v>BAU</v>
      </c>
      <c r="C329" s="4" t="str">
        <f>Summary!C331</f>
        <v>Fugitive</v>
      </c>
      <c r="D329" s="29">
        <f>Summary!D331</f>
        <v>21.346199637607317</v>
      </c>
      <c r="E329" s="4" t="str">
        <f>Summary!E331</f>
        <v>MMcfd</v>
      </c>
    </row>
    <row r="330" spans="1:5" ht="15" customHeight="1" x14ac:dyDescent="0.2">
      <c r="A330" s="28">
        <f>Summary!A332</f>
        <v>2043</v>
      </c>
      <c r="B330" s="4" t="str">
        <f>Summary!B332</f>
        <v>BAU</v>
      </c>
      <c r="C330" s="4" t="str">
        <f>Summary!C332</f>
        <v>Fugitive</v>
      </c>
      <c r="D330" s="29">
        <f>Summary!D332</f>
        <v>20.05249304835155</v>
      </c>
      <c r="E330" s="4" t="str">
        <f>Summary!E332</f>
        <v>MMcfd</v>
      </c>
    </row>
    <row r="331" spans="1:5" ht="15" customHeight="1" x14ac:dyDescent="0.2">
      <c r="A331" s="28">
        <f>Summary!A333</f>
        <v>2044</v>
      </c>
      <c r="B331" s="4" t="str">
        <f>Summary!B333</f>
        <v>BAU</v>
      </c>
      <c r="C331" s="4" t="str">
        <f>Summary!C333</f>
        <v>Fugitive</v>
      </c>
      <c r="D331" s="29">
        <f>Summary!D333</f>
        <v>18.729963864481583</v>
      </c>
      <c r="E331" s="4" t="str">
        <f>Summary!E333</f>
        <v>MMcfd</v>
      </c>
    </row>
    <row r="332" spans="1:5" ht="15" customHeight="1" x14ac:dyDescent="0.2">
      <c r="A332" s="28">
        <f>Summary!A334</f>
        <v>2045</v>
      </c>
      <c r="B332" s="4" t="str">
        <f>Summary!B334</f>
        <v>BAU</v>
      </c>
      <c r="C332" s="4" t="str">
        <f>Summary!C334</f>
        <v>Fugitive</v>
      </c>
      <c r="D332" s="29">
        <f>Summary!D334</f>
        <v>17.378140421090645</v>
      </c>
      <c r="E332" s="4" t="str">
        <f>Summary!E334</f>
        <v>MMcfd</v>
      </c>
    </row>
    <row r="333" spans="1:5" ht="15" customHeight="1" x14ac:dyDescent="0.2">
      <c r="A333" s="28">
        <f>Summary!A335</f>
        <v>2046</v>
      </c>
      <c r="B333" s="4" t="str">
        <f>Summary!B335</f>
        <v>BAU</v>
      </c>
      <c r="C333" s="4" t="str">
        <f>Summary!C335</f>
        <v>Fugitive</v>
      </c>
      <c r="D333" s="29">
        <f>Summary!D335</f>
        <v>15.996543681603661</v>
      </c>
      <c r="E333" s="4" t="str">
        <f>Summary!E335</f>
        <v>MMcfd</v>
      </c>
    </row>
    <row r="334" spans="1:5" ht="15" customHeight="1" x14ac:dyDescent="0.2">
      <c r="A334" s="28">
        <f>Summary!A336</f>
        <v>2047</v>
      </c>
      <c r="B334" s="4" t="str">
        <f>Summary!B336</f>
        <v>BAU</v>
      </c>
      <c r="C334" s="4" t="str">
        <f>Summary!C336</f>
        <v>Fugitive</v>
      </c>
      <c r="D334" s="29">
        <f>Summary!D336</f>
        <v>14.584687659716826</v>
      </c>
      <c r="E334" s="4" t="str">
        <f>Summary!E336</f>
        <v>MMcfd</v>
      </c>
    </row>
    <row r="335" spans="1:5" ht="15" customHeight="1" x14ac:dyDescent="0.2">
      <c r="A335" s="28">
        <f>Summary!A337</f>
        <v>2048</v>
      </c>
      <c r="B335" s="4" t="str">
        <f>Summary!B337</f>
        <v>BAU</v>
      </c>
      <c r="C335" s="4" t="str">
        <f>Summary!C337</f>
        <v>Fugitive</v>
      </c>
      <c r="D335" s="29">
        <f>Summary!D337</f>
        <v>13.142078726921861</v>
      </c>
      <c r="E335" s="4" t="str">
        <f>Summary!E337</f>
        <v>MMcfd</v>
      </c>
    </row>
    <row r="336" spans="1:5" ht="15" customHeight="1" x14ac:dyDescent="0.2">
      <c r="A336" s="28">
        <f>Summary!A338</f>
        <v>2049</v>
      </c>
      <c r="B336" s="4" t="str">
        <f>Summary!B338</f>
        <v>BAU</v>
      </c>
      <c r="C336" s="4" t="str">
        <f>Summary!C338</f>
        <v>Fugitive</v>
      </c>
      <c r="D336" s="29">
        <f>Summary!D338</f>
        <v>11.668215969904981</v>
      </c>
      <c r="E336" s="4" t="str">
        <f>Summary!E338</f>
        <v>MMcfd</v>
      </c>
    </row>
    <row r="337" spans="1:5" ht="15" customHeight="1" x14ac:dyDescent="0.2">
      <c r="A337" s="28">
        <f>Summary!A339</f>
        <v>2050</v>
      </c>
      <c r="B337" s="4" t="str">
        <f>Summary!B339</f>
        <v>BAU</v>
      </c>
      <c r="C337" s="4" t="str">
        <f>Summary!C339</f>
        <v>Fugitive</v>
      </c>
      <c r="D337" s="29">
        <f>Summary!D339</f>
        <v>10.162590780916732</v>
      </c>
      <c r="E337" s="4" t="str">
        <f>Summary!E339</f>
        <v>MMcfd</v>
      </c>
    </row>
    <row r="338" spans="1:5" ht="15" customHeight="1" x14ac:dyDescent="0.2">
      <c r="A338" s="28">
        <f>Summary!A340</f>
        <v>2023</v>
      </c>
      <c r="B338" s="4" t="str">
        <f>Summary!B340</f>
        <v>BAU</v>
      </c>
      <c r="C338" s="4" t="str">
        <f>Summary!C340</f>
        <v>Venting</v>
      </c>
      <c r="D338" s="29">
        <f>Summary!D340</f>
        <v>84.534509191288493</v>
      </c>
      <c r="E338" s="4" t="str">
        <f>Summary!E340</f>
        <v>MMcfd</v>
      </c>
    </row>
    <row r="339" spans="1:5" ht="15" customHeight="1" x14ac:dyDescent="0.2">
      <c r="A339" s="28">
        <f>Summary!A341</f>
        <v>2024</v>
      </c>
      <c r="B339" s="4" t="str">
        <f>Summary!B341</f>
        <v>BAU</v>
      </c>
      <c r="C339" s="4" t="str">
        <f>Summary!C341</f>
        <v>Venting</v>
      </c>
      <c r="D339" s="29">
        <f>Summary!D341</f>
        <v>84.777162874443931</v>
      </c>
      <c r="E339" s="4" t="str">
        <f>Summary!E341</f>
        <v>MMcfd</v>
      </c>
    </row>
    <row r="340" spans="1:5" ht="15" customHeight="1" x14ac:dyDescent="0.2">
      <c r="A340" s="28">
        <f>Summary!A342</f>
        <v>2025</v>
      </c>
      <c r="B340" s="4" t="str">
        <f>Summary!B342</f>
        <v>BAU</v>
      </c>
      <c r="C340" s="4" t="str">
        <f>Summary!C342</f>
        <v>Venting</v>
      </c>
      <c r="D340" s="29">
        <f>Summary!D342</f>
        <v>84.907957794123107</v>
      </c>
      <c r="E340" s="4" t="str">
        <f>Summary!E342</f>
        <v>MMcfd</v>
      </c>
    </row>
    <row r="341" spans="1:5" ht="15" customHeight="1" x14ac:dyDescent="0.2">
      <c r="A341" s="28">
        <f>Summary!A343</f>
        <v>2026</v>
      </c>
      <c r="B341" s="4" t="str">
        <f>Summary!B343</f>
        <v>BAU</v>
      </c>
      <c r="C341" s="4" t="str">
        <f>Summary!C343</f>
        <v>Venting</v>
      </c>
      <c r="D341" s="29">
        <f>Summary!D343</f>
        <v>87.694300565253002</v>
      </c>
      <c r="E341" s="4" t="str">
        <f>Summary!E343</f>
        <v>MMcfd</v>
      </c>
    </row>
    <row r="342" spans="1:5" ht="15" customHeight="1" x14ac:dyDescent="0.2">
      <c r="A342" s="28">
        <f>Summary!A344</f>
        <v>2027</v>
      </c>
      <c r="B342" s="4" t="str">
        <f>Summary!B344</f>
        <v>BAU</v>
      </c>
      <c r="C342" s="4" t="str">
        <f>Summary!C344</f>
        <v>Venting</v>
      </c>
      <c r="D342" s="29">
        <f>Summary!D344</f>
        <v>90.221738210536287</v>
      </c>
      <c r="E342" s="4" t="str">
        <f>Summary!E344</f>
        <v>MMcfd</v>
      </c>
    </row>
    <row r="343" spans="1:5" ht="15" customHeight="1" x14ac:dyDescent="0.2">
      <c r="A343" s="28">
        <f>Summary!A345</f>
        <v>2028</v>
      </c>
      <c r="B343" s="4" t="str">
        <f>Summary!B345</f>
        <v>BAU</v>
      </c>
      <c r="C343" s="4" t="str">
        <f>Summary!C345</f>
        <v>Venting</v>
      </c>
      <c r="D343" s="29">
        <f>Summary!D345</f>
        <v>92.224595664753579</v>
      </c>
      <c r="E343" s="4" t="str">
        <f>Summary!E345</f>
        <v>MMcfd</v>
      </c>
    </row>
    <row r="344" spans="1:5" ht="15" customHeight="1" x14ac:dyDescent="0.2">
      <c r="A344" s="28">
        <f>Summary!A346</f>
        <v>2029</v>
      </c>
      <c r="B344" s="4" t="str">
        <f>Summary!B346</f>
        <v>BAU</v>
      </c>
      <c r="C344" s="4" t="str">
        <f>Summary!C346</f>
        <v>Venting</v>
      </c>
      <c r="D344" s="29">
        <f>Summary!D346</f>
        <v>93.498342935748624</v>
      </c>
      <c r="E344" s="4" t="str">
        <f>Summary!E346</f>
        <v>MMcfd</v>
      </c>
    </row>
    <row r="345" spans="1:5" ht="15" customHeight="1" x14ac:dyDescent="0.2">
      <c r="A345" s="28">
        <f>Summary!A347</f>
        <v>2030</v>
      </c>
      <c r="B345" s="4" t="str">
        <f>Summary!B347</f>
        <v>BAU</v>
      </c>
      <c r="C345" s="4" t="str">
        <f>Summary!C347</f>
        <v>Venting</v>
      </c>
      <c r="D345" s="29">
        <f>Summary!D347</f>
        <v>93.907523469319486</v>
      </c>
      <c r="E345" s="4" t="str">
        <f>Summary!E347</f>
        <v>MMcfd</v>
      </c>
    </row>
    <row r="346" spans="1:5" ht="15" customHeight="1" x14ac:dyDescent="0.2">
      <c r="A346" s="28">
        <f>Summary!A348</f>
        <v>2031</v>
      </c>
      <c r="B346" s="4" t="str">
        <f>Summary!B348</f>
        <v>BAU</v>
      </c>
      <c r="C346" s="4" t="str">
        <f>Summary!C348</f>
        <v>Venting</v>
      </c>
      <c r="D346" s="29">
        <f>Summary!D348</f>
        <v>93.398916902643137</v>
      </c>
      <c r="E346" s="4" t="str">
        <f>Summary!E348</f>
        <v>MMcfd</v>
      </c>
    </row>
    <row r="347" spans="1:5" ht="15" customHeight="1" x14ac:dyDescent="0.2">
      <c r="A347" s="28">
        <f>Summary!A349</f>
        <v>2032</v>
      </c>
      <c r="B347" s="4" t="str">
        <f>Summary!B349</f>
        <v>BAU</v>
      </c>
      <c r="C347" s="4" t="str">
        <f>Summary!C349</f>
        <v>Venting</v>
      </c>
      <c r="D347" s="29">
        <f>Summary!D349</f>
        <v>92.022546639120762</v>
      </c>
      <c r="E347" s="4" t="str">
        <f>Summary!E349</f>
        <v>MMcfd</v>
      </c>
    </row>
    <row r="348" spans="1:5" ht="15" customHeight="1" x14ac:dyDescent="0.2">
      <c r="A348" s="28">
        <f>Summary!A350</f>
        <v>2033</v>
      </c>
      <c r="B348" s="4" t="str">
        <f>Summary!B350</f>
        <v>BAU</v>
      </c>
      <c r="C348" s="4" t="str">
        <f>Summary!C350</f>
        <v>Venting</v>
      </c>
      <c r="D348" s="29">
        <f>Summary!D350</f>
        <v>89.885155288740393</v>
      </c>
      <c r="E348" s="4" t="str">
        <f>Summary!E350</f>
        <v>MMcfd</v>
      </c>
    </row>
    <row r="349" spans="1:5" ht="15" customHeight="1" x14ac:dyDescent="0.2">
      <c r="A349" s="28">
        <f>Summary!A351</f>
        <v>2034</v>
      </c>
      <c r="B349" s="4" t="str">
        <f>Summary!B351</f>
        <v>BAU</v>
      </c>
      <c r="C349" s="4" t="str">
        <f>Summary!C351</f>
        <v>Venting</v>
      </c>
      <c r="D349" s="29">
        <f>Summary!D351</f>
        <v>87.116611364698457</v>
      </c>
      <c r="E349" s="4" t="str">
        <f>Summary!E351</f>
        <v>MMcfd</v>
      </c>
    </row>
    <row r="350" spans="1:5" ht="15" customHeight="1" x14ac:dyDescent="0.2">
      <c r="A350" s="28">
        <f>Summary!A352</f>
        <v>2035</v>
      </c>
      <c r="B350" s="4" t="str">
        <f>Summary!B352</f>
        <v>BAU</v>
      </c>
      <c r="C350" s="4" t="str">
        <f>Summary!C352</f>
        <v>Venting</v>
      </c>
      <c r="D350" s="29">
        <f>Summary!D352</f>
        <v>83.847436590374372</v>
      </c>
      <c r="E350" s="4" t="str">
        <f>Summary!E352</f>
        <v>MMcfd</v>
      </c>
    </row>
    <row r="351" spans="1:5" ht="15" customHeight="1" x14ac:dyDescent="0.2">
      <c r="A351" s="28">
        <f>Summary!A353</f>
        <v>2036</v>
      </c>
      <c r="B351" s="4" t="str">
        <f>Summary!B353</f>
        <v>BAU</v>
      </c>
      <c r="C351" s="4" t="str">
        <f>Summary!C353</f>
        <v>Venting</v>
      </c>
      <c r="D351" s="29">
        <f>Summary!D353</f>
        <v>80.195257083913262</v>
      </c>
      <c r="E351" s="4" t="str">
        <f>Summary!E353</f>
        <v>MMcfd</v>
      </c>
    </row>
    <row r="352" spans="1:5" ht="15" customHeight="1" x14ac:dyDescent="0.2">
      <c r="A352" s="28">
        <f>Summary!A354</f>
        <v>2037</v>
      </c>
      <c r="B352" s="4" t="str">
        <f>Summary!B354</f>
        <v>BAU</v>
      </c>
      <c r="C352" s="4" t="str">
        <f>Summary!C354</f>
        <v>Venting</v>
      </c>
      <c r="D352" s="29">
        <f>Summary!D354</f>
        <v>76.2579701775812</v>
      </c>
      <c r="E352" s="4" t="str">
        <f>Summary!E354</f>
        <v>MMcfd</v>
      </c>
    </row>
    <row r="353" spans="1:5" ht="15" customHeight="1" x14ac:dyDescent="0.2">
      <c r="A353" s="28">
        <f>Summary!A355</f>
        <v>2038</v>
      </c>
      <c r="B353" s="4" t="str">
        <f>Summary!B355</f>
        <v>BAU</v>
      </c>
      <c r="C353" s="4" t="str">
        <f>Summary!C355</f>
        <v>Venting</v>
      </c>
      <c r="D353" s="29">
        <f>Summary!D355</f>
        <v>72.111632891762284</v>
      </c>
      <c r="E353" s="4" t="str">
        <f>Summary!E355</f>
        <v>MMcfd</v>
      </c>
    </row>
    <row r="354" spans="1:5" ht="15" customHeight="1" x14ac:dyDescent="0.2">
      <c r="A354" s="28">
        <f>Summary!A356</f>
        <v>2039</v>
      </c>
      <c r="B354" s="4" t="str">
        <f>Summary!B356</f>
        <v>BAU</v>
      </c>
      <c r="C354" s="4" t="str">
        <f>Summary!C356</f>
        <v>Venting</v>
      </c>
      <c r="D354" s="29">
        <f>Summary!D356</f>
        <v>67.811406218751216</v>
      </c>
      <c r="E354" s="4" t="str">
        <f>Summary!E356</f>
        <v>MMcfd</v>
      </c>
    </row>
    <row r="355" spans="1:5" ht="15" customHeight="1" x14ac:dyDescent="0.2">
      <c r="A355" s="28">
        <f>Summary!A357</f>
        <v>2040</v>
      </c>
      <c r="B355" s="4" t="str">
        <f>Summary!B357</f>
        <v>BAU</v>
      </c>
      <c r="C355" s="4" t="str">
        <f>Summary!C357</f>
        <v>Venting</v>
      </c>
      <c r="D355" s="29">
        <f>Summary!D357</f>
        <v>63.394252711112735</v>
      </c>
      <c r="E355" s="4" t="str">
        <f>Summary!E357</f>
        <v>MMcfd</v>
      </c>
    </row>
    <row r="356" spans="1:5" ht="15" customHeight="1" x14ac:dyDescent="0.2">
      <c r="A356" s="28">
        <f>Summary!A358</f>
        <v>2041</v>
      </c>
      <c r="B356" s="4" t="str">
        <f>Summary!B358</f>
        <v>BAU</v>
      </c>
      <c r="C356" s="4" t="str">
        <f>Summary!C358</f>
        <v>Venting</v>
      </c>
      <c r="D356" s="29">
        <f>Summary!D358</f>
        <v>58.882432465146778</v>
      </c>
      <c r="E356" s="4" t="str">
        <f>Summary!E358</f>
        <v>MMcfd</v>
      </c>
    </row>
    <row r="357" spans="1:5" ht="15" customHeight="1" x14ac:dyDescent="0.2">
      <c r="A357" s="28">
        <f>Summary!A359</f>
        <v>2042</v>
      </c>
      <c r="B357" s="4" t="str">
        <f>Summary!B359</f>
        <v>BAU</v>
      </c>
      <c r="C357" s="4" t="str">
        <f>Summary!C359</f>
        <v>Venting</v>
      </c>
      <c r="D357" s="29">
        <f>Summary!D359</f>
        <v>54.287696417131009</v>
      </c>
      <c r="E357" s="4" t="str">
        <f>Summary!E359</f>
        <v>MMcfd</v>
      </c>
    </row>
    <row r="358" spans="1:5" ht="15" customHeight="1" x14ac:dyDescent="0.2">
      <c r="A358" s="28">
        <f>Summary!A360</f>
        <v>2043</v>
      </c>
      <c r="B358" s="4" t="str">
        <f>Summary!B360</f>
        <v>BAU</v>
      </c>
      <c r="C358" s="4" t="str">
        <f>Summary!C360</f>
        <v>Venting</v>
      </c>
      <c r="D358" s="29">
        <f>Summary!D360</f>
        <v>49.615536920431609</v>
      </c>
      <c r="E358" s="4" t="str">
        <f>Summary!E360</f>
        <v>MMcfd</v>
      </c>
    </row>
    <row r="359" spans="1:5" ht="15" customHeight="1" x14ac:dyDescent="0.2">
      <c r="A359" s="28">
        <f>Summary!A361</f>
        <v>2044</v>
      </c>
      <c r="B359" s="4" t="str">
        <f>Summary!B361</f>
        <v>BAU</v>
      </c>
      <c r="C359" s="4" t="str">
        <f>Summary!C361</f>
        <v>Venting</v>
      </c>
      <c r="D359" s="29">
        <f>Summary!D361</f>
        <v>44.868852426993662</v>
      </c>
      <c r="E359" s="4" t="str">
        <f>Summary!E361</f>
        <v>MMcfd</v>
      </c>
    </row>
    <row r="360" spans="1:5" ht="15" customHeight="1" x14ac:dyDescent="0.2">
      <c r="A360" s="28">
        <f>Summary!A362</f>
        <v>2045</v>
      </c>
      <c r="B360" s="4" t="str">
        <f>Summary!B362</f>
        <v>BAU</v>
      </c>
      <c r="C360" s="4" t="str">
        <f>Summary!C362</f>
        <v>Venting</v>
      </c>
      <c r="D360" s="29">
        <f>Summary!D362</f>
        <v>40.050888681634056</v>
      </c>
      <c r="E360" s="4" t="str">
        <f>Summary!E362</f>
        <v>MMcfd</v>
      </c>
    </row>
    <row r="361" spans="1:5" ht="15" customHeight="1" x14ac:dyDescent="0.2">
      <c r="A361" s="28">
        <f>Summary!A363</f>
        <v>2046</v>
      </c>
      <c r="B361" s="4" t="str">
        <f>Summary!B363</f>
        <v>BAU</v>
      </c>
      <c r="C361" s="4" t="str">
        <f>Summary!C363</f>
        <v>Venting</v>
      </c>
      <c r="D361" s="29">
        <f>Summary!D363</f>
        <v>35.167360976986494</v>
      </c>
      <c r="E361" s="4" t="str">
        <f>Summary!E363</f>
        <v>MMcfd</v>
      </c>
    </row>
    <row r="362" spans="1:5" ht="15" customHeight="1" x14ac:dyDescent="0.2">
      <c r="A362" s="28">
        <f>Summary!A364</f>
        <v>2047</v>
      </c>
      <c r="B362" s="4" t="str">
        <f>Summary!B364</f>
        <v>BAU</v>
      </c>
      <c r="C362" s="4" t="str">
        <f>Summary!C364</f>
        <v>Venting</v>
      </c>
      <c r="D362" s="29">
        <f>Summary!D364</f>
        <v>30.227655109948323</v>
      </c>
      <c r="E362" s="4" t="str">
        <f>Summary!E364</f>
        <v>MMcfd</v>
      </c>
    </row>
    <row r="363" spans="1:5" ht="15" customHeight="1" x14ac:dyDescent="0.2">
      <c r="A363" s="28">
        <f>Summary!A365</f>
        <v>2048</v>
      </c>
      <c r="B363" s="4" t="str">
        <f>Summary!B365</f>
        <v>BAU</v>
      </c>
      <c r="C363" s="4" t="str">
        <f>Summary!C365</f>
        <v>Venting</v>
      </c>
      <c r="D363" s="29">
        <f>Summary!D365</f>
        <v>25.244962377448033</v>
      </c>
      <c r="E363" s="4" t="str">
        <f>Summary!E365</f>
        <v>MMcfd</v>
      </c>
    </row>
    <row r="364" spans="1:5" ht="15" customHeight="1" x14ac:dyDescent="0.2">
      <c r="A364" s="28">
        <f>Summary!A366</f>
        <v>2049</v>
      </c>
      <c r="B364" s="4" t="str">
        <f>Summary!B366</f>
        <v>BAU</v>
      </c>
      <c r="C364" s="4" t="str">
        <f>Summary!C366</f>
        <v>Venting</v>
      </c>
      <c r="D364" s="29">
        <f>Summary!D366</f>
        <v>20.235141605632119</v>
      </c>
      <c r="E364" s="4" t="str">
        <f>Summary!E366</f>
        <v>MMcfd</v>
      </c>
    </row>
    <row r="365" spans="1:5" ht="15" customHeight="1" x14ac:dyDescent="0.2">
      <c r="A365" s="28">
        <f>Summary!A367</f>
        <v>2050</v>
      </c>
      <c r="B365" s="4" t="str">
        <f>Summary!B367</f>
        <v>BAU</v>
      </c>
      <c r="C365" s="4" t="str">
        <f>Summary!C367</f>
        <v>Venting</v>
      </c>
      <c r="D365" s="29">
        <f>Summary!D367</f>
        <v>15.214036578607711</v>
      </c>
      <c r="E365" s="4" t="str">
        <f>Summary!E367</f>
        <v>MMcfd</v>
      </c>
    </row>
    <row r="366" spans="1:5" ht="15" customHeight="1" x14ac:dyDescent="0.2">
      <c r="A366" s="28">
        <f>Summary!A368</f>
        <v>2023</v>
      </c>
      <c r="B366" s="4" t="str">
        <f>Summary!B368</f>
        <v>BAU</v>
      </c>
      <c r="C366" s="4" t="str">
        <f>Summary!C368</f>
        <v>Flaring</v>
      </c>
      <c r="D366" s="29">
        <f>Summary!D368</f>
        <v>604.98782444231131</v>
      </c>
      <c r="E366" s="4" t="str">
        <f>Summary!E368</f>
        <v>MMcfd</v>
      </c>
    </row>
    <row r="367" spans="1:5" ht="15" customHeight="1" x14ac:dyDescent="0.2">
      <c r="A367" s="28">
        <f>Summary!A369</f>
        <v>2024</v>
      </c>
      <c r="B367" s="4" t="str">
        <f>Summary!B369</f>
        <v>BAU</v>
      </c>
      <c r="C367" s="4" t="str">
        <f>Summary!C369</f>
        <v>Flaring</v>
      </c>
      <c r="D367" s="29">
        <f>Summary!D369</f>
        <v>607</v>
      </c>
      <c r="E367" s="4" t="str">
        <f>Summary!E369</f>
        <v>MMcfd</v>
      </c>
    </row>
    <row r="368" spans="1:5" ht="15" customHeight="1" x14ac:dyDescent="0.2">
      <c r="A368" s="28">
        <f>Summary!A370</f>
        <v>2025</v>
      </c>
      <c r="B368" s="4" t="str">
        <f>Summary!B370</f>
        <v>BAU</v>
      </c>
      <c r="C368" s="4" t="str">
        <f>Summary!C370</f>
        <v>Flaring</v>
      </c>
      <c r="D368" s="29">
        <f>Summary!D370</f>
        <v>596.52846884779649</v>
      </c>
      <c r="E368" s="4" t="str">
        <f>Summary!E370</f>
        <v>MMcfd</v>
      </c>
    </row>
    <row r="369" spans="1:5" ht="15" customHeight="1" x14ac:dyDescent="0.2">
      <c r="A369" s="28">
        <f>Summary!A371</f>
        <v>2026</v>
      </c>
      <c r="B369" s="4" t="str">
        <f>Summary!B371</f>
        <v>BAU</v>
      </c>
      <c r="C369" s="4" t="str">
        <f>Summary!C371</f>
        <v>Flaring</v>
      </c>
      <c r="D369" s="29">
        <f>Summary!D371</f>
        <v>706.75872025731826</v>
      </c>
      <c r="E369" s="4" t="str">
        <f>Summary!E371</f>
        <v>MMcfd</v>
      </c>
    </row>
    <row r="370" spans="1:5" ht="15" customHeight="1" x14ac:dyDescent="0.2">
      <c r="A370" s="28">
        <f>Summary!A372</f>
        <v>2027</v>
      </c>
      <c r="B370" s="4" t="str">
        <f>Summary!B372</f>
        <v>BAU</v>
      </c>
      <c r="C370" s="4" t="str">
        <f>Summary!C372</f>
        <v>Flaring</v>
      </c>
      <c r="D370" s="29">
        <f>Summary!D372</f>
        <v>736.91186417602103</v>
      </c>
      <c r="E370" s="4" t="str">
        <f>Summary!E372</f>
        <v>MMcfd</v>
      </c>
    </row>
    <row r="371" spans="1:5" ht="15" customHeight="1" x14ac:dyDescent="0.2">
      <c r="A371" s="28">
        <f>Summary!A373</f>
        <v>2028</v>
      </c>
      <c r="B371" s="4" t="str">
        <f>Summary!B373</f>
        <v>BAU</v>
      </c>
      <c r="C371" s="4" t="str">
        <f>Summary!C373</f>
        <v>Flaring</v>
      </c>
      <c r="D371" s="29">
        <f>Summary!D373</f>
        <v>818.17375570890511</v>
      </c>
      <c r="E371" s="4" t="str">
        <f>Summary!E373</f>
        <v>MMcfd</v>
      </c>
    </row>
    <row r="372" spans="1:5" ht="15" customHeight="1" x14ac:dyDescent="0.2">
      <c r="A372" s="28">
        <f>Summary!A374</f>
        <v>2029</v>
      </c>
      <c r="B372" s="4" t="str">
        <f>Summary!B374</f>
        <v>BAU</v>
      </c>
      <c r="C372" s="4" t="str">
        <f>Summary!C374</f>
        <v>Flaring</v>
      </c>
      <c r="D372" s="29">
        <f>Summary!D374</f>
        <v>903.19311623481542</v>
      </c>
      <c r="E372" s="4" t="str">
        <f>Summary!E374</f>
        <v>MMcfd</v>
      </c>
    </row>
    <row r="373" spans="1:5" ht="15" customHeight="1" x14ac:dyDescent="0.2">
      <c r="A373" s="28">
        <f>Summary!A375</f>
        <v>2030</v>
      </c>
      <c r="B373" s="4" t="str">
        <f>Summary!B375</f>
        <v>BAU</v>
      </c>
      <c r="C373" s="4" t="str">
        <f>Summary!C375</f>
        <v>Flaring</v>
      </c>
      <c r="D373" s="29">
        <f>Summary!D375</f>
        <v>991</v>
      </c>
      <c r="E373" s="4" t="str">
        <f>Summary!E375</f>
        <v>MMcfd</v>
      </c>
    </row>
    <row r="374" spans="1:5" ht="15" customHeight="1" x14ac:dyDescent="0.2">
      <c r="A374" s="28">
        <f>Summary!A376</f>
        <v>2031</v>
      </c>
      <c r="B374" s="4" t="str">
        <f>Summary!B376</f>
        <v>BAU</v>
      </c>
      <c r="C374" s="4" t="str">
        <f>Summary!C376</f>
        <v>Flaring</v>
      </c>
      <c r="D374" s="29">
        <f>Summary!D376</f>
        <v>1062.0299913758824</v>
      </c>
      <c r="E374" s="4" t="str">
        <f>Summary!E376</f>
        <v>MMcfd</v>
      </c>
    </row>
    <row r="375" spans="1:5" ht="15" customHeight="1" x14ac:dyDescent="0.2">
      <c r="A375" s="28">
        <f>Summary!A377</f>
        <v>2032</v>
      </c>
      <c r="B375" s="4" t="str">
        <f>Summary!B377</f>
        <v>BAU</v>
      </c>
      <c r="C375" s="4" t="str">
        <f>Summary!C377</f>
        <v>Flaring</v>
      </c>
      <c r="D375" s="29">
        <f>Summary!D377</f>
        <v>1134.8571470409938</v>
      </c>
      <c r="E375" s="4" t="str">
        <f>Summary!E377</f>
        <v>MMcfd</v>
      </c>
    </row>
    <row r="376" spans="1:5" ht="15" customHeight="1" x14ac:dyDescent="0.2">
      <c r="A376" s="28">
        <f>Summary!A378</f>
        <v>2033</v>
      </c>
      <c r="B376" s="4" t="str">
        <f>Summary!B378</f>
        <v>BAU</v>
      </c>
      <c r="C376" s="4" t="str">
        <f>Summary!C378</f>
        <v>Flaring</v>
      </c>
      <c r="D376" s="29">
        <f>Summary!D378</f>
        <v>1209.523888771671</v>
      </c>
      <c r="E376" s="4" t="str">
        <f>Summary!E378</f>
        <v>MMcfd</v>
      </c>
    </row>
    <row r="377" spans="1:5" ht="15" customHeight="1" x14ac:dyDescent="0.2">
      <c r="A377" s="28">
        <f>Summary!A379</f>
        <v>2034</v>
      </c>
      <c r="B377" s="4" t="str">
        <f>Summary!B379</f>
        <v>BAU</v>
      </c>
      <c r="C377" s="4" t="str">
        <f>Summary!C379</f>
        <v>Flaring</v>
      </c>
      <c r="D377" s="29">
        <f>Summary!D379</f>
        <v>1286.0736204883801</v>
      </c>
      <c r="E377" s="4" t="str">
        <f>Summary!E379</f>
        <v>MMcfd</v>
      </c>
    </row>
    <row r="378" spans="1:5" ht="15" customHeight="1" x14ac:dyDescent="0.2">
      <c r="A378" s="28">
        <f>Summary!A380</f>
        <v>2035</v>
      </c>
      <c r="B378" s="4" t="str">
        <f>Summary!B380</f>
        <v>BAU</v>
      </c>
      <c r="C378" s="4" t="str">
        <f>Summary!C380</f>
        <v>Flaring</v>
      </c>
      <c r="D378" s="29">
        <f>Summary!D380</f>
        <v>1364.5507770090478</v>
      </c>
      <c r="E378" s="4" t="str">
        <f>Summary!E380</f>
        <v>MMcfd</v>
      </c>
    </row>
    <row r="379" spans="1:5" ht="15" customHeight="1" x14ac:dyDescent="0.2">
      <c r="A379" s="28">
        <f>Summary!A381</f>
        <v>2036</v>
      </c>
      <c r="B379" s="4" t="str">
        <f>Summary!B381</f>
        <v>BAU</v>
      </c>
      <c r="C379" s="4" t="str">
        <f>Summary!C381</f>
        <v>Flaring</v>
      </c>
      <c r="D379" s="29">
        <f>Summary!D381</f>
        <v>1445.0008274368311</v>
      </c>
      <c r="E379" s="4" t="str">
        <f>Summary!E381</f>
        <v>MMcfd</v>
      </c>
    </row>
    <row r="380" spans="1:5" ht="15" customHeight="1" x14ac:dyDescent="0.2">
      <c r="A380" s="28">
        <f>Summary!A382</f>
        <v>2037</v>
      </c>
      <c r="B380" s="4" t="str">
        <f>Summary!B382</f>
        <v>BAU</v>
      </c>
      <c r="C380" s="4" t="str">
        <f>Summary!C382</f>
        <v>Flaring</v>
      </c>
      <c r="D380" s="29">
        <f>Summary!D382</f>
        <v>1527.4702912694374</v>
      </c>
      <c r="E380" s="4" t="str">
        <f>Summary!E382</f>
        <v>MMcfd</v>
      </c>
    </row>
    <row r="381" spans="1:5" ht="15" customHeight="1" x14ac:dyDescent="0.2">
      <c r="A381" s="28">
        <f>Summary!A383</f>
        <v>2038</v>
      </c>
      <c r="B381" s="4" t="str">
        <f>Summary!B383</f>
        <v>BAU</v>
      </c>
      <c r="C381" s="4" t="str">
        <f>Summary!C383</f>
        <v>Flaring</v>
      </c>
      <c r="D381" s="29">
        <f>Summary!D383</f>
        <v>1612.006781421215</v>
      </c>
      <c r="E381" s="4" t="str">
        <f>Summary!E383</f>
        <v>MMcfd</v>
      </c>
    </row>
    <row r="382" spans="1:5" ht="15" customHeight="1" x14ac:dyDescent="0.2">
      <c r="A382" s="28">
        <f>Summary!A384</f>
        <v>2039</v>
      </c>
      <c r="B382" s="4" t="str">
        <f>Summary!B384</f>
        <v>BAU</v>
      </c>
      <c r="C382" s="4" t="str">
        <f>Summary!C384</f>
        <v>Flaring</v>
      </c>
      <c r="D382" s="29">
        <f>Summary!D384</f>
        <v>1698.6590404924423</v>
      </c>
      <c r="E382" s="4" t="str">
        <f>Summary!E384</f>
        <v>MMcfd</v>
      </c>
    </row>
    <row r="383" spans="1:5" ht="15" customHeight="1" x14ac:dyDescent="0.2">
      <c r="A383" s="28">
        <f>Summary!A385</f>
        <v>2040</v>
      </c>
      <c r="B383" s="4" t="str">
        <f>Summary!B385</f>
        <v>BAU</v>
      </c>
      <c r="C383" s="4" t="str">
        <f>Summary!C385</f>
        <v>Flaring</v>
      </c>
      <c r="D383" s="29">
        <f>Summary!D385</f>
        <v>1788.2073257524505</v>
      </c>
      <c r="E383" s="4" t="str">
        <f>Summary!E385</f>
        <v>MMcfd</v>
      </c>
    </row>
    <row r="384" spans="1:5" ht="15" customHeight="1" x14ac:dyDescent="0.2">
      <c r="A384" s="28">
        <f>Summary!A386</f>
        <v>2041</v>
      </c>
      <c r="B384" s="4" t="str">
        <f>Summary!B386</f>
        <v>BAU</v>
      </c>
      <c r="C384" s="4" t="str">
        <f>Summary!C386</f>
        <v>Flaring</v>
      </c>
      <c r="D384" s="29">
        <f>Summary!D386</f>
        <v>1880.6020965805894</v>
      </c>
      <c r="E384" s="4" t="str">
        <f>Summary!E386</f>
        <v>MMcfd</v>
      </c>
    </row>
    <row r="385" spans="1:5" ht="15" customHeight="1" x14ac:dyDescent="0.2">
      <c r="A385" s="28">
        <f>Summary!A387</f>
        <v>2042</v>
      </c>
      <c r="B385" s="4" t="str">
        <f>Summary!B387</f>
        <v>BAU</v>
      </c>
      <c r="C385" s="4" t="str">
        <f>Summary!C387</f>
        <v>Flaring</v>
      </c>
      <c r="D385" s="29">
        <f>Summary!D387</f>
        <v>1975.4218289367857</v>
      </c>
      <c r="E385" s="4" t="str">
        <f>Summary!E387</f>
        <v>MMcfd</v>
      </c>
    </row>
    <row r="386" spans="1:5" ht="15" customHeight="1" x14ac:dyDescent="0.2">
      <c r="A386" s="28">
        <f>Summary!A388</f>
        <v>2043</v>
      </c>
      <c r="B386" s="4" t="str">
        <f>Summary!B388</f>
        <v>BAU</v>
      </c>
      <c r="C386" s="4" t="str">
        <f>Summary!C388</f>
        <v>Flaring</v>
      </c>
      <c r="D386" s="29">
        <f>Summary!D388</f>
        <v>2072.7283533327509</v>
      </c>
      <c r="E386" s="4" t="str">
        <f>Summary!E388</f>
        <v>MMcfd</v>
      </c>
    </row>
    <row r="387" spans="1:5" ht="15" customHeight="1" x14ac:dyDescent="0.2">
      <c r="A387" s="28">
        <f>Summary!A389</f>
        <v>2044</v>
      </c>
      <c r="B387" s="4" t="str">
        <f>Summary!B389</f>
        <v>BAU</v>
      </c>
      <c r="C387" s="4" t="str">
        <f>Summary!C389</f>
        <v>Flaring</v>
      </c>
      <c r="D387" s="29">
        <f>Summary!D389</f>
        <v>2172.5850678300153</v>
      </c>
      <c r="E387" s="4" t="str">
        <f>Summary!E389</f>
        <v>MMcfd</v>
      </c>
    </row>
    <row r="388" spans="1:5" ht="15" customHeight="1" x14ac:dyDescent="0.2">
      <c r="A388" s="28">
        <f>Summary!A390</f>
        <v>2045</v>
      </c>
      <c r="B388" s="4" t="str">
        <f>Summary!B390</f>
        <v>BAU</v>
      </c>
      <c r="C388" s="4" t="str">
        <f>Summary!C390</f>
        <v>Flaring</v>
      </c>
      <c r="D388" s="29">
        <f>Summary!D390</f>
        <v>2275.0569742365051</v>
      </c>
      <c r="E388" s="4" t="str">
        <f>Summary!E390</f>
        <v>MMcfd</v>
      </c>
    </row>
    <row r="389" spans="1:5" ht="15" customHeight="1" x14ac:dyDescent="0.2">
      <c r="A389" s="28">
        <f>Summary!A391</f>
        <v>2046</v>
      </c>
      <c r="B389" s="4" t="str">
        <f>Summary!B391</f>
        <v>BAU</v>
      </c>
      <c r="C389" s="4" t="str">
        <f>Summary!C391</f>
        <v>Flaring</v>
      </c>
      <c r="D389" s="29">
        <f>Summary!D391</f>
        <v>2380.2107192903982</v>
      </c>
      <c r="E389" s="4" t="str">
        <f>Summary!E391</f>
        <v>MMcfd</v>
      </c>
    </row>
    <row r="390" spans="1:5" ht="15" customHeight="1" x14ac:dyDescent="0.2">
      <c r="A390" s="28">
        <f>Summary!A392</f>
        <v>2047</v>
      </c>
      <c r="B390" s="4" t="str">
        <f>Summary!B392</f>
        <v>BAU</v>
      </c>
      <c r="C390" s="4" t="str">
        <f>Summary!C392</f>
        <v>Flaring</v>
      </c>
      <c r="D390" s="29">
        <f>Summary!D392</f>
        <v>2488.1146425130619</v>
      </c>
      <c r="E390" s="4" t="str">
        <f>Summary!E392</f>
        <v>MMcfd</v>
      </c>
    </row>
    <row r="391" spans="1:5" ht="15" customHeight="1" x14ac:dyDescent="0.2">
      <c r="A391" s="28">
        <f>Summary!A393</f>
        <v>2048</v>
      </c>
      <c r="B391" s="4" t="str">
        <f>Summary!B393</f>
        <v>BAU</v>
      </c>
      <c r="C391" s="4" t="str">
        <f>Summary!C393</f>
        <v>Flaring</v>
      </c>
      <c r="D391" s="29">
        <f>Summary!D393</f>
        <v>2598.8387955354924</v>
      </c>
      <c r="E391" s="4" t="str">
        <f>Summary!E393</f>
        <v>MMcfd</v>
      </c>
    </row>
    <row r="392" spans="1:5" ht="15" customHeight="1" x14ac:dyDescent="0.2">
      <c r="A392" s="28">
        <f>Summary!A394</f>
        <v>2049</v>
      </c>
      <c r="B392" s="4" t="str">
        <f>Summary!B394</f>
        <v>BAU</v>
      </c>
      <c r="C392" s="4" t="str">
        <f>Summary!C394</f>
        <v>Flaring</v>
      </c>
      <c r="D392" s="29">
        <f>Summary!D394</f>
        <v>2712.4550140055644</v>
      </c>
      <c r="E392" s="4" t="str">
        <f>Summary!E394</f>
        <v>MMcfd</v>
      </c>
    </row>
    <row r="393" spans="1:5" ht="15" customHeight="1" x14ac:dyDescent="0.2">
      <c r="A393" s="28">
        <f>Summary!A395</f>
        <v>2050</v>
      </c>
      <c r="B393" s="4" t="str">
        <f>Summary!B395</f>
        <v>BAU</v>
      </c>
      <c r="C393" s="4" t="str">
        <f>Summary!C395</f>
        <v>Flaring</v>
      </c>
      <c r="D393" s="29">
        <f>Summary!D395</f>
        <v>2829.0369302398126</v>
      </c>
      <c r="E393" s="4" t="str">
        <f>Summary!E395</f>
        <v>MMcfd</v>
      </c>
    </row>
    <row r="394" spans="1:5" ht="15" customHeight="1" x14ac:dyDescent="0.2">
      <c r="A394" s="28">
        <f>Summary!A396</f>
        <v>2023</v>
      </c>
      <c r="B394" s="4" t="str">
        <f>Summary!B396</f>
        <v>Unconditional</v>
      </c>
      <c r="C394" s="4" t="str">
        <f>Summary!C396</f>
        <v>Fugitive</v>
      </c>
      <c r="D394" s="29">
        <f>Summary!D396</f>
        <v>27.400840910279712</v>
      </c>
      <c r="E394" s="4" t="str">
        <f>Summary!E396</f>
        <v>MMcfd</v>
      </c>
    </row>
    <row r="395" spans="1:5" ht="15" customHeight="1" x14ac:dyDescent="0.2">
      <c r="A395" s="28">
        <f>Summary!A397</f>
        <v>2024</v>
      </c>
      <c r="B395" s="4" t="str">
        <f>Summary!B397</f>
        <v>Unconditional</v>
      </c>
      <c r="C395" s="4" t="str">
        <f>Summary!C397</f>
        <v>Fugitive</v>
      </c>
      <c r="D395" s="29">
        <f>Summary!D397</f>
        <v>27.261869688434501</v>
      </c>
      <c r="E395" s="4" t="str">
        <f>Summary!E397</f>
        <v>MMcfd</v>
      </c>
    </row>
    <row r="396" spans="1:5" ht="15" customHeight="1" x14ac:dyDescent="0.2">
      <c r="A396" s="28">
        <f>Summary!A398</f>
        <v>2025</v>
      </c>
      <c r="B396" s="4" t="str">
        <f>Summary!B398</f>
        <v>Unconditional</v>
      </c>
      <c r="C396" s="4" t="str">
        <f>Summary!C398</f>
        <v>Fugitive</v>
      </c>
      <c r="D396" s="29">
        <f>Summary!D398</f>
        <v>27.298547952576779</v>
      </c>
      <c r="E396" s="4" t="str">
        <f>Summary!E398</f>
        <v>MMcfd</v>
      </c>
    </row>
    <row r="397" spans="1:5" ht="15" customHeight="1" x14ac:dyDescent="0.2">
      <c r="A397" s="28">
        <f>Summary!A399</f>
        <v>2026</v>
      </c>
      <c r="B397" s="4" t="str">
        <f>Summary!B399</f>
        <v>Unconditional</v>
      </c>
      <c r="C397" s="4" t="str">
        <f>Summary!C399</f>
        <v>Fugitive</v>
      </c>
      <c r="D397" s="29">
        <f>Summary!D399</f>
        <v>31.439624693599246</v>
      </c>
      <c r="E397" s="4" t="str">
        <f>Summary!E399</f>
        <v>MMcfd</v>
      </c>
    </row>
    <row r="398" spans="1:5" ht="15" customHeight="1" x14ac:dyDescent="0.2">
      <c r="A398" s="28">
        <f>Summary!A400</f>
        <v>2027</v>
      </c>
      <c r="B398" s="4" t="str">
        <f>Summary!B400</f>
        <v>Unconditional</v>
      </c>
      <c r="C398" s="4" t="str">
        <f>Summary!C400</f>
        <v>Fugitive</v>
      </c>
      <c r="D398" s="29">
        <f>Summary!D400</f>
        <v>31.711264584236051</v>
      </c>
      <c r="E398" s="4" t="str">
        <f>Summary!E400</f>
        <v>MMcfd</v>
      </c>
    </row>
    <row r="399" spans="1:5" ht="15" customHeight="1" x14ac:dyDescent="0.2">
      <c r="A399" s="28">
        <f>Summary!A401</f>
        <v>2028</v>
      </c>
      <c r="B399" s="4" t="str">
        <f>Summary!B401</f>
        <v>Unconditional</v>
      </c>
      <c r="C399" s="4" t="str">
        <f>Summary!C401</f>
        <v>Fugitive</v>
      </c>
      <c r="D399" s="29">
        <f>Summary!D401</f>
        <v>31.795067026413872</v>
      </c>
      <c r="E399" s="4" t="str">
        <f>Summary!E401</f>
        <v>MMcfd</v>
      </c>
    </row>
    <row r="400" spans="1:5" ht="15" customHeight="1" x14ac:dyDescent="0.2">
      <c r="A400" s="28">
        <f>Summary!A402</f>
        <v>2029</v>
      </c>
      <c r="B400" s="4" t="str">
        <f>Summary!B402</f>
        <v>Unconditional</v>
      </c>
      <c r="C400" s="4" t="str">
        <f>Summary!C402</f>
        <v>Fugitive</v>
      </c>
      <c r="D400" s="29">
        <f>Summary!D402</f>
        <v>31.687696321834821</v>
      </c>
      <c r="E400" s="4" t="str">
        <f>Summary!E402</f>
        <v>MMcfd</v>
      </c>
    </row>
    <row r="401" spans="1:5" ht="15" customHeight="1" x14ac:dyDescent="0.2">
      <c r="A401" s="28">
        <f>Summary!A403</f>
        <v>2030</v>
      </c>
      <c r="B401" s="4" t="str">
        <f>Summary!B403</f>
        <v>Unconditional</v>
      </c>
      <c r="C401" s="4" t="str">
        <f>Summary!C403</f>
        <v>Fugitive</v>
      </c>
      <c r="D401" s="29">
        <f>Summary!D403</f>
        <v>31.445630218032576</v>
      </c>
      <c r="E401" s="4" t="str">
        <f>Summary!E403</f>
        <v>MMcfd</v>
      </c>
    </row>
    <row r="402" spans="1:5" ht="15" customHeight="1" x14ac:dyDescent="0.2">
      <c r="A402" s="28">
        <f>Summary!A404</f>
        <v>2031</v>
      </c>
      <c r="B402" s="4" t="str">
        <f>Summary!B404</f>
        <v>Unconditional</v>
      </c>
      <c r="C402" s="4" t="str">
        <f>Summary!C404</f>
        <v>Fugitive</v>
      </c>
      <c r="D402" s="29">
        <f>Summary!D404</f>
        <v>29.850377124204968</v>
      </c>
      <c r="E402" s="4" t="str">
        <f>Summary!E404</f>
        <v>MMcfd</v>
      </c>
    </row>
    <row r="403" spans="1:5" ht="15" customHeight="1" x14ac:dyDescent="0.2">
      <c r="A403" s="28">
        <f>Summary!A405</f>
        <v>2032</v>
      </c>
      <c r="B403" s="4" t="str">
        <f>Summary!B405</f>
        <v>Unconditional</v>
      </c>
      <c r="C403" s="4" t="str">
        <f>Summary!C405</f>
        <v>Fugitive</v>
      </c>
      <c r="D403" s="29">
        <f>Summary!D405</f>
        <v>28.278489824195969</v>
      </c>
      <c r="E403" s="4" t="str">
        <f>Summary!E405</f>
        <v>MMcfd</v>
      </c>
    </row>
    <row r="404" spans="1:5" ht="15" customHeight="1" x14ac:dyDescent="0.2">
      <c r="A404" s="28">
        <f>Summary!A406</f>
        <v>2033</v>
      </c>
      <c r="B404" s="4" t="str">
        <f>Summary!B406</f>
        <v>Unconditional</v>
      </c>
      <c r="C404" s="4" t="str">
        <f>Summary!C406</f>
        <v>Fugitive</v>
      </c>
      <c r="D404" s="29">
        <f>Summary!D406</f>
        <v>26.730507218004092</v>
      </c>
      <c r="E404" s="4" t="str">
        <f>Summary!E406</f>
        <v>MMcfd</v>
      </c>
    </row>
    <row r="405" spans="1:5" ht="15" customHeight="1" x14ac:dyDescent="0.2">
      <c r="A405" s="28">
        <f>Summary!A407</f>
        <v>2034</v>
      </c>
      <c r="B405" s="4" t="str">
        <f>Summary!B407</f>
        <v>Unconditional</v>
      </c>
      <c r="C405" s="4" t="str">
        <f>Summary!C407</f>
        <v>Fugitive</v>
      </c>
      <c r="D405" s="29">
        <f>Summary!D407</f>
        <v>25.207098146393879</v>
      </c>
      <c r="E405" s="4" t="str">
        <f>Summary!E407</f>
        <v>MMcfd</v>
      </c>
    </row>
    <row r="406" spans="1:5" ht="15" customHeight="1" x14ac:dyDescent="0.2">
      <c r="A406" s="28">
        <f>Summary!A408</f>
        <v>2035</v>
      </c>
      <c r="B406" s="4" t="str">
        <f>Summary!B408</f>
        <v>Unconditional</v>
      </c>
      <c r="C406" s="4" t="str">
        <f>Summary!C408</f>
        <v>Fugitive</v>
      </c>
      <c r="D406" s="29">
        <f>Summary!D408</f>
        <v>23.709038684512201</v>
      </c>
      <c r="E406" s="4" t="str">
        <f>Summary!E408</f>
        <v>MMcfd</v>
      </c>
    </row>
    <row r="407" spans="1:5" ht="15" customHeight="1" x14ac:dyDescent="0.2">
      <c r="A407" s="28">
        <f>Summary!A409</f>
        <v>2036</v>
      </c>
      <c r="B407" s="4" t="str">
        <f>Summary!B409</f>
        <v>Unconditional</v>
      </c>
      <c r="C407" s="4" t="str">
        <f>Summary!C409</f>
        <v>Fugitive</v>
      </c>
      <c r="D407" s="29">
        <f>Summary!D409</f>
        <v>22.245759672346932</v>
      </c>
      <c r="E407" s="4" t="str">
        <f>Summary!E409</f>
        <v>MMcfd</v>
      </c>
    </row>
    <row r="408" spans="1:5" ht="15" customHeight="1" x14ac:dyDescent="0.2">
      <c r="A408" s="28">
        <f>Summary!A410</f>
        <v>2037</v>
      </c>
      <c r="B408" s="4" t="str">
        <f>Summary!B410</f>
        <v>Unconditional</v>
      </c>
      <c r="C408" s="4" t="str">
        <f>Summary!C410</f>
        <v>Fugitive</v>
      </c>
      <c r="D408" s="29">
        <f>Summary!D410</f>
        <v>20.815853216823154</v>
      </c>
      <c r="E408" s="4" t="str">
        <f>Summary!E410</f>
        <v>MMcfd</v>
      </c>
    </row>
    <row r="409" spans="1:5" ht="15" customHeight="1" x14ac:dyDescent="0.2">
      <c r="A409" s="28">
        <f>Summary!A411</f>
        <v>2038</v>
      </c>
      <c r="B409" s="4" t="str">
        <f>Summary!B411</f>
        <v>Unconditional</v>
      </c>
      <c r="C409" s="4" t="str">
        <f>Summary!C411</f>
        <v>Fugitive</v>
      </c>
      <c r="D409" s="29">
        <f>Summary!D411</f>
        <v>19.411901360862668</v>
      </c>
      <c r="E409" s="4" t="str">
        <f>Summary!E411</f>
        <v>MMcfd</v>
      </c>
    </row>
    <row r="410" spans="1:5" ht="15" customHeight="1" x14ac:dyDescent="0.2">
      <c r="A410" s="28">
        <f>Summary!A412</f>
        <v>2039</v>
      </c>
      <c r="B410" s="4" t="str">
        <f>Summary!B412</f>
        <v>Unconditional</v>
      </c>
      <c r="C410" s="4" t="str">
        <f>Summary!C412</f>
        <v>Fugitive</v>
      </c>
      <c r="D410" s="29">
        <f>Summary!D412</f>
        <v>18.035160429431759</v>
      </c>
      <c r="E410" s="4" t="str">
        <f>Summary!E412</f>
        <v>MMcfd</v>
      </c>
    </row>
    <row r="411" spans="1:5" ht="15" customHeight="1" x14ac:dyDescent="0.2">
      <c r="A411" s="28">
        <f>Summary!A413</f>
        <v>2040</v>
      </c>
      <c r="B411" s="4" t="str">
        <f>Summary!B413</f>
        <v>Unconditional</v>
      </c>
      <c r="C411" s="4" t="str">
        <f>Summary!C413</f>
        <v>Fugitive</v>
      </c>
      <c r="D411" s="29">
        <f>Summary!D413</f>
        <v>16.686916681543732</v>
      </c>
      <c r="E411" s="4" t="str">
        <f>Summary!E413</f>
        <v>MMcfd</v>
      </c>
    </row>
    <row r="412" spans="1:5" ht="15" customHeight="1" x14ac:dyDescent="0.2">
      <c r="A412" s="28">
        <f>Summary!A414</f>
        <v>2041</v>
      </c>
      <c r="B412" s="4" t="str">
        <f>Summary!B414</f>
        <v>Unconditional</v>
      </c>
      <c r="C412" s="4" t="str">
        <f>Summary!C414</f>
        <v>Fugitive</v>
      </c>
      <c r="D412" s="29">
        <f>Summary!D414</f>
        <v>15.36849061157873</v>
      </c>
      <c r="E412" s="4" t="str">
        <f>Summary!E414</f>
        <v>MMcfd</v>
      </c>
    </row>
    <row r="413" spans="1:5" ht="15" customHeight="1" x14ac:dyDescent="0.2">
      <c r="A413" s="28">
        <f>Summary!A415</f>
        <v>2042</v>
      </c>
      <c r="B413" s="4" t="str">
        <f>Summary!B415</f>
        <v>Unconditional</v>
      </c>
      <c r="C413" s="4" t="str">
        <f>Summary!C415</f>
        <v>Fugitive</v>
      </c>
      <c r="D413" s="29">
        <f>Summary!D415</f>
        <v>14.081224649799768</v>
      </c>
      <c r="E413" s="4" t="str">
        <f>Summary!E415</f>
        <v>MMcfd</v>
      </c>
    </row>
    <row r="414" spans="1:5" ht="15" customHeight="1" x14ac:dyDescent="0.2">
      <c r="A414" s="28">
        <f>Summary!A416</f>
        <v>2043</v>
      </c>
      <c r="B414" s="4" t="str">
        <f>Summary!B416</f>
        <v>Unconditional</v>
      </c>
      <c r="C414" s="4" t="str">
        <f>Summary!C416</f>
        <v>Fugitive</v>
      </c>
      <c r="D414" s="29">
        <f>Summary!D416</f>
        <v>12.826497144047233</v>
      </c>
      <c r="E414" s="4" t="str">
        <f>Summary!E416</f>
        <v>MMcfd</v>
      </c>
    </row>
    <row r="415" spans="1:5" ht="15" customHeight="1" x14ac:dyDescent="0.2">
      <c r="A415" s="28">
        <f>Summary!A417</f>
        <v>2044</v>
      </c>
      <c r="B415" s="4" t="str">
        <f>Summary!B417</f>
        <v>Unconditional</v>
      </c>
      <c r="C415" s="4" t="str">
        <f>Summary!C417</f>
        <v>Fugitive</v>
      </c>
      <c r="D415" s="29">
        <f>Summary!D417</f>
        <v>11.605718476011774</v>
      </c>
      <c r="E415" s="4" t="str">
        <f>Summary!E417</f>
        <v>MMcfd</v>
      </c>
    </row>
    <row r="416" spans="1:5" ht="15" customHeight="1" x14ac:dyDescent="0.2">
      <c r="A416" s="28">
        <f>Summary!A418</f>
        <v>2045</v>
      </c>
      <c r="B416" s="4" t="str">
        <f>Summary!B418</f>
        <v>Unconditional</v>
      </c>
      <c r="C416" s="4" t="str">
        <f>Summary!C418</f>
        <v>Fugitive</v>
      </c>
      <c r="D416" s="29">
        <f>Summary!D418</f>
        <v>10.420331550371277</v>
      </c>
      <c r="E416" s="4" t="str">
        <f>Summary!E418</f>
        <v>MMcfd</v>
      </c>
    </row>
    <row r="417" spans="1:5" ht="15" customHeight="1" x14ac:dyDescent="0.2">
      <c r="A417" s="28">
        <f>Summary!A419</f>
        <v>2046</v>
      </c>
      <c r="B417" s="4" t="str">
        <f>Summary!B419</f>
        <v>Unconditional</v>
      </c>
      <c r="C417" s="4" t="str">
        <f>Summary!C419</f>
        <v>Fugitive</v>
      </c>
      <c r="D417" s="29">
        <f>Summary!D419</f>
        <v>9.2718124455432118</v>
      </c>
      <c r="E417" s="4" t="str">
        <f>Summary!E419</f>
        <v>MMcfd</v>
      </c>
    </row>
    <row r="418" spans="1:5" ht="15" customHeight="1" x14ac:dyDescent="0.2">
      <c r="A418" s="28">
        <f>Summary!A420</f>
        <v>2047</v>
      </c>
      <c r="B418" s="4" t="str">
        <f>Summary!B420</f>
        <v>Unconditional</v>
      </c>
      <c r="C418" s="4" t="str">
        <f>Summary!C420</f>
        <v>Fugitive</v>
      </c>
      <c r="D418" s="29">
        <f>Summary!D420</f>
        <v>8.1616711407963827</v>
      </c>
      <c r="E418" s="4" t="str">
        <f>Summary!E420</f>
        <v>MMcfd</v>
      </c>
    </row>
    <row r="419" spans="1:5" ht="15" customHeight="1" x14ac:dyDescent="0.2">
      <c r="A419" s="28">
        <f>Summary!A421</f>
        <v>2048</v>
      </c>
      <c r="B419" s="4" t="str">
        <f>Summary!B421</f>
        <v>Unconditional</v>
      </c>
      <c r="C419" s="4" t="str">
        <f>Summary!C421</f>
        <v>Fugitive</v>
      </c>
      <c r="D419" s="29">
        <f>Summary!D421</f>
        <v>7.0914520130873422</v>
      </c>
      <c r="E419" s="4" t="str">
        <f>Summary!E421</f>
        <v>MMcfd</v>
      </c>
    </row>
    <row r="420" spans="1:5" ht="15" customHeight="1" x14ac:dyDescent="0.2">
      <c r="A420" s="28">
        <f>Summary!A422</f>
        <v>2049</v>
      </c>
      <c r="B420" s="4" t="str">
        <f>Summary!B422</f>
        <v>Unconditional</v>
      </c>
      <c r="C420" s="4" t="str">
        <f>Summary!C422</f>
        <v>Fugitive</v>
      </c>
      <c r="D420" s="29">
        <f>Summary!D422</f>
        <v>6.0627346015156043</v>
      </c>
      <c r="E420" s="4" t="str">
        <f>Summary!E422</f>
        <v>MMcfd</v>
      </c>
    </row>
    <row r="421" spans="1:5" ht="15" customHeight="1" x14ac:dyDescent="0.2">
      <c r="A421" s="28">
        <f>Summary!A423</f>
        <v>2050</v>
      </c>
      <c r="B421" s="4" t="str">
        <f>Summary!B423</f>
        <v>Unconditional</v>
      </c>
      <c r="C421" s="4" t="str">
        <f>Summary!C423</f>
        <v>Fugitive</v>
      </c>
      <c r="D421" s="29">
        <f>Summary!D423</f>
        <v>5.0771341828490959</v>
      </c>
      <c r="E421" s="4" t="str">
        <f>Summary!E423</f>
        <v>MMcfd</v>
      </c>
    </row>
    <row r="422" spans="1:5" ht="15" customHeight="1" x14ac:dyDescent="0.2">
      <c r="A422" s="28">
        <f>Summary!A424</f>
        <v>2023</v>
      </c>
      <c r="B422" s="4" t="str">
        <f>Summary!B424</f>
        <v>Unconditional</v>
      </c>
      <c r="C422" s="4" t="str">
        <f>Summary!C424</f>
        <v>Venting</v>
      </c>
      <c r="D422" s="29">
        <f>Summary!D424</f>
        <v>84.534509191288493</v>
      </c>
      <c r="E422" s="4" t="str">
        <f>Summary!E424</f>
        <v>MMcfd</v>
      </c>
    </row>
    <row r="423" spans="1:5" ht="15" customHeight="1" x14ac:dyDescent="0.2">
      <c r="A423" s="28">
        <f>Summary!A425</f>
        <v>2024</v>
      </c>
      <c r="B423" s="4" t="str">
        <f>Summary!B425</f>
        <v>Unconditional</v>
      </c>
      <c r="C423" s="4" t="str">
        <f>Summary!C425</f>
        <v>Venting</v>
      </c>
      <c r="D423" s="29">
        <f>Summary!D425</f>
        <v>84.845864720614514</v>
      </c>
      <c r="E423" s="4" t="str">
        <f>Summary!E425</f>
        <v>MMcfd</v>
      </c>
    </row>
    <row r="424" spans="1:5" ht="15" customHeight="1" x14ac:dyDescent="0.2">
      <c r="A424" s="28">
        <f>Summary!A426</f>
        <v>2025</v>
      </c>
      <c r="B424" s="4" t="str">
        <f>Summary!B426</f>
        <v>Unconditional</v>
      </c>
      <c r="C424" s="4" t="str">
        <f>Summary!C426</f>
        <v>Venting</v>
      </c>
      <c r="D424" s="29">
        <f>Summary!D426</f>
        <v>85.046847161710048</v>
      </c>
      <c r="E424" s="4" t="str">
        <f>Summary!E426</f>
        <v>MMcfd</v>
      </c>
    </row>
    <row r="425" spans="1:5" ht="15" customHeight="1" x14ac:dyDescent="0.2">
      <c r="A425" s="28">
        <f>Summary!A427</f>
        <v>2026</v>
      </c>
      <c r="B425" s="4" t="str">
        <f>Summary!B427</f>
        <v>Unconditional</v>
      </c>
      <c r="C425" s="4" t="str">
        <f>Summary!C427</f>
        <v>Venting</v>
      </c>
      <c r="D425" s="29">
        <f>Summary!D427</f>
        <v>90.727383237938781</v>
      </c>
      <c r="E425" s="4" t="str">
        <f>Summary!E427</f>
        <v>MMcfd</v>
      </c>
    </row>
    <row r="426" spans="1:5" ht="15" customHeight="1" x14ac:dyDescent="0.2">
      <c r="A426" s="28">
        <f>Summary!A428</f>
        <v>2027</v>
      </c>
      <c r="B426" s="4" t="str">
        <f>Summary!B428</f>
        <v>Unconditional</v>
      </c>
      <c r="C426" s="4" t="str">
        <f>Summary!C428</f>
        <v>Venting</v>
      </c>
      <c r="D426" s="29">
        <f>Summary!D428</f>
        <v>96.250658662645108</v>
      </c>
      <c r="E426" s="4" t="str">
        <f>Summary!E428</f>
        <v>MMcfd</v>
      </c>
    </row>
    <row r="427" spans="1:5" ht="15" customHeight="1" x14ac:dyDescent="0.2">
      <c r="A427" s="28">
        <f>Summary!A429</f>
        <v>2028</v>
      </c>
      <c r="B427" s="4" t="str">
        <f>Summary!B429</f>
        <v>Unconditional</v>
      </c>
      <c r="C427" s="4" t="str">
        <f>Summary!C429</f>
        <v>Venting</v>
      </c>
      <c r="D427" s="29">
        <f>Summary!D429</f>
        <v>101.47288081236002</v>
      </c>
      <c r="E427" s="4" t="str">
        <f>Summary!E429</f>
        <v>MMcfd</v>
      </c>
    </row>
    <row r="428" spans="1:5" ht="15" customHeight="1" x14ac:dyDescent="0.2">
      <c r="A428" s="28">
        <f>Summary!A430</f>
        <v>2029</v>
      </c>
      <c r="B428" s="4" t="str">
        <f>Summary!B430</f>
        <v>Unconditional</v>
      </c>
      <c r="C428" s="4" t="str">
        <f>Summary!C430</f>
        <v>Venting</v>
      </c>
      <c r="D428" s="29">
        <f>Summary!D430</f>
        <v>106.2441155946626</v>
      </c>
      <c r="E428" s="4" t="str">
        <f>Summary!E430</f>
        <v>MMcfd</v>
      </c>
    </row>
    <row r="429" spans="1:5" ht="15" customHeight="1" x14ac:dyDescent="0.2">
      <c r="A429" s="28">
        <f>Summary!A431</f>
        <v>2030</v>
      </c>
      <c r="B429" s="4" t="str">
        <f>Summary!B431</f>
        <v>Unconditional</v>
      </c>
      <c r="C429" s="4" t="str">
        <f>Summary!C431</f>
        <v>Venting</v>
      </c>
      <c r="D429" s="29">
        <f>Summary!D431</f>
        <v>110.43233095104962</v>
      </c>
      <c r="E429" s="4" t="str">
        <f>Summary!E431</f>
        <v>MMcfd</v>
      </c>
    </row>
    <row r="430" spans="1:5" ht="15" customHeight="1" x14ac:dyDescent="0.2">
      <c r="A430" s="28">
        <f>Summary!A432</f>
        <v>2031</v>
      </c>
      <c r="B430" s="4" t="str">
        <f>Summary!B432</f>
        <v>Unconditional</v>
      </c>
      <c r="C430" s="4" t="str">
        <f>Summary!C432</f>
        <v>Venting</v>
      </c>
      <c r="D430" s="29">
        <f>Summary!D432</f>
        <v>113.95385282435676</v>
      </c>
      <c r="E430" s="4" t="str">
        <f>Summary!E432</f>
        <v>MMcfd</v>
      </c>
    </row>
    <row r="431" spans="1:5" ht="15" customHeight="1" x14ac:dyDescent="0.2">
      <c r="A431" s="28">
        <f>Summary!A433</f>
        <v>2032</v>
      </c>
      <c r="B431" s="4" t="str">
        <f>Summary!B433</f>
        <v>Unconditional</v>
      </c>
      <c r="C431" s="4" t="str">
        <f>Summary!C433</f>
        <v>Venting</v>
      </c>
      <c r="D431" s="29">
        <f>Summary!D433</f>
        <v>116.81264474123796</v>
      </c>
      <c r="E431" s="4" t="str">
        <f>Summary!E433</f>
        <v>MMcfd</v>
      </c>
    </row>
    <row r="432" spans="1:5" ht="15" customHeight="1" x14ac:dyDescent="0.2">
      <c r="A432" s="28">
        <f>Summary!A434</f>
        <v>2033</v>
      </c>
      <c r="B432" s="4" t="str">
        <f>Summary!B434</f>
        <v>Unconditional</v>
      </c>
      <c r="C432" s="4" t="str">
        <f>Summary!C434</f>
        <v>Venting</v>
      </c>
      <c r="D432" s="29">
        <f>Summary!D434</f>
        <v>119.06450404271546</v>
      </c>
      <c r="E432" s="4" t="str">
        <f>Summary!E434</f>
        <v>MMcfd</v>
      </c>
    </row>
    <row r="433" spans="1:5" ht="15" customHeight="1" x14ac:dyDescent="0.2">
      <c r="A433" s="28">
        <f>Summary!A435</f>
        <v>2034</v>
      </c>
      <c r="B433" s="4" t="str">
        <f>Summary!B435</f>
        <v>Unconditional</v>
      </c>
      <c r="C433" s="4" t="str">
        <f>Summary!C435</f>
        <v>Venting</v>
      </c>
      <c r="D433" s="29">
        <f>Summary!D435</f>
        <v>120.79023587384644</v>
      </c>
      <c r="E433" s="4" t="str">
        <f>Summary!E435</f>
        <v>MMcfd</v>
      </c>
    </row>
    <row r="434" spans="1:5" ht="15" customHeight="1" x14ac:dyDescent="0.2">
      <c r="A434" s="28">
        <f>Summary!A436</f>
        <v>2035</v>
      </c>
      <c r="B434" s="4" t="str">
        <f>Summary!B436</f>
        <v>Unconditional</v>
      </c>
      <c r="C434" s="4" t="str">
        <f>Summary!C436</f>
        <v>Venting</v>
      </c>
      <c r="D434" s="29">
        <f>Summary!D436</f>
        <v>122.07684233706971</v>
      </c>
      <c r="E434" s="4" t="str">
        <f>Summary!E436</f>
        <v>MMcfd</v>
      </c>
    </row>
    <row r="435" spans="1:5" ht="15" customHeight="1" x14ac:dyDescent="0.2">
      <c r="A435" s="28">
        <f>Summary!A437</f>
        <v>2036</v>
      </c>
      <c r="B435" s="4" t="str">
        <f>Summary!B437</f>
        <v>Unconditional</v>
      </c>
      <c r="C435" s="4" t="str">
        <f>Summary!C437</f>
        <v>Venting</v>
      </c>
      <c r="D435" s="29">
        <f>Summary!D437</f>
        <v>123.00534111524553</v>
      </c>
      <c r="E435" s="4" t="str">
        <f>Summary!E437</f>
        <v>MMcfd</v>
      </c>
    </row>
    <row r="436" spans="1:5" ht="15" customHeight="1" x14ac:dyDescent="0.2">
      <c r="A436" s="28">
        <f>Summary!A438</f>
        <v>2037</v>
      </c>
      <c r="B436" s="4" t="str">
        <f>Summary!B438</f>
        <v>Unconditional</v>
      </c>
      <c r="C436" s="4" t="str">
        <f>Summary!C438</f>
        <v>Venting</v>
      </c>
      <c r="D436" s="29">
        <f>Summary!D438</f>
        <v>123.64371926488819</v>
      </c>
      <c r="E436" s="4" t="str">
        <f>Summary!E438</f>
        <v>MMcfd</v>
      </c>
    </row>
    <row r="437" spans="1:5" ht="15" customHeight="1" x14ac:dyDescent="0.2">
      <c r="A437" s="28">
        <f>Summary!A439</f>
        <v>2038</v>
      </c>
      <c r="B437" s="4" t="str">
        <f>Summary!B439</f>
        <v>Unconditional</v>
      </c>
      <c r="C437" s="4" t="str">
        <f>Summary!C439</f>
        <v>Venting</v>
      </c>
      <c r="D437" s="29">
        <f>Summary!D439</f>
        <v>124.04443329721501</v>
      </c>
      <c r="E437" s="4" t="str">
        <f>Summary!E439</f>
        <v>MMcfd</v>
      </c>
    </row>
    <row r="438" spans="1:5" ht="15" customHeight="1" x14ac:dyDescent="0.2">
      <c r="A438" s="28">
        <f>Summary!A440</f>
        <v>2039</v>
      </c>
      <c r="B438" s="4" t="str">
        <f>Summary!B440</f>
        <v>Unconditional</v>
      </c>
      <c r="C438" s="4" t="str">
        <f>Summary!C440</f>
        <v>Venting</v>
      </c>
      <c r="D438" s="29">
        <f>Summary!D440</f>
        <v>124.24520526392841</v>
      </c>
      <c r="E438" s="4" t="str">
        <f>Summary!E440</f>
        <v>MMcfd</v>
      </c>
    </row>
    <row r="439" spans="1:5" ht="15" customHeight="1" x14ac:dyDescent="0.2">
      <c r="A439" s="28">
        <f>Summary!A441</f>
        <v>2040</v>
      </c>
      <c r="B439" s="4" t="str">
        <f>Summary!B441</f>
        <v>Unconditional</v>
      </c>
      <c r="C439" s="4" t="str">
        <f>Summary!C441</f>
        <v>Venting</v>
      </c>
      <c r="D439" s="29">
        <f>Summary!D441</f>
        <v>124.2714246439469</v>
      </c>
      <c r="E439" s="4" t="str">
        <f>Summary!E441</f>
        <v>MMcfd</v>
      </c>
    </row>
    <row r="440" spans="1:5" ht="15" customHeight="1" x14ac:dyDescent="0.2">
      <c r="A440" s="28">
        <f>Summary!A442</f>
        <v>2041</v>
      </c>
      <c r="B440" s="4" t="str">
        <f>Summary!B442</f>
        <v>Unconditional</v>
      </c>
      <c r="C440" s="4" t="str">
        <f>Summary!C442</f>
        <v>Venting</v>
      </c>
      <c r="D440" s="29">
        <f>Summary!D442</f>
        <v>124.13947290952601</v>
      </c>
      <c r="E440" s="4" t="str">
        <f>Summary!E442</f>
        <v>MMcfd</v>
      </c>
    </row>
    <row r="441" spans="1:5" ht="15" customHeight="1" x14ac:dyDescent="0.2">
      <c r="A441" s="28">
        <f>Summary!A443</f>
        <v>2042</v>
      </c>
      <c r="B441" s="4" t="str">
        <f>Summary!B443</f>
        <v>Unconditional</v>
      </c>
      <c r="C441" s="4" t="str">
        <f>Summary!C443</f>
        <v>Venting</v>
      </c>
      <c r="D441" s="29">
        <f>Summary!D443</f>
        <v>123.86048984506786</v>
      </c>
      <c r="E441" s="4" t="str">
        <f>Summary!E443</f>
        <v>MMcfd</v>
      </c>
    </row>
    <row r="442" spans="1:5" ht="15" customHeight="1" x14ac:dyDescent="0.2">
      <c r="A442" s="28">
        <f>Summary!A444</f>
        <v>2043</v>
      </c>
      <c r="B442" s="4" t="str">
        <f>Summary!B444</f>
        <v>Unconditional</v>
      </c>
      <c r="C442" s="4" t="str">
        <f>Summary!C444</f>
        <v>Venting</v>
      </c>
      <c r="D442" s="29">
        <f>Summary!D444</f>
        <v>123.44300560358522</v>
      </c>
      <c r="E442" s="4" t="str">
        <f>Summary!E444</f>
        <v>MMcfd</v>
      </c>
    </row>
    <row r="443" spans="1:5" ht="15" customHeight="1" x14ac:dyDescent="0.2">
      <c r="A443" s="28">
        <f>Summary!A445</f>
        <v>2044</v>
      </c>
      <c r="B443" s="4" t="str">
        <f>Summary!B445</f>
        <v>Unconditional</v>
      </c>
      <c r="C443" s="4" t="str">
        <f>Summary!C445</f>
        <v>Venting</v>
      </c>
      <c r="D443" s="29">
        <f>Summary!D445</f>
        <v>122.89542957844905</v>
      </c>
      <c r="E443" s="4" t="str">
        <f>Summary!E445</f>
        <v>MMcfd</v>
      </c>
    </row>
    <row r="444" spans="1:5" ht="15" customHeight="1" x14ac:dyDescent="0.2">
      <c r="A444" s="28">
        <f>Summary!A446</f>
        <v>2045</v>
      </c>
      <c r="B444" s="4" t="str">
        <f>Summary!B446</f>
        <v>Unconditional</v>
      </c>
      <c r="C444" s="4" t="str">
        <f>Summary!C446</f>
        <v>Venting</v>
      </c>
      <c r="D444" s="29">
        <f>Summary!D446</f>
        <v>122.22819064436676</v>
      </c>
      <c r="E444" s="4" t="str">
        <f>Summary!E446</f>
        <v>MMcfd</v>
      </c>
    </row>
    <row r="445" spans="1:5" ht="15" customHeight="1" x14ac:dyDescent="0.2">
      <c r="A445" s="28">
        <f>Summary!A447</f>
        <v>2046</v>
      </c>
      <c r="B445" s="4" t="str">
        <f>Summary!B447</f>
        <v>Unconditional</v>
      </c>
      <c r="C445" s="4" t="str">
        <f>Summary!C447</f>
        <v>Venting</v>
      </c>
      <c r="D445" s="29">
        <f>Summary!D447</f>
        <v>121.4553240233431</v>
      </c>
      <c r="E445" s="4" t="str">
        <f>Summary!E447</f>
        <v>MMcfd</v>
      </c>
    </row>
    <row r="446" spans="1:5" ht="15" customHeight="1" x14ac:dyDescent="0.2">
      <c r="A446" s="28">
        <f>Summary!A448</f>
        <v>2047</v>
      </c>
      <c r="B446" s="4" t="str">
        <f>Summary!B448</f>
        <v>Unconditional</v>
      </c>
      <c r="C446" s="4" t="str">
        <f>Summary!C448</f>
        <v>Venting</v>
      </c>
      <c r="D446" s="29">
        <f>Summary!D448</f>
        <v>120.59526564602197</v>
      </c>
      <c r="E446" s="4" t="str">
        <f>Summary!E448</f>
        <v>MMcfd</v>
      </c>
    </row>
    <row r="447" spans="1:5" ht="15" customHeight="1" x14ac:dyDescent="0.2">
      <c r="A447" s="28">
        <f>Summary!A449</f>
        <v>2048</v>
      </c>
      <c r="B447" s="4" t="str">
        <f>Summary!B449</f>
        <v>Unconditional</v>
      </c>
      <c r="C447" s="4" t="str">
        <f>Summary!C449</f>
        <v>Venting</v>
      </c>
      <c r="D447" s="29">
        <f>Summary!D449</f>
        <v>119.67055477748956</v>
      </c>
      <c r="E447" s="4" t="str">
        <f>Summary!E449</f>
        <v>MMcfd</v>
      </c>
    </row>
    <row r="448" spans="1:5" ht="15" customHeight="1" x14ac:dyDescent="0.2">
      <c r="A448" s="28">
        <f>Summary!A450</f>
        <v>2049</v>
      </c>
      <c r="B448" s="4" t="str">
        <f>Summary!B450</f>
        <v>Unconditional</v>
      </c>
      <c r="C448" s="4" t="str">
        <f>Summary!C450</f>
        <v>Venting</v>
      </c>
      <c r="D448" s="29">
        <f>Summary!D450</f>
        <v>118.70607329718148</v>
      </c>
      <c r="E448" s="4" t="str">
        <f>Summary!E450</f>
        <v>MMcfd</v>
      </c>
    </row>
    <row r="449" spans="1:5" ht="15" customHeight="1" x14ac:dyDescent="0.2">
      <c r="A449" s="28">
        <f>Summary!A451</f>
        <v>2050</v>
      </c>
      <c r="B449" s="4" t="str">
        <f>Summary!B451</f>
        <v>Unconditional</v>
      </c>
      <c r="C449" s="4" t="str">
        <f>Summary!C451</f>
        <v>Venting</v>
      </c>
      <c r="D449" s="29">
        <f>Summary!D451</f>
        <v>117.72538388898553</v>
      </c>
      <c r="E449" s="4" t="str">
        <f>Summary!E451</f>
        <v>MMcfd</v>
      </c>
    </row>
    <row r="450" spans="1:5" ht="15" customHeight="1" x14ac:dyDescent="0.2">
      <c r="A450" s="28">
        <f>Summary!A452</f>
        <v>2023</v>
      </c>
      <c r="B450" s="4" t="str">
        <f>Summary!B452</f>
        <v>Unconditional</v>
      </c>
      <c r="C450" s="4" t="str">
        <f>Summary!C452</f>
        <v>Flaring</v>
      </c>
      <c r="D450" s="29">
        <f>Summary!D452</f>
        <v>604.98782444231131</v>
      </c>
      <c r="E450" s="4" t="str">
        <f>Summary!E452</f>
        <v>MMcfd</v>
      </c>
    </row>
    <row r="451" spans="1:5" ht="15" customHeight="1" x14ac:dyDescent="0.2">
      <c r="A451" s="28">
        <f>Summary!A453</f>
        <v>2024</v>
      </c>
      <c r="B451" s="4" t="str">
        <f>Summary!B453</f>
        <v>Unconditional</v>
      </c>
      <c r="C451" s="4" t="str">
        <f>Summary!C453</f>
        <v>Flaring</v>
      </c>
      <c r="D451" s="29">
        <f>Summary!D453</f>
        <v>607.96568067079795</v>
      </c>
      <c r="E451" s="4" t="str">
        <f>Summary!E453</f>
        <v>MMcfd</v>
      </c>
    </row>
    <row r="452" spans="1:5" ht="15" customHeight="1" x14ac:dyDescent="0.2">
      <c r="A452" s="28">
        <f>Summary!A454</f>
        <v>2025</v>
      </c>
      <c r="B452" s="4" t="str">
        <f>Summary!B454</f>
        <v>Unconditional</v>
      </c>
      <c r="C452" s="4" t="str">
        <f>Summary!C454</f>
        <v>Flaring</v>
      </c>
      <c r="D452" s="29">
        <f>Summary!D454</f>
        <v>598.44389830027956</v>
      </c>
      <c r="E452" s="4" t="str">
        <f>Summary!E454</f>
        <v>MMcfd</v>
      </c>
    </row>
    <row r="453" spans="1:5" ht="15" customHeight="1" x14ac:dyDescent="0.2">
      <c r="A453" s="28">
        <f>Summary!A455</f>
        <v>2026</v>
      </c>
      <c r="B453" s="4" t="str">
        <f>Summary!B455</f>
        <v>Unconditional</v>
      </c>
      <c r="C453" s="4" t="str">
        <f>Summary!C455</f>
        <v>Flaring</v>
      </c>
      <c r="D453" s="29">
        <f>Summary!D455</f>
        <v>695.40572074946454</v>
      </c>
      <c r="E453" s="4" t="str">
        <f>Summary!E455</f>
        <v>MMcfd</v>
      </c>
    </row>
    <row r="454" spans="1:5" ht="15" customHeight="1" x14ac:dyDescent="0.2">
      <c r="A454" s="28">
        <f>Summary!A456</f>
        <v>2027</v>
      </c>
      <c r="B454" s="4" t="str">
        <f>Summary!B456</f>
        <v>Unconditional</v>
      </c>
      <c r="C454" s="4" t="str">
        <f>Summary!C456</f>
        <v>Flaring</v>
      </c>
      <c r="D454" s="29">
        <f>Summary!D456</f>
        <v>711.03076025472785</v>
      </c>
      <c r="E454" s="4" t="str">
        <f>Summary!E456</f>
        <v>MMcfd</v>
      </c>
    </row>
    <row r="455" spans="1:5" ht="15" customHeight="1" x14ac:dyDescent="0.2">
      <c r="A455" s="28">
        <f>Summary!A457</f>
        <v>2028</v>
      </c>
      <c r="B455" s="4" t="str">
        <f>Summary!B457</f>
        <v>Unconditional</v>
      </c>
      <c r="C455" s="4" t="str">
        <f>Summary!C457</f>
        <v>Flaring</v>
      </c>
      <c r="D455" s="29">
        <f>Summary!D457</f>
        <v>694.41061199439582</v>
      </c>
      <c r="E455" s="4" t="str">
        <f>Summary!E457</f>
        <v>MMcfd</v>
      </c>
    </row>
    <row r="456" spans="1:5" ht="15" customHeight="1" x14ac:dyDescent="0.2">
      <c r="A456" s="28">
        <f>Summary!A458</f>
        <v>2029</v>
      </c>
      <c r="B456" s="4" t="str">
        <f>Summary!B458</f>
        <v>Unconditional</v>
      </c>
      <c r="C456" s="4" t="str">
        <f>Summary!C458</f>
        <v>Flaring</v>
      </c>
      <c r="D456" s="29">
        <f>Summary!D458</f>
        <v>674.75242747397851</v>
      </c>
      <c r="E456" s="4" t="str">
        <f>Summary!E458</f>
        <v>MMcfd</v>
      </c>
    </row>
    <row r="457" spans="1:5" ht="15" customHeight="1" x14ac:dyDescent="0.2">
      <c r="A457" s="28">
        <f>Summary!A459</f>
        <v>2030</v>
      </c>
      <c r="B457" s="4" t="str">
        <f>Summary!B459</f>
        <v>Unconditional</v>
      </c>
      <c r="C457" s="4" t="str">
        <f>Summary!C459</f>
        <v>Flaring</v>
      </c>
      <c r="D457" s="29">
        <f>Summary!D459</f>
        <v>651.7907977586126</v>
      </c>
      <c r="E457" s="4" t="str">
        <f>Summary!E459</f>
        <v>MMcfd</v>
      </c>
    </row>
    <row r="458" spans="1:5" ht="15" customHeight="1" x14ac:dyDescent="0.2">
      <c r="A458" s="28">
        <f>Summary!A460</f>
        <v>2031</v>
      </c>
      <c r="B458" s="4" t="str">
        <f>Summary!B460</f>
        <v>Unconditional</v>
      </c>
      <c r="C458" s="4" t="str">
        <f>Summary!C460</f>
        <v>Flaring</v>
      </c>
      <c r="D458" s="29">
        <f>Summary!D460</f>
        <v>615.14925057070502</v>
      </c>
      <c r="E458" s="4" t="str">
        <f>Summary!E460</f>
        <v>MMcfd</v>
      </c>
    </row>
    <row r="459" spans="1:5" ht="15" customHeight="1" x14ac:dyDescent="0.2">
      <c r="A459" s="28">
        <f>Summary!A461</f>
        <v>2032</v>
      </c>
      <c r="B459" s="4" t="str">
        <f>Summary!B461</f>
        <v>Unconditional</v>
      </c>
      <c r="C459" s="4" t="str">
        <f>Summary!C461</f>
        <v>Flaring</v>
      </c>
      <c r="D459" s="29">
        <f>Summary!D461</f>
        <v>578.46436375358519</v>
      </c>
      <c r="E459" s="4" t="str">
        <f>Summary!E461</f>
        <v>MMcfd</v>
      </c>
    </row>
    <row r="460" spans="1:5" ht="15" customHeight="1" x14ac:dyDescent="0.2">
      <c r="A460" s="28">
        <f>Summary!A462</f>
        <v>2033</v>
      </c>
      <c r="B460" s="4" t="str">
        <f>Summary!B462</f>
        <v>Unconditional</v>
      </c>
      <c r="C460" s="4" t="str">
        <f>Summary!C462</f>
        <v>Flaring</v>
      </c>
      <c r="D460" s="29">
        <f>Summary!D462</f>
        <v>541.84337554929357</v>
      </c>
      <c r="E460" s="4" t="str">
        <f>Summary!E462</f>
        <v>MMcfd</v>
      </c>
    </row>
    <row r="461" spans="1:5" ht="15" customHeight="1" x14ac:dyDescent="0.2">
      <c r="A461" s="28">
        <f>Summary!A463</f>
        <v>2034</v>
      </c>
      <c r="B461" s="4" t="str">
        <f>Summary!B463</f>
        <v>Unconditional</v>
      </c>
      <c r="C461" s="4" t="str">
        <f>Summary!C463</f>
        <v>Flaring</v>
      </c>
      <c r="D461" s="29">
        <f>Summary!D463</f>
        <v>505.38191049102119</v>
      </c>
      <c r="E461" s="4" t="str">
        <f>Summary!E463</f>
        <v>MMcfd</v>
      </c>
    </row>
    <row r="462" spans="1:5" ht="15" customHeight="1" x14ac:dyDescent="0.2">
      <c r="A462" s="28">
        <f>Summary!A464</f>
        <v>2035</v>
      </c>
      <c r="B462" s="4" t="str">
        <f>Summary!B464</f>
        <v>Unconditional</v>
      </c>
      <c r="C462" s="4" t="str">
        <f>Summary!C464</f>
        <v>Flaring</v>
      </c>
      <c r="D462" s="29">
        <f>Summary!D464</f>
        <v>469.16653047237946</v>
      </c>
      <c r="E462" s="4" t="str">
        <f>Summary!E464</f>
        <v>MMcfd</v>
      </c>
    </row>
    <row r="463" spans="1:5" ht="15" customHeight="1" x14ac:dyDescent="0.2">
      <c r="A463" s="28">
        <f>Summary!A465</f>
        <v>2036</v>
      </c>
      <c r="B463" s="4" t="str">
        <f>Summary!B465</f>
        <v>Unconditional</v>
      </c>
      <c r="C463" s="4" t="str">
        <f>Summary!C465</f>
        <v>Flaring</v>
      </c>
      <c r="D463" s="29">
        <f>Summary!D465</f>
        <v>433.43103949198087</v>
      </c>
      <c r="E463" s="4" t="str">
        <f>Summary!E465</f>
        <v>MMcfd</v>
      </c>
    </row>
    <row r="464" spans="1:5" ht="15" customHeight="1" x14ac:dyDescent="0.2">
      <c r="A464" s="28">
        <f>Summary!A466</f>
        <v>2037</v>
      </c>
      <c r="B464" s="4" t="str">
        <f>Summary!B466</f>
        <v>Unconditional</v>
      </c>
      <c r="C464" s="4" t="str">
        <f>Summary!C466</f>
        <v>Flaring</v>
      </c>
      <c r="D464" s="29">
        <f>Summary!D466</f>
        <v>398.19732340390459</v>
      </c>
      <c r="E464" s="4" t="str">
        <f>Summary!E466</f>
        <v>MMcfd</v>
      </c>
    </row>
    <row r="465" spans="1:5" ht="15" customHeight="1" x14ac:dyDescent="0.2">
      <c r="A465" s="28">
        <f>Summary!A467</f>
        <v>2038</v>
      </c>
      <c r="B465" s="4" t="str">
        <f>Summary!B467</f>
        <v>Unconditional</v>
      </c>
      <c r="C465" s="4" t="str">
        <f>Summary!C467</f>
        <v>Flaring</v>
      </c>
      <c r="D465" s="29">
        <f>Summary!D467</f>
        <v>363.38044281908458</v>
      </c>
      <c r="E465" s="4" t="str">
        <f>Summary!E467</f>
        <v>MMcfd</v>
      </c>
    </row>
    <row r="466" spans="1:5" ht="15" customHeight="1" x14ac:dyDescent="0.2">
      <c r="A466" s="28">
        <f>Summary!A468</f>
        <v>2039</v>
      </c>
      <c r="B466" s="4" t="str">
        <f>Summary!B468</f>
        <v>Unconditional</v>
      </c>
      <c r="C466" s="4" t="str">
        <f>Summary!C468</f>
        <v>Flaring</v>
      </c>
      <c r="D466" s="29">
        <f>Summary!D468</f>
        <v>329.05040422195492</v>
      </c>
      <c r="E466" s="4" t="str">
        <f>Summary!E468</f>
        <v>MMcfd</v>
      </c>
    </row>
    <row r="467" spans="1:5" ht="15" customHeight="1" x14ac:dyDescent="0.2">
      <c r="A467" s="28">
        <f>Summary!A469</f>
        <v>2040</v>
      </c>
      <c r="B467" s="4" t="str">
        <f>Summary!B469</f>
        <v>Unconditional</v>
      </c>
      <c r="C467" s="4" t="str">
        <f>Summary!C469</f>
        <v>Flaring</v>
      </c>
      <c r="D467" s="29">
        <f>Summary!D469</f>
        <v>295.27391161439323</v>
      </c>
      <c r="E467" s="4" t="str">
        <f>Summary!E469</f>
        <v>MMcfd</v>
      </c>
    </row>
    <row r="468" spans="1:5" ht="15" customHeight="1" x14ac:dyDescent="0.2">
      <c r="A468" s="28">
        <f>Summary!A470</f>
        <v>2041</v>
      </c>
      <c r="B468" s="4" t="str">
        <f>Summary!B470</f>
        <v>Unconditional</v>
      </c>
      <c r="C468" s="4" t="str">
        <f>Summary!C470</f>
        <v>Flaring</v>
      </c>
      <c r="D468" s="29">
        <f>Summary!D470</f>
        <v>261.84283817097531</v>
      </c>
      <c r="E468" s="4" t="str">
        <f>Summary!E470</f>
        <v>MMcfd</v>
      </c>
    </row>
    <row r="469" spans="1:5" ht="15" customHeight="1" x14ac:dyDescent="0.2">
      <c r="A469" s="28">
        <f>Summary!A471</f>
        <v>2042</v>
      </c>
      <c r="B469" s="4" t="str">
        <f>Summary!B471</f>
        <v>Unconditional</v>
      </c>
      <c r="C469" s="4" t="str">
        <f>Summary!C471</f>
        <v>Flaring</v>
      </c>
      <c r="D469" s="29">
        <f>Summary!D471</f>
        <v>229.15926824637737</v>
      </c>
      <c r="E469" s="4" t="str">
        <f>Summary!E471</f>
        <v>MMcfd</v>
      </c>
    </row>
    <row r="470" spans="1:5" ht="15" customHeight="1" x14ac:dyDescent="0.2">
      <c r="A470" s="28">
        <f>Summary!A472</f>
        <v>2043</v>
      </c>
      <c r="B470" s="4" t="str">
        <f>Summary!B472</f>
        <v>Unconditional</v>
      </c>
      <c r="C470" s="4" t="str">
        <f>Summary!C472</f>
        <v>Flaring</v>
      </c>
      <c r="D470" s="29">
        <f>Summary!D472</f>
        <v>197.28083617981144</v>
      </c>
      <c r="E470" s="4" t="str">
        <f>Summary!E472</f>
        <v>MMcfd</v>
      </c>
    </row>
    <row r="471" spans="1:5" ht="15" customHeight="1" x14ac:dyDescent="0.2">
      <c r="A471" s="28">
        <f>Summary!A473</f>
        <v>2044</v>
      </c>
      <c r="B471" s="4" t="str">
        <f>Summary!B473</f>
        <v>Unconditional</v>
      </c>
      <c r="C471" s="4" t="str">
        <f>Summary!C473</f>
        <v>Flaring</v>
      </c>
      <c r="D471" s="29">
        <f>Summary!D473</f>
        <v>166.26398976291296</v>
      </c>
      <c r="E471" s="4" t="str">
        <f>Summary!E473</f>
        <v>MMcfd</v>
      </c>
    </row>
    <row r="472" spans="1:5" ht="15" customHeight="1" x14ac:dyDescent="0.2">
      <c r="A472" s="28">
        <f>Summary!A474</f>
        <v>2045</v>
      </c>
      <c r="B472" s="4" t="str">
        <f>Summary!B474</f>
        <v>Unconditional</v>
      </c>
      <c r="C472" s="4" t="str">
        <f>Summary!C474</f>
        <v>Flaring</v>
      </c>
      <c r="D472" s="29">
        <f>Summary!D474</f>
        <v>136.16422039555607</v>
      </c>
      <c r="E472" s="4" t="str">
        <f>Summary!E474</f>
        <v>MMcfd</v>
      </c>
    </row>
    <row r="473" spans="1:5" ht="15" customHeight="1" x14ac:dyDescent="0.2">
      <c r="A473" s="28">
        <f>Summary!A475</f>
        <v>2046</v>
      </c>
      <c r="B473" s="4" t="str">
        <f>Summary!B475</f>
        <v>Unconditional</v>
      </c>
      <c r="C473" s="4" t="str">
        <f>Summary!C475</f>
        <v>Flaring</v>
      </c>
      <c r="D473" s="29">
        <f>Summary!D475</f>
        <v>107.03620490925337</v>
      </c>
      <c r="E473" s="4" t="str">
        <f>Summary!E475</f>
        <v>MMcfd</v>
      </c>
    </row>
    <row r="474" spans="1:5" ht="15" customHeight="1" x14ac:dyDescent="0.2">
      <c r="A474" s="28">
        <f>Summary!A476</f>
        <v>2047</v>
      </c>
      <c r="B474" s="4" t="str">
        <f>Summary!B476</f>
        <v>Unconditional</v>
      </c>
      <c r="C474" s="4" t="str">
        <f>Summary!C476</f>
        <v>Flaring</v>
      </c>
      <c r="D474" s="29">
        <f>Summary!D476</f>
        <v>78.933851503816996</v>
      </c>
      <c r="E474" s="4" t="str">
        <f>Summary!E476</f>
        <v>MMcfd</v>
      </c>
    </row>
    <row r="475" spans="1:5" ht="15" customHeight="1" x14ac:dyDescent="0.2">
      <c r="A475" s="28">
        <f>Summary!A477</f>
        <v>2048</v>
      </c>
      <c r="B475" s="4" t="str">
        <f>Summary!B477</f>
        <v>Unconditional</v>
      </c>
      <c r="C475" s="4" t="str">
        <f>Summary!C477</f>
        <v>Flaring</v>
      </c>
      <c r="D475" s="29">
        <f>Summary!D477</f>
        <v>51.91023035398468</v>
      </c>
      <c r="E475" s="4" t="str">
        <f>Summary!E477</f>
        <v>MMcfd</v>
      </c>
    </row>
    <row r="476" spans="1:5" ht="15" customHeight="1" x14ac:dyDescent="0.2">
      <c r="A476" s="28">
        <f>Summary!A478</f>
        <v>2049</v>
      </c>
      <c r="B476" s="4" t="str">
        <f>Summary!B478</f>
        <v>Unconditional</v>
      </c>
      <c r="C476" s="4" t="str">
        <f>Summary!C478</f>
        <v>Flaring</v>
      </c>
      <c r="D476" s="29">
        <f>Summary!D478</f>
        <v>26.017355734894053</v>
      </c>
      <c r="E476" s="4" t="str">
        <f>Summary!E478</f>
        <v>MMcfd</v>
      </c>
    </row>
    <row r="477" spans="1:5" ht="15" customHeight="1" x14ac:dyDescent="0.2">
      <c r="A477" s="28">
        <f>Summary!A479</f>
        <v>2050</v>
      </c>
      <c r="B477" s="4" t="str">
        <f>Summary!B479</f>
        <v>Unconditional</v>
      </c>
      <c r="C477" s="4" t="str">
        <f>Summary!C479</f>
        <v>Flaring</v>
      </c>
      <c r="D477" s="29">
        <f>Summary!D479</f>
        <v>1.3057521363553342</v>
      </c>
      <c r="E477" s="4" t="str">
        <f>Summary!E479</f>
        <v>MMcfd</v>
      </c>
    </row>
    <row r="478" spans="1:5" ht="15" customHeight="1" x14ac:dyDescent="0.2">
      <c r="A478" s="28">
        <f>Summary!A480</f>
        <v>2023</v>
      </c>
      <c r="B478" s="4" t="str">
        <f>Summary!B480</f>
        <v>Unconditional</v>
      </c>
      <c r="C478" s="4" t="str">
        <f>Summary!C480</f>
        <v>Gas Recovery</v>
      </c>
      <c r="D478" s="29">
        <f>Summary!D480</f>
        <v>0</v>
      </c>
      <c r="E478" s="4" t="str">
        <f>Summary!E480</f>
        <v>MMcfd</v>
      </c>
    </row>
    <row r="479" spans="1:5" ht="15" customHeight="1" x14ac:dyDescent="0.2">
      <c r="A479" s="28">
        <f>Summary!A481</f>
        <v>2024</v>
      </c>
      <c r="B479" s="4" t="str">
        <f>Summary!B481</f>
        <v>Unconditional</v>
      </c>
      <c r="C479" s="4" t="str">
        <f>Summary!C481</f>
        <v>Gas Recovery</v>
      </c>
      <c r="D479" s="29">
        <f>Summary!D481</f>
        <v>29.8465453511078</v>
      </c>
      <c r="E479" s="4" t="str">
        <f>Summary!E481</f>
        <v>MMcfd</v>
      </c>
    </row>
    <row r="480" spans="1:5" ht="15" customHeight="1" x14ac:dyDescent="0.2">
      <c r="A480" s="28">
        <f>Summary!A482</f>
        <v>2025</v>
      </c>
      <c r="B480" s="4" t="str">
        <f>Summary!B482</f>
        <v>Unconditional</v>
      </c>
      <c r="C480" s="4" t="str">
        <f>Summary!C482</f>
        <v>Gas Recovery</v>
      </c>
      <c r="D480" s="29">
        <f>Summary!D482</f>
        <v>59.891193628783192</v>
      </c>
      <c r="E480" s="4" t="str">
        <f>Summary!E482</f>
        <v>MMcfd</v>
      </c>
    </row>
    <row r="481" spans="1:5" ht="15" customHeight="1" x14ac:dyDescent="0.2">
      <c r="A481" s="28">
        <f>Summary!A483</f>
        <v>2026</v>
      </c>
      <c r="B481" s="4" t="str">
        <f>Summary!B483</f>
        <v>Unconditional</v>
      </c>
      <c r="C481" s="4" t="str">
        <f>Summary!C483</f>
        <v>Gas Recovery</v>
      </c>
      <c r="D481" s="29">
        <f>Summary!D483</f>
        <v>91.770351681166474</v>
      </c>
      <c r="E481" s="4" t="str">
        <f>Summary!E483</f>
        <v>MMcfd</v>
      </c>
    </row>
    <row r="482" spans="1:5" ht="15" customHeight="1" x14ac:dyDescent="0.2">
      <c r="A482" s="28">
        <f>Summary!A484</f>
        <v>2027</v>
      </c>
      <c r="B482" s="4" t="str">
        <f>Summary!B484</f>
        <v>Unconditional</v>
      </c>
      <c r="C482" s="4" t="str">
        <f>Summary!C484</f>
        <v>Gas Recovery</v>
      </c>
      <c r="D482" s="29">
        <f>Summary!D484</f>
        <v>126.48127374794689</v>
      </c>
      <c r="E482" s="4" t="str">
        <f>Summary!E484</f>
        <v>MMcfd</v>
      </c>
    </row>
    <row r="483" spans="1:5" ht="15" customHeight="1" x14ac:dyDescent="0.2">
      <c r="A483" s="28">
        <f>Summary!A485</f>
        <v>2028</v>
      </c>
      <c r="B483" s="4" t="str">
        <f>Summary!B485</f>
        <v>Unconditional</v>
      </c>
      <c r="C483" s="4" t="str">
        <f>Summary!C485</f>
        <v>Gas Recovery</v>
      </c>
      <c r="D483" s="29">
        <f>Summary!D485</f>
        <v>164.28609460710317</v>
      </c>
      <c r="E483" s="4" t="str">
        <f>Summary!E485</f>
        <v>MMcfd</v>
      </c>
    </row>
    <row r="484" spans="1:5" ht="15" customHeight="1" x14ac:dyDescent="0.2">
      <c r="A484" s="28">
        <f>Summary!A486</f>
        <v>2029</v>
      </c>
      <c r="B484" s="4" t="str">
        <f>Summary!B486</f>
        <v>Unconditional</v>
      </c>
      <c r="C484" s="4" t="str">
        <f>Summary!C486</f>
        <v>Gas Recovery</v>
      </c>
      <c r="D484" s="29">
        <f>Summary!D486</f>
        <v>204.6018109284814</v>
      </c>
      <c r="E484" s="4" t="str">
        <f>Summary!E486</f>
        <v>MMcfd</v>
      </c>
    </row>
    <row r="485" spans="1:5" ht="15" customHeight="1" x14ac:dyDescent="0.2">
      <c r="A485" s="28">
        <f>Summary!A487</f>
        <v>2030</v>
      </c>
      <c r="B485" s="4" t="str">
        <f>Summary!B487</f>
        <v>Unconditional</v>
      </c>
      <c r="C485" s="4" t="str">
        <f>Summary!C487</f>
        <v>Gas Recovery</v>
      </c>
      <c r="D485" s="29">
        <f>Summary!D487</f>
        <v>246.37781179856202</v>
      </c>
      <c r="E485" s="4" t="str">
        <f>Summary!E487</f>
        <v>MMcfd</v>
      </c>
    </row>
    <row r="486" spans="1:5" ht="15" customHeight="1" x14ac:dyDescent="0.2">
      <c r="A486" s="28">
        <f>Summary!A488</f>
        <v>2031</v>
      </c>
      <c r="B486" s="4" t="str">
        <f>Summary!B488</f>
        <v>Unconditional</v>
      </c>
      <c r="C486" s="4" t="str">
        <f>Summary!C488</f>
        <v>Gas Recovery</v>
      </c>
      <c r="D486" s="29">
        <f>Summary!D488</f>
        <v>294.74149203943199</v>
      </c>
      <c r="E486" s="4" t="str">
        <f>Summary!E488</f>
        <v>MMcfd</v>
      </c>
    </row>
    <row r="487" spans="1:5" ht="15" customHeight="1" x14ac:dyDescent="0.2">
      <c r="A487" s="28">
        <f>Summary!A489</f>
        <v>2032</v>
      </c>
      <c r="B487" s="4" t="str">
        <f>Summary!B489</f>
        <v>Unconditional</v>
      </c>
      <c r="C487" s="4" t="str">
        <f>Summary!C489</f>
        <v>Gas Recovery</v>
      </c>
      <c r="D487" s="29">
        <f>Summary!D489</f>
        <v>344.60628682155021</v>
      </c>
      <c r="E487" s="4" t="str">
        <f>Summary!E489</f>
        <v>MMcfd</v>
      </c>
    </row>
    <row r="488" spans="1:5" ht="15" customHeight="1" x14ac:dyDescent="0.2">
      <c r="A488" s="28">
        <f>Summary!A490</f>
        <v>2033</v>
      </c>
      <c r="B488" s="4" t="str">
        <f>Summary!B490</f>
        <v>Unconditional</v>
      </c>
      <c r="C488" s="4" t="str">
        <f>Summary!C490</f>
        <v>Gas Recovery</v>
      </c>
      <c r="D488" s="29">
        <f>Summary!D490</f>
        <v>395.37772166616554</v>
      </c>
      <c r="E488" s="4" t="str">
        <f>Summary!E490</f>
        <v>MMcfd</v>
      </c>
    </row>
    <row r="489" spans="1:5" ht="15" customHeight="1" x14ac:dyDescent="0.2">
      <c r="A489" s="28">
        <f>Summary!A491</f>
        <v>2034</v>
      </c>
      <c r="B489" s="4" t="str">
        <f>Summary!B491</f>
        <v>Unconditional</v>
      </c>
      <c r="C489" s="4" t="str">
        <f>Summary!C491</f>
        <v>Gas Recovery</v>
      </c>
      <c r="D489" s="29">
        <f>Summary!D491</f>
        <v>446.6862523509671</v>
      </c>
      <c r="E489" s="4" t="str">
        <f>Summary!E491</f>
        <v>MMcfd</v>
      </c>
    </row>
    <row r="490" spans="1:5" ht="15" customHeight="1" x14ac:dyDescent="0.2">
      <c r="A490" s="28">
        <f>Summary!A492</f>
        <v>2035</v>
      </c>
      <c r="B490" s="4" t="str">
        <f>Summary!B492</f>
        <v>Unconditional</v>
      </c>
      <c r="C490" s="4" t="str">
        <f>Summary!C492</f>
        <v>Gas Recovery</v>
      </c>
      <c r="D490" s="29">
        <f>Summary!D492</f>
        <v>498.36392198121399</v>
      </c>
      <c r="E490" s="4" t="str">
        <f>Summary!E492</f>
        <v>MMcfd</v>
      </c>
    </row>
    <row r="491" spans="1:5" ht="15" customHeight="1" x14ac:dyDescent="0.2">
      <c r="A491" s="28">
        <f>Summary!A493</f>
        <v>2036</v>
      </c>
      <c r="B491" s="4" t="str">
        <f>Summary!B493</f>
        <v>Unconditional</v>
      </c>
      <c r="C491" s="4" t="str">
        <f>Summary!C493</f>
        <v>Gas Recovery</v>
      </c>
      <c r="D491" s="29">
        <f>Summary!D493</f>
        <v>550.40622599652215</v>
      </c>
      <c r="E491" s="4" t="str">
        <f>Summary!E493</f>
        <v>MMcfd</v>
      </c>
    </row>
    <row r="492" spans="1:5" ht="15" customHeight="1" x14ac:dyDescent="0.2">
      <c r="A492" s="28">
        <f>Summary!A494</f>
        <v>2037</v>
      </c>
      <c r="B492" s="4" t="str">
        <f>Summary!B494</f>
        <v>Unconditional</v>
      </c>
      <c r="C492" s="4" t="str">
        <f>Summary!C494</f>
        <v>Gas Recovery</v>
      </c>
      <c r="D492" s="29">
        <f>Summary!D494</f>
        <v>602.93022355560299</v>
      </c>
      <c r="E492" s="4" t="str">
        <f>Summary!E494</f>
        <v>MMcfd</v>
      </c>
    </row>
    <row r="493" spans="1:5" ht="15" customHeight="1" x14ac:dyDescent="0.2">
      <c r="A493" s="28">
        <f>Summary!A495</f>
        <v>2038</v>
      </c>
      <c r="B493" s="4" t="str">
        <f>Summary!B495</f>
        <v>Unconditional</v>
      </c>
      <c r="C493" s="4" t="str">
        <f>Summary!C495</f>
        <v>Gas Recovery</v>
      </c>
      <c r="D493" s="29">
        <f>Summary!D495</f>
        <v>656.13560738272645</v>
      </c>
      <c r="E493" s="4" t="str">
        <f>Summary!E495</f>
        <v>MMcfd</v>
      </c>
    </row>
    <row r="494" spans="1:5" ht="15" customHeight="1" x14ac:dyDescent="0.2">
      <c r="A494" s="28">
        <f>Summary!A496</f>
        <v>2039</v>
      </c>
      <c r="B494" s="4" t="str">
        <f>Summary!B496</f>
        <v>Unconditional</v>
      </c>
      <c r="C494" s="4" t="str">
        <f>Summary!C496</f>
        <v>Gas Recovery</v>
      </c>
      <c r="D494" s="29">
        <f>Summary!D496</f>
        <v>710.26124911274633</v>
      </c>
      <c r="E494" s="4" t="str">
        <f>Summary!E496</f>
        <v>MMcfd</v>
      </c>
    </row>
    <row r="495" spans="1:5" ht="15" customHeight="1" x14ac:dyDescent="0.2">
      <c r="A495" s="28">
        <f>Summary!A497</f>
        <v>2040</v>
      </c>
      <c r="B495" s="4" t="str">
        <f>Summary!B497</f>
        <v>Unconditional</v>
      </c>
      <c r="C495" s="4" t="str">
        <f>Summary!C497</f>
        <v>Gas Recovery</v>
      </c>
      <c r="D495" s="29">
        <f>Summary!D497</f>
        <v>765.53770692775083</v>
      </c>
      <c r="E495" s="4" t="str">
        <f>Summary!E497</f>
        <v>MMcfd</v>
      </c>
    </row>
    <row r="496" spans="1:5" ht="15" customHeight="1" x14ac:dyDescent="0.2">
      <c r="A496" s="28">
        <f>Summary!A498</f>
        <v>2041</v>
      </c>
      <c r="B496" s="4" t="str">
        <f>Summary!B498</f>
        <v>Unconditional</v>
      </c>
      <c r="C496" s="4" t="str">
        <f>Summary!C498</f>
        <v>Gas Recovery</v>
      </c>
      <c r="D496" s="29">
        <f>Summary!D498</f>
        <v>822.14599250938204</v>
      </c>
      <c r="E496" s="4" t="str">
        <f>Summary!E498</f>
        <v>MMcfd</v>
      </c>
    </row>
    <row r="497" spans="1:5" ht="15" customHeight="1" x14ac:dyDescent="0.2">
      <c r="A497" s="28">
        <f>Summary!A499</f>
        <v>2042</v>
      </c>
      <c r="B497" s="4" t="str">
        <f>Summary!B499</f>
        <v>Unconditional</v>
      </c>
      <c r="C497" s="4" t="str">
        <f>Summary!C499</f>
        <v>Gas Recovery</v>
      </c>
      <c r="D497" s="29">
        <f>Summary!D499</f>
        <v>880.18000568244418</v>
      </c>
      <c r="E497" s="4" t="str">
        <f>Summary!E499</f>
        <v>MMcfd</v>
      </c>
    </row>
    <row r="498" spans="1:5" ht="15" customHeight="1" x14ac:dyDescent="0.2">
      <c r="A498" s="28">
        <f>Summary!A500</f>
        <v>2043</v>
      </c>
      <c r="B498" s="4" t="str">
        <f>Summary!B500</f>
        <v>Unconditional</v>
      </c>
      <c r="C498" s="4" t="str">
        <f>Summary!C500</f>
        <v>Gas Recovery</v>
      </c>
      <c r="D498" s="29">
        <f>Summary!D500</f>
        <v>939.64647103586265</v>
      </c>
      <c r="E498" s="4" t="str">
        <f>Summary!E500</f>
        <v>MMcfd</v>
      </c>
    </row>
    <row r="499" spans="1:5" ht="15" customHeight="1" x14ac:dyDescent="0.2">
      <c r="A499" s="28">
        <f>Summary!A501</f>
        <v>2044</v>
      </c>
      <c r="B499" s="4" t="str">
        <f>Summary!B501</f>
        <v>Unconditional</v>
      </c>
      <c r="C499" s="4" t="str">
        <f>Summary!C501</f>
        <v>Gas Recovery</v>
      </c>
      <c r="D499" s="29">
        <f>Summary!D501</f>
        <v>1000.4771645414176</v>
      </c>
      <c r="E499" s="4" t="str">
        <f>Summary!E501</f>
        <v>MMcfd</v>
      </c>
    </row>
    <row r="500" spans="1:5" ht="15" customHeight="1" x14ac:dyDescent="0.2">
      <c r="A500" s="28">
        <f>Summary!A502</f>
        <v>2045</v>
      </c>
      <c r="B500" s="4" t="str">
        <f>Summary!B502</f>
        <v>Unconditional</v>
      </c>
      <c r="C500" s="4" t="str">
        <f>Summary!C502</f>
        <v>Gas Recovery</v>
      </c>
      <c r="D500" s="29">
        <f>Summary!D502</f>
        <v>1062.5407133887022</v>
      </c>
      <c r="E500" s="4" t="str">
        <f>Summary!E502</f>
        <v>MMcfd</v>
      </c>
    </row>
    <row r="501" spans="1:5" ht="15" customHeight="1" x14ac:dyDescent="0.2">
      <c r="A501" s="28">
        <f>Summary!A503</f>
        <v>2046</v>
      </c>
      <c r="B501" s="4" t="str">
        <f>Summary!B503</f>
        <v>Unconditional</v>
      </c>
      <c r="C501" s="4" t="str">
        <f>Summary!C503</f>
        <v>Gas Recovery</v>
      </c>
      <c r="D501" s="29">
        <f>Summary!D503</f>
        <v>1125.6543931686315</v>
      </c>
      <c r="E501" s="4" t="str">
        <f>Summary!E503</f>
        <v>MMcfd</v>
      </c>
    </row>
    <row r="502" spans="1:5" ht="15" customHeight="1" x14ac:dyDescent="0.2">
      <c r="A502" s="28">
        <f>Summary!A504</f>
        <v>2047</v>
      </c>
      <c r="B502" s="4" t="str">
        <f>Summary!B504</f>
        <v>Unconditional</v>
      </c>
      <c r="C502" s="4" t="str">
        <f>Summary!C504</f>
        <v>Gas Recovery</v>
      </c>
      <c r="D502" s="29">
        <f>Summary!D504</f>
        <v>1189.5972221848258</v>
      </c>
      <c r="E502" s="4" t="str">
        <f>Summary!E504</f>
        <v>MMcfd</v>
      </c>
    </row>
    <row r="503" spans="1:5" ht="15" customHeight="1" x14ac:dyDescent="0.2">
      <c r="A503" s="28">
        <f>Summary!A505</f>
        <v>2048</v>
      </c>
      <c r="B503" s="4" t="str">
        <f>Summary!B505</f>
        <v>Unconditional</v>
      </c>
      <c r="C503" s="4" t="str">
        <f>Summary!C505</f>
        <v>Gas Recovery</v>
      </c>
      <c r="D503" s="29">
        <f>Summary!D505</f>
        <v>1254.1264091488517</v>
      </c>
      <c r="E503" s="4" t="str">
        <f>Summary!E505</f>
        <v>MMcfd</v>
      </c>
    </row>
    <row r="504" spans="1:5" ht="15" customHeight="1" x14ac:dyDescent="0.2">
      <c r="A504" s="28">
        <f>Summary!A506</f>
        <v>2049</v>
      </c>
      <c r="B504" s="4" t="str">
        <f>Summary!B506</f>
        <v>Unconditional</v>
      </c>
      <c r="C504" s="4" t="str">
        <f>Summary!C506</f>
        <v>Gas Recovery</v>
      </c>
      <c r="D504" s="29">
        <f>Summary!D506</f>
        <v>1308.9958523255937</v>
      </c>
      <c r="E504" s="4" t="str">
        <f>Summary!E506</f>
        <v>MMcfd</v>
      </c>
    </row>
    <row r="505" spans="1:5" ht="15" customHeight="1" x14ac:dyDescent="0.2">
      <c r="A505" s="28">
        <f>Summary!A507</f>
        <v>2050</v>
      </c>
      <c r="B505" s="4" t="str">
        <f>Summary!B507</f>
        <v>Unconditional</v>
      </c>
      <c r="C505" s="4" t="str">
        <f>Summary!C507</f>
        <v>Gas Recovery</v>
      </c>
      <c r="D505" s="29">
        <f>Summary!D507</f>
        <v>1346.3157243839596</v>
      </c>
      <c r="E505" s="4" t="str">
        <f>Summary!E507</f>
        <v>MMcfd</v>
      </c>
    </row>
    <row r="506" spans="1:5" ht="15" customHeight="1" x14ac:dyDescent="0.2">
      <c r="A506" s="28">
        <f>Summary!A508</f>
        <v>2023</v>
      </c>
      <c r="B506" s="4" t="str">
        <f>Summary!B508</f>
        <v>Conditional</v>
      </c>
      <c r="C506" s="4" t="str">
        <f>Summary!C508</f>
        <v>Fugitive</v>
      </c>
      <c r="D506" s="29">
        <f>Summary!D508</f>
        <v>27.400840910279712</v>
      </c>
      <c r="E506" s="4" t="str">
        <f>Summary!E508</f>
        <v>MMcfd</v>
      </c>
    </row>
    <row r="507" spans="1:5" ht="15" customHeight="1" x14ac:dyDescent="0.2">
      <c r="A507" s="28">
        <f>Summary!A509</f>
        <v>2024</v>
      </c>
      <c r="B507" s="4" t="str">
        <f>Summary!B509</f>
        <v>Conditional</v>
      </c>
      <c r="C507" s="4" t="str">
        <f>Summary!C509</f>
        <v>Fugitive</v>
      </c>
      <c r="D507" s="29">
        <f>Summary!D509</f>
        <v>27.261209273692536</v>
      </c>
      <c r="E507" s="4" t="str">
        <f>Summary!E509</f>
        <v>MMcfd</v>
      </c>
    </row>
    <row r="508" spans="1:5" ht="15" customHeight="1" x14ac:dyDescent="0.2">
      <c r="A508" s="28">
        <f>Summary!A510</f>
        <v>2025</v>
      </c>
      <c r="B508" s="4" t="str">
        <f>Summary!B510</f>
        <v>Conditional</v>
      </c>
      <c r="C508" s="4" t="str">
        <f>Summary!C510</f>
        <v>Fugitive</v>
      </c>
      <c r="D508" s="29">
        <f>Summary!D510</f>
        <v>27.297210072811399</v>
      </c>
      <c r="E508" s="4" t="str">
        <f>Summary!E510</f>
        <v>MMcfd</v>
      </c>
    </row>
    <row r="509" spans="1:5" ht="15" customHeight="1" x14ac:dyDescent="0.2">
      <c r="A509" s="28">
        <f>Summary!A511</f>
        <v>2026</v>
      </c>
      <c r="B509" s="4" t="str">
        <f>Summary!B511</f>
        <v>Conditional</v>
      </c>
      <c r="C509" s="4" t="str">
        <f>Summary!C511</f>
        <v>Fugitive</v>
      </c>
      <c r="D509" s="29">
        <f>Summary!D511</f>
        <v>25.663623463778471</v>
      </c>
      <c r="E509" s="4" t="str">
        <f>Summary!E511</f>
        <v>MMcfd</v>
      </c>
    </row>
    <row r="510" spans="1:5" ht="15" customHeight="1" x14ac:dyDescent="0.2">
      <c r="A510" s="28">
        <f>Summary!A512</f>
        <v>2027</v>
      </c>
      <c r="B510" s="4" t="str">
        <f>Summary!B512</f>
        <v>Conditional</v>
      </c>
      <c r="C510" s="4" t="str">
        <f>Summary!C512</f>
        <v>Fugitive</v>
      </c>
      <c r="D510" s="29">
        <f>Summary!D512</f>
        <v>19.819046705136028</v>
      </c>
      <c r="E510" s="4" t="str">
        <f>Summary!E512</f>
        <v>MMcfd</v>
      </c>
    </row>
    <row r="511" spans="1:5" ht="15" customHeight="1" x14ac:dyDescent="0.2">
      <c r="A511" s="28">
        <f>Summary!A513</f>
        <v>2028</v>
      </c>
      <c r="B511" s="4" t="str">
        <f>Summary!B513</f>
        <v>Conditional</v>
      </c>
      <c r="C511" s="4" t="str">
        <f>Summary!C513</f>
        <v>Fugitive</v>
      </c>
      <c r="D511" s="29">
        <f>Summary!D513</f>
        <v>13.529399364037808</v>
      </c>
      <c r="E511" s="4" t="str">
        <f>Summary!E513</f>
        <v>MMcfd</v>
      </c>
    </row>
    <row r="512" spans="1:5" ht="15" customHeight="1" x14ac:dyDescent="0.2">
      <c r="A512" s="28">
        <f>Summary!A514</f>
        <v>2029</v>
      </c>
      <c r="B512" s="4" t="str">
        <f>Summary!B514</f>
        <v>Conditional</v>
      </c>
      <c r="C512" s="4" t="str">
        <f>Summary!C514</f>
        <v>Fugitive</v>
      </c>
      <c r="D512" s="29">
        <f>Summary!D514</f>
        <v>6.8911990912834318</v>
      </c>
      <c r="E512" s="4" t="str">
        <f>Summary!E514</f>
        <v>MMcfd</v>
      </c>
    </row>
    <row r="513" spans="1:5" ht="15" customHeight="1" x14ac:dyDescent="0.2">
      <c r="A513" s="28">
        <f>Summary!A515</f>
        <v>2030</v>
      </c>
      <c r="B513" s="4" t="str">
        <f>Summary!B515</f>
        <v>Conditional</v>
      </c>
      <c r="C513" s="4" t="str">
        <f>Summary!C515</f>
        <v>Fugitive</v>
      </c>
      <c r="D513" s="29">
        <f>Summary!D515</f>
        <v>6.8861921597440602E-3</v>
      </c>
      <c r="E513" s="4" t="str">
        <f>Summary!E515</f>
        <v>MMcfd</v>
      </c>
    </row>
    <row r="514" spans="1:5" ht="15" customHeight="1" x14ac:dyDescent="0.2">
      <c r="A514" s="28">
        <f>Summary!A516</f>
        <v>2031</v>
      </c>
      <c r="B514" s="4" t="str">
        <f>Summary!B516</f>
        <v>Conditional</v>
      </c>
      <c r="C514" s="4" t="str">
        <f>Summary!C516</f>
        <v>Fugitive</v>
      </c>
      <c r="D514" s="29">
        <f>Summary!D516</f>
        <v>6.5330848422330747E-3</v>
      </c>
      <c r="E514" s="4" t="str">
        <f>Summary!E516</f>
        <v>MMcfd</v>
      </c>
    </row>
    <row r="515" spans="1:5" ht="15" customHeight="1" x14ac:dyDescent="0.2">
      <c r="A515" s="28">
        <f>Summary!A517</f>
        <v>2032</v>
      </c>
      <c r="B515" s="4" t="str">
        <f>Summary!B517</f>
        <v>Conditional</v>
      </c>
      <c r="C515" s="4" t="str">
        <f>Summary!C517</f>
        <v>Fugitive</v>
      </c>
      <c r="D515" s="29">
        <f>Summary!D517</f>
        <v>6.1850398070552861E-3</v>
      </c>
      <c r="E515" s="4" t="str">
        <f>Summary!E517</f>
        <v>MMcfd</v>
      </c>
    </row>
    <row r="516" spans="1:5" ht="15" customHeight="1" x14ac:dyDescent="0.2">
      <c r="A516" s="28">
        <f>Summary!A518</f>
        <v>2033</v>
      </c>
      <c r="B516" s="4" t="str">
        <f>Summary!B518</f>
        <v>Conditional</v>
      </c>
      <c r="C516" s="4" t="str">
        <f>Summary!C518</f>
        <v>Fugitive</v>
      </c>
      <c r="D516" s="29">
        <f>Summary!D518</f>
        <v>5.8428136569662554E-3</v>
      </c>
      <c r="E516" s="4" t="str">
        <f>Summary!E518</f>
        <v>MMcfd</v>
      </c>
    </row>
    <row r="517" spans="1:5" ht="15" customHeight="1" x14ac:dyDescent="0.2">
      <c r="A517" s="28">
        <f>Summary!A519</f>
        <v>2034</v>
      </c>
      <c r="B517" s="4" t="str">
        <f>Summary!B519</f>
        <v>Conditional</v>
      </c>
      <c r="C517" s="4" t="str">
        <f>Summary!C519</f>
        <v>Fugitive</v>
      </c>
      <c r="D517" s="29">
        <f>Summary!D519</f>
        <v>5.5070202042375024E-3</v>
      </c>
      <c r="E517" s="4" t="str">
        <f>Summary!E519</f>
        <v>MMcfd</v>
      </c>
    </row>
    <row r="518" spans="1:5" ht="15" customHeight="1" x14ac:dyDescent="0.2">
      <c r="A518" s="28">
        <f>Summary!A520</f>
        <v>2035</v>
      </c>
      <c r="B518" s="4" t="str">
        <f>Summary!B520</f>
        <v>Conditional</v>
      </c>
      <c r="C518" s="4" t="str">
        <f>Summary!C520</f>
        <v>Fugitive</v>
      </c>
      <c r="D518" s="29">
        <f>Summary!D520</f>
        <v>5.1779871553519971E-3</v>
      </c>
      <c r="E518" s="4" t="str">
        <f>Summary!E520</f>
        <v>MMcfd</v>
      </c>
    </row>
    <row r="519" spans="1:5" ht="15" customHeight="1" x14ac:dyDescent="0.2">
      <c r="A519" s="28">
        <f>Summary!A521</f>
        <v>2036</v>
      </c>
      <c r="B519" s="4" t="str">
        <f>Summary!B521</f>
        <v>Conditional</v>
      </c>
      <c r="C519" s="4" t="str">
        <f>Summary!C521</f>
        <v>Fugitive</v>
      </c>
      <c r="D519" s="29">
        <f>Summary!D521</f>
        <v>4.8558695859916793E-3</v>
      </c>
      <c r="E519" s="4" t="str">
        <f>Summary!E521</f>
        <v>MMcfd</v>
      </c>
    </row>
    <row r="520" spans="1:5" ht="15" customHeight="1" x14ac:dyDescent="0.2">
      <c r="A520" s="28">
        <f>Summary!A522</f>
        <v>2037</v>
      </c>
      <c r="B520" s="4" t="str">
        <f>Summary!B522</f>
        <v>Conditional</v>
      </c>
      <c r="C520" s="4" t="str">
        <f>Summary!C522</f>
        <v>Fugitive</v>
      </c>
      <c r="D520" s="29">
        <f>Summary!D522</f>
        <v>4.5381087243998915E-3</v>
      </c>
      <c r="E520" s="4" t="str">
        <f>Summary!E522</f>
        <v>MMcfd</v>
      </c>
    </row>
    <row r="521" spans="1:5" ht="15" customHeight="1" x14ac:dyDescent="0.2">
      <c r="A521" s="28">
        <f>Summary!A523</f>
        <v>2038</v>
      </c>
      <c r="B521" s="4" t="str">
        <f>Summary!B523</f>
        <v>Conditional</v>
      </c>
      <c r="C521" s="4" t="str">
        <f>Summary!C523</f>
        <v>Fugitive</v>
      </c>
      <c r="D521" s="29">
        <f>Summary!D523</f>
        <v>4.2288000246606602E-3</v>
      </c>
      <c r="E521" s="4" t="str">
        <f>Summary!E523</f>
        <v>MMcfd</v>
      </c>
    </row>
    <row r="522" spans="1:5" ht="15" customHeight="1" x14ac:dyDescent="0.2">
      <c r="A522" s="28">
        <f>Summary!A524</f>
        <v>2039</v>
      </c>
      <c r="B522" s="4" t="str">
        <f>Summary!B524</f>
        <v>Conditional</v>
      </c>
      <c r="C522" s="4" t="str">
        <f>Summary!C524</f>
        <v>Fugitive</v>
      </c>
      <c r="D522" s="29">
        <f>Summary!D524</f>
        <v>3.9279296107334796E-3</v>
      </c>
      <c r="E522" s="4" t="str">
        <f>Summary!E524</f>
        <v>MMcfd</v>
      </c>
    </row>
    <row r="523" spans="1:5" ht="15" customHeight="1" x14ac:dyDescent="0.2">
      <c r="A523" s="28">
        <f>Summary!A525</f>
        <v>2040</v>
      </c>
      <c r="B523" s="4" t="str">
        <f>Summary!B525</f>
        <v>Conditional</v>
      </c>
      <c r="C523" s="4" t="str">
        <f>Summary!C525</f>
        <v>Fugitive</v>
      </c>
      <c r="D523" s="29">
        <f>Summary!D525</f>
        <v>3.6356829498965047E-3</v>
      </c>
      <c r="E523" s="4" t="str">
        <f>Summary!E525</f>
        <v>MMcfd</v>
      </c>
    </row>
    <row r="524" spans="1:5" ht="15" customHeight="1" x14ac:dyDescent="0.2">
      <c r="A524" s="28">
        <f>Summary!A526</f>
        <v>2041</v>
      </c>
      <c r="B524" s="4" t="str">
        <f>Summary!B526</f>
        <v>Conditional</v>
      </c>
      <c r="C524" s="4" t="str">
        <f>Summary!C526</f>
        <v>Fugitive</v>
      </c>
      <c r="D524" s="29">
        <f>Summary!D526</f>
        <v>3.3586034925076492E-3</v>
      </c>
      <c r="E524" s="4" t="str">
        <f>Summary!E526</f>
        <v>MMcfd</v>
      </c>
    </row>
    <row r="525" spans="1:5" ht="15" customHeight="1" x14ac:dyDescent="0.2">
      <c r="A525" s="28">
        <f>Summary!A527</f>
        <v>2042</v>
      </c>
      <c r="B525" s="4" t="str">
        <f>Summary!B527</f>
        <v>Conditional</v>
      </c>
      <c r="C525" s="4" t="str">
        <f>Summary!C527</f>
        <v>Fugitive</v>
      </c>
      <c r="D525" s="29">
        <f>Summary!D527</f>
        <v>3.0896581525150547E-3</v>
      </c>
      <c r="E525" s="4" t="str">
        <f>Summary!E527</f>
        <v>MMcfd</v>
      </c>
    </row>
    <row r="526" spans="1:5" ht="15" customHeight="1" x14ac:dyDescent="0.2">
      <c r="A526" s="28">
        <f>Summary!A528</f>
        <v>2043</v>
      </c>
      <c r="B526" s="4" t="str">
        <f>Summary!B528</f>
        <v>Conditional</v>
      </c>
      <c r="C526" s="4" t="str">
        <f>Summary!C528</f>
        <v>Fugitive</v>
      </c>
      <c r="D526" s="29">
        <f>Summary!D528</f>
        <v>2.8756638231188123E-3</v>
      </c>
      <c r="E526" s="4" t="str">
        <f>Summary!E528</f>
        <v>MMcfd</v>
      </c>
    </row>
    <row r="527" spans="1:5" ht="15" customHeight="1" x14ac:dyDescent="0.2">
      <c r="A527" s="28">
        <f>Summary!A529</f>
        <v>2044</v>
      </c>
      <c r="B527" s="4" t="str">
        <f>Summary!B529</f>
        <v>Conditional</v>
      </c>
      <c r="C527" s="4" t="str">
        <f>Summary!C529</f>
        <v>Fugitive</v>
      </c>
      <c r="D527" s="29">
        <f>Summary!D529</f>
        <v>2.6606915413175014E-3</v>
      </c>
      <c r="E527" s="4" t="str">
        <f>Summary!E529</f>
        <v>MMcfd</v>
      </c>
    </row>
    <row r="528" spans="1:5" ht="15" customHeight="1" x14ac:dyDescent="0.2">
      <c r="A528" s="28">
        <f>Summary!A530</f>
        <v>2045</v>
      </c>
      <c r="B528" s="4" t="str">
        <f>Summary!B530</f>
        <v>Conditional</v>
      </c>
      <c r="C528" s="4" t="str">
        <f>Summary!C530</f>
        <v>Fugitive</v>
      </c>
      <c r="D528" s="29">
        <f>Summary!D530</f>
        <v>2.4448800764265174E-3</v>
      </c>
      <c r="E528" s="4" t="str">
        <f>Summary!E530</f>
        <v>MMcfd</v>
      </c>
    </row>
    <row r="529" spans="1:5" ht="15" customHeight="1" x14ac:dyDescent="0.2">
      <c r="A529" s="28">
        <f>Summary!A531</f>
        <v>2046</v>
      </c>
      <c r="B529" s="4" t="str">
        <f>Summary!B531</f>
        <v>Conditional</v>
      </c>
      <c r="C529" s="4" t="str">
        <f>Summary!C531</f>
        <v>Fugitive</v>
      </c>
      <c r="D529" s="29">
        <f>Summary!D531</f>
        <v>2.2283516872235449E-3</v>
      </c>
      <c r="E529" s="4" t="str">
        <f>Summary!E531</f>
        <v>MMcfd</v>
      </c>
    </row>
    <row r="530" spans="1:5" ht="15" customHeight="1" x14ac:dyDescent="0.2">
      <c r="A530" s="28">
        <f>Summary!A532</f>
        <v>2047</v>
      </c>
      <c r="B530" s="4" t="str">
        <f>Summary!B532</f>
        <v>Conditional</v>
      </c>
      <c r="C530" s="4" t="str">
        <f>Summary!C532</f>
        <v>Fugitive</v>
      </c>
      <c r="D530" s="29">
        <f>Summary!D532</f>
        <v>2.0112668999829547E-3</v>
      </c>
      <c r="E530" s="4" t="str">
        <f>Summary!E532</f>
        <v>MMcfd</v>
      </c>
    </row>
    <row r="531" spans="1:5" ht="15" customHeight="1" x14ac:dyDescent="0.2">
      <c r="A531" s="28">
        <f>Summary!A533</f>
        <v>2048</v>
      </c>
      <c r="B531" s="4" t="str">
        <f>Summary!B533</f>
        <v>Conditional</v>
      </c>
      <c r="C531" s="4" t="str">
        <f>Summary!C533</f>
        <v>Fugitive</v>
      </c>
      <c r="D531" s="29">
        <f>Summary!D533</f>
        <v>1.7937649863039523E-3</v>
      </c>
      <c r="E531" s="4" t="str">
        <f>Summary!E533</f>
        <v>MMcfd</v>
      </c>
    </row>
    <row r="532" spans="1:5" ht="15" customHeight="1" x14ac:dyDescent="0.2">
      <c r="A532" s="28">
        <f>Summary!A534</f>
        <v>2049</v>
      </c>
      <c r="B532" s="4" t="str">
        <f>Summary!B534</f>
        <v>Conditional</v>
      </c>
      <c r="C532" s="4" t="str">
        <f>Summary!C534</f>
        <v>Fugitive</v>
      </c>
      <c r="D532" s="29">
        <f>Summary!D534</f>
        <v>1.5759854208475105E-3</v>
      </c>
      <c r="E532" s="4" t="str">
        <f>Summary!E534</f>
        <v>MMcfd</v>
      </c>
    </row>
    <row r="533" spans="1:5" ht="15" customHeight="1" x14ac:dyDescent="0.2">
      <c r="A533" s="28">
        <f>Summary!A535</f>
        <v>2050</v>
      </c>
      <c r="B533" s="4" t="str">
        <f>Summary!B535</f>
        <v>Conditional</v>
      </c>
      <c r="C533" s="4" t="str">
        <f>Summary!C535</f>
        <v>Fugitive</v>
      </c>
      <c r="D533" s="29">
        <f>Summary!D535</f>
        <v>1.3580551341258146E-3</v>
      </c>
      <c r="E533" s="4" t="str">
        <f>Summary!E535</f>
        <v>MMcfd</v>
      </c>
    </row>
    <row r="534" spans="1:5" ht="15" customHeight="1" x14ac:dyDescent="0.2">
      <c r="A534" s="28">
        <f>Summary!A536</f>
        <v>2023</v>
      </c>
      <c r="B534" s="4" t="str">
        <f>Summary!B536</f>
        <v>Conditional</v>
      </c>
      <c r="C534" s="4" t="str">
        <f>Summary!C536</f>
        <v>Venting</v>
      </c>
      <c r="D534" s="29">
        <f>Summary!D536</f>
        <v>84.534509191288493</v>
      </c>
      <c r="E534" s="4" t="str">
        <f>Summary!E536</f>
        <v>MMcfd</v>
      </c>
    </row>
    <row r="535" spans="1:5" ht="15" customHeight="1" x14ac:dyDescent="0.2">
      <c r="A535" s="28">
        <f>Summary!A537</f>
        <v>2024</v>
      </c>
      <c r="B535" s="4" t="str">
        <f>Summary!B537</f>
        <v>Conditional</v>
      </c>
      <c r="C535" s="4" t="str">
        <f>Summary!C537</f>
        <v>Venting</v>
      </c>
      <c r="D535" s="29">
        <f>Summary!D537</f>
        <v>84.860222276461442</v>
      </c>
      <c r="E535" s="4" t="str">
        <f>Summary!E537</f>
        <v>MMcfd</v>
      </c>
    </row>
    <row r="536" spans="1:5" ht="15" customHeight="1" x14ac:dyDescent="0.2">
      <c r="A536" s="28">
        <f>Summary!A538</f>
        <v>2025</v>
      </c>
      <c r="B536" s="4" t="str">
        <f>Summary!B538</f>
        <v>Conditional</v>
      </c>
      <c r="C536" s="4" t="str">
        <f>Summary!C538</f>
        <v>Venting</v>
      </c>
      <c r="D536" s="29">
        <f>Summary!D538</f>
        <v>85.075899432134534</v>
      </c>
      <c r="E536" s="4" t="str">
        <f>Summary!E538</f>
        <v>MMcfd</v>
      </c>
    </row>
    <row r="537" spans="1:5" ht="15" customHeight="1" x14ac:dyDescent="0.2">
      <c r="A537" s="28">
        <f>Summary!A539</f>
        <v>2026</v>
      </c>
      <c r="B537" s="4" t="str">
        <f>Summary!B539</f>
        <v>Conditional</v>
      </c>
      <c r="C537" s="4" t="str">
        <f>Summary!C539</f>
        <v>Venting</v>
      </c>
      <c r="D537" s="29">
        <f>Summary!D539</f>
        <v>71.051979409853232</v>
      </c>
      <c r="E537" s="4" t="str">
        <f>Summary!E539</f>
        <v>MMcfd</v>
      </c>
    </row>
    <row r="538" spans="1:5" ht="15" customHeight="1" x14ac:dyDescent="0.2">
      <c r="A538" s="28">
        <f>Summary!A540</f>
        <v>2027</v>
      </c>
      <c r="B538" s="4" t="str">
        <f>Summary!B540</f>
        <v>Conditional</v>
      </c>
      <c r="C538" s="4" t="str">
        <f>Summary!C540</f>
        <v>Venting</v>
      </c>
      <c r="D538" s="29">
        <f>Summary!D540</f>
        <v>56.796625364304745</v>
      </c>
      <c r="E538" s="4" t="str">
        <f>Summary!E540</f>
        <v>MMcfd</v>
      </c>
    </row>
    <row r="539" spans="1:5" ht="15" customHeight="1" x14ac:dyDescent="0.2">
      <c r="A539" s="28">
        <f>Summary!A541</f>
        <v>2028</v>
      </c>
      <c r="B539" s="4" t="str">
        <f>Summary!B541</f>
        <v>Conditional</v>
      </c>
      <c r="C539" s="4" t="str">
        <f>Summary!C541</f>
        <v>Venting</v>
      </c>
      <c r="D539" s="29">
        <f>Summary!D541</f>
        <v>42.440681272249471</v>
      </c>
      <c r="E539" s="4" t="str">
        <f>Summary!E541</f>
        <v>MMcfd</v>
      </c>
    </row>
    <row r="540" spans="1:5" ht="15" customHeight="1" x14ac:dyDescent="0.2">
      <c r="A540" s="28">
        <f>Summary!A542</f>
        <v>2029</v>
      </c>
      <c r="B540" s="4" t="str">
        <f>Summary!B542</f>
        <v>Conditional</v>
      </c>
      <c r="C540" s="4" t="str">
        <f>Summary!C542</f>
        <v>Venting</v>
      </c>
      <c r="D540" s="29">
        <f>Summary!D542</f>
        <v>28.568284948383191</v>
      </c>
      <c r="E540" s="4" t="str">
        <f>Summary!E542</f>
        <v>MMcfd</v>
      </c>
    </row>
    <row r="541" spans="1:5" ht="15" customHeight="1" x14ac:dyDescent="0.2">
      <c r="A541" s="28">
        <f>Summary!A543</f>
        <v>2030</v>
      </c>
      <c r="B541" s="4" t="str">
        <f>Summary!B543</f>
        <v>Conditional</v>
      </c>
      <c r="C541" s="4" t="str">
        <f>Summary!C543</f>
        <v>Venting</v>
      </c>
      <c r="D541" s="29">
        <f>Summary!D543</f>
        <v>15.99951223921858</v>
      </c>
      <c r="E541" s="4" t="str">
        <f>Summary!E543</f>
        <v>MMcfd</v>
      </c>
    </row>
    <row r="542" spans="1:5" ht="15" customHeight="1" x14ac:dyDescent="0.2">
      <c r="A542" s="28">
        <f>Summary!A544</f>
        <v>2031</v>
      </c>
      <c r="B542" s="4" t="str">
        <f>Summary!B544</f>
        <v>Conditional</v>
      </c>
      <c r="C542" s="4" t="str">
        <f>Summary!C544</f>
        <v>Venting</v>
      </c>
      <c r="D542" s="29">
        <f>Summary!D544</f>
        <v>5.4696734766860704</v>
      </c>
      <c r="E542" s="4" t="str">
        <f>Summary!E544</f>
        <v>MMcfd</v>
      </c>
    </row>
    <row r="543" spans="1:5" ht="15" customHeight="1" x14ac:dyDescent="0.2">
      <c r="A543" s="28">
        <f>Summary!A545</f>
        <v>2032</v>
      </c>
      <c r="B543" s="4" t="str">
        <f>Summary!B545</f>
        <v>Conditional</v>
      </c>
      <c r="C543" s="4" t="str">
        <f>Summary!C545</f>
        <v>Venting</v>
      </c>
      <c r="D543" s="29">
        <f>Summary!D545</f>
        <v>0</v>
      </c>
      <c r="E543" s="4" t="str">
        <f>Summary!E545</f>
        <v>MMcfd</v>
      </c>
    </row>
    <row r="544" spans="1:5" ht="15" customHeight="1" x14ac:dyDescent="0.2">
      <c r="A544" s="28">
        <f>Summary!A546</f>
        <v>2033</v>
      </c>
      <c r="B544" s="4" t="str">
        <f>Summary!B546</f>
        <v>Conditional</v>
      </c>
      <c r="C544" s="4" t="str">
        <f>Summary!C546</f>
        <v>Venting</v>
      </c>
      <c r="D544" s="29">
        <f>Summary!D546</f>
        <v>0</v>
      </c>
      <c r="E544" s="4" t="str">
        <f>Summary!E546</f>
        <v>MMcfd</v>
      </c>
    </row>
    <row r="545" spans="1:5" ht="15" customHeight="1" x14ac:dyDescent="0.2">
      <c r="A545" s="28">
        <f>Summary!A547</f>
        <v>2034</v>
      </c>
      <c r="B545" s="4" t="str">
        <f>Summary!B547</f>
        <v>Conditional</v>
      </c>
      <c r="C545" s="4" t="str">
        <f>Summary!C547</f>
        <v>Venting</v>
      </c>
      <c r="D545" s="29">
        <f>Summary!D547</f>
        <v>0</v>
      </c>
      <c r="E545" s="4" t="str">
        <f>Summary!E547</f>
        <v>MMcfd</v>
      </c>
    </row>
    <row r="546" spans="1:5" ht="15" customHeight="1" x14ac:dyDescent="0.2">
      <c r="A546" s="28">
        <f>Summary!A548</f>
        <v>2035</v>
      </c>
      <c r="B546" s="4" t="str">
        <f>Summary!B548</f>
        <v>Conditional</v>
      </c>
      <c r="C546" s="4" t="str">
        <f>Summary!C548</f>
        <v>Venting</v>
      </c>
      <c r="D546" s="29">
        <f>Summary!D548</f>
        <v>0</v>
      </c>
      <c r="E546" s="4" t="str">
        <f>Summary!E548</f>
        <v>MMcfd</v>
      </c>
    </row>
    <row r="547" spans="1:5" ht="15" customHeight="1" x14ac:dyDescent="0.2">
      <c r="A547" s="28">
        <f>Summary!A549</f>
        <v>2036</v>
      </c>
      <c r="B547" s="4" t="str">
        <f>Summary!B549</f>
        <v>Conditional</v>
      </c>
      <c r="C547" s="4" t="str">
        <f>Summary!C549</f>
        <v>Venting</v>
      </c>
      <c r="D547" s="29">
        <f>Summary!D549</f>
        <v>0</v>
      </c>
      <c r="E547" s="4" t="str">
        <f>Summary!E549</f>
        <v>MMcfd</v>
      </c>
    </row>
    <row r="548" spans="1:5" ht="15" customHeight="1" x14ac:dyDescent="0.2">
      <c r="A548" s="28">
        <f>Summary!A550</f>
        <v>2037</v>
      </c>
      <c r="B548" s="4" t="str">
        <f>Summary!B550</f>
        <v>Conditional</v>
      </c>
      <c r="C548" s="4" t="str">
        <f>Summary!C550</f>
        <v>Venting</v>
      </c>
      <c r="D548" s="29">
        <f>Summary!D550</f>
        <v>0</v>
      </c>
      <c r="E548" s="4" t="str">
        <f>Summary!E550</f>
        <v>MMcfd</v>
      </c>
    </row>
    <row r="549" spans="1:5" ht="15" customHeight="1" x14ac:dyDescent="0.2">
      <c r="A549" s="28">
        <f>Summary!A551</f>
        <v>2038</v>
      </c>
      <c r="B549" s="4" t="str">
        <f>Summary!B551</f>
        <v>Conditional</v>
      </c>
      <c r="C549" s="4" t="str">
        <f>Summary!C551</f>
        <v>Venting</v>
      </c>
      <c r="D549" s="29">
        <f>Summary!D551</f>
        <v>0</v>
      </c>
      <c r="E549" s="4" t="str">
        <f>Summary!E551</f>
        <v>MMcfd</v>
      </c>
    </row>
    <row r="550" spans="1:5" ht="15" customHeight="1" x14ac:dyDescent="0.2">
      <c r="A550" s="28">
        <f>Summary!A552</f>
        <v>2039</v>
      </c>
      <c r="B550" s="4" t="str">
        <f>Summary!B552</f>
        <v>Conditional</v>
      </c>
      <c r="C550" s="4" t="str">
        <f>Summary!C552</f>
        <v>Venting</v>
      </c>
      <c r="D550" s="29">
        <f>Summary!D552</f>
        <v>0</v>
      </c>
      <c r="E550" s="4" t="str">
        <f>Summary!E552</f>
        <v>MMcfd</v>
      </c>
    </row>
    <row r="551" spans="1:5" ht="15" customHeight="1" x14ac:dyDescent="0.2">
      <c r="A551" s="28">
        <f>Summary!A553</f>
        <v>2040</v>
      </c>
      <c r="B551" s="4" t="str">
        <f>Summary!B553</f>
        <v>Conditional</v>
      </c>
      <c r="C551" s="4" t="str">
        <f>Summary!C553</f>
        <v>Venting</v>
      </c>
      <c r="D551" s="29">
        <f>Summary!D553</f>
        <v>0</v>
      </c>
      <c r="E551" s="4" t="str">
        <f>Summary!E553</f>
        <v>MMcfd</v>
      </c>
    </row>
    <row r="552" spans="1:5" ht="15" customHeight="1" x14ac:dyDescent="0.2">
      <c r="A552" s="28">
        <f>Summary!A554</f>
        <v>2041</v>
      </c>
      <c r="B552" s="4" t="str">
        <f>Summary!B554</f>
        <v>Conditional</v>
      </c>
      <c r="C552" s="4" t="str">
        <f>Summary!C554</f>
        <v>Venting</v>
      </c>
      <c r="D552" s="29">
        <f>Summary!D554</f>
        <v>0</v>
      </c>
      <c r="E552" s="4" t="str">
        <f>Summary!E554</f>
        <v>MMcfd</v>
      </c>
    </row>
    <row r="553" spans="1:5" ht="15" customHeight="1" x14ac:dyDescent="0.2">
      <c r="A553" s="28">
        <f>Summary!A555</f>
        <v>2042</v>
      </c>
      <c r="B553" s="4" t="str">
        <f>Summary!B555</f>
        <v>Conditional</v>
      </c>
      <c r="C553" s="4" t="str">
        <f>Summary!C555</f>
        <v>Venting</v>
      </c>
      <c r="D553" s="29">
        <f>Summary!D555</f>
        <v>0</v>
      </c>
      <c r="E553" s="4" t="str">
        <f>Summary!E555</f>
        <v>MMcfd</v>
      </c>
    </row>
    <row r="554" spans="1:5" ht="15" customHeight="1" x14ac:dyDescent="0.2">
      <c r="A554" s="28">
        <f>Summary!A556</f>
        <v>2043</v>
      </c>
      <c r="B554" s="4" t="str">
        <f>Summary!B556</f>
        <v>Conditional</v>
      </c>
      <c r="C554" s="4" t="str">
        <f>Summary!C556</f>
        <v>Venting</v>
      </c>
      <c r="D554" s="29">
        <f>Summary!D556</f>
        <v>0</v>
      </c>
      <c r="E554" s="4" t="str">
        <f>Summary!E556</f>
        <v>MMcfd</v>
      </c>
    </row>
    <row r="555" spans="1:5" ht="15" customHeight="1" x14ac:dyDescent="0.2">
      <c r="A555" s="28">
        <f>Summary!A557</f>
        <v>2044</v>
      </c>
      <c r="B555" s="4" t="str">
        <f>Summary!B557</f>
        <v>Conditional</v>
      </c>
      <c r="C555" s="4" t="str">
        <f>Summary!C557</f>
        <v>Venting</v>
      </c>
      <c r="D555" s="29">
        <f>Summary!D557</f>
        <v>0</v>
      </c>
      <c r="E555" s="4" t="str">
        <f>Summary!E557</f>
        <v>MMcfd</v>
      </c>
    </row>
    <row r="556" spans="1:5" ht="15" customHeight="1" x14ac:dyDescent="0.2">
      <c r="A556" s="28">
        <f>Summary!A558</f>
        <v>2045</v>
      </c>
      <c r="B556" s="4" t="str">
        <f>Summary!B558</f>
        <v>Conditional</v>
      </c>
      <c r="C556" s="4" t="str">
        <f>Summary!C558</f>
        <v>Venting</v>
      </c>
      <c r="D556" s="29">
        <f>Summary!D558</f>
        <v>0</v>
      </c>
      <c r="E556" s="4" t="str">
        <f>Summary!E558</f>
        <v>MMcfd</v>
      </c>
    </row>
    <row r="557" spans="1:5" ht="15" customHeight="1" x14ac:dyDescent="0.2">
      <c r="A557" s="28">
        <f>Summary!A559</f>
        <v>2046</v>
      </c>
      <c r="B557" s="4" t="str">
        <f>Summary!B559</f>
        <v>Conditional</v>
      </c>
      <c r="C557" s="4" t="str">
        <f>Summary!C559</f>
        <v>Venting</v>
      </c>
      <c r="D557" s="29">
        <f>Summary!D559</f>
        <v>0</v>
      </c>
      <c r="E557" s="4" t="str">
        <f>Summary!E559</f>
        <v>MMcfd</v>
      </c>
    </row>
    <row r="558" spans="1:5" ht="15" customHeight="1" x14ac:dyDescent="0.2">
      <c r="A558" s="28">
        <f>Summary!A560</f>
        <v>2047</v>
      </c>
      <c r="B558" s="4" t="str">
        <f>Summary!B560</f>
        <v>Conditional</v>
      </c>
      <c r="C558" s="4" t="str">
        <f>Summary!C560</f>
        <v>Venting</v>
      </c>
      <c r="D558" s="29">
        <f>Summary!D560</f>
        <v>0</v>
      </c>
      <c r="E558" s="4" t="str">
        <f>Summary!E560</f>
        <v>MMcfd</v>
      </c>
    </row>
    <row r="559" spans="1:5" ht="15" customHeight="1" x14ac:dyDescent="0.2">
      <c r="A559" s="28">
        <f>Summary!A561</f>
        <v>2048</v>
      </c>
      <c r="B559" s="4" t="str">
        <f>Summary!B561</f>
        <v>Conditional</v>
      </c>
      <c r="C559" s="4" t="str">
        <f>Summary!C561</f>
        <v>Venting</v>
      </c>
      <c r="D559" s="29">
        <f>Summary!D561</f>
        <v>0</v>
      </c>
      <c r="E559" s="4" t="str">
        <f>Summary!E561</f>
        <v>MMcfd</v>
      </c>
    </row>
    <row r="560" spans="1:5" ht="15" customHeight="1" x14ac:dyDescent="0.2">
      <c r="A560" s="28">
        <f>Summary!A562</f>
        <v>2049</v>
      </c>
      <c r="B560" s="4" t="str">
        <f>Summary!B562</f>
        <v>Conditional</v>
      </c>
      <c r="C560" s="4" t="str">
        <f>Summary!C562</f>
        <v>Venting</v>
      </c>
      <c r="D560" s="29">
        <f>Summary!D562</f>
        <v>0</v>
      </c>
      <c r="E560" s="4" t="str">
        <f>Summary!E562</f>
        <v>MMcfd</v>
      </c>
    </row>
    <row r="561" spans="1:5" ht="15" customHeight="1" x14ac:dyDescent="0.2">
      <c r="A561" s="28">
        <f>Summary!A563</f>
        <v>2050</v>
      </c>
      <c r="B561" s="4" t="str">
        <f>Summary!B563</f>
        <v>Conditional</v>
      </c>
      <c r="C561" s="4" t="str">
        <f>Summary!C563</f>
        <v>Venting</v>
      </c>
      <c r="D561" s="29">
        <f>Summary!D563</f>
        <v>0</v>
      </c>
      <c r="E561" s="4" t="str">
        <f>Summary!E563</f>
        <v>MMcfd</v>
      </c>
    </row>
    <row r="562" spans="1:5" ht="15" customHeight="1" x14ac:dyDescent="0.2">
      <c r="A562" s="28">
        <f>Summary!A564</f>
        <v>2023</v>
      </c>
      <c r="B562" s="4" t="str">
        <f>Summary!B564</f>
        <v>Conditional</v>
      </c>
      <c r="C562" s="4" t="str">
        <f>Summary!C564</f>
        <v>Flaring</v>
      </c>
      <c r="D562" s="29">
        <f>Summary!D564</f>
        <v>604.98782444231131</v>
      </c>
      <c r="E562" s="4" t="str">
        <f>Summary!E564</f>
        <v>MMcfd</v>
      </c>
    </row>
    <row r="563" spans="1:5" ht="15" customHeight="1" x14ac:dyDescent="0.2">
      <c r="A563" s="28">
        <f>Summary!A565</f>
        <v>2024</v>
      </c>
      <c r="B563" s="4" t="str">
        <f>Summary!B565</f>
        <v>Conditional</v>
      </c>
      <c r="C563" s="4" t="str">
        <f>Summary!C565</f>
        <v>Flaring</v>
      </c>
      <c r="D563" s="29">
        <f>Summary!D565</f>
        <v>608.17697027207862</v>
      </c>
      <c r="E563" s="4" t="str">
        <f>Summary!E565</f>
        <v>MMcfd</v>
      </c>
    </row>
    <row r="564" spans="1:5" ht="15" customHeight="1" x14ac:dyDescent="0.2">
      <c r="A564" s="28">
        <f>Summary!A566</f>
        <v>2025</v>
      </c>
      <c r="B564" s="4" t="str">
        <f>Summary!B566</f>
        <v>Conditional</v>
      </c>
      <c r="C564" s="4" t="str">
        <f>Summary!C566</f>
        <v>Flaring</v>
      </c>
      <c r="D564" s="29">
        <f>Summary!D566</f>
        <v>598.86338299044803</v>
      </c>
      <c r="E564" s="4" t="str">
        <f>Summary!E566</f>
        <v>MMcfd</v>
      </c>
    </row>
    <row r="565" spans="1:5" ht="15" customHeight="1" x14ac:dyDescent="0.2">
      <c r="A565" s="28">
        <f>Summary!A567</f>
        <v>2026</v>
      </c>
      <c r="B565" s="4" t="str">
        <f>Summary!B567</f>
        <v>Conditional</v>
      </c>
      <c r="C565" s="4" t="str">
        <f>Summary!C567</f>
        <v>Flaring</v>
      </c>
      <c r="D565" s="29">
        <f>Summary!D567</f>
        <v>244.1500643049163</v>
      </c>
      <c r="E565" s="4" t="str">
        <f>Summary!E567</f>
        <v>MMcfd</v>
      </c>
    </row>
    <row r="566" spans="1:5" ht="15" customHeight="1" x14ac:dyDescent="0.2">
      <c r="A566" s="28">
        <f>Summary!A568</f>
        <v>2027</v>
      </c>
      <c r="B566" s="4" t="str">
        <f>Summary!B568</f>
        <v>Conditional</v>
      </c>
      <c r="C566" s="4" t="str">
        <f>Summary!C568</f>
        <v>Flaring</v>
      </c>
      <c r="D566" s="29">
        <f>Summary!D568</f>
        <v>24.779247254466302</v>
      </c>
      <c r="E566" s="4" t="str">
        <f>Summary!E568</f>
        <v>MMcfd</v>
      </c>
    </row>
    <row r="567" spans="1:5" ht="15" customHeight="1" x14ac:dyDescent="0.2">
      <c r="A567" s="28">
        <f>Summary!A569</f>
        <v>2028</v>
      </c>
      <c r="B567" s="4" t="str">
        <f>Summary!B569</f>
        <v>Conditional</v>
      </c>
      <c r="C567" s="4" t="str">
        <f>Summary!C569</f>
        <v>Flaring</v>
      </c>
      <c r="D567" s="29">
        <f>Summary!D569</f>
        <v>2.0356773878104937</v>
      </c>
      <c r="E567" s="4" t="str">
        <f>Summary!E569</f>
        <v>MMcfd</v>
      </c>
    </row>
    <row r="568" spans="1:5" ht="15" customHeight="1" x14ac:dyDescent="0.2">
      <c r="A568" s="28">
        <f>Summary!A570</f>
        <v>2029</v>
      </c>
      <c r="B568" s="4" t="str">
        <f>Summary!B570</f>
        <v>Conditional</v>
      </c>
      <c r="C568" s="4" t="str">
        <f>Summary!C570</f>
        <v>Flaring</v>
      </c>
      <c r="D568" s="29">
        <f>Summary!D570</f>
        <v>0.37828568558189418</v>
      </c>
      <c r="E568" s="4" t="str">
        <f>Summary!E570</f>
        <v>MMcfd</v>
      </c>
    </row>
    <row r="569" spans="1:5" ht="15" customHeight="1" x14ac:dyDescent="0.2">
      <c r="A569" s="28">
        <f>Summary!A571</f>
        <v>2030</v>
      </c>
      <c r="B569" s="4" t="str">
        <f>Summary!B571</f>
        <v>Conditional</v>
      </c>
      <c r="C569" s="4" t="str">
        <f>Summary!C571</f>
        <v>Flaring</v>
      </c>
      <c r="D569" s="29">
        <f>Summary!D571</f>
        <v>0</v>
      </c>
      <c r="E569" s="4" t="str">
        <f>Summary!E571</f>
        <v>MMcfd</v>
      </c>
    </row>
    <row r="570" spans="1:5" ht="15" customHeight="1" x14ac:dyDescent="0.2">
      <c r="A570" s="28">
        <f>Summary!A572</f>
        <v>2031</v>
      </c>
      <c r="B570" s="4" t="str">
        <f>Summary!B572</f>
        <v>Conditional</v>
      </c>
      <c r="C570" s="4" t="str">
        <f>Summary!C572</f>
        <v>Flaring</v>
      </c>
      <c r="D570" s="29">
        <f>Summary!D572</f>
        <v>0</v>
      </c>
      <c r="E570" s="4" t="str">
        <f>Summary!E572</f>
        <v>MMcfd</v>
      </c>
    </row>
    <row r="571" spans="1:5" ht="15" customHeight="1" x14ac:dyDescent="0.2">
      <c r="A571" s="28">
        <f>Summary!A573</f>
        <v>2032</v>
      </c>
      <c r="B571" s="4" t="str">
        <f>Summary!B573</f>
        <v>Conditional</v>
      </c>
      <c r="C571" s="4" t="str">
        <f>Summary!C573</f>
        <v>Flaring</v>
      </c>
      <c r="D571" s="29">
        <f>Summary!D573</f>
        <v>0</v>
      </c>
      <c r="E571" s="4" t="str">
        <f>Summary!E573</f>
        <v>MMcfd</v>
      </c>
    </row>
    <row r="572" spans="1:5" ht="15" customHeight="1" x14ac:dyDescent="0.2">
      <c r="A572" s="28">
        <f>Summary!A574</f>
        <v>2033</v>
      </c>
      <c r="B572" s="4" t="str">
        <f>Summary!B574</f>
        <v>Conditional</v>
      </c>
      <c r="C572" s="4" t="str">
        <f>Summary!C574</f>
        <v>Flaring</v>
      </c>
      <c r="D572" s="29">
        <f>Summary!D574</f>
        <v>0</v>
      </c>
      <c r="E572" s="4" t="str">
        <f>Summary!E574</f>
        <v>MMcfd</v>
      </c>
    </row>
    <row r="573" spans="1:5" ht="15" customHeight="1" x14ac:dyDescent="0.2">
      <c r="A573" s="28">
        <f>Summary!A575</f>
        <v>2034</v>
      </c>
      <c r="B573" s="4" t="str">
        <f>Summary!B575</f>
        <v>Conditional</v>
      </c>
      <c r="C573" s="4" t="str">
        <f>Summary!C575</f>
        <v>Flaring</v>
      </c>
      <c r="D573" s="29">
        <f>Summary!D575</f>
        <v>0</v>
      </c>
      <c r="E573" s="4" t="str">
        <f>Summary!E575</f>
        <v>MMcfd</v>
      </c>
    </row>
    <row r="574" spans="1:5" ht="15" customHeight="1" x14ac:dyDescent="0.2">
      <c r="A574" s="28">
        <f>Summary!A576</f>
        <v>2035</v>
      </c>
      <c r="B574" s="4" t="str">
        <f>Summary!B576</f>
        <v>Conditional</v>
      </c>
      <c r="C574" s="4" t="str">
        <f>Summary!C576</f>
        <v>Flaring</v>
      </c>
      <c r="D574" s="29">
        <f>Summary!D576</f>
        <v>0</v>
      </c>
      <c r="E574" s="4" t="str">
        <f>Summary!E576</f>
        <v>MMcfd</v>
      </c>
    </row>
    <row r="575" spans="1:5" ht="15" customHeight="1" x14ac:dyDescent="0.2">
      <c r="A575" s="28">
        <f>Summary!A577</f>
        <v>2036</v>
      </c>
      <c r="B575" s="4" t="str">
        <f>Summary!B577</f>
        <v>Conditional</v>
      </c>
      <c r="C575" s="4" t="str">
        <f>Summary!C577</f>
        <v>Flaring</v>
      </c>
      <c r="D575" s="29">
        <f>Summary!D577</f>
        <v>0</v>
      </c>
      <c r="E575" s="4" t="str">
        <f>Summary!E577</f>
        <v>MMcfd</v>
      </c>
    </row>
    <row r="576" spans="1:5" ht="15" customHeight="1" x14ac:dyDescent="0.2">
      <c r="A576" s="28">
        <f>Summary!A578</f>
        <v>2037</v>
      </c>
      <c r="B576" s="4" t="str">
        <f>Summary!B578</f>
        <v>Conditional</v>
      </c>
      <c r="C576" s="4" t="str">
        <f>Summary!C578</f>
        <v>Flaring</v>
      </c>
      <c r="D576" s="29">
        <f>Summary!D578</f>
        <v>0</v>
      </c>
      <c r="E576" s="4" t="str">
        <f>Summary!E578</f>
        <v>MMcfd</v>
      </c>
    </row>
    <row r="577" spans="1:5" ht="15" customHeight="1" x14ac:dyDescent="0.2">
      <c r="A577" s="28">
        <f>Summary!A579</f>
        <v>2038</v>
      </c>
      <c r="B577" s="4" t="str">
        <f>Summary!B579</f>
        <v>Conditional</v>
      </c>
      <c r="C577" s="4" t="str">
        <f>Summary!C579</f>
        <v>Flaring</v>
      </c>
      <c r="D577" s="29">
        <f>Summary!D579</f>
        <v>0</v>
      </c>
      <c r="E577" s="4" t="str">
        <f>Summary!E579</f>
        <v>MMcfd</v>
      </c>
    </row>
    <row r="578" spans="1:5" ht="15" customHeight="1" x14ac:dyDescent="0.2">
      <c r="A578" s="28">
        <f>Summary!A580</f>
        <v>2039</v>
      </c>
      <c r="B578" s="4" t="str">
        <f>Summary!B580</f>
        <v>Conditional</v>
      </c>
      <c r="C578" s="4" t="str">
        <f>Summary!C580</f>
        <v>Flaring</v>
      </c>
      <c r="D578" s="29">
        <f>Summary!D580</f>
        <v>0</v>
      </c>
      <c r="E578" s="4" t="str">
        <f>Summary!E580</f>
        <v>MMcfd</v>
      </c>
    </row>
    <row r="579" spans="1:5" ht="15" customHeight="1" x14ac:dyDescent="0.2">
      <c r="A579" s="28">
        <f>Summary!A581</f>
        <v>2040</v>
      </c>
      <c r="B579" s="4" t="str">
        <f>Summary!B581</f>
        <v>Conditional</v>
      </c>
      <c r="C579" s="4" t="str">
        <f>Summary!C581</f>
        <v>Flaring</v>
      </c>
      <c r="D579" s="29">
        <f>Summary!D581</f>
        <v>0</v>
      </c>
      <c r="E579" s="4" t="str">
        <f>Summary!E581</f>
        <v>MMcfd</v>
      </c>
    </row>
    <row r="580" spans="1:5" ht="15" customHeight="1" x14ac:dyDescent="0.2">
      <c r="A580" s="28">
        <f>Summary!A582</f>
        <v>2041</v>
      </c>
      <c r="B580" s="4" t="str">
        <f>Summary!B582</f>
        <v>Conditional</v>
      </c>
      <c r="C580" s="4" t="str">
        <f>Summary!C582</f>
        <v>Flaring</v>
      </c>
      <c r="D580" s="29">
        <f>Summary!D582</f>
        <v>0</v>
      </c>
      <c r="E580" s="4" t="str">
        <f>Summary!E582</f>
        <v>MMcfd</v>
      </c>
    </row>
    <row r="581" spans="1:5" ht="15" customHeight="1" x14ac:dyDescent="0.2">
      <c r="A581" s="28">
        <f>Summary!A583</f>
        <v>2042</v>
      </c>
      <c r="B581" s="4" t="str">
        <f>Summary!B583</f>
        <v>Conditional</v>
      </c>
      <c r="C581" s="4" t="str">
        <f>Summary!C583</f>
        <v>Flaring</v>
      </c>
      <c r="D581" s="29">
        <f>Summary!D583</f>
        <v>0</v>
      </c>
      <c r="E581" s="4" t="str">
        <f>Summary!E583</f>
        <v>MMcfd</v>
      </c>
    </row>
    <row r="582" spans="1:5" ht="15" customHeight="1" x14ac:dyDescent="0.2">
      <c r="A582" s="28">
        <f>Summary!A584</f>
        <v>2043</v>
      </c>
      <c r="B582" s="4" t="str">
        <f>Summary!B584</f>
        <v>Conditional</v>
      </c>
      <c r="C582" s="4" t="str">
        <f>Summary!C584</f>
        <v>Flaring</v>
      </c>
      <c r="D582" s="29">
        <f>Summary!D584</f>
        <v>0</v>
      </c>
      <c r="E582" s="4" t="str">
        <f>Summary!E584</f>
        <v>MMcfd</v>
      </c>
    </row>
    <row r="583" spans="1:5" ht="15" customHeight="1" x14ac:dyDescent="0.2">
      <c r="A583" s="28">
        <f>Summary!A585</f>
        <v>2044</v>
      </c>
      <c r="B583" s="4" t="str">
        <f>Summary!B585</f>
        <v>Conditional</v>
      </c>
      <c r="C583" s="4" t="str">
        <f>Summary!C585</f>
        <v>Flaring</v>
      </c>
      <c r="D583" s="29">
        <f>Summary!D585</f>
        <v>0</v>
      </c>
      <c r="E583" s="4" t="str">
        <f>Summary!E585</f>
        <v>MMcfd</v>
      </c>
    </row>
    <row r="584" spans="1:5" ht="15" customHeight="1" x14ac:dyDescent="0.2">
      <c r="A584" s="28">
        <f>Summary!A586</f>
        <v>2045</v>
      </c>
      <c r="B584" s="4" t="str">
        <f>Summary!B586</f>
        <v>Conditional</v>
      </c>
      <c r="C584" s="4" t="str">
        <f>Summary!C586</f>
        <v>Flaring</v>
      </c>
      <c r="D584" s="29">
        <f>Summary!D586</f>
        <v>0</v>
      </c>
      <c r="E584" s="4" t="str">
        <f>Summary!E586</f>
        <v>MMcfd</v>
      </c>
    </row>
    <row r="585" spans="1:5" ht="15" customHeight="1" x14ac:dyDescent="0.2">
      <c r="A585" s="28">
        <f>Summary!A587</f>
        <v>2046</v>
      </c>
      <c r="B585" s="4" t="str">
        <f>Summary!B587</f>
        <v>Conditional</v>
      </c>
      <c r="C585" s="4" t="str">
        <f>Summary!C587</f>
        <v>Flaring</v>
      </c>
      <c r="D585" s="29">
        <f>Summary!D587</f>
        <v>0</v>
      </c>
      <c r="E585" s="4" t="str">
        <f>Summary!E587</f>
        <v>MMcfd</v>
      </c>
    </row>
    <row r="586" spans="1:5" ht="15" customHeight="1" x14ac:dyDescent="0.2">
      <c r="A586" s="28">
        <f>Summary!A588</f>
        <v>2047</v>
      </c>
      <c r="B586" s="4" t="str">
        <f>Summary!B588</f>
        <v>Conditional</v>
      </c>
      <c r="C586" s="4" t="str">
        <f>Summary!C588</f>
        <v>Flaring</v>
      </c>
      <c r="D586" s="29">
        <f>Summary!D588</f>
        <v>0</v>
      </c>
      <c r="E586" s="4" t="str">
        <f>Summary!E588</f>
        <v>MMcfd</v>
      </c>
    </row>
    <row r="587" spans="1:5" ht="15" customHeight="1" x14ac:dyDescent="0.2">
      <c r="A587" s="28">
        <f>Summary!A589</f>
        <v>2048</v>
      </c>
      <c r="B587" s="4" t="str">
        <f>Summary!B589</f>
        <v>Conditional</v>
      </c>
      <c r="C587" s="4" t="str">
        <f>Summary!C589</f>
        <v>Flaring</v>
      </c>
      <c r="D587" s="29">
        <f>Summary!D589</f>
        <v>0</v>
      </c>
      <c r="E587" s="4" t="str">
        <f>Summary!E589</f>
        <v>MMcfd</v>
      </c>
    </row>
    <row r="588" spans="1:5" ht="15" customHeight="1" x14ac:dyDescent="0.2">
      <c r="A588" s="28">
        <f>Summary!A590</f>
        <v>2049</v>
      </c>
      <c r="B588" s="4" t="str">
        <f>Summary!B590</f>
        <v>Conditional</v>
      </c>
      <c r="C588" s="4" t="str">
        <f>Summary!C590</f>
        <v>Flaring</v>
      </c>
      <c r="D588" s="29">
        <f>Summary!D590</f>
        <v>0</v>
      </c>
      <c r="E588" s="4" t="str">
        <f>Summary!E590</f>
        <v>MMcfd</v>
      </c>
    </row>
    <row r="589" spans="1:5" ht="15" customHeight="1" x14ac:dyDescent="0.2">
      <c r="A589" s="28">
        <f>Summary!A591</f>
        <v>2050</v>
      </c>
      <c r="B589" s="4" t="str">
        <f>Summary!B591</f>
        <v>Conditional</v>
      </c>
      <c r="C589" s="4" t="str">
        <f>Summary!C591</f>
        <v>Flaring</v>
      </c>
      <c r="D589" s="29">
        <f>Summary!D591</f>
        <v>0</v>
      </c>
      <c r="E589" s="4" t="str">
        <f>Summary!E591</f>
        <v>MMcfd</v>
      </c>
    </row>
    <row r="590" spans="1:5" ht="15" customHeight="1" x14ac:dyDescent="0.2">
      <c r="A590" s="28">
        <f>Summary!A592</f>
        <v>2023</v>
      </c>
      <c r="B590" s="4" t="str">
        <f>Summary!B592</f>
        <v>Conditional</v>
      </c>
      <c r="C590" s="4" t="str">
        <f>Summary!C592</f>
        <v>Gas Recovery</v>
      </c>
      <c r="D590" s="29">
        <f>Summary!D592</f>
        <v>0</v>
      </c>
      <c r="E590" s="4" t="str">
        <f>Summary!E592</f>
        <v>MMcfd</v>
      </c>
    </row>
    <row r="591" spans="1:5" ht="15" customHeight="1" x14ac:dyDescent="0.2">
      <c r="A591" s="28">
        <f>Summary!A593</f>
        <v>2024</v>
      </c>
      <c r="B591" s="4" t="str">
        <f>Summary!B593</f>
        <v>Conditional</v>
      </c>
      <c r="C591" s="4" t="str">
        <f>Summary!C593</f>
        <v>Gas Recovery</v>
      </c>
      <c r="D591" s="29">
        <f>Summary!D593</f>
        <v>558.51035969190832</v>
      </c>
      <c r="E591" s="4" t="str">
        <f>Summary!E593</f>
        <v>MMcfd</v>
      </c>
    </row>
    <row r="592" spans="1:5" ht="15" customHeight="1" x14ac:dyDescent="0.2">
      <c r="A592" s="28">
        <f>Summary!A594</f>
        <v>2025</v>
      </c>
      <c r="B592" s="4" t="str">
        <f>Summary!B594</f>
        <v>Conditional</v>
      </c>
      <c r="C592" s="4" t="str">
        <f>Summary!C594</f>
        <v>Gas Recovery</v>
      </c>
      <c r="D592" s="29">
        <f>Summary!D594</f>
        <v>1095.4345271838797</v>
      </c>
      <c r="E592" s="4" t="str">
        <f>Summary!E594</f>
        <v>MMcfd</v>
      </c>
    </row>
    <row r="593" spans="1:5" ht="15" customHeight="1" x14ac:dyDescent="0.2">
      <c r="A593" s="28">
        <f>Summary!A595</f>
        <v>2026</v>
      </c>
      <c r="B593" s="4" t="str">
        <f>Summary!B595</f>
        <v>Conditional</v>
      </c>
      <c r="C593" s="4" t="str">
        <f>Summary!C595</f>
        <v>Gas Recovery</v>
      </c>
      <c r="D593" s="29">
        <f>Summary!D595</f>
        <v>1601.8451766468163</v>
      </c>
      <c r="E593" s="4" t="str">
        <f>Summary!E595</f>
        <v>MMcfd</v>
      </c>
    </row>
    <row r="594" spans="1:5" ht="15" customHeight="1" x14ac:dyDescent="0.2">
      <c r="A594" s="28">
        <f>Summary!A596</f>
        <v>2027</v>
      </c>
      <c r="B594" s="4" t="str">
        <f>Summary!B596</f>
        <v>Conditional</v>
      </c>
      <c r="C594" s="4" t="str">
        <f>Summary!C596</f>
        <v>Gas Recovery</v>
      </c>
      <c r="D594" s="29">
        <f>Summary!D596</f>
        <v>2053.277673599775</v>
      </c>
      <c r="E594" s="4" t="str">
        <f>Summary!E596</f>
        <v>MMcfd</v>
      </c>
    </row>
    <row r="595" spans="1:5" ht="15" customHeight="1" x14ac:dyDescent="0.2">
      <c r="A595" s="28">
        <f>Summary!A597</f>
        <v>2028</v>
      </c>
      <c r="B595" s="4" t="str">
        <f>Summary!B597</f>
        <v>Conditional</v>
      </c>
      <c r="C595" s="4" t="str">
        <f>Summary!C597</f>
        <v>Gas Recovery</v>
      </c>
      <c r="D595" s="29">
        <f>Summary!D597</f>
        <v>2428.5289218879111</v>
      </c>
      <c r="E595" s="4" t="str">
        <f>Summary!E597</f>
        <v>MMcfd</v>
      </c>
    </row>
    <row r="596" spans="1:5" ht="15" customHeight="1" x14ac:dyDescent="0.2">
      <c r="A596" s="28">
        <f>Summary!A598</f>
        <v>2029</v>
      </c>
      <c r="B596" s="4" t="str">
        <f>Summary!B598</f>
        <v>Conditional</v>
      </c>
      <c r="C596" s="4" t="str">
        <f>Summary!C598</f>
        <v>Gas Recovery</v>
      </c>
      <c r="D596" s="29">
        <f>Summary!D598</f>
        <v>2718.9441833802002</v>
      </c>
      <c r="E596" s="4" t="str">
        <f>Summary!E598</f>
        <v>MMcfd</v>
      </c>
    </row>
    <row r="597" spans="1:5" ht="15" customHeight="1" x14ac:dyDescent="0.2">
      <c r="A597" s="28">
        <f>Summary!A599</f>
        <v>2030</v>
      </c>
      <c r="B597" s="4" t="str">
        <f>Summary!B599</f>
        <v>Conditional</v>
      </c>
      <c r="C597" s="4" t="str">
        <f>Summary!C599</f>
        <v>Gas Recovery</v>
      </c>
      <c r="D597" s="29">
        <f>Summary!D599</f>
        <v>2925.6032182654726</v>
      </c>
      <c r="E597" s="4" t="str">
        <f>Summary!E599</f>
        <v>MMcfd</v>
      </c>
    </row>
    <row r="598" spans="1:5" ht="15" customHeight="1" x14ac:dyDescent="0.2">
      <c r="A598" s="28">
        <f>Summary!A600</f>
        <v>2031</v>
      </c>
      <c r="B598" s="4" t="str">
        <f>Summary!B600</f>
        <v>Conditional</v>
      </c>
      <c r="C598" s="4" t="str">
        <f>Summary!C600</f>
        <v>Gas Recovery</v>
      </c>
      <c r="D598" s="29">
        <f>Summary!D600</f>
        <v>3121.8629494562892</v>
      </c>
      <c r="E598" s="4" t="str">
        <f>Summary!E600</f>
        <v>MMcfd</v>
      </c>
    </row>
    <row r="599" spans="1:5" ht="15" customHeight="1" x14ac:dyDescent="0.2">
      <c r="A599" s="28">
        <f>Summary!A601</f>
        <v>2032</v>
      </c>
      <c r="B599" s="4" t="str">
        <f>Summary!B601</f>
        <v>Conditional</v>
      </c>
      <c r="C599" s="4" t="str">
        <f>Summary!C601</f>
        <v>Gas Recovery</v>
      </c>
      <c r="D599" s="29">
        <f>Summary!D601</f>
        <v>3234.646409021263</v>
      </c>
      <c r="E599" s="4" t="str">
        <f>Summary!E601</f>
        <v>MMcfd</v>
      </c>
    </row>
    <row r="600" spans="1:5" ht="15" customHeight="1" x14ac:dyDescent="0.2">
      <c r="A600" s="28">
        <f>Summary!A602</f>
        <v>2033</v>
      </c>
      <c r="B600" s="4" t="str">
        <f>Summary!B602</f>
        <v>Conditional</v>
      </c>
      <c r="C600" s="4" t="str">
        <f>Summary!C602</f>
        <v>Gas Recovery</v>
      </c>
      <c r="D600" s="29">
        <f>Summary!D602</f>
        <v>3295.6236743331528</v>
      </c>
      <c r="E600" s="4" t="str">
        <f>Summary!E602</f>
        <v>MMcfd</v>
      </c>
    </row>
    <row r="601" spans="1:5" ht="15" customHeight="1" x14ac:dyDescent="0.2">
      <c r="A601" s="28">
        <f>Summary!A603</f>
        <v>2034</v>
      </c>
      <c r="B601" s="4" t="str">
        <f>Summary!B603</f>
        <v>Conditional</v>
      </c>
      <c r="C601" s="4" t="str">
        <f>Summary!C603</f>
        <v>Gas Recovery</v>
      </c>
      <c r="D601" s="29">
        <f>Summary!D603</f>
        <v>3320.8653744981989</v>
      </c>
      <c r="E601" s="4" t="str">
        <f>Summary!E603</f>
        <v>MMcfd</v>
      </c>
    </row>
    <row r="602" spans="1:5" ht="15" customHeight="1" x14ac:dyDescent="0.2">
      <c r="A602" s="28">
        <f>Summary!A604</f>
        <v>2035</v>
      </c>
      <c r="B602" s="4" t="str">
        <f>Summary!B604</f>
        <v>Conditional</v>
      </c>
      <c r="C602" s="4" t="str">
        <f>Summary!C604</f>
        <v>Gas Recovery</v>
      </c>
      <c r="D602" s="29">
        <f>Summary!D604</f>
        <v>3336.0877459556241</v>
      </c>
      <c r="E602" s="4" t="str">
        <f>Summary!E604</f>
        <v>MMcfd</v>
      </c>
    </row>
    <row r="603" spans="1:5" ht="15" customHeight="1" x14ac:dyDescent="0.2">
      <c r="A603" s="28">
        <f>Summary!A605</f>
        <v>2036</v>
      </c>
      <c r="B603" s="4" t="str">
        <f>Summary!B605</f>
        <v>Conditional</v>
      </c>
      <c r="C603" s="4" t="str">
        <f>Summary!C605</f>
        <v>Gas Recovery</v>
      </c>
      <c r="D603" s="29">
        <f>Summary!D605</f>
        <v>3343.9317457933357</v>
      </c>
      <c r="E603" s="4" t="str">
        <f>Summary!E605</f>
        <v>MMcfd</v>
      </c>
    </row>
    <row r="604" spans="1:5" ht="15" customHeight="1" x14ac:dyDescent="0.2">
      <c r="A604" s="28">
        <f>Summary!A606</f>
        <v>2037</v>
      </c>
      <c r="B604" s="4" t="str">
        <f>Summary!B606</f>
        <v>Conditional</v>
      </c>
      <c r="C604" s="4" t="str">
        <f>Summary!C606</f>
        <v>Gas Recovery</v>
      </c>
      <c r="D604" s="29">
        <f>Summary!D606</f>
        <v>3346.7184601806057</v>
      </c>
      <c r="E604" s="4" t="str">
        <f>Summary!E606</f>
        <v>MMcfd</v>
      </c>
    </row>
    <row r="605" spans="1:5" ht="15" customHeight="1" x14ac:dyDescent="0.2">
      <c r="A605" s="28">
        <f>Summary!A607</f>
        <v>2038</v>
      </c>
      <c r="B605" s="4" t="str">
        <f>Summary!B607</f>
        <v>Conditional</v>
      </c>
      <c r="C605" s="4" t="str">
        <f>Summary!C607</f>
        <v>Gas Recovery</v>
      </c>
      <c r="D605" s="29">
        <f>Summary!D607</f>
        <v>3346.3728731911469</v>
      </c>
      <c r="E605" s="4" t="str">
        <f>Summary!E607</f>
        <v>MMcfd</v>
      </c>
    </row>
    <row r="606" spans="1:5" ht="15" customHeight="1" x14ac:dyDescent="0.2">
      <c r="A606" s="28">
        <f>Summary!A608</f>
        <v>2039</v>
      </c>
      <c r="B606" s="4" t="str">
        <f>Summary!B608</f>
        <v>Conditional</v>
      </c>
      <c r="C606" s="4" t="str">
        <f>Summary!C608</f>
        <v>Gas Recovery</v>
      </c>
      <c r="D606" s="29">
        <f>Summary!D608</f>
        <v>3344.4107946686172</v>
      </c>
      <c r="E606" s="4" t="str">
        <f>Summary!E608</f>
        <v>MMcfd</v>
      </c>
    </row>
    <row r="607" spans="1:5" ht="15" customHeight="1" x14ac:dyDescent="0.2">
      <c r="A607" s="28">
        <f>Summary!A609</f>
        <v>2040</v>
      </c>
      <c r="B607" s="4" t="str">
        <f>Summary!B609</f>
        <v>Conditional</v>
      </c>
      <c r="C607" s="4" t="str">
        <f>Summary!C609</f>
        <v>Gas Recovery</v>
      </c>
      <c r="D607" s="29">
        <f>Summary!D609</f>
        <v>3341.9633290247302</v>
      </c>
      <c r="E607" s="4" t="str">
        <f>Summary!E609</f>
        <v>MMcfd</v>
      </c>
    </row>
    <row r="608" spans="1:5" ht="15" customHeight="1" x14ac:dyDescent="0.2">
      <c r="A608" s="28">
        <f>Summary!A610</f>
        <v>2041</v>
      </c>
      <c r="B608" s="4" t="str">
        <f>Summary!B610</f>
        <v>Conditional</v>
      </c>
      <c r="C608" s="4" t="str">
        <f>Summary!C610</f>
        <v>Gas Recovery</v>
      </c>
      <c r="D608" s="29">
        <f>Summary!D610</f>
        <v>3339.8188789378305</v>
      </c>
      <c r="E608" s="4" t="str">
        <f>Summary!E610</f>
        <v>MMcfd</v>
      </c>
    </row>
    <row r="609" spans="1:5" ht="15" customHeight="1" x14ac:dyDescent="0.2">
      <c r="A609" s="28">
        <f>Summary!A611</f>
        <v>2042</v>
      </c>
      <c r="B609" s="4" t="str">
        <f>Summary!B611</f>
        <v>Conditional</v>
      </c>
      <c r="C609" s="4" t="str">
        <f>Summary!C611</f>
        <v>Gas Recovery</v>
      </c>
      <c r="D609" s="29">
        <f>Summary!D611</f>
        <v>3338.467987160469</v>
      </c>
      <c r="E609" s="4" t="str">
        <f>Summary!E611</f>
        <v>MMcfd</v>
      </c>
    </row>
    <row r="610" spans="1:5" ht="15" customHeight="1" x14ac:dyDescent="0.2">
      <c r="A610" s="28">
        <f>Summary!A612</f>
        <v>2043</v>
      </c>
      <c r="B610" s="4" t="str">
        <f>Summary!B612</f>
        <v>Conditional</v>
      </c>
      <c r="C610" s="4" t="str">
        <f>Summary!C612</f>
        <v>Gas Recovery</v>
      </c>
      <c r="D610" s="29">
        <f>Summary!D612</f>
        <v>3338.0413887932805</v>
      </c>
      <c r="E610" s="4" t="str">
        <f>Summary!E612</f>
        <v>MMcfd</v>
      </c>
    </row>
    <row r="611" spans="1:5" ht="15" customHeight="1" x14ac:dyDescent="0.2">
      <c r="A611" s="28">
        <f>Summary!A613</f>
        <v>2044</v>
      </c>
      <c r="B611" s="4" t="str">
        <f>Summary!B613</f>
        <v>Conditional</v>
      </c>
      <c r="C611" s="4" t="str">
        <f>Summary!C613</f>
        <v>Gas Recovery</v>
      </c>
      <c r="D611" s="29">
        <f>Summary!D613</f>
        <v>3338.2604409516312</v>
      </c>
      <c r="E611" s="4" t="str">
        <f>Summary!E613</f>
        <v>MMcfd</v>
      </c>
    </row>
    <row r="612" spans="1:5" ht="15" customHeight="1" x14ac:dyDescent="0.2">
      <c r="A612" s="28">
        <f>Summary!A614</f>
        <v>2045</v>
      </c>
      <c r="B612" s="4" t="str">
        <f>Summary!B614</f>
        <v>Conditional</v>
      </c>
      <c r="C612" s="4" t="str">
        <f>Summary!C614</f>
        <v>Gas Recovery</v>
      </c>
      <c r="D612" s="29">
        <f>Summary!D614</f>
        <v>3339.8734070538576</v>
      </c>
      <c r="E612" s="4" t="str">
        <f>Summary!E614</f>
        <v>MMcfd</v>
      </c>
    </row>
    <row r="613" spans="1:5" ht="15" customHeight="1" x14ac:dyDescent="0.2">
      <c r="A613" s="28">
        <f>Summary!A615</f>
        <v>2046</v>
      </c>
      <c r="B613" s="4" t="str">
        <f>Summary!B615</f>
        <v>Conditional</v>
      </c>
      <c r="C613" s="4" t="str">
        <f>Summary!C615</f>
        <v>Gas Recovery</v>
      </c>
      <c r="D613" s="29">
        <f>Summary!D615</f>
        <v>3342.6776048486231</v>
      </c>
      <c r="E613" s="4" t="str">
        <f>Summary!E615</f>
        <v>MMcfd</v>
      </c>
    </row>
    <row r="614" spans="1:5" ht="15" customHeight="1" x14ac:dyDescent="0.2">
      <c r="A614" s="28">
        <f>Summary!A616</f>
        <v>2047</v>
      </c>
      <c r="B614" s="4" t="str">
        <f>Summary!B616</f>
        <v>Conditional</v>
      </c>
      <c r="C614" s="4" t="str">
        <f>Summary!C616</f>
        <v>Gas Recovery</v>
      </c>
      <c r="D614" s="29">
        <f>Summary!D616</f>
        <v>3344.4799061187073</v>
      </c>
      <c r="E614" s="4" t="str">
        <f>Summary!E616</f>
        <v>MMcfd</v>
      </c>
    </row>
    <row r="615" spans="1:5" ht="15" customHeight="1" x14ac:dyDescent="0.2">
      <c r="A615" s="28">
        <f>Summary!A617</f>
        <v>2048</v>
      </c>
      <c r="B615" s="4" t="str">
        <f>Summary!B617</f>
        <v>Conditional</v>
      </c>
      <c r="C615" s="4" t="str">
        <f>Summary!C617</f>
        <v>Gas Recovery</v>
      </c>
      <c r="D615" s="29">
        <f>Summary!D617</f>
        <v>3346.7341051091416</v>
      </c>
      <c r="E615" s="4" t="str">
        <f>Summary!E617</f>
        <v>MMcfd</v>
      </c>
    </row>
    <row r="616" spans="1:5" ht="15" customHeight="1" x14ac:dyDescent="0.2">
      <c r="A616" s="28">
        <f>Summary!A618</f>
        <v>2049</v>
      </c>
      <c r="B616" s="4" t="str">
        <f>Summary!B618</f>
        <v>Conditional</v>
      </c>
      <c r="C616" s="4" t="str">
        <f>Summary!C618</f>
        <v>Gas Recovery</v>
      </c>
      <c r="D616" s="29">
        <f>Summary!D618</f>
        <v>3349.5770517207216</v>
      </c>
      <c r="E616" s="4" t="str">
        <f>Summary!E618</f>
        <v>MMcfd</v>
      </c>
    </row>
    <row r="617" spans="1:5" ht="15" customHeight="1" x14ac:dyDescent="0.2">
      <c r="A617" s="28">
        <f>Summary!A619</f>
        <v>2050</v>
      </c>
      <c r="B617" s="4" t="str">
        <f>Summary!B619</f>
        <v>Conditional</v>
      </c>
      <c r="C617" s="4" t="str">
        <f>Summary!C619</f>
        <v>Gas Recovery</v>
      </c>
      <c r="D617" s="29">
        <f>Summary!D619</f>
        <v>3352.6433875175244</v>
      </c>
      <c r="E617" s="4" t="str">
        <f>Summary!E619</f>
        <v>MMcfd</v>
      </c>
    </row>
    <row r="618" spans="1:5" x14ac:dyDescent="0.2">
      <c r="A618" s="34">
        <f>Summary!A622</f>
        <v>2023</v>
      </c>
      <c r="B618" s="34" t="str">
        <f>Summary!B622</f>
        <v>Unconditional</v>
      </c>
      <c r="C618" s="34" t="str">
        <f>Summary!C622</f>
        <v>Gas Recovery Revenue (Low, $4/MMBtu)</v>
      </c>
      <c r="D618" s="33">
        <f>Summary!D622</f>
        <v>0</v>
      </c>
      <c r="E618" s="34" t="str">
        <f>Summary!E622</f>
        <v>USD millions</v>
      </c>
    </row>
    <row r="619" spans="1:5" x14ac:dyDescent="0.2">
      <c r="A619" s="34">
        <f>Summary!A623</f>
        <v>2024</v>
      </c>
      <c r="B619" s="34" t="str">
        <f>Summary!B623</f>
        <v>Unconditional</v>
      </c>
      <c r="C619" s="34" t="str">
        <f>Summary!C623</f>
        <v>Gas Recovery Revenue (Low, $4/MMBtu)</v>
      </c>
      <c r="D619" s="33">
        <f>Summary!D623</f>
        <v>44.883234898995909</v>
      </c>
      <c r="E619" s="34" t="str">
        <f>Summary!E623</f>
        <v>USD millions</v>
      </c>
    </row>
    <row r="620" spans="1:5" x14ac:dyDescent="0.2">
      <c r="A620" s="34">
        <f>Summary!A624</f>
        <v>2025</v>
      </c>
      <c r="B620" s="34" t="str">
        <f>Summary!B624</f>
        <v>Unconditional</v>
      </c>
      <c r="C620" s="34" t="str">
        <f>Summary!C624</f>
        <v>Gas Recovery Revenue (Low, $4/MMBtu)</v>
      </c>
      <c r="D620" s="33">
        <f>Summary!D624</f>
        <v>90.064376978964162</v>
      </c>
      <c r="E620" s="34" t="str">
        <f>Summary!E624</f>
        <v>USD millions</v>
      </c>
    </row>
    <row r="621" spans="1:5" x14ac:dyDescent="0.2">
      <c r="A621" s="34">
        <f>Summary!A625</f>
        <v>2026</v>
      </c>
      <c r="B621" s="34" t="str">
        <f>Summary!B625</f>
        <v>Unconditional</v>
      </c>
      <c r="C621" s="34" t="str">
        <f>Summary!C625</f>
        <v>Gas Recovery Revenue (Low, $4/MMBtu)</v>
      </c>
      <c r="D621" s="33">
        <f>Summary!D625</f>
        <v>138.00425485813815</v>
      </c>
      <c r="E621" s="34" t="str">
        <f>Summary!E625</f>
        <v>USD millions</v>
      </c>
    </row>
    <row r="622" spans="1:5" x14ac:dyDescent="0.2">
      <c r="A622" s="34">
        <f>Summary!A626</f>
        <v>2027</v>
      </c>
      <c r="B622" s="34" t="str">
        <f>Summary!B626</f>
        <v>Unconditional</v>
      </c>
      <c r="C622" s="34" t="str">
        <f>Summary!C626</f>
        <v>Gas Recovery Revenue (Low, $4/MMBtu)</v>
      </c>
      <c r="D622" s="33">
        <f>Summary!D626</f>
        <v>190.20253946216255</v>
      </c>
      <c r="E622" s="34" t="str">
        <f>Summary!E626</f>
        <v>USD millions</v>
      </c>
    </row>
    <row r="623" spans="1:5" x14ac:dyDescent="0.2">
      <c r="A623" s="34">
        <f>Summary!A627</f>
        <v>2028</v>
      </c>
      <c r="B623" s="34" t="str">
        <f>Summary!B627</f>
        <v>Unconditional</v>
      </c>
      <c r="C623" s="34" t="str">
        <f>Summary!C627</f>
        <v>Gas Recovery Revenue (Low, $4/MMBtu)</v>
      </c>
      <c r="D623" s="33">
        <f>Summary!D627</f>
        <v>247.05342907016174</v>
      </c>
      <c r="E623" s="34" t="str">
        <f>Summary!E627</f>
        <v>USD millions</v>
      </c>
    </row>
    <row r="624" spans="1:5" x14ac:dyDescent="0.2">
      <c r="A624" s="34">
        <f>Summary!A628</f>
        <v>2029</v>
      </c>
      <c r="B624" s="34" t="str">
        <f>Summary!B628</f>
        <v>Unconditional</v>
      </c>
      <c r="C624" s="34" t="str">
        <f>Summary!C628</f>
        <v>Gas Recovery Revenue (Low, $4/MMBtu)</v>
      </c>
      <c r="D624" s="33">
        <f>Summary!D628</f>
        <v>307.68020327425035</v>
      </c>
      <c r="E624" s="34" t="str">
        <f>Summary!E628</f>
        <v>USD millions</v>
      </c>
    </row>
    <row r="625" spans="1:5" x14ac:dyDescent="0.2">
      <c r="A625" s="34">
        <f>Summary!A629</f>
        <v>2030</v>
      </c>
      <c r="B625" s="34" t="str">
        <f>Summary!B629</f>
        <v>Unconditional</v>
      </c>
      <c r="C625" s="34" t="str">
        <f>Summary!C629</f>
        <v>Gas Recovery Revenue (Low, $4/MMBtu)</v>
      </c>
      <c r="D625" s="33">
        <f>Summary!D629</f>
        <v>370.50295338267756</v>
      </c>
      <c r="E625" s="34" t="str">
        <f>Summary!E629</f>
        <v>USD millions</v>
      </c>
    </row>
    <row r="626" spans="1:5" x14ac:dyDescent="0.2">
      <c r="A626" s="34">
        <f>Summary!A630</f>
        <v>2031</v>
      </c>
      <c r="B626" s="34" t="str">
        <f>Summary!B630</f>
        <v>Unconditional</v>
      </c>
      <c r="C626" s="34" t="str">
        <f>Summary!C630</f>
        <v>Gas Recovery Revenue (Low, $4/MMBtu)</v>
      </c>
      <c r="D626" s="33">
        <f>Summary!D630</f>
        <v>443.23225572889788</v>
      </c>
      <c r="E626" s="34" t="str">
        <f>Summary!E630</f>
        <v>USD millions</v>
      </c>
    </row>
    <row r="627" spans="1:5" x14ac:dyDescent="0.2">
      <c r="A627" s="34">
        <f>Summary!A631</f>
        <v>2032</v>
      </c>
      <c r="B627" s="34" t="str">
        <f>Summary!B631</f>
        <v>Unconditional</v>
      </c>
      <c r="C627" s="34" t="str">
        <f>Summary!C631</f>
        <v>Gas Recovery Revenue (Low, $4/MMBtu)</v>
      </c>
      <c r="D627" s="33">
        <f>Summary!D631</f>
        <v>518.21893412224722</v>
      </c>
      <c r="E627" s="34" t="str">
        <f>Summary!E631</f>
        <v>USD millions</v>
      </c>
    </row>
    <row r="628" spans="1:5" x14ac:dyDescent="0.2">
      <c r="A628" s="34">
        <f>Summary!A632</f>
        <v>2033</v>
      </c>
      <c r="B628" s="34" t="str">
        <f>Summary!B632</f>
        <v>Unconditional</v>
      </c>
      <c r="C628" s="34" t="str">
        <f>Summary!C632</f>
        <v>Gas Recovery Revenue (Low, $4/MMBtu)</v>
      </c>
      <c r="D628" s="33">
        <f>Summary!D632</f>
        <v>594.56901784157969</v>
      </c>
      <c r="E628" s="34" t="str">
        <f>Summary!E632</f>
        <v>USD millions</v>
      </c>
    </row>
    <row r="629" spans="1:5" x14ac:dyDescent="0.2">
      <c r="A629" s="34">
        <f>Summary!A633</f>
        <v>2034</v>
      </c>
      <c r="B629" s="34" t="str">
        <f>Summary!B633</f>
        <v>Unconditional</v>
      </c>
      <c r="C629" s="34" t="str">
        <f>Summary!C633</f>
        <v>Gas Recovery Revenue (Low, $4/MMBtu)</v>
      </c>
      <c r="D629" s="33">
        <f>Summary!D633</f>
        <v>671.72678628538438</v>
      </c>
      <c r="E629" s="34" t="str">
        <f>Summary!E633</f>
        <v>USD millions</v>
      </c>
    </row>
    <row r="630" spans="1:5" x14ac:dyDescent="0.2">
      <c r="A630" s="34">
        <f>Summary!A634</f>
        <v>2035</v>
      </c>
      <c r="B630" s="34" t="str">
        <f>Summary!B634</f>
        <v>Unconditional</v>
      </c>
      <c r="C630" s="34" t="str">
        <f>Summary!C634</f>
        <v>Gas Recovery Revenue (Low, $4/MMBtu)</v>
      </c>
      <c r="D630" s="33">
        <f>Summary!D634</f>
        <v>749.43966587534965</v>
      </c>
      <c r="E630" s="34" t="str">
        <f>Summary!E634</f>
        <v>USD millions</v>
      </c>
    </row>
    <row r="631" spans="1:5" x14ac:dyDescent="0.2">
      <c r="A631" s="34">
        <f>Summary!A635</f>
        <v>2036</v>
      </c>
      <c r="B631" s="34" t="str">
        <f>Summary!B635</f>
        <v>Unconditional</v>
      </c>
      <c r="C631" s="34" t="str">
        <f>Summary!C635</f>
        <v>Gas Recovery Revenue (Low, $4/MMBtu)</v>
      </c>
      <c r="D631" s="33">
        <f>Summary!D635</f>
        <v>827.70088265357003</v>
      </c>
      <c r="E631" s="34" t="str">
        <f>Summary!E635</f>
        <v>USD millions</v>
      </c>
    </row>
    <row r="632" spans="1:5" x14ac:dyDescent="0.2">
      <c r="A632" s="34">
        <f>Summary!A636</f>
        <v>2037</v>
      </c>
      <c r="B632" s="34" t="str">
        <f>Summary!B636</f>
        <v>Unconditional</v>
      </c>
      <c r="C632" s="34" t="str">
        <f>Summary!C636</f>
        <v>Gas Recovery Revenue (Low, $4/MMBtu)</v>
      </c>
      <c r="D632" s="33">
        <f>Summary!D636</f>
        <v>906.68647018291574</v>
      </c>
      <c r="E632" s="34" t="str">
        <f>Summary!E636</f>
        <v>USD millions</v>
      </c>
    </row>
    <row r="633" spans="1:5" x14ac:dyDescent="0.2">
      <c r="A633" s="34">
        <f>Summary!A637</f>
        <v>2038</v>
      </c>
      <c r="B633" s="34" t="str">
        <f>Summary!B637</f>
        <v>Unconditional</v>
      </c>
      <c r="C633" s="34" t="str">
        <f>Summary!C637</f>
        <v>Gas Recovery Revenue (Low, $4/MMBtu)</v>
      </c>
      <c r="D633" s="33">
        <f>Summary!D637</f>
        <v>986.69672638214399</v>
      </c>
      <c r="E633" s="34" t="str">
        <f>Summary!E637</f>
        <v>USD millions</v>
      </c>
    </row>
    <row r="634" spans="1:5" x14ac:dyDescent="0.2">
      <c r="A634" s="34">
        <f>Summary!A638</f>
        <v>2039</v>
      </c>
      <c r="B634" s="34" t="str">
        <f>Summary!B638</f>
        <v>Unconditional</v>
      </c>
      <c r="C634" s="34" t="str">
        <f>Summary!C638</f>
        <v>Gas Recovery Revenue (Low, $4/MMBtu)</v>
      </c>
      <c r="D634" s="33">
        <f>Summary!D638</f>
        <v>1068.090866415748</v>
      </c>
      <c r="E634" s="34" t="str">
        <f>Summary!E638</f>
        <v>USD millions</v>
      </c>
    </row>
    <row r="635" spans="1:5" x14ac:dyDescent="0.2">
      <c r="A635" s="34">
        <f>Summary!A639</f>
        <v>2040</v>
      </c>
      <c r="B635" s="34" t="str">
        <f>Summary!B639</f>
        <v>Unconditional</v>
      </c>
      <c r="C635" s="34" t="str">
        <f>Summary!C639</f>
        <v>Gas Recovery Revenue (Low, $4/MMBtu)</v>
      </c>
      <c r="D635" s="33">
        <f>Summary!D639</f>
        <v>1151.2156036779518</v>
      </c>
      <c r="E635" s="34" t="str">
        <f>Summary!E639</f>
        <v>USD millions</v>
      </c>
    </row>
    <row r="636" spans="1:5" x14ac:dyDescent="0.2">
      <c r="A636" s="34">
        <f>Summary!A640</f>
        <v>2041</v>
      </c>
      <c r="B636" s="34" t="str">
        <f>Summary!B640</f>
        <v>Unconditional</v>
      </c>
      <c r="C636" s="34" t="str">
        <f>Summary!C640</f>
        <v>Gas Recovery Revenue (Low, $4/MMBtu)</v>
      </c>
      <c r="D636" s="33">
        <f>Summary!D640</f>
        <v>1236.3431435356088</v>
      </c>
      <c r="E636" s="34" t="str">
        <f>Summary!E640</f>
        <v>USD millions</v>
      </c>
    </row>
    <row r="637" spans="1:5" x14ac:dyDescent="0.2">
      <c r="A637" s="34">
        <f>Summary!A641</f>
        <v>2042</v>
      </c>
      <c r="B637" s="34" t="str">
        <f>Summary!B641</f>
        <v>Unconditional</v>
      </c>
      <c r="C637" s="34" t="str">
        <f>Summary!C641</f>
        <v>Gas Recovery Revenue (Low, $4/MMBtu)</v>
      </c>
      <c r="D637" s="33">
        <f>Summary!D641</f>
        <v>1323.6146925452595</v>
      </c>
      <c r="E637" s="34" t="str">
        <f>Summary!E641</f>
        <v>USD millions</v>
      </c>
    </row>
    <row r="638" spans="1:5" x14ac:dyDescent="0.2">
      <c r="A638" s="34">
        <f>Summary!A642</f>
        <v>2043</v>
      </c>
      <c r="B638" s="34" t="str">
        <f>Summary!B642</f>
        <v>Unconditional</v>
      </c>
      <c r="C638" s="34" t="str">
        <f>Summary!C642</f>
        <v>Gas Recovery Revenue (Low, $4/MMBtu)</v>
      </c>
      <c r="D638" s="33">
        <f>Summary!D642</f>
        <v>1413.0403631437302</v>
      </c>
      <c r="E638" s="34" t="str">
        <f>Summary!E642</f>
        <v>USD millions</v>
      </c>
    </row>
    <row r="639" spans="1:5" x14ac:dyDescent="0.2">
      <c r="A639" s="34">
        <f>Summary!A643</f>
        <v>2044</v>
      </c>
      <c r="B639" s="34" t="str">
        <f>Summary!B643</f>
        <v>Unconditional</v>
      </c>
      <c r="C639" s="34" t="str">
        <f>Summary!C643</f>
        <v>Gas Recovery Revenue (Low, $4/MMBtu)</v>
      </c>
      <c r="D639" s="33">
        <f>Summary!D643</f>
        <v>1504.5175600373839</v>
      </c>
      <c r="E639" s="34" t="str">
        <f>Summary!E643</f>
        <v>USD millions</v>
      </c>
    </row>
    <row r="640" spans="1:5" x14ac:dyDescent="0.2">
      <c r="A640" s="34">
        <f>Summary!A644</f>
        <v>2045</v>
      </c>
      <c r="B640" s="34" t="str">
        <f>Summary!B644</f>
        <v>Unconditional</v>
      </c>
      <c r="C640" s="34" t="str">
        <f>Summary!C644</f>
        <v>Gas Recovery Revenue (Low, $4/MMBtu)</v>
      </c>
      <c r="D640" s="33">
        <f>Summary!D644</f>
        <v>1597.8487247939306</v>
      </c>
      <c r="E640" s="34" t="str">
        <f>Summary!E644</f>
        <v>USD millions</v>
      </c>
    </row>
    <row r="641" spans="1:5" x14ac:dyDescent="0.2">
      <c r="A641" s="34">
        <f>Summary!A645</f>
        <v>2046</v>
      </c>
      <c r="B641" s="34" t="str">
        <f>Summary!B645</f>
        <v>Unconditional</v>
      </c>
      <c r="C641" s="34" t="str">
        <f>Summary!C645</f>
        <v>Gas Recovery Revenue (Low, $4/MMBtu)</v>
      </c>
      <c r="D641" s="33">
        <f>Summary!D645</f>
        <v>1692.759076446988</v>
      </c>
      <c r="E641" s="34" t="str">
        <f>Summary!E645</f>
        <v>USD millions</v>
      </c>
    </row>
    <row r="642" spans="1:5" x14ac:dyDescent="0.2">
      <c r="A642" s="34">
        <f>Summary!A646</f>
        <v>2047</v>
      </c>
      <c r="B642" s="34" t="str">
        <f>Summary!B646</f>
        <v>Unconditional</v>
      </c>
      <c r="C642" s="34" t="str">
        <f>Summary!C646</f>
        <v>Gas Recovery Revenue (Low, $4/MMBtu)</v>
      </c>
      <c r="D642" s="33">
        <f>Summary!D646</f>
        <v>1788.9163027215409</v>
      </c>
      <c r="E642" s="34" t="str">
        <f>Summary!E646</f>
        <v>USD millions</v>
      </c>
    </row>
    <row r="643" spans="1:5" x14ac:dyDescent="0.2">
      <c r="A643" s="34">
        <f>Summary!A647</f>
        <v>2048</v>
      </c>
      <c r="B643" s="34" t="str">
        <f>Summary!B647</f>
        <v>Unconditional</v>
      </c>
      <c r="C643" s="34" t="str">
        <f>Summary!C647</f>
        <v>Gas Recovery Revenue (Low, $4/MMBtu)</v>
      </c>
      <c r="D643" s="33">
        <f>Summary!D647</f>
        <v>1885.9552940780434</v>
      </c>
      <c r="E643" s="34" t="str">
        <f>Summary!E647</f>
        <v>USD millions</v>
      </c>
    </row>
    <row r="644" spans="1:5" x14ac:dyDescent="0.2">
      <c r="A644" s="34">
        <f>Summary!A648</f>
        <v>2049</v>
      </c>
      <c r="B644" s="34" t="str">
        <f>Summary!B648</f>
        <v>Unconditional</v>
      </c>
      <c r="C644" s="34" t="str">
        <f>Summary!C648</f>
        <v>Gas Recovery Revenue (Low, $4/MMBtu)</v>
      </c>
      <c r="D644" s="33">
        <f>Summary!D648</f>
        <v>1968.4679627272278</v>
      </c>
      <c r="E644" s="34" t="str">
        <f>Summary!E648</f>
        <v>USD millions</v>
      </c>
    </row>
    <row r="645" spans="1:5" x14ac:dyDescent="0.2">
      <c r="A645" s="34">
        <f>Summary!A649</f>
        <v>2050</v>
      </c>
      <c r="B645" s="34" t="str">
        <f>Summary!B649</f>
        <v>Unconditional</v>
      </c>
      <c r="C645" s="34" t="str">
        <f>Summary!C649</f>
        <v>Gas Recovery Revenue (Low, $4/MMBtu)</v>
      </c>
      <c r="D645" s="33">
        <f>Summary!D649</f>
        <v>2024.5895863285984</v>
      </c>
      <c r="E645" s="34" t="str">
        <f>Summary!E649</f>
        <v>USD millions</v>
      </c>
    </row>
    <row r="646" spans="1:5" x14ac:dyDescent="0.2">
      <c r="A646" s="34">
        <f>Summary!A650</f>
        <v>2023</v>
      </c>
      <c r="B646" s="34" t="str">
        <f>Summary!B650</f>
        <v>Unconditional</v>
      </c>
      <c r="C646" s="34" t="str">
        <f>Summary!C650</f>
        <v>Gas Recovery Revenue (Central, $8/MMBtu)</v>
      </c>
      <c r="D646" s="33">
        <f>Summary!D650</f>
        <v>0</v>
      </c>
      <c r="E646" s="34" t="str">
        <f>Summary!E650</f>
        <v>USD millions</v>
      </c>
    </row>
    <row r="647" spans="1:5" x14ac:dyDescent="0.2">
      <c r="A647" s="34">
        <f>Summary!A651</f>
        <v>2024</v>
      </c>
      <c r="B647" s="34" t="str">
        <f>Summary!B651</f>
        <v>Unconditional</v>
      </c>
      <c r="C647" s="34" t="str">
        <f>Summary!C651</f>
        <v>Gas Recovery Revenue (Central, $8/MMBtu)</v>
      </c>
      <c r="D647" s="33">
        <f>Summary!D651</f>
        <v>89.766469797991817</v>
      </c>
      <c r="E647" s="34" t="str">
        <f>Summary!E651</f>
        <v>USD millions</v>
      </c>
    </row>
    <row r="648" spans="1:5" x14ac:dyDescent="0.2">
      <c r="A648" s="34">
        <f>Summary!A652</f>
        <v>2025</v>
      </c>
      <c r="B648" s="34" t="str">
        <f>Summary!B652</f>
        <v>Unconditional</v>
      </c>
      <c r="C648" s="34" t="str">
        <f>Summary!C652</f>
        <v>Gas Recovery Revenue (Central, $8/MMBtu)</v>
      </c>
      <c r="D648" s="33">
        <f>Summary!D652</f>
        <v>180.12875395792832</v>
      </c>
      <c r="E648" s="34" t="str">
        <f>Summary!E652</f>
        <v>USD millions</v>
      </c>
    </row>
    <row r="649" spans="1:5" x14ac:dyDescent="0.2">
      <c r="A649" s="34">
        <f>Summary!A653</f>
        <v>2026</v>
      </c>
      <c r="B649" s="34" t="str">
        <f>Summary!B653</f>
        <v>Unconditional</v>
      </c>
      <c r="C649" s="34" t="str">
        <f>Summary!C653</f>
        <v>Gas Recovery Revenue (Central, $8/MMBtu)</v>
      </c>
      <c r="D649" s="33">
        <f>Summary!D653</f>
        <v>276.00850971627631</v>
      </c>
      <c r="E649" s="34" t="str">
        <f>Summary!E653</f>
        <v>USD millions</v>
      </c>
    </row>
    <row r="650" spans="1:5" x14ac:dyDescent="0.2">
      <c r="A650" s="34">
        <f>Summary!A654</f>
        <v>2027</v>
      </c>
      <c r="B650" s="34" t="str">
        <f>Summary!B654</f>
        <v>Unconditional</v>
      </c>
      <c r="C650" s="34" t="str">
        <f>Summary!C654</f>
        <v>Gas Recovery Revenue (Central, $8/MMBtu)</v>
      </c>
      <c r="D650" s="33">
        <f>Summary!D654</f>
        <v>380.4050789243251</v>
      </c>
      <c r="E650" s="34" t="str">
        <f>Summary!E654</f>
        <v>USD millions</v>
      </c>
    </row>
    <row r="651" spans="1:5" x14ac:dyDescent="0.2">
      <c r="A651" s="34">
        <f>Summary!A655</f>
        <v>2028</v>
      </c>
      <c r="B651" s="34" t="str">
        <f>Summary!B655</f>
        <v>Unconditional</v>
      </c>
      <c r="C651" s="34" t="str">
        <f>Summary!C655</f>
        <v>Gas Recovery Revenue (Central, $8/MMBtu)</v>
      </c>
      <c r="D651" s="33">
        <f>Summary!D655</f>
        <v>494.10685814032348</v>
      </c>
      <c r="E651" s="34" t="str">
        <f>Summary!E655</f>
        <v>USD millions</v>
      </c>
    </row>
    <row r="652" spans="1:5" x14ac:dyDescent="0.2">
      <c r="A652" s="34">
        <f>Summary!A656</f>
        <v>2029</v>
      </c>
      <c r="B652" s="34" t="str">
        <f>Summary!B656</f>
        <v>Unconditional</v>
      </c>
      <c r="C652" s="34" t="str">
        <f>Summary!C656</f>
        <v>Gas Recovery Revenue (Central, $8/MMBtu)</v>
      </c>
      <c r="D652" s="33">
        <f>Summary!D656</f>
        <v>615.36040654850069</v>
      </c>
      <c r="E652" s="34" t="str">
        <f>Summary!E656</f>
        <v>USD millions</v>
      </c>
    </row>
    <row r="653" spans="1:5" x14ac:dyDescent="0.2">
      <c r="A653" s="34">
        <f>Summary!A657</f>
        <v>2030</v>
      </c>
      <c r="B653" s="34" t="str">
        <f>Summary!B657</f>
        <v>Unconditional</v>
      </c>
      <c r="C653" s="34" t="str">
        <f>Summary!C657</f>
        <v>Gas Recovery Revenue (Central, $8/MMBtu)</v>
      </c>
      <c r="D653" s="33">
        <f>Summary!D657</f>
        <v>741.00590676535512</v>
      </c>
      <c r="E653" s="34" t="str">
        <f>Summary!E657</f>
        <v>USD millions</v>
      </c>
    </row>
    <row r="654" spans="1:5" x14ac:dyDescent="0.2">
      <c r="A654" s="34">
        <f>Summary!A658</f>
        <v>2031</v>
      </c>
      <c r="B654" s="34" t="str">
        <f>Summary!B658</f>
        <v>Unconditional</v>
      </c>
      <c r="C654" s="34" t="str">
        <f>Summary!C658</f>
        <v>Gas Recovery Revenue (Central, $8/MMBtu)</v>
      </c>
      <c r="D654" s="33">
        <f>Summary!D658</f>
        <v>886.46451145779577</v>
      </c>
      <c r="E654" s="34" t="str">
        <f>Summary!E658</f>
        <v>USD millions</v>
      </c>
    </row>
    <row r="655" spans="1:5" x14ac:dyDescent="0.2">
      <c r="A655" s="34">
        <f>Summary!A659</f>
        <v>2032</v>
      </c>
      <c r="B655" s="34" t="str">
        <f>Summary!B659</f>
        <v>Unconditional</v>
      </c>
      <c r="C655" s="34" t="str">
        <f>Summary!C659</f>
        <v>Gas Recovery Revenue (Central, $8/MMBtu)</v>
      </c>
      <c r="D655" s="33">
        <f>Summary!D659</f>
        <v>1036.4378682444944</v>
      </c>
      <c r="E655" s="34" t="str">
        <f>Summary!E659</f>
        <v>USD millions</v>
      </c>
    </row>
    <row r="656" spans="1:5" x14ac:dyDescent="0.2">
      <c r="A656" s="34">
        <f>Summary!A660</f>
        <v>2033</v>
      </c>
      <c r="B656" s="34" t="str">
        <f>Summary!B660</f>
        <v>Unconditional</v>
      </c>
      <c r="C656" s="34" t="str">
        <f>Summary!C660</f>
        <v>Gas Recovery Revenue (Central, $8/MMBtu)</v>
      </c>
      <c r="D656" s="33">
        <f>Summary!D660</f>
        <v>1189.1380356831594</v>
      </c>
      <c r="E656" s="34" t="str">
        <f>Summary!E660</f>
        <v>USD millions</v>
      </c>
    </row>
    <row r="657" spans="1:5" x14ac:dyDescent="0.2">
      <c r="A657" s="34">
        <f>Summary!A661</f>
        <v>2034</v>
      </c>
      <c r="B657" s="34" t="str">
        <f>Summary!B661</f>
        <v>Unconditional</v>
      </c>
      <c r="C657" s="34" t="str">
        <f>Summary!C661</f>
        <v>Gas Recovery Revenue (Central, $8/MMBtu)</v>
      </c>
      <c r="D657" s="33">
        <f>Summary!D661</f>
        <v>1343.4535725707688</v>
      </c>
      <c r="E657" s="34" t="str">
        <f>Summary!E661</f>
        <v>USD millions</v>
      </c>
    </row>
    <row r="658" spans="1:5" x14ac:dyDescent="0.2">
      <c r="A658" s="34">
        <f>Summary!A662</f>
        <v>2035</v>
      </c>
      <c r="B658" s="34" t="str">
        <f>Summary!B662</f>
        <v>Unconditional</v>
      </c>
      <c r="C658" s="34" t="str">
        <f>Summary!C662</f>
        <v>Gas Recovery Revenue (Central, $8/MMBtu)</v>
      </c>
      <c r="D658" s="33">
        <f>Summary!D662</f>
        <v>1498.8793317506993</v>
      </c>
      <c r="E658" s="34" t="str">
        <f>Summary!E662</f>
        <v>USD millions</v>
      </c>
    </row>
    <row r="659" spans="1:5" x14ac:dyDescent="0.2">
      <c r="A659" s="34">
        <f>Summary!A663</f>
        <v>2036</v>
      </c>
      <c r="B659" s="34" t="str">
        <f>Summary!B663</f>
        <v>Unconditional</v>
      </c>
      <c r="C659" s="34" t="str">
        <f>Summary!C663</f>
        <v>Gas Recovery Revenue (Central, $8/MMBtu)</v>
      </c>
      <c r="D659" s="33">
        <f>Summary!D663</f>
        <v>1655.4017653071401</v>
      </c>
      <c r="E659" s="34" t="str">
        <f>Summary!E663</f>
        <v>USD millions</v>
      </c>
    </row>
    <row r="660" spans="1:5" x14ac:dyDescent="0.2">
      <c r="A660" s="34">
        <f>Summary!A664</f>
        <v>2037</v>
      </c>
      <c r="B660" s="34" t="str">
        <f>Summary!B664</f>
        <v>Unconditional</v>
      </c>
      <c r="C660" s="34" t="str">
        <f>Summary!C664</f>
        <v>Gas Recovery Revenue (Central, $8/MMBtu)</v>
      </c>
      <c r="D660" s="33">
        <f>Summary!D664</f>
        <v>1813.3729403658315</v>
      </c>
      <c r="E660" s="34" t="str">
        <f>Summary!E664</f>
        <v>USD millions</v>
      </c>
    </row>
    <row r="661" spans="1:5" x14ac:dyDescent="0.2">
      <c r="A661" s="34">
        <f>Summary!A665</f>
        <v>2038</v>
      </c>
      <c r="B661" s="34" t="str">
        <f>Summary!B665</f>
        <v>Unconditional</v>
      </c>
      <c r="C661" s="34" t="str">
        <f>Summary!C665</f>
        <v>Gas Recovery Revenue (Central, $8/MMBtu)</v>
      </c>
      <c r="D661" s="33">
        <f>Summary!D665</f>
        <v>1973.393452764288</v>
      </c>
      <c r="E661" s="34" t="str">
        <f>Summary!E665</f>
        <v>USD millions</v>
      </c>
    </row>
    <row r="662" spans="1:5" x14ac:dyDescent="0.2">
      <c r="A662" s="34">
        <f>Summary!A666</f>
        <v>2039</v>
      </c>
      <c r="B662" s="34" t="str">
        <f>Summary!B666</f>
        <v>Unconditional</v>
      </c>
      <c r="C662" s="34" t="str">
        <f>Summary!C666</f>
        <v>Gas Recovery Revenue (Central, $8/MMBtu)</v>
      </c>
      <c r="D662" s="33">
        <f>Summary!D666</f>
        <v>2136.181732831496</v>
      </c>
      <c r="E662" s="34" t="str">
        <f>Summary!E666</f>
        <v>USD millions</v>
      </c>
    </row>
    <row r="663" spans="1:5" x14ac:dyDescent="0.2">
      <c r="A663" s="34">
        <f>Summary!A667</f>
        <v>2040</v>
      </c>
      <c r="B663" s="34" t="str">
        <f>Summary!B667</f>
        <v>Unconditional</v>
      </c>
      <c r="C663" s="34" t="str">
        <f>Summary!C667</f>
        <v>Gas Recovery Revenue (Central, $8/MMBtu)</v>
      </c>
      <c r="D663" s="33">
        <f>Summary!D667</f>
        <v>2302.4312073559036</v>
      </c>
      <c r="E663" s="34" t="str">
        <f>Summary!E667</f>
        <v>USD millions</v>
      </c>
    </row>
    <row r="664" spans="1:5" x14ac:dyDescent="0.2">
      <c r="A664" s="34">
        <f>Summary!A668</f>
        <v>2041</v>
      </c>
      <c r="B664" s="34" t="str">
        <f>Summary!B668</f>
        <v>Unconditional</v>
      </c>
      <c r="C664" s="34" t="str">
        <f>Summary!C668</f>
        <v>Gas Recovery Revenue (Central, $8/MMBtu)</v>
      </c>
      <c r="D664" s="33">
        <f>Summary!D668</f>
        <v>2472.6862870712175</v>
      </c>
      <c r="E664" s="34" t="str">
        <f>Summary!E668</f>
        <v>USD millions</v>
      </c>
    </row>
    <row r="665" spans="1:5" x14ac:dyDescent="0.2">
      <c r="A665" s="34">
        <f>Summary!A669</f>
        <v>2042</v>
      </c>
      <c r="B665" s="34" t="str">
        <f>Summary!B669</f>
        <v>Unconditional</v>
      </c>
      <c r="C665" s="34" t="str">
        <f>Summary!C669</f>
        <v>Gas Recovery Revenue (Central, $8/MMBtu)</v>
      </c>
      <c r="D665" s="33">
        <f>Summary!D669</f>
        <v>2647.2293850905189</v>
      </c>
      <c r="E665" s="34" t="str">
        <f>Summary!E669</f>
        <v>USD millions</v>
      </c>
    </row>
    <row r="666" spans="1:5" x14ac:dyDescent="0.2">
      <c r="A666" s="34">
        <f>Summary!A670</f>
        <v>2043</v>
      </c>
      <c r="B666" s="34" t="str">
        <f>Summary!B670</f>
        <v>Unconditional</v>
      </c>
      <c r="C666" s="34" t="str">
        <f>Summary!C670</f>
        <v>Gas Recovery Revenue (Central, $8/MMBtu)</v>
      </c>
      <c r="D666" s="33">
        <f>Summary!D670</f>
        <v>2826.0807262874605</v>
      </c>
      <c r="E666" s="34" t="str">
        <f>Summary!E670</f>
        <v>USD millions</v>
      </c>
    </row>
    <row r="667" spans="1:5" x14ac:dyDescent="0.2">
      <c r="A667" s="34">
        <f>Summary!A671</f>
        <v>2044</v>
      </c>
      <c r="B667" s="34" t="str">
        <f>Summary!B671</f>
        <v>Unconditional</v>
      </c>
      <c r="C667" s="34" t="str">
        <f>Summary!C671</f>
        <v>Gas Recovery Revenue (Central, $8/MMBtu)</v>
      </c>
      <c r="D667" s="33">
        <f>Summary!D671</f>
        <v>3009.0351200747677</v>
      </c>
      <c r="E667" s="34" t="str">
        <f>Summary!E671</f>
        <v>USD millions</v>
      </c>
    </row>
    <row r="668" spans="1:5" x14ac:dyDescent="0.2">
      <c r="A668" s="34">
        <f>Summary!A672</f>
        <v>2045</v>
      </c>
      <c r="B668" s="34" t="str">
        <f>Summary!B672</f>
        <v>Unconditional</v>
      </c>
      <c r="C668" s="34" t="str">
        <f>Summary!C672</f>
        <v>Gas Recovery Revenue (Central, $8/MMBtu)</v>
      </c>
      <c r="D668" s="33">
        <f>Summary!D672</f>
        <v>3195.6974495878612</v>
      </c>
      <c r="E668" s="34" t="str">
        <f>Summary!E672</f>
        <v>USD millions</v>
      </c>
    </row>
    <row r="669" spans="1:5" x14ac:dyDescent="0.2">
      <c r="A669" s="34">
        <f>Summary!A673</f>
        <v>2046</v>
      </c>
      <c r="B669" s="34" t="str">
        <f>Summary!B673</f>
        <v>Unconditional</v>
      </c>
      <c r="C669" s="34" t="str">
        <f>Summary!C673</f>
        <v>Gas Recovery Revenue (Central, $8/MMBtu)</v>
      </c>
      <c r="D669" s="33">
        <f>Summary!D673</f>
        <v>3385.5181528939761</v>
      </c>
      <c r="E669" s="34" t="str">
        <f>Summary!E673</f>
        <v>USD millions</v>
      </c>
    </row>
    <row r="670" spans="1:5" x14ac:dyDescent="0.2">
      <c r="A670" s="34">
        <f>Summary!A674</f>
        <v>2047</v>
      </c>
      <c r="B670" s="34" t="str">
        <f>Summary!B674</f>
        <v>Unconditional</v>
      </c>
      <c r="C670" s="34" t="str">
        <f>Summary!C674</f>
        <v>Gas Recovery Revenue (Central, $8/MMBtu)</v>
      </c>
      <c r="D670" s="33">
        <f>Summary!D674</f>
        <v>3577.8326054430818</v>
      </c>
      <c r="E670" s="34" t="str">
        <f>Summary!E674</f>
        <v>USD millions</v>
      </c>
    </row>
    <row r="671" spans="1:5" x14ac:dyDescent="0.2">
      <c r="A671" s="34">
        <f>Summary!A675</f>
        <v>2048</v>
      </c>
      <c r="B671" s="34" t="str">
        <f>Summary!B675</f>
        <v>Unconditional</v>
      </c>
      <c r="C671" s="34" t="str">
        <f>Summary!C675</f>
        <v>Gas Recovery Revenue (Central, $8/MMBtu)</v>
      </c>
      <c r="D671" s="33">
        <f>Summary!D675</f>
        <v>3771.9105881560868</v>
      </c>
      <c r="E671" s="34" t="str">
        <f>Summary!E675</f>
        <v>USD millions</v>
      </c>
    </row>
    <row r="672" spans="1:5" x14ac:dyDescent="0.2">
      <c r="A672" s="34">
        <f>Summary!A676</f>
        <v>2049</v>
      </c>
      <c r="B672" s="34" t="str">
        <f>Summary!B676</f>
        <v>Unconditional</v>
      </c>
      <c r="C672" s="34" t="str">
        <f>Summary!C676</f>
        <v>Gas Recovery Revenue (Central, $8/MMBtu)</v>
      </c>
      <c r="D672" s="33">
        <f>Summary!D676</f>
        <v>3936.9359254544556</v>
      </c>
      <c r="E672" s="34" t="str">
        <f>Summary!E676</f>
        <v>USD millions</v>
      </c>
    </row>
    <row r="673" spans="1:5" x14ac:dyDescent="0.2">
      <c r="A673" s="34">
        <f>Summary!A677</f>
        <v>2050</v>
      </c>
      <c r="B673" s="34" t="str">
        <f>Summary!B677</f>
        <v>Unconditional</v>
      </c>
      <c r="C673" s="34" t="str">
        <f>Summary!C677</f>
        <v>Gas Recovery Revenue (Central, $8/MMBtu)</v>
      </c>
      <c r="D673" s="33">
        <f>Summary!D677</f>
        <v>4049.1791726571969</v>
      </c>
      <c r="E673" s="34" t="str">
        <f>Summary!E677</f>
        <v>USD millions</v>
      </c>
    </row>
    <row r="674" spans="1:5" x14ac:dyDescent="0.2">
      <c r="A674" s="34">
        <f>Summary!A678</f>
        <v>2023</v>
      </c>
      <c r="B674" s="34" t="str">
        <f>Summary!B678</f>
        <v>Unconditional</v>
      </c>
      <c r="C674" s="34" t="str">
        <f>Summary!C678</f>
        <v>Gas Recovery Revenue (High, $12/MMBtu)</v>
      </c>
      <c r="D674" s="33">
        <f>Summary!D678</f>
        <v>0</v>
      </c>
      <c r="E674" s="34" t="str">
        <f>Summary!E678</f>
        <v>USD millions</v>
      </c>
    </row>
    <row r="675" spans="1:5" x14ac:dyDescent="0.2">
      <c r="A675" s="34">
        <f>Summary!A679</f>
        <v>2024</v>
      </c>
      <c r="B675" s="34" t="str">
        <f>Summary!B679</f>
        <v>Unconditional</v>
      </c>
      <c r="C675" s="34" t="str">
        <f>Summary!C679</f>
        <v>Gas Recovery Revenue (High, $12/MMBtu)</v>
      </c>
      <c r="D675" s="33">
        <f>Summary!D679</f>
        <v>134.64970469698773</v>
      </c>
      <c r="E675" s="34" t="str">
        <f>Summary!E679</f>
        <v>USD millions</v>
      </c>
    </row>
    <row r="676" spans="1:5" x14ac:dyDescent="0.2">
      <c r="A676" s="34">
        <f>Summary!A680</f>
        <v>2025</v>
      </c>
      <c r="B676" s="34" t="str">
        <f>Summary!B680</f>
        <v>Unconditional</v>
      </c>
      <c r="C676" s="34" t="str">
        <f>Summary!C680</f>
        <v>Gas Recovery Revenue (High, $12/MMBtu)</v>
      </c>
      <c r="D676" s="33">
        <f>Summary!D680</f>
        <v>270.19313093689249</v>
      </c>
      <c r="E676" s="34" t="str">
        <f>Summary!E680</f>
        <v>USD millions</v>
      </c>
    </row>
    <row r="677" spans="1:5" x14ac:dyDescent="0.2">
      <c r="A677" s="34">
        <f>Summary!A681</f>
        <v>2026</v>
      </c>
      <c r="B677" s="34" t="str">
        <f>Summary!B681</f>
        <v>Unconditional</v>
      </c>
      <c r="C677" s="34" t="str">
        <f>Summary!C681</f>
        <v>Gas Recovery Revenue (High, $12/MMBtu)</v>
      </c>
      <c r="D677" s="33">
        <f>Summary!D681</f>
        <v>414.01276457441446</v>
      </c>
      <c r="E677" s="34" t="str">
        <f>Summary!E681</f>
        <v>USD millions</v>
      </c>
    </row>
    <row r="678" spans="1:5" x14ac:dyDescent="0.2">
      <c r="A678" s="34">
        <f>Summary!A682</f>
        <v>2027</v>
      </c>
      <c r="B678" s="34" t="str">
        <f>Summary!B682</f>
        <v>Unconditional</v>
      </c>
      <c r="C678" s="34" t="str">
        <f>Summary!C682</f>
        <v>Gas Recovery Revenue (High, $12/MMBtu)</v>
      </c>
      <c r="D678" s="33">
        <f>Summary!D682</f>
        <v>570.60761838648762</v>
      </c>
      <c r="E678" s="34" t="str">
        <f>Summary!E682</f>
        <v>USD millions</v>
      </c>
    </row>
    <row r="679" spans="1:5" x14ac:dyDescent="0.2">
      <c r="A679" s="34">
        <f>Summary!A683</f>
        <v>2028</v>
      </c>
      <c r="B679" s="34" t="str">
        <f>Summary!B683</f>
        <v>Unconditional</v>
      </c>
      <c r="C679" s="34" t="str">
        <f>Summary!C683</f>
        <v>Gas Recovery Revenue (High, $12/MMBtu)</v>
      </c>
      <c r="D679" s="33">
        <f>Summary!D683</f>
        <v>741.16028721048519</v>
      </c>
      <c r="E679" s="34" t="str">
        <f>Summary!E683</f>
        <v>USD millions</v>
      </c>
    </row>
    <row r="680" spans="1:5" x14ac:dyDescent="0.2">
      <c r="A680" s="34">
        <f>Summary!A684</f>
        <v>2029</v>
      </c>
      <c r="B680" s="34" t="str">
        <f>Summary!B684</f>
        <v>Unconditional</v>
      </c>
      <c r="C680" s="34" t="str">
        <f>Summary!C684</f>
        <v>Gas Recovery Revenue (High, $12/MMBtu)</v>
      </c>
      <c r="D680" s="33">
        <f>Summary!D684</f>
        <v>923.04060982275109</v>
      </c>
      <c r="E680" s="34" t="str">
        <f>Summary!E684</f>
        <v>USD millions</v>
      </c>
    </row>
    <row r="681" spans="1:5" x14ac:dyDescent="0.2">
      <c r="A681" s="34">
        <f>Summary!A685</f>
        <v>2030</v>
      </c>
      <c r="B681" s="34" t="str">
        <f>Summary!B685</f>
        <v>Unconditional</v>
      </c>
      <c r="C681" s="34" t="str">
        <f>Summary!C685</f>
        <v>Gas Recovery Revenue (High, $12/MMBtu)</v>
      </c>
      <c r="D681" s="33">
        <f>Summary!D685</f>
        <v>1111.5088601480327</v>
      </c>
      <c r="E681" s="34" t="str">
        <f>Summary!E685</f>
        <v>USD millions</v>
      </c>
    </row>
    <row r="682" spans="1:5" x14ac:dyDescent="0.2">
      <c r="A682" s="34">
        <f>Summary!A686</f>
        <v>2031</v>
      </c>
      <c r="B682" s="34" t="str">
        <f>Summary!B686</f>
        <v>Unconditional</v>
      </c>
      <c r="C682" s="34" t="str">
        <f>Summary!C686</f>
        <v>Gas Recovery Revenue (High, $12/MMBtu)</v>
      </c>
      <c r="D682" s="33">
        <f>Summary!D686</f>
        <v>1329.6967671866937</v>
      </c>
      <c r="E682" s="34" t="str">
        <f>Summary!E686</f>
        <v>USD millions</v>
      </c>
    </row>
    <row r="683" spans="1:5" x14ac:dyDescent="0.2">
      <c r="A683" s="34">
        <f>Summary!A687</f>
        <v>2032</v>
      </c>
      <c r="B683" s="34" t="str">
        <f>Summary!B687</f>
        <v>Unconditional</v>
      </c>
      <c r="C683" s="34" t="str">
        <f>Summary!C687</f>
        <v>Gas Recovery Revenue (High, $12/MMBtu)</v>
      </c>
      <c r="D683" s="33">
        <f>Summary!D687</f>
        <v>1554.6568023667417</v>
      </c>
      <c r="E683" s="34" t="str">
        <f>Summary!E687</f>
        <v>USD millions</v>
      </c>
    </row>
    <row r="684" spans="1:5" x14ac:dyDescent="0.2">
      <c r="A684" s="34">
        <f>Summary!A688</f>
        <v>2033</v>
      </c>
      <c r="B684" s="34" t="str">
        <f>Summary!B688</f>
        <v>Unconditional</v>
      </c>
      <c r="C684" s="34" t="str">
        <f>Summary!C688</f>
        <v>Gas Recovery Revenue (High, $12/MMBtu)</v>
      </c>
      <c r="D684" s="33">
        <f>Summary!D688</f>
        <v>1783.707053524739</v>
      </c>
      <c r="E684" s="34" t="str">
        <f>Summary!E688</f>
        <v>USD millions</v>
      </c>
    </row>
    <row r="685" spans="1:5" x14ac:dyDescent="0.2">
      <c r="A685" s="34">
        <f>Summary!A689</f>
        <v>2034</v>
      </c>
      <c r="B685" s="34" t="str">
        <f>Summary!B689</f>
        <v>Unconditional</v>
      </c>
      <c r="C685" s="34" t="str">
        <f>Summary!C689</f>
        <v>Gas Recovery Revenue (High, $12/MMBtu)</v>
      </c>
      <c r="D685" s="33">
        <f>Summary!D689</f>
        <v>2015.1803588561531</v>
      </c>
      <c r="E685" s="34" t="str">
        <f>Summary!E689</f>
        <v>USD millions</v>
      </c>
    </row>
    <row r="686" spans="1:5" x14ac:dyDescent="0.2">
      <c r="A686" s="34">
        <f>Summary!A690</f>
        <v>2035</v>
      </c>
      <c r="B686" s="34" t="str">
        <f>Summary!B690</f>
        <v>Unconditional</v>
      </c>
      <c r="C686" s="34" t="str">
        <f>Summary!C690</f>
        <v>Gas Recovery Revenue (High, $12/MMBtu)</v>
      </c>
      <c r="D686" s="33">
        <f>Summary!D690</f>
        <v>2248.3189976260492</v>
      </c>
      <c r="E686" s="34" t="str">
        <f>Summary!E690</f>
        <v>USD millions</v>
      </c>
    </row>
    <row r="687" spans="1:5" x14ac:dyDescent="0.2">
      <c r="A687" s="34">
        <f>Summary!A691</f>
        <v>2036</v>
      </c>
      <c r="B687" s="34" t="str">
        <f>Summary!B691</f>
        <v>Unconditional</v>
      </c>
      <c r="C687" s="34" t="str">
        <f>Summary!C691</f>
        <v>Gas Recovery Revenue (High, $12/MMBtu)</v>
      </c>
      <c r="D687" s="33">
        <f>Summary!D691</f>
        <v>2483.1026479607099</v>
      </c>
      <c r="E687" s="34" t="str">
        <f>Summary!E691</f>
        <v>USD millions</v>
      </c>
    </row>
    <row r="688" spans="1:5" x14ac:dyDescent="0.2">
      <c r="A688" s="34">
        <f>Summary!A692</f>
        <v>2037</v>
      </c>
      <c r="B688" s="34" t="str">
        <f>Summary!B692</f>
        <v>Unconditional</v>
      </c>
      <c r="C688" s="34" t="str">
        <f>Summary!C692</f>
        <v>Gas Recovery Revenue (High, $12/MMBtu)</v>
      </c>
      <c r="D688" s="33">
        <f>Summary!D692</f>
        <v>2720.0594105487471</v>
      </c>
      <c r="E688" s="34" t="str">
        <f>Summary!E692</f>
        <v>USD millions</v>
      </c>
    </row>
    <row r="689" spans="1:5" x14ac:dyDescent="0.2">
      <c r="A689" s="34">
        <f>Summary!A693</f>
        <v>2038</v>
      </c>
      <c r="B689" s="34" t="str">
        <f>Summary!B693</f>
        <v>Unconditional</v>
      </c>
      <c r="C689" s="34" t="str">
        <f>Summary!C693</f>
        <v>Gas Recovery Revenue (High, $12/MMBtu)</v>
      </c>
      <c r="D689" s="33">
        <f>Summary!D693</f>
        <v>2960.0901791464321</v>
      </c>
      <c r="E689" s="34" t="str">
        <f>Summary!E693</f>
        <v>USD millions</v>
      </c>
    </row>
    <row r="690" spans="1:5" x14ac:dyDescent="0.2">
      <c r="A690" s="34">
        <f>Summary!A694</f>
        <v>2039</v>
      </c>
      <c r="B690" s="34" t="str">
        <f>Summary!B694</f>
        <v>Unconditional</v>
      </c>
      <c r="C690" s="34" t="str">
        <f>Summary!C694</f>
        <v>Gas Recovery Revenue (High, $12/MMBtu)</v>
      </c>
      <c r="D690" s="33">
        <f>Summary!D694</f>
        <v>3204.2725992472442</v>
      </c>
      <c r="E690" s="34" t="str">
        <f>Summary!E694</f>
        <v>USD millions</v>
      </c>
    </row>
    <row r="691" spans="1:5" x14ac:dyDescent="0.2">
      <c r="A691" s="34">
        <f>Summary!A695</f>
        <v>2040</v>
      </c>
      <c r="B691" s="34" t="str">
        <f>Summary!B695</f>
        <v>Unconditional</v>
      </c>
      <c r="C691" s="34" t="str">
        <f>Summary!C695</f>
        <v>Gas Recovery Revenue (High, $12/MMBtu)</v>
      </c>
      <c r="D691" s="33">
        <f>Summary!D695</f>
        <v>3453.6468110338556</v>
      </c>
      <c r="E691" s="34" t="str">
        <f>Summary!E695</f>
        <v>USD millions</v>
      </c>
    </row>
    <row r="692" spans="1:5" x14ac:dyDescent="0.2">
      <c r="A692" s="34">
        <f>Summary!A696</f>
        <v>2041</v>
      </c>
      <c r="B692" s="34" t="str">
        <f>Summary!B696</f>
        <v>Unconditional</v>
      </c>
      <c r="C692" s="34" t="str">
        <f>Summary!C696</f>
        <v>Gas Recovery Revenue (High, $12/MMBtu)</v>
      </c>
      <c r="D692" s="33">
        <f>Summary!D696</f>
        <v>3709.0294306068263</v>
      </c>
      <c r="E692" s="34" t="str">
        <f>Summary!E696</f>
        <v>USD millions</v>
      </c>
    </row>
    <row r="693" spans="1:5" x14ac:dyDescent="0.2">
      <c r="A693" s="34">
        <f>Summary!A697</f>
        <v>2042</v>
      </c>
      <c r="B693" s="34" t="str">
        <f>Summary!B697</f>
        <v>Unconditional</v>
      </c>
      <c r="C693" s="34" t="str">
        <f>Summary!C697</f>
        <v>Gas Recovery Revenue (High, $12/MMBtu)</v>
      </c>
      <c r="D693" s="33">
        <f>Summary!D697</f>
        <v>3970.8440776357784</v>
      </c>
      <c r="E693" s="34" t="str">
        <f>Summary!E697</f>
        <v>USD millions</v>
      </c>
    </row>
    <row r="694" spans="1:5" x14ac:dyDescent="0.2">
      <c r="A694" s="34">
        <f>Summary!A698</f>
        <v>2043</v>
      </c>
      <c r="B694" s="34" t="str">
        <f>Summary!B698</f>
        <v>Unconditional</v>
      </c>
      <c r="C694" s="34" t="str">
        <f>Summary!C698</f>
        <v>Gas Recovery Revenue (High, $12/MMBtu)</v>
      </c>
      <c r="D694" s="33">
        <f>Summary!D698</f>
        <v>4239.1210894311907</v>
      </c>
      <c r="E694" s="34" t="str">
        <f>Summary!E698</f>
        <v>USD millions</v>
      </c>
    </row>
    <row r="695" spans="1:5" x14ac:dyDescent="0.2">
      <c r="A695" s="34">
        <f>Summary!A699</f>
        <v>2044</v>
      </c>
      <c r="B695" s="34" t="str">
        <f>Summary!B699</f>
        <v>Unconditional</v>
      </c>
      <c r="C695" s="34" t="str">
        <f>Summary!C699</f>
        <v>Gas Recovery Revenue (High, $12/MMBtu)</v>
      </c>
      <c r="D695" s="33">
        <f>Summary!D699</f>
        <v>4513.5526801121514</v>
      </c>
      <c r="E695" s="34" t="str">
        <f>Summary!E699</f>
        <v>USD millions</v>
      </c>
    </row>
    <row r="696" spans="1:5" x14ac:dyDescent="0.2">
      <c r="A696" s="34">
        <f>Summary!A700</f>
        <v>2045</v>
      </c>
      <c r="B696" s="34" t="str">
        <f>Summary!B700</f>
        <v>Unconditional</v>
      </c>
      <c r="C696" s="34" t="str">
        <f>Summary!C700</f>
        <v>Gas Recovery Revenue (High, $12/MMBtu)</v>
      </c>
      <c r="D696" s="33">
        <f>Summary!D700</f>
        <v>4793.5461743817923</v>
      </c>
      <c r="E696" s="34" t="str">
        <f>Summary!E700</f>
        <v>USD millions</v>
      </c>
    </row>
    <row r="697" spans="1:5" x14ac:dyDescent="0.2">
      <c r="A697" s="34">
        <f>Summary!A701</f>
        <v>2046</v>
      </c>
      <c r="B697" s="34" t="str">
        <f>Summary!B701</f>
        <v>Unconditional</v>
      </c>
      <c r="C697" s="34" t="str">
        <f>Summary!C701</f>
        <v>Gas Recovery Revenue (High, $12/MMBtu)</v>
      </c>
      <c r="D697" s="33">
        <f>Summary!D701</f>
        <v>5078.2772293409644</v>
      </c>
      <c r="E697" s="34" t="str">
        <f>Summary!E701</f>
        <v>USD millions</v>
      </c>
    </row>
    <row r="698" spans="1:5" x14ac:dyDescent="0.2">
      <c r="A698" s="34">
        <f>Summary!A702</f>
        <v>2047</v>
      </c>
      <c r="B698" s="34" t="str">
        <f>Summary!B702</f>
        <v>Unconditional</v>
      </c>
      <c r="C698" s="34" t="str">
        <f>Summary!C702</f>
        <v>Gas Recovery Revenue (High, $12/MMBtu)</v>
      </c>
      <c r="D698" s="33">
        <f>Summary!D702</f>
        <v>5366.7489081646227</v>
      </c>
      <c r="E698" s="34" t="str">
        <f>Summary!E702</f>
        <v>USD millions</v>
      </c>
    </row>
    <row r="699" spans="1:5" x14ac:dyDescent="0.2">
      <c r="A699" s="34">
        <f>Summary!A703</f>
        <v>2048</v>
      </c>
      <c r="B699" s="34" t="str">
        <f>Summary!B703</f>
        <v>Unconditional</v>
      </c>
      <c r="C699" s="34" t="str">
        <f>Summary!C703</f>
        <v>Gas Recovery Revenue (High, $12/MMBtu)</v>
      </c>
      <c r="D699" s="33">
        <f>Summary!D703</f>
        <v>5657.8658822341304</v>
      </c>
      <c r="E699" s="34" t="str">
        <f>Summary!E703</f>
        <v>USD millions</v>
      </c>
    </row>
    <row r="700" spans="1:5" x14ac:dyDescent="0.2">
      <c r="A700" s="34">
        <f>Summary!A704</f>
        <v>2049</v>
      </c>
      <c r="B700" s="34" t="str">
        <f>Summary!B704</f>
        <v>Unconditional</v>
      </c>
      <c r="C700" s="34" t="str">
        <f>Summary!C704</f>
        <v>Gas Recovery Revenue (High, $12/MMBtu)</v>
      </c>
      <c r="D700" s="33">
        <f>Summary!D704</f>
        <v>5905.4038881816832</v>
      </c>
      <c r="E700" s="34" t="str">
        <f>Summary!E704</f>
        <v>USD millions</v>
      </c>
    </row>
    <row r="701" spans="1:5" x14ac:dyDescent="0.2">
      <c r="A701" s="34">
        <f>Summary!A705</f>
        <v>2050</v>
      </c>
      <c r="B701" s="34" t="str">
        <f>Summary!B705</f>
        <v>Unconditional</v>
      </c>
      <c r="C701" s="34" t="str">
        <f>Summary!C705</f>
        <v>Gas Recovery Revenue (High, $12/MMBtu)</v>
      </c>
      <c r="D701" s="33">
        <f>Summary!D705</f>
        <v>6073.7687589857951</v>
      </c>
      <c r="E701" s="34" t="str">
        <f>Summary!E705</f>
        <v>USD millions</v>
      </c>
    </row>
    <row r="702" spans="1:5" x14ac:dyDescent="0.2">
      <c r="A702" s="34">
        <f>Summary!A706</f>
        <v>2023</v>
      </c>
      <c r="B702" s="34" t="str">
        <f>Summary!B706</f>
        <v>Conditional</v>
      </c>
      <c r="C702" s="34" t="str">
        <f>Summary!C706</f>
        <v>Gas Recovery Revenue (Low, $4/MMBtu)</v>
      </c>
      <c r="D702" s="33">
        <f>Summary!D706</f>
        <v>0</v>
      </c>
      <c r="E702" s="34" t="str">
        <f>Summary!E706</f>
        <v>USD millions</v>
      </c>
    </row>
    <row r="703" spans="1:5" x14ac:dyDescent="0.2">
      <c r="A703" s="34">
        <f>Summary!A707</f>
        <v>2024</v>
      </c>
      <c r="B703" s="34" t="str">
        <f>Summary!B707</f>
        <v>Conditional</v>
      </c>
      <c r="C703" s="34" t="str">
        <f>Summary!C707</f>
        <v>Gas Recovery Revenue (Low, $4/MMBtu)</v>
      </c>
      <c r="D703" s="33">
        <f>Summary!D707</f>
        <v>839.88787890469177</v>
      </c>
      <c r="E703" s="34" t="str">
        <f>Summary!E707</f>
        <v>USD millions</v>
      </c>
    </row>
    <row r="704" spans="1:5" x14ac:dyDescent="0.2">
      <c r="A704" s="34">
        <f>Summary!A708</f>
        <v>2025</v>
      </c>
      <c r="B704" s="34" t="str">
        <f>Summary!B708</f>
        <v>Conditional</v>
      </c>
      <c r="C704" s="34" t="str">
        <f>Summary!C708</f>
        <v>Gas Recovery Revenue (Low, $4/MMBtu)</v>
      </c>
      <c r="D704" s="33">
        <f>Summary!D708</f>
        <v>1647.3144419791183</v>
      </c>
      <c r="E704" s="34" t="str">
        <f>Summary!E708</f>
        <v>USD millions</v>
      </c>
    </row>
    <row r="705" spans="1:5" x14ac:dyDescent="0.2">
      <c r="A705" s="34">
        <f>Summary!A709</f>
        <v>2026</v>
      </c>
      <c r="B705" s="34" t="str">
        <f>Summary!B709</f>
        <v>Conditional</v>
      </c>
      <c r="C705" s="34" t="str">
        <f>Summary!C709</f>
        <v>Gas Recovery Revenue (Low, $4/MMBtu)</v>
      </c>
      <c r="D705" s="33">
        <f>Summary!D709</f>
        <v>2408.8547766414822</v>
      </c>
      <c r="E705" s="34" t="str">
        <f>Summary!E709</f>
        <v>USD millions</v>
      </c>
    </row>
    <row r="706" spans="1:5" x14ac:dyDescent="0.2">
      <c r="A706" s="34">
        <f>Summary!A710</f>
        <v>2027</v>
      </c>
      <c r="B706" s="34" t="str">
        <f>Summary!B710</f>
        <v>Conditional</v>
      </c>
      <c r="C706" s="34" t="str">
        <f>Summary!C710</f>
        <v>Gas Recovery Revenue (Low, $4/MMBtu)</v>
      </c>
      <c r="D706" s="33">
        <f>Summary!D710</f>
        <v>3087.7189655593415</v>
      </c>
      <c r="E706" s="34" t="str">
        <f>Summary!E710</f>
        <v>USD millions</v>
      </c>
    </row>
    <row r="707" spans="1:5" x14ac:dyDescent="0.2">
      <c r="A707" s="34">
        <f>Summary!A711</f>
        <v>2028</v>
      </c>
      <c r="B707" s="34" t="str">
        <f>Summary!B711</f>
        <v>Conditional</v>
      </c>
      <c r="C707" s="34" t="str">
        <f>Summary!C711</f>
        <v>Gas Recovery Revenue (Low, $4/MMBtu)</v>
      </c>
      <c r="D707" s="33">
        <f>Summary!D711</f>
        <v>3652.0217927350413</v>
      </c>
      <c r="E707" s="34" t="str">
        <f>Summary!E711</f>
        <v>USD millions</v>
      </c>
    </row>
    <row r="708" spans="1:5" x14ac:dyDescent="0.2">
      <c r="A708" s="34">
        <f>Summary!A712</f>
        <v>2029</v>
      </c>
      <c r="B708" s="34" t="str">
        <f>Summary!B712</f>
        <v>Conditional</v>
      </c>
      <c r="C708" s="34" t="str">
        <f>Summary!C712</f>
        <v>Gas Recovery Revenue (Low, $4/MMBtu)</v>
      </c>
      <c r="D708" s="33">
        <f>Summary!D712</f>
        <v>4088.7482629671449</v>
      </c>
      <c r="E708" s="34" t="str">
        <f>Summary!E712</f>
        <v>USD millions</v>
      </c>
    </row>
    <row r="709" spans="1:5" x14ac:dyDescent="0.2">
      <c r="A709" s="34">
        <f>Summary!A713</f>
        <v>2030</v>
      </c>
      <c r="B709" s="34" t="str">
        <f>Summary!B713</f>
        <v>Conditional</v>
      </c>
      <c r="C709" s="34" t="str">
        <f>Summary!C713</f>
        <v>Gas Recovery Revenue (Low, $4/MMBtu)</v>
      </c>
      <c r="D709" s="33">
        <f>Summary!D713</f>
        <v>4399.5221196276179</v>
      </c>
      <c r="E709" s="34" t="str">
        <f>Summary!E713</f>
        <v>USD millions</v>
      </c>
    </row>
    <row r="710" spans="1:5" x14ac:dyDescent="0.2">
      <c r="A710" s="34">
        <f>Summary!A714</f>
        <v>2031</v>
      </c>
      <c r="B710" s="34" t="str">
        <f>Summary!B714</f>
        <v>Conditional</v>
      </c>
      <c r="C710" s="34" t="str">
        <f>Summary!C714</f>
        <v>Gas Recovery Revenue (Low, $4/MMBtu)</v>
      </c>
      <c r="D710" s="33">
        <f>Summary!D714</f>
        <v>4694.6575033923682</v>
      </c>
      <c r="E710" s="34" t="str">
        <f>Summary!E714</f>
        <v>USD millions</v>
      </c>
    </row>
    <row r="711" spans="1:5" x14ac:dyDescent="0.2">
      <c r="A711" s="34">
        <f>Summary!A715</f>
        <v>2032</v>
      </c>
      <c r="B711" s="34" t="str">
        <f>Summary!B715</f>
        <v>Conditional</v>
      </c>
      <c r="C711" s="34" t="str">
        <f>Summary!C715</f>
        <v>Gas Recovery Revenue (Low, $4/MMBtu)</v>
      </c>
      <c r="D711" s="33">
        <f>Summary!D715</f>
        <v>4864.2612698861758</v>
      </c>
      <c r="E711" s="34" t="str">
        <f>Summary!E715</f>
        <v>USD millions</v>
      </c>
    </row>
    <row r="712" spans="1:5" x14ac:dyDescent="0.2">
      <c r="A712" s="34">
        <f>Summary!A716</f>
        <v>2033</v>
      </c>
      <c r="B712" s="34" t="str">
        <f>Summary!B716</f>
        <v>Conditional</v>
      </c>
      <c r="C712" s="34" t="str">
        <f>Summary!C716</f>
        <v>Gas Recovery Revenue (Low, $4/MMBtu)</v>
      </c>
      <c r="D712" s="33">
        <f>Summary!D716</f>
        <v>4955.9588814621957</v>
      </c>
      <c r="E712" s="34" t="str">
        <f>Summary!E716</f>
        <v>USD millions</v>
      </c>
    </row>
    <row r="713" spans="1:5" x14ac:dyDescent="0.2">
      <c r="A713" s="34">
        <f>Summary!A717</f>
        <v>2034</v>
      </c>
      <c r="B713" s="34" t="str">
        <f>Summary!B717</f>
        <v>Conditional</v>
      </c>
      <c r="C713" s="34" t="str">
        <f>Summary!C717</f>
        <v>Gas Recovery Revenue (Low, $4/MMBtu)</v>
      </c>
      <c r="D713" s="33">
        <f>Summary!D717</f>
        <v>4993.9173501703908</v>
      </c>
      <c r="E713" s="34" t="str">
        <f>Summary!E717</f>
        <v>USD millions</v>
      </c>
    </row>
    <row r="714" spans="1:5" x14ac:dyDescent="0.2">
      <c r="A714" s="34">
        <f>Summary!A718</f>
        <v>2035</v>
      </c>
      <c r="B714" s="34" t="str">
        <f>Summary!B718</f>
        <v>Conditional</v>
      </c>
      <c r="C714" s="34" t="str">
        <f>Summary!C718</f>
        <v>Gas Recovery Revenue (Low, $4/MMBtu)</v>
      </c>
      <c r="D714" s="33">
        <f>Summary!D718</f>
        <v>5016.8087523680679</v>
      </c>
      <c r="E714" s="34" t="str">
        <f>Summary!E718</f>
        <v>USD millions</v>
      </c>
    </row>
    <row r="715" spans="1:5" x14ac:dyDescent="0.2">
      <c r="A715" s="34">
        <f>Summary!A719</f>
        <v>2036</v>
      </c>
      <c r="B715" s="34" t="str">
        <f>Summary!B719</f>
        <v>Conditional</v>
      </c>
      <c r="C715" s="34" t="str">
        <f>Summary!C719</f>
        <v>Gas Recovery Revenue (Low, $4/MMBtu)</v>
      </c>
      <c r="D715" s="33">
        <f>Summary!D719</f>
        <v>5028.6045593240178</v>
      </c>
      <c r="E715" s="34" t="str">
        <f>Summary!E719</f>
        <v>USD millions</v>
      </c>
    </row>
    <row r="716" spans="1:5" x14ac:dyDescent="0.2">
      <c r="A716" s="34">
        <f>Summary!A720</f>
        <v>2037</v>
      </c>
      <c r="B716" s="34" t="str">
        <f>Summary!B720</f>
        <v>Conditional</v>
      </c>
      <c r="C716" s="34" t="str">
        <f>Summary!C720</f>
        <v>Gas Recovery Revenue (Low, $4/MMBtu)</v>
      </c>
      <c r="D716" s="33">
        <f>Summary!D720</f>
        <v>5032.7952204195954</v>
      </c>
      <c r="E716" s="34" t="str">
        <f>Summary!E720</f>
        <v>USD millions</v>
      </c>
    </row>
    <row r="717" spans="1:5" x14ac:dyDescent="0.2">
      <c r="A717" s="34">
        <f>Summary!A721</f>
        <v>2038</v>
      </c>
      <c r="B717" s="34" t="str">
        <f>Summary!B721</f>
        <v>Conditional</v>
      </c>
      <c r="C717" s="34" t="str">
        <f>Summary!C721</f>
        <v>Gas Recovery Revenue (Low, $4/MMBtu)</v>
      </c>
      <c r="D717" s="33">
        <f>Summary!D721</f>
        <v>5032.2755267048469</v>
      </c>
      <c r="E717" s="34" t="str">
        <f>Summary!E721</f>
        <v>USD millions</v>
      </c>
    </row>
    <row r="718" spans="1:5" x14ac:dyDescent="0.2">
      <c r="A718" s="34">
        <f>Summary!A722</f>
        <v>2039</v>
      </c>
      <c r="B718" s="34" t="str">
        <f>Summary!B722</f>
        <v>Conditional</v>
      </c>
      <c r="C718" s="34" t="str">
        <f>Summary!C722</f>
        <v>Gas Recovery Revenue (Low, $4/MMBtu)</v>
      </c>
      <c r="D718" s="33">
        <f>Summary!D722</f>
        <v>5029.3249530226658</v>
      </c>
      <c r="E718" s="34" t="str">
        <f>Summary!E722</f>
        <v>USD millions</v>
      </c>
    </row>
    <row r="719" spans="1:5" x14ac:dyDescent="0.2">
      <c r="A719" s="34">
        <f>Summary!A723</f>
        <v>2040</v>
      </c>
      <c r="B719" s="34" t="str">
        <f>Summary!B723</f>
        <v>Conditional</v>
      </c>
      <c r="C719" s="34" t="str">
        <f>Summary!C723</f>
        <v>Gas Recovery Revenue (Low, $4/MMBtu)</v>
      </c>
      <c r="D719" s="33">
        <f>Summary!D723</f>
        <v>5025.6444541873898</v>
      </c>
      <c r="E719" s="34" t="str">
        <f>Summary!E723</f>
        <v>USD millions</v>
      </c>
    </row>
    <row r="720" spans="1:5" x14ac:dyDescent="0.2">
      <c r="A720" s="34">
        <f>Summary!A724</f>
        <v>2041</v>
      </c>
      <c r="B720" s="34" t="str">
        <f>Summary!B724</f>
        <v>Conditional</v>
      </c>
      <c r="C720" s="34" t="str">
        <f>Summary!C724</f>
        <v>Gas Recovery Revenue (Low, $4/MMBtu)</v>
      </c>
      <c r="D720" s="33">
        <f>Summary!D724</f>
        <v>5022.4196301467091</v>
      </c>
      <c r="E720" s="34" t="str">
        <f>Summary!E724</f>
        <v>USD millions</v>
      </c>
    </row>
    <row r="721" spans="1:5" x14ac:dyDescent="0.2">
      <c r="A721" s="34">
        <f>Summary!A725</f>
        <v>2042</v>
      </c>
      <c r="B721" s="34" t="str">
        <f>Summary!B725</f>
        <v>Conditional</v>
      </c>
      <c r="C721" s="34" t="str">
        <f>Summary!C725</f>
        <v>Gas Recovery Revenue (Low, $4/MMBtu)</v>
      </c>
      <c r="D721" s="33">
        <f>Summary!D725</f>
        <v>5020.3881590919136</v>
      </c>
      <c r="E721" s="34" t="str">
        <f>Summary!E725</f>
        <v>USD millions</v>
      </c>
    </row>
    <row r="722" spans="1:5" x14ac:dyDescent="0.2">
      <c r="A722" s="34">
        <f>Summary!A726</f>
        <v>2043</v>
      </c>
      <c r="B722" s="34" t="str">
        <f>Summary!B726</f>
        <v>Conditional</v>
      </c>
      <c r="C722" s="34" t="str">
        <f>Summary!C726</f>
        <v>Gas Recovery Revenue (Low, $4/MMBtu)</v>
      </c>
      <c r="D722" s="33">
        <f>Summary!D726</f>
        <v>5019.746640467336</v>
      </c>
      <c r="E722" s="34" t="str">
        <f>Summary!E726</f>
        <v>USD millions</v>
      </c>
    </row>
    <row r="723" spans="1:5" x14ac:dyDescent="0.2">
      <c r="A723" s="34">
        <f>Summary!A727</f>
        <v>2044</v>
      </c>
      <c r="B723" s="34" t="str">
        <f>Summary!B727</f>
        <v>Conditional</v>
      </c>
      <c r="C723" s="34" t="str">
        <f>Summary!C727</f>
        <v>Gas Recovery Revenue (Low, $4/MMBtu)</v>
      </c>
      <c r="D723" s="33">
        <f>Summary!D727</f>
        <v>5020.076051103063</v>
      </c>
      <c r="E723" s="34" t="str">
        <f>Summary!E727</f>
        <v>USD millions</v>
      </c>
    </row>
    <row r="724" spans="1:5" x14ac:dyDescent="0.2">
      <c r="A724" s="34">
        <f>Summary!A728</f>
        <v>2045</v>
      </c>
      <c r="B724" s="34" t="str">
        <f>Summary!B728</f>
        <v>Conditional</v>
      </c>
      <c r="C724" s="34" t="str">
        <f>Summary!C728</f>
        <v>Gas Recovery Revenue (Low, $4/MMBtu)</v>
      </c>
      <c r="D724" s="33">
        <f>Summary!D728</f>
        <v>5022.5016295275909</v>
      </c>
      <c r="E724" s="34" t="str">
        <f>Summary!E728</f>
        <v>USD millions</v>
      </c>
    </row>
    <row r="725" spans="1:5" x14ac:dyDescent="0.2">
      <c r="A725" s="34">
        <f>Summary!A729</f>
        <v>2046</v>
      </c>
      <c r="B725" s="34" t="str">
        <f>Summary!B729</f>
        <v>Conditional</v>
      </c>
      <c r="C725" s="34" t="str">
        <f>Summary!C729</f>
        <v>Gas Recovery Revenue (Low, $4/MMBtu)</v>
      </c>
      <c r="D725" s="33">
        <f>Summary!D729</f>
        <v>5026.7185821713592</v>
      </c>
      <c r="E725" s="34" t="str">
        <f>Summary!E729</f>
        <v>USD millions</v>
      </c>
    </row>
    <row r="726" spans="1:5" x14ac:dyDescent="0.2">
      <c r="A726" s="34">
        <f>Summary!A730</f>
        <v>2047</v>
      </c>
      <c r="B726" s="34" t="str">
        <f>Summary!B730</f>
        <v>Conditional</v>
      </c>
      <c r="C726" s="34" t="str">
        <f>Summary!C730</f>
        <v>Gas Recovery Revenue (Low, $4/MMBtu)</v>
      </c>
      <c r="D726" s="33">
        <f>Summary!D730</f>
        <v>5029.4288828213121</v>
      </c>
      <c r="E726" s="34" t="str">
        <f>Summary!E730</f>
        <v>USD millions</v>
      </c>
    </row>
    <row r="727" spans="1:5" x14ac:dyDescent="0.2">
      <c r="A727" s="34">
        <f>Summary!A731</f>
        <v>2048</v>
      </c>
      <c r="B727" s="34" t="str">
        <f>Summary!B731</f>
        <v>Conditional</v>
      </c>
      <c r="C727" s="34" t="str">
        <f>Summary!C731</f>
        <v>Gas Recovery Revenue (Low, $4/MMBtu)</v>
      </c>
      <c r="D727" s="33">
        <f>Summary!D731</f>
        <v>5032.8187472631271</v>
      </c>
      <c r="E727" s="34" t="str">
        <f>Summary!E731</f>
        <v>USD millions</v>
      </c>
    </row>
    <row r="728" spans="1:5" x14ac:dyDescent="0.2">
      <c r="A728" s="34">
        <f>Summary!A732</f>
        <v>2049</v>
      </c>
      <c r="B728" s="34" t="str">
        <f>Summary!B732</f>
        <v>Conditional</v>
      </c>
      <c r="C728" s="34" t="str">
        <f>Summary!C732</f>
        <v>Gas Recovery Revenue (Low, $4/MMBtu)</v>
      </c>
      <c r="D728" s="33">
        <f>Summary!D732</f>
        <v>5037.0939703776221</v>
      </c>
      <c r="E728" s="34" t="str">
        <f>Summary!E732</f>
        <v>USD millions</v>
      </c>
    </row>
    <row r="729" spans="1:5" x14ac:dyDescent="0.2">
      <c r="A729" s="34">
        <f>Summary!A733</f>
        <v>2050</v>
      </c>
      <c r="B729" s="34" t="str">
        <f>Summary!B733</f>
        <v>Conditional</v>
      </c>
      <c r="C729" s="34" t="str">
        <f>Summary!C733</f>
        <v>Gas Recovery Revenue (Low, $4/MMBtu)</v>
      </c>
      <c r="D729" s="33">
        <f>Summary!D733</f>
        <v>5041.7051261488532</v>
      </c>
      <c r="E729" s="34" t="str">
        <f>Summary!E733</f>
        <v>USD millions</v>
      </c>
    </row>
    <row r="730" spans="1:5" x14ac:dyDescent="0.2">
      <c r="A730" s="34">
        <f>Summary!A734</f>
        <v>2023</v>
      </c>
      <c r="B730" s="34" t="str">
        <f>Summary!B734</f>
        <v>Conditional</v>
      </c>
      <c r="C730" s="34" t="str">
        <f>Summary!C734</f>
        <v>Gas Recovery Revenue (Central, $8/MMBtu)</v>
      </c>
      <c r="D730" s="33">
        <f>Summary!D734</f>
        <v>0</v>
      </c>
      <c r="E730" s="34" t="str">
        <f>Summary!E734</f>
        <v>USD millions</v>
      </c>
    </row>
    <row r="731" spans="1:5" x14ac:dyDescent="0.2">
      <c r="A731" s="34">
        <f>Summary!A735</f>
        <v>2024</v>
      </c>
      <c r="B731" s="34" t="str">
        <f>Summary!B735</f>
        <v>Conditional</v>
      </c>
      <c r="C731" s="34" t="str">
        <f>Summary!C735</f>
        <v>Gas Recovery Revenue (Central, $8/MMBtu)</v>
      </c>
      <c r="D731" s="33">
        <f>Summary!D735</f>
        <v>1679.7757578093835</v>
      </c>
      <c r="E731" s="34" t="str">
        <f>Summary!E735</f>
        <v>USD millions</v>
      </c>
    </row>
    <row r="732" spans="1:5" x14ac:dyDescent="0.2">
      <c r="A732" s="34">
        <f>Summary!A736</f>
        <v>2025</v>
      </c>
      <c r="B732" s="34" t="str">
        <f>Summary!B736</f>
        <v>Conditional</v>
      </c>
      <c r="C732" s="34" t="str">
        <f>Summary!C736</f>
        <v>Gas Recovery Revenue (Central, $8/MMBtu)</v>
      </c>
      <c r="D732" s="33">
        <f>Summary!D736</f>
        <v>3294.6288839582367</v>
      </c>
      <c r="E732" s="34" t="str">
        <f>Summary!E736</f>
        <v>USD millions</v>
      </c>
    </row>
    <row r="733" spans="1:5" x14ac:dyDescent="0.2">
      <c r="A733" s="34">
        <f>Summary!A737</f>
        <v>2026</v>
      </c>
      <c r="B733" s="34" t="str">
        <f>Summary!B737</f>
        <v>Conditional</v>
      </c>
      <c r="C733" s="34" t="str">
        <f>Summary!C737</f>
        <v>Gas Recovery Revenue (Central, $8/MMBtu)</v>
      </c>
      <c r="D733" s="33">
        <f>Summary!D737</f>
        <v>4817.7095532829644</v>
      </c>
      <c r="E733" s="34" t="str">
        <f>Summary!E737</f>
        <v>USD millions</v>
      </c>
    </row>
    <row r="734" spans="1:5" x14ac:dyDescent="0.2">
      <c r="A734" s="34">
        <f>Summary!A738</f>
        <v>2027</v>
      </c>
      <c r="B734" s="34" t="str">
        <f>Summary!B738</f>
        <v>Conditional</v>
      </c>
      <c r="C734" s="34" t="str">
        <f>Summary!C738</f>
        <v>Gas Recovery Revenue (Central, $8/MMBtu)</v>
      </c>
      <c r="D734" s="33">
        <f>Summary!D738</f>
        <v>6175.4379311186831</v>
      </c>
      <c r="E734" s="34" t="str">
        <f>Summary!E738</f>
        <v>USD millions</v>
      </c>
    </row>
    <row r="735" spans="1:5" x14ac:dyDescent="0.2">
      <c r="A735" s="34">
        <f>Summary!A739</f>
        <v>2028</v>
      </c>
      <c r="B735" s="34" t="str">
        <f>Summary!B739</f>
        <v>Conditional</v>
      </c>
      <c r="C735" s="34" t="str">
        <f>Summary!C739</f>
        <v>Gas Recovery Revenue (Central, $8/MMBtu)</v>
      </c>
      <c r="D735" s="33">
        <f>Summary!D739</f>
        <v>7304.0435854700827</v>
      </c>
      <c r="E735" s="34" t="str">
        <f>Summary!E739</f>
        <v>USD millions</v>
      </c>
    </row>
    <row r="736" spans="1:5" x14ac:dyDescent="0.2">
      <c r="A736" s="34">
        <f>Summary!A740</f>
        <v>2029</v>
      </c>
      <c r="B736" s="34" t="str">
        <f>Summary!B740</f>
        <v>Conditional</v>
      </c>
      <c r="C736" s="34" t="str">
        <f>Summary!C740</f>
        <v>Gas Recovery Revenue (Central, $8/MMBtu)</v>
      </c>
      <c r="D736" s="33">
        <f>Summary!D740</f>
        <v>8177.4965259342898</v>
      </c>
      <c r="E736" s="34" t="str">
        <f>Summary!E740</f>
        <v>USD millions</v>
      </c>
    </row>
    <row r="737" spans="1:5" x14ac:dyDescent="0.2">
      <c r="A737" s="34">
        <f>Summary!A741</f>
        <v>2030</v>
      </c>
      <c r="B737" s="34" t="str">
        <f>Summary!B741</f>
        <v>Conditional</v>
      </c>
      <c r="C737" s="34" t="str">
        <f>Summary!C741</f>
        <v>Gas Recovery Revenue (Central, $8/MMBtu)</v>
      </c>
      <c r="D737" s="33">
        <f>Summary!D741</f>
        <v>8799.0442392552359</v>
      </c>
      <c r="E737" s="34" t="str">
        <f>Summary!E741</f>
        <v>USD millions</v>
      </c>
    </row>
    <row r="738" spans="1:5" x14ac:dyDescent="0.2">
      <c r="A738" s="34">
        <f>Summary!A742</f>
        <v>2031</v>
      </c>
      <c r="B738" s="34" t="str">
        <f>Summary!B742</f>
        <v>Conditional</v>
      </c>
      <c r="C738" s="34" t="str">
        <f>Summary!C742</f>
        <v>Gas Recovery Revenue (Central, $8/MMBtu)</v>
      </c>
      <c r="D738" s="33">
        <f>Summary!D742</f>
        <v>9389.3150067847364</v>
      </c>
      <c r="E738" s="34" t="str">
        <f>Summary!E742</f>
        <v>USD millions</v>
      </c>
    </row>
    <row r="739" spans="1:5" x14ac:dyDescent="0.2">
      <c r="A739" s="34">
        <f>Summary!A743</f>
        <v>2032</v>
      </c>
      <c r="B739" s="34" t="str">
        <f>Summary!B743</f>
        <v>Conditional</v>
      </c>
      <c r="C739" s="34" t="str">
        <f>Summary!C743</f>
        <v>Gas Recovery Revenue (Central, $8/MMBtu)</v>
      </c>
      <c r="D739" s="33">
        <f>Summary!D743</f>
        <v>9728.5225397723516</v>
      </c>
      <c r="E739" s="34" t="str">
        <f>Summary!E743</f>
        <v>USD millions</v>
      </c>
    </row>
    <row r="740" spans="1:5" x14ac:dyDescent="0.2">
      <c r="A740" s="34">
        <f>Summary!A744</f>
        <v>2033</v>
      </c>
      <c r="B740" s="34" t="str">
        <f>Summary!B744</f>
        <v>Conditional</v>
      </c>
      <c r="C740" s="34" t="str">
        <f>Summary!C744</f>
        <v>Gas Recovery Revenue (Central, $8/MMBtu)</v>
      </c>
      <c r="D740" s="33">
        <f>Summary!D744</f>
        <v>9911.9177629243914</v>
      </c>
      <c r="E740" s="34" t="str">
        <f>Summary!E744</f>
        <v>USD millions</v>
      </c>
    </row>
    <row r="741" spans="1:5" x14ac:dyDescent="0.2">
      <c r="A741" s="34">
        <f>Summary!A745</f>
        <v>2034</v>
      </c>
      <c r="B741" s="34" t="str">
        <f>Summary!B745</f>
        <v>Conditional</v>
      </c>
      <c r="C741" s="34" t="str">
        <f>Summary!C745</f>
        <v>Gas Recovery Revenue (Central, $8/MMBtu)</v>
      </c>
      <c r="D741" s="33">
        <f>Summary!D745</f>
        <v>9987.8347003407816</v>
      </c>
      <c r="E741" s="34" t="str">
        <f>Summary!E745</f>
        <v>USD millions</v>
      </c>
    </row>
    <row r="742" spans="1:5" x14ac:dyDescent="0.2">
      <c r="A742" s="34">
        <f>Summary!A746</f>
        <v>2035</v>
      </c>
      <c r="B742" s="34" t="str">
        <f>Summary!B746</f>
        <v>Conditional</v>
      </c>
      <c r="C742" s="34" t="str">
        <f>Summary!C746</f>
        <v>Gas Recovery Revenue (Central, $8/MMBtu)</v>
      </c>
      <c r="D742" s="33">
        <f>Summary!D746</f>
        <v>10033.617504736136</v>
      </c>
      <c r="E742" s="34" t="str">
        <f>Summary!E746</f>
        <v>USD millions</v>
      </c>
    </row>
    <row r="743" spans="1:5" x14ac:dyDescent="0.2">
      <c r="A743" s="34">
        <f>Summary!A747</f>
        <v>2036</v>
      </c>
      <c r="B743" s="34" t="str">
        <f>Summary!B747</f>
        <v>Conditional</v>
      </c>
      <c r="C743" s="34" t="str">
        <f>Summary!C747</f>
        <v>Gas Recovery Revenue (Central, $8/MMBtu)</v>
      </c>
      <c r="D743" s="33">
        <f>Summary!D747</f>
        <v>10057.209118648036</v>
      </c>
      <c r="E743" s="34" t="str">
        <f>Summary!E747</f>
        <v>USD millions</v>
      </c>
    </row>
    <row r="744" spans="1:5" x14ac:dyDescent="0.2">
      <c r="A744" s="34">
        <f>Summary!A748</f>
        <v>2037</v>
      </c>
      <c r="B744" s="34" t="str">
        <f>Summary!B748</f>
        <v>Conditional</v>
      </c>
      <c r="C744" s="34" t="str">
        <f>Summary!C748</f>
        <v>Gas Recovery Revenue (Central, $8/MMBtu)</v>
      </c>
      <c r="D744" s="33">
        <f>Summary!D748</f>
        <v>10065.590440839191</v>
      </c>
      <c r="E744" s="34" t="str">
        <f>Summary!E748</f>
        <v>USD millions</v>
      </c>
    </row>
    <row r="745" spans="1:5" x14ac:dyDescent="0.2">
      <c r="A745" s="34">
        <f>Summary!A749</f>
        <v>2038</v>
      </c>
      <c r="B745" s="34" t="str">
        <f>Summary!B749</f>
        <v>Conditional</v>
      </c>
      <c r="C745" s="34" t="str">
        <f>Summary!C749</f>
        <v>Gas Recovery Revenue (Central, $8/MMBtu)</v>
      </c>
      <c r="D745" s="33">
        <f>Summary!D749</f>
        <v>10064.551053409694</v>
      </c>
      <c r="E745" s="34" t="str">
        <f>Summary!E749</f>
        <v>USD millions</v>
      </c>
    </row>
    <row r="746" spans="1:5" x14ac:dyDescent="0.2">
      <c r="A746" s="34">
        <f>Summary!A750</f>
        <v>2039</v>
      </c>
      <c r="B746" s="34" t="str">
        <f>Summary!B750</f>
        <v>Conditional</v>
      </c>
      <c r="C746" s="34" t="str">
        <f>Summary!C750</f>
        <v>Gas Recovery Revenue (Central, $8/MMBtu)</v>
      </c>
      <c r="D746" s="33">
        <f>Summary!D750</f>
        <v>10058.649906045332</v>
      </c>
      <c r="E746" s="34" t="str">
        <f>Summary!E750</f>
        <v>USD millions</v>
      </c>
    </row>
    <row r="747" spans="1:5" x14ac:dyDescent="0.2">
      <c r="A747" s="34">
        <f>Summary!A751</f>
        <v>2040</v>
      </c>
      <c r="B747" s="34" t="str">
        <f>Summary!B751</f>
        <v>Conditional</v>
      </c>
      <c r="C747" s="34" t="str">
        <f>Summary!C751</f>
        <v>Gas Recovery Revenue (Central, $8/MMBtu)</v>
      </c>
      <c r="D747" s="33">
        <f>Summary!D751</f>
        <v>10051.28890837478</v>
      </c>
      <c r="E747" s="34" t="str">
        <f>Summary!E751</f>
        <v>USD millions</v>
      </c>
    </row>
    <row r="748" spans="1:5" x14ac:dyDescent="0.2">
      <c r="A748" s="34">
        <f>Summary!A752</f>
        <v>2041</v>
      </c>
      <c r="B748" s="34" t="str">
        <f>Summary!B752</f>
        <v>Conditional</v>
      </c>
      <c r="C748" s="34" t="str">
        <f>Summary!C752</f>
        <v>Gas Recovery Revenue (Central, $8/MMBtu)</v>
      </c>
      <c r="D748" s="33">
        <f>Summary!D752</f>
        <v>10044.839260293418</v>
      </c>
      <c r="E748" s="34" t="str">
        <f>Summary!E752</f>
        <v>USD millions</v>
      </c>
    </row>
    <row r="749" spans="1:5" x14ac:dyDescent="0.2">
      <c r="A749" s="34">
        <f>Summary!A753</f>
        <v>2042</v>
      </c>
      <c r="B749" s="34" t="str">
        <f>Summary!B753</f>
        <v>Conditional</v>
      </c>
      <c r="C749" s="34" t="str">
        <f>Summary!C753</f>
        <v>Gas Recovery Revenue (Central, $8/MMBtu)</v>
      </c>
      <c r="D749" s="33">
        <f>Summary!D753</f>
        <v>10040.776318183827</v>
      </c>
      <c r="E749" s="34" t="str">
        <f>Summary!E753</f>
        <v>USD millions</v>
      </c>
    </row>
    <row r="750" spans="1:5" x14ac:dyDescent="0.2">
      <c r="A750" s="34">
        <f>Summary!A754</f>
        <v>2043</v>
      </c>
      <c r="B750" s="34" t="str">
        <f>Summary!B754</f>
        <v>Conditional</v>
      </c>
      <c r="C750" s="34" t="str">
        <f>Summary!C754</f>
        <v>Gas Recovery Revenue (Central, $8/MMBtu)</v>
      </c>
      <c r="D750" s="33">
        <f>Summary!D754</f>
        <v>10039.493280934672</v>
      </c>
      <c r="E750" s="34" t="str">
        <f>Summary!E754</f>
        <v>USD millions</v>
      </c>
    </row>
    <row r="751" spans="1:5" x14ac:dyDescent="0.2">
      <c r="A751" s="34">
        <f>Summary!A755</f>
        <v>2044</v>
      </c>
      <c r="B751" s="34" t="str">
        <f>Summary!B755</f>
        <v>Conditional</v>
      </c>
      <c r="C751" s="34" t="str">
        <f>Summary!C755</f>
        <v>Gas Recovery Revenue (Central, $8/MMBtu)</v>
      </c>
      <c r="D751" s="33">
        <f>Summary!D755</f>
        <v>10040.152102206126</v>
      </c>
      <c r="E751" s="34" t="str">
        <f>Summary!E755</f>
        <v>USD millions</v>
      </c>
    </row>
    <row r="752" spans="1:5" x14ac:dyDescent="0.2">
      <c r="A752" s="34">
        <f>Summary!A756</f>
        <v>2045</v>
      </c>
      <c r="B752" s="34" t="str">
        <f>Summary!B756</f>
        <v>Conditional</v>
      </c>
      <c r="C752" s="34" t="str">
        <f>Summary!C756</f>
        <v>Gas Recovery Revenue (Central, $8/MMBtu)</v>
      </c>
      <c r="D752" s="33">
        <f>Summary!D756</f>
        <v>10045.003259055182</v>
      </c>
      <c r="E752" s="34" t="str">
        <f>Summary!E756</f>
        <v>USD millions</v>
      </c>
    </row>
    <row r="753" spans="1:5" x14ac:dyDescent="0.2">
      <c r="A753" s="34">
        <f>Summary!A757</f>
        <v>2046</v>
      </c>
      <c r="B753" s="34" t="str">
        <f>Summary!B757</f>
        <v>Conditional</v>
      </c>
      <c r="C753" s="34" t="str">
        <f>Summary!C757</f>
        <v>Gas Recovery Revenue (Central, $8/MMBtu)</v>
      </c>
      <c r="D753" s="33">
        <f>Summary!D757</f>
        <v>10053.437164342718</v>
      </c>
      <c r="E753" s="34" t="str">
        <f>Summary!E757</f>
        <v>USD millions</v>
      </c>
    </row>
    <row r="754" spans="1:5" x14ac:dyDescent="0.2">
      <c r="A754" s="34">
        <f>Summary!A758</f>
        <v>2047</v>
      </c>
      <c r="B754" s="34" t="str">
        <f>Summary!B758</f>
        <v>Conditional</v>
      </c>
      <c r="C754" s="34" t="str">
        <f>Summary!C758</f>
        <v>Gas Recovery Revenue (Central, $8/MMBtu)</v>
      </c>
      <c r="D754" s="33">
        <f>Summary!D758</f>
        <v>10058.857765642624</v>
      </c>
      <c r="E754" s="34" t="str">
        <f>Summary!E758</f>
        <v>USD millions</v>
      </c>
    </row>
    <row r="755" spans="1:5" x14ac:dyDescent="0.2">
      <c r="A755" s="34">
        <f>Summary!A759</f>
        <v>2048</v>
      </c>
      <c r="B755" s="34" t="str">
        <f>Summary!B759</f>
        <v>Conditional</v>
      </c>
      <c r="C755" s="34" t="str">
        <f>Summary!C759</f>
        <v>Gas Recovery Revenue (Central, $8/MMBtu)</v>
      </c>
      <c r="D755" s="33">
        <f>Summary!D759</f>
        <v>10065.637494526254</v>
      </c>
      <c r="E755" s="34" t="str">
        <f>Summary!E759</f>
        <v>USD millions</v>
      </c>
    </row>
    <row r="756" spans="1:5" x14ac:dyDescent="0.2">
      <c r="A756" s="34">
        <f>Summary!A760</f>
        <v>2049</v>
      </c>
      <c r="B756" s="34" t="str">
        <f>Summary!B760</f>
        <v>Conditional</v>
      </c>
      <c r="C756" s="34" t="str">
        <f>Summary!C760</f>
        <v>Gas Recovery Revenue (Central, $8/MMBtu)</v>
      </c>
      <c r="D756" s="33">
        <f>Summary!D760</f>
        <v>10074.187940755244</v>
      </c>
      <c r="E756" s="34" t="str">
        <f>Summary!E760</f>
        <v>USD millions</v>
      </c>
    </row>
    <row r="757" spans="1:5" x14ac:dyDescent="0.2">
      <c r="A757" s="34">
        <f>Summary!A761</f>
        <v>2050</v>
      </c>
      <c r="B757" s="34" t="str">
        <f>Summary!B761</f>
        <v>Conditional</v>
      </c>
      <c r="C757" s="34" t="str">
        <f>Summary!C761</f>
        <v>Gas Recovery Revenue (Central, $8/MMBtu)</v>
      </c>
      <c r="D757" s="33">
        <f>Summary!D761</f>
        <v>10083.410252297706</v>
      </c>
      <c r="E757" s="34" t="str">
        <f>Summary!E761</f>
        <v>USD millions</v>
      </c>
    </row>
    <row r="758" spans="1:5" x14ac:dyDescent="0.2">
      <c r="A758" s="34">
        <f>Summary!A762</f>
        <v>2023</v>
      </c>
      <c r="B758" s="34" t="str">
        <f>Summary!B762</f>
        <v>Conditional</v>
      </c>
      <c r="C758" s="34" t="str">
        <f>Summary!C762</f>
        <v>Gas Recovery Revenue (High, $12/MMBtu)</v>
      </c>
      <c r="D758" s="33">
        <f>Summary!D762</f>
        <v>0</v>
      </c>
      <c r="E758" s="34" t="str">
        <f>Summary!E762</f>
        <v>USD millions</v>
      </c>
    </row>
    <row r="759" spans="1:5" x14ac:dyDescent="0.2">
      <c r="A759" s="34">
        <f>Summary!A763</f>
        <v>2024</v>
      </c>
      <c r="B759" s="34" t="str">
        <f>Summary!B763</f>
        <v>Conditional</v>
      </c>
      <c r="C759" s="34" t="str">
        <f>Summary!C763</f>
        <v>Gas Recovery Revenue (High, $12/MMBtu)</v>
      </c>
      <c r="D759" s="33">
        <f>Summary!D763</f>
        <v>2519.6636367140754</v>
      </c>
      <c r="E759" s="34" t="str">
        <f>Summary!E763</f>
        <v>USD millions</v>
      </c>
    </row>
    <row r="760" spans="1:5" x14ac:dyDescent="0.2">
      <c r="A760" s="34">
        <f>Summary!A764</f>
        <v>2025</v>
      </c>
      <c r="B760" s="34" t="str">
        <f>Summary!B764</f>
        <v>Conditional</v>
      </c>
      <c r="C760" s="34" t="str">
        <f>Summary!C764</f>
        <v>Gas Recovery Revenue (High, $12/MMBtu)</v>
      </c>
      <c r="D760" s="33">
        <f>Summary!D764</f>
        <v>4941.9433259373545</v>
      </c>
      <c r="E760" s="34" t="str">
        <f>Summary!E764</f>
        <v>USD millions</v>
      </c>
    </row>
    <row r="761" spans="1:5" x14ac:dyDescent="0.2">
      <c r="A761" s="34">
        <f>Summary!A765</f>
        <v>2026</v>
      </c>
      <c r="B761" s="34" t="str">
        <f>Summary!B765</f>
        <v>Conditional</v>
      </c>
      <c r="C761" s="34" t="str">
        <f>Summary!C765</f>
        <v>Gas Recovery Revenue (High, $12/MMBtu)</v>
      </c>
      <c r="D761" s="33">
        <f>Summary!D765</f>
        <v>7226.5643299244466</v>
      </c>
      <c r="E761" s="34" t="str">
        <f>Summary!E765</f>
        <v>USD millions</v>
      </c>
    </row>
    <row r="762" spans="1:5" x14ac:dyDescent="0.2">
      <c r="A762" s="34">
        <f>Summary!A766</f>
        <v>2027</v>
      </c>
      <c r="B762" s="34" t="str">
        <f>Summary!B766</f>
        <v>Conditional</v>
      </c>
      <c r="C762" s="34" t="str">
        <f>Summary!C766</f>
        <v>Gas Recovery Revenue (High, $12/MMBtu)</v>
      </c>
      <c r="D762" s="33">
        <f>Summary!D766</f>
        <v>9263.1568966780251</v>
      </c>
      <c r="E762" s="34" t="str">
        <f>Summary!E766</f>
        <v>USD millions</v>
      </c>
    </row>
    <row r="763" spans="1:5" x14ac:dyDescent="0.2">
      <c r="A763" s="34">
        <f>Summary!A767</f>
        <v>2028</v>
      </c>
      <c r="B763" s="34" t="str">
        <f>Summary!B767</f>
        <v>Conditional</v>
      </c>
      <c r="C763" s="34" t="str">
        <f>Summary!C767</f>
        <v>Gas Recovery Revenue (High, $12/MMBtu)</v>
      </c>
      <c r="D763" s="33">
        <f>Summary!D767</f>
        <v>10956.065378205123</v>
      </c>
      <c r="E763" s="34" t="str">
        <f>Summary!E767</f>
        <v>USD millions</v>
      </c>
    </row>
    <row r="764" spans="1:5" x14ac:dyDescent="0.2">
      <c r="A764" s="34">
        <f>Summary!A768</f>
        <v>2029</v>
      </c>
      <c r="B764" s="34" t="str">
        <f>Summary!B768</f>
        <v>Conditional</v>
      </c>
      <c r="C764" s="34" t="str">
        <f>Summary!C768</f>
        <v>Gas Recovery Revenue (High, $12/MMBtu)</v>
      </c>
      <c r="D764" s="33">
        <f>Summary!D768</f>
        <v>12266.244788901435</v>
      </c>
      <c r="E764" s="34" t="str">
        <f>Summary!E768</f>
        <v>USD millions</v>
      </c>
    </row>
    <row r="765" spans="1:5" x14ac:dyDescent="0.2">
      <c r="A765" s="34">
        <f>Summary!A769</f>
        <v>2030</v>
      </c>
      <c r="B765" s="34" t="str">
        <f>Summary!B769</f>
        <v>Conditional</v>
      </c>
      <c r="C765" s="34" t="str">
        <f>Summary!C769</f>
        <v>Gas Recovery Revenue (High, $12/MMBtu)</v>
      </c>
      <c r="D765" s="33">
        <f>Summary!D769</f>
        <v>13198.566358882854</v>
      </c>
      <c r="E765" s="34" t="str">
        <f>Summary!E769</f>
        <v>USD millions</v>
      </c>
    </row>
    <row r="766" spans="1:5" x14ac:dyDescent="0.2">
      <c r="A766" s="34">
        <f>Summary!A770</f>
        <v>2031</v>
      </c>
      <c r="B766" s="34" t="str">
        <f>Summary!B770</f>
        <v>Conditional</v>
      </c>
      <c r="C766" s="34" t="str">
        <f>Summary!C770</f>
        <v>Gas Recovery Revenue (High, $12/MMBtu)</v>
      </c>
      <c r="D766" s="33">
        <f>Summary!D770</f>
        <v>14083.972510177104</v>
      </c>
      <c r="E766" s="34" t="str">
        <f>Summary!E770</f>
        <v>USD millions</v>
      </c>
    </row>
    <row r="767" spans="1:5" x14ac:dyDescent="0.2">
      <c r="A767" s="34">
        <f>Summary!A771</f>
        <v>2032</v>
      </c>
      <c r="B767" s="34" t="str">
        <f>Summary!B771</f>
        <v>Conditional</v>
      </c>
      <c r="C767" s="34" t="str">
        <f>Summary!C771</f>
        <v>Gas Recovery Revenue (High, $12/MMBtu)</v>
      </c>
      <c r="D767" s="33">
        <f>Summary!D771</f>
        <v>14592.783809658527</v>
      </c>
      <c r="E767" s="34" t="str">
        <f>Summary!E771</f>
        <v>USD millions</v>
      </c>
    </row>
    <row r="768" spans="1:5" x14ac:dyDescent="0.2">
      <c r="A768" s="34">
        <f>Summary!A772</f>
        <v>2033</v>
      </c>
      <c r="B768" s="34" t="str">
        <f>Summary!B772</f>
        <v>Conditional</v>
      </c>
      <c r="C768" s="34" t="str">
        <f>Summary!C772</f>
        <v>Gas Recovery Revenue (High, $12/MMBtu)</v>
      </c>
      <c r="D768" s="33">
        <f>Summary!D772</f>
        <v>14867.876644386586</v>
      </c>
      <c r="E768" s="34" t="str">
        <f>Summary!E772</f>
        <v>USD millions</v>
      </c>
    </row>
    <row r="769" spans="1:5" x14ac:dyDescent="0.2">
      <c r="A769" s="34">
        <f>Summary!A773</f>
        <v>2034</v>
      </c>
      <c r="B769" s="34" t="str">
        <f>Summary!B773</f>
        <v>Conditional</v>
      </c>
      <c r="C769" s="34" t="str">
        <f>Summary!C773</f>
        <v>Gas Recovery Revenue (High, $12/MMBtu)</v>
      </c>
      <c r="D769" s="33">
        <f>Summary!D773</f>
        <v>14981.752050511172</v>
      </c>
      <c r="E769" s="34" t="str">
        <f>Summary!E773</f>
        <v>USD millions</v>
      </c>
    </row>
    <row r="770" spans="1:5" x14ac:dyDescent="0.2">
      <c r="A770" s="34">
        <f>Summary!A774</f>
        <v>2035</v>
      </c>
      <c r="B770" s="34" t="str">
        <f>Summary!B774</f>
        <v>Conditional</v>
      </c>
      <c r="C770" s="34" t="str">
        <f>Summary!C774</f>
        <v>Gas Recovery Revenue (High, $12/MMBtu)</v>
      </c>
      <c r="D770" s="33">
        <f>Summary!D774</f>
        <v>15050.426257104204</v>
      </c>
      <c r="E770" s="34" t="str">
        <f>Summary!E774</f>
        <v>USD millions</v>
      </c>
    </row>
    <row r="771" spans="1:5" x14ac:dyDescent="0.2">
      <c r="A771" s="34">
        <f>Summary!A775</f>
        <v>2036</v>
      </c>
      <c r="B771" s="34" t="str">
        <f>Summary!B775</f>
        <v>Conditional</v>
      </c>
      <c r="C771" s="34" t="str">
        <f>Summary!C775</f>
        <v>Gas Recovery Revenue (High, $12/MMBtu)</v>
      </c>
      <c r="D771" s="33">
        <f>Summary!D775</f>
        <v>15085.813677972053</v>
      </c>
      <c r="E771" s="34" t="str">
        <f>Summary!E775</f>
        <v>USD millions</v>
      </c>
    </row>
    <row r="772" spans="1:5" x14ac:dyDescent="0.2">
      <c r="A772" s="34">
        <f>Summary!A776</f>
        <v>2037</v>
      </c>
      <c r="B772" s="34" t="str">
        <f>Summary!B776</f>
        <v>Conditional</v>
      </c>
      <c r="C772" s="34" t="str">
        <f>Summary!C776</f>
        <v>Gas Recovery Revenue (High, $12/MMBtu)</v>
      </c>
      <c r="D772" s="33">
        <f>Summary!D776</f>
        <v>15098.385661258786</v>
      </c>
      <c r="E772" s="34" t="str">
        <f>Summary!E776</f>
        <v>USD millions</v>
      </c>
    </row>
    <row r="773" spans="1:5" x14ac:dyDescent="0.2">
      <c r="A773" s="34">
        <f>Summary!A777</f>
        <v>2038</v>
      </c>
      <c r="B773" s="34" t="str">
        <f>Summary!B777</f>
        <v>Conditional</v>
      </c>
      <c r="C773" s="34" t="str">
        <f>Summary!C777</f>
        <v>Gas Recovery Revenue (High, $12/MMBtu)</v>
      </c>
      <c r="D773" s="33">
        <f>Summary!D777</f>
        <v>15096.826580114541</v>
      </c>
      <c r="E773" s="34" t="str">
        <f>Summary!E777</f>
        <v>USD millions</v>
      </c>
    </row>
    <row r="774" spans="1:5" x14ac:dyDescent="0.2">
      <c r="A774" s="34">
        <f>Summary!A778</f>
        <v>2039</v>
      </c>
      <c r="B774" s="34" t="str">
        <f>Summary!B778</f>
        <v>Conditional</v>
      </c>
      <c r="C774" s="34" t="str">
        <f>Summary!C778</f>
        <v>Gas Recovery Revenue (High, $12/MMBtu)</v>
      </c>
      <c r="D774" s="33">
        <f>Summary!D778</f>
        <v>15087.974859067997</v>
      </c>
      <c r="E774" s="34" t="str">
        <f>Summary!E778</f>
        <v>USD millions</v>
      </c>
    </row>
    <row r="775" spans="1:5" x14ac:dyDescent="0.2">
      <c r="A775" s="34">
        <f>Summary!A779</f>
        <v>2040</v>
      </c>
      <c r="B775" s="34" t="str">
        <f>Summary!B779</f>
        <v>Conditional</v>
      </c>
      <c r="C775" s="34" t="str">
        <f>Summary!C779</f>
        <v>Gas Recovery Revenue (High, $12/MMBtu)</v>
      </c>
      <c r="D775" s="33">
        <f>Summary!D779</f>
        <v>15076.933362562169</v>
      </c>
      <c r="E775" s="34" t="str">
        <f>Summary!E779</f>
        <v>USD millions</v>
      </c>
    </row>
    <row r="776" spans="1:5" x14ac:dyDescent="0.2">
      <c r="A776" s="34">
        <f>Summary!A780</f>
        <v>2041</v>
      </c>
      <c r="B776" s="34" t="str">
        <f>Summary!B780</f>
        <v>Conditional</v>
      </c>
      <c r="C776" s="34" t="str">
        <f>Summary!C780</f>
        <v>Gas Recovery Revenue (High, $12/MMBtu)</v>
      </c>
      <c r="D776" s="33">
        <f>Summary!D780</f>
        <v>15067.258890440127</v>
      </c>
      <c r="E776" s="34" t="str">
        <f>Summary!E780</f>
        <v>USD millions</v>
      </c>
    </row>
    <row r="777" spans="1:5" x14ac:dyDescent="0.2">
      <c r="A777" s="34">
        <f>Summary!A781</f>
        <v>2042</v>
      </c>
      <c r="B777" s="34" t="str">
        <f>Summary!B781</f>
        <v>Conditional</v>
      </c>
      <c r="C777" s="34" t="str">
        <f>Summary!C781</f>
        <v>Gas Recovery Revenue (High, $12/MMBtu)</v>
      </c>
      <c r="D777" s="33">
        <f>Summary!D781</f>
        <v>15061.164477275741</v>
      </c>
      <c r="E777" s="34" t="str">
        <f>Summary!E781</f>
        <v>USD millions</v>
      </c>
    </row>
    <row r="778" spans="1:5" x14ac:dyDescent="0.2">
      <c r="A778" s="34">
        <f>Summary!A782</f>
        <v>2043</v>
      </c>
      <c r="B778" s="34" t="str">
        <f>Summary!B782</f>
        <v>Conditional</v>
      </c>
      <c r="C778" s="34" t="str">
        <f>Summary!C782</f>
        <v>Gas Recovery Revenue (High, $12/MMBtu)</v>
      </c>
      <c r="D778" s="33">
        <f>Summary!D782</f>
        <v>15059.239921402008</v>
      </c>
      <c r="E778" s="34" t="str">
        <f>Summary!E782</f>
        <v>USD millions</v>
      </c>
    </row>
    <row r="779" spans="1:5" x14ac:dyDescent="0.2">
      <c r="A779" s="34">
        <f>Summary!A783</f>
        <v>2044</v>
      </c>
      <c r="B779" s="34" t="str">
        <f>Summary!B783</f>
        <v>Conditional</v>
      </c>
      <c r="C779" s="34" t="str">
        <f>Summary!C783</f>
        <v>Gas Recovery Revenue (High, $12/MMBtu)</v>
      </c>
      <c r="D779" s="33">
        <f>Summary!D783</f>
        <v>15060.228153309188</v>
      </c>
      <c r="E779" s="34" t="str">
        <f>Summary!E783</f>
        <v>USD millions</v>
      </c>
    </row>
    <row r="780" spans="1:5" x14ac:dyDescent="0.2">
      <c r="A780" s="34">
        <f>Summary!A784</f>
        <v>2045</v>
      </c>
      <c r="B780" s="34" t="str">
        <f>Summary!B784</f>
        <v>Conditional</v>
      </c>
      <c r="C780" s="34" t="str">
        <f>Summary!C784</f>
        <v>Gas Recovery Revenue (High, $12/MMBtu)</v>
      </c>
      <c r="D780" s="33">
        <f>Summary!D784</f>
        <v>15067.504888582773</v>
      </c>
      <c r="E780" s="34" t="str">
        <f>Summary!E784</f>
        <v>USD millions</v>
      </c>
    </row>
    <row r="781" spans="1:5" x14ac:dyDescent="0.2">
      <c r="A781" s="34">
        <f>Summary!A785</f>
        <v>2046</v>
      </c>
      <c r="B781" s="34" t="str">
        <f>Summary!B785</f>
        <v>Conditional</v>
      </c>
      <c r="C781" s="34" t="str">
        <f>Summary!C785</f>
        <v>Gas Recovery Revenue (High, $12/MMBtu)</v>
      </c>
      <c r="D781" s="33">
        <f>Summary!D785</f>
        <v>15080.155746514078</v>
      </c>
      <c r="E781" s="34" t="str">
        <f>Summary!E785</f>
        <v>USD millions</v>
      </c>
    </row>
    <row r="782" spans="1:5" x14ac:dyDescent="0.2">
      <c r="A782" s="34">
        <f>Summary!A786</f>
        <v>2047</v>
      </c>
      <c r="B782" s="34" t="str">
        <f>Summary!B786</f>
        <v>Conditional</v>
      </c>
      <c r="C782" s="34" t="str">
        <f>Summary!C786</f>
        <v>Gas Recovery Revenue (High, $12/MMBtu)</v>
      </c>
      <c r="D782" s="33">
        <f>Summary!D786</f>
        <v>15088.286648463936</v>
      </c>
      <c r="E782" s="34" t="str">
        <f>Summary!E786</f>
        <v>USD millions</v>
      </c>
    </row>
    <row r="783" spans="1:5" x14ac:dyDescent="0.2">
      <c r="A783" s="34">
        <f>Summary!A787</f>
        <v>2048</v>
      </c>
      <c r="B783" s="34" t="str">
        <f>Summary!B787</f>
        <v>Conditional</v>
      </c>
      <c r="C783" s="34" t="str">
        <f>Summary!C787</f>
        <v>Gas Recovery Revenue (High, $12/MMBtu)</v>
      </c>
      <c r="D783" s="33">
        <f>Summary!D787</f>
        <v>15098.456241789381</v>
      </c>
      <c r="E783" s="34" t="str">
        <f>Summary!E787</f>
        <v>USD millions</v>
      </c>
    </row>
    <row r="784" spans="1:5" x14ac:dyDescent="0.2">
      <c r="A784" s="34">
        <f>Summary!A788</f>
        <v>2049</v>
      </c>
      <c r="B784" s="34" t="str">
        <f>Summary!B788</f>
        <v>Conditional</v>
      </c>
      <c r="C784" s="34" t="str">
        <f>Summary!C788</f>
        <v>Gas Recovery Revenue (High, $12/MMBtu)</v>
      </c>
      <c r="D784" s="33">
        <f>Summary!D788</f>
        <v>15111.281911132866</v>
      </c>
      <c r="E784" s="34" t="str">
        <f>Summary!E788</f>
        <v>USD millions</v>
      </c>
    </row>
    <row r="785" spans="1:5" x14ac:dyDescent="0.2">
      <c r="A785" s="34">
        <f>Summary!A789</f>
        <v>2050</v>
      </c>
      <c r="B785" s="34" t="str">
        <f>Summary!B789</f>
        <v>Conditional</v>
      </c>
      <c r="C785" s="34" t="str">
        <f>Summary!C789</f>
        <v>Gas Recovery Revenue (High, $12/MMBtu)</v>
      </c>
      <c r="D785" s="33">
        <f>Summary!D789</f>
        <v>15125.11537844656</v>
      </c>
      <c r="E785" s="34" t="str">
        <f>Summary!E789</f>
        <v>USD millions</v>
      </c>
    </row>
  </sheetData>
  <autoFilter ref="A1:E617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/>
  </sheetViews>
  <sheetFormatPr baseColWidth="10" defaultColWidth="10.6640625" defaultRowHeight="15" x14ac:dyDescent="0.2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MMcfd</vt:lpstr>
      <vt:lpstr>SISEPUEDE</vt:lpstr>
      <vt:lpstr>Gas Recovery Revenue</vt:lpstr>
      <vt:lpstr>Summary</vt:lpstr>
      <vt:lpstr>tableau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Fabian Fuentes Rivas</cp:lastModifiedBy>
  <cp:revision>12</cp:revision>
  <dcterms:created xsi:type="dcterms:W3CDTF">2026-04-30T06:39:41Z</dcterms:created>
  <dcterms:modified xsi:type="dcterms:W3CDTF">2026-05-06T21:13:35Z</dcterms:modified>
  <dc:language>en-US</dc:language>
</cp:coreProperties>
</file>