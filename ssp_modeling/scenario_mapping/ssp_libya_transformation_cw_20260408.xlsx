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mc:AlternateContent xmlns:mc="http://schemas.openxmlformats.org/markup-compatibility/2006">
    <mc:Choice Requires="x15">
      <x15ac:absPath xmlns:x15ac="http://schemas.microsoft.com/office/spreadsheetml/2010/11/ac" url="/Users/fabianfuentes/git/ssp_libya/ssp_modeling/scenario_mapping/"/>
    </mc:Choice>
  </mc:AlternateContent>
  <xr:revisionPtr revIDLastSave="0" documentId="13_ncr:1_{3C3CD545-C2EB-4847-B852-0A9F0E6FAB7A}" xr6:coauthVersionLast="47" xr6:coauthVersionMax="47" xr10:uidLastSave="{00000000-0000-0000-0000-000000000000}"/>
  <bookViews>
    <workbookView xWindow="-38400" yWindow="-620" windowWidth="38400" windowHeight="21000" xr2:uid="{00000000-000D-0000-FFFF-FFFF00000000}"/>
  </bookViews>
  <sheets>
    <sheet name="main" sheetId="1" r:id="rId1"/>
    <sheet name="yaml" sheetId="2" r:id="rId2"/>
    <sheet name="Sheet1" sheetId="3" r:id="rId3"/>
  </sheets>
  <definedNames>
    <definedName name="_xlnm._FilterDatabase" localSheetId="0" hidden="1">main!$A$1:$S$65</definedName>
    <definedName name="_xlnm._FilterDatabase" localSheetId="1">yaml!$A$1:$D$63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 i="1" l="1"/>
  <c r="Q63" i="1"/>
  <c r="Q62" i="1"/>
  <c r="Q61" i="1"/>
  <c r="Q60" i="1"/>
  <c r="Q59" i="1"/>
  <c r="Q57" i="1"/>
  <c r="R41" i="1"/>
  <c r="R15" i="1"/>
  <c r="Q15" i="1"/>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8" i="3"/>
  <c r="Q43" i="1"/>
  <c r="Q44" i="1"/>
  <c r="Q45" i="1"/>
  <c r="Q46" i="1"/>
  <c r="Q47" i="1"/>
  <c r="Q48" i="1"/>
  <c r="Q49" i="1"/>
  <c r="Q50" i="1"/>
  <c r="Q42" i="1"/>
  <c r="R42" i="1" s="1"/>
  <c r="Q11" i="1"/>
  <c r="R12" i="1"/>
  <c r="Q12" i="1"/>
  <c r="R23" i="1"/>
  <c r="R25" i="1"/>
  <c r="Q25" i="1"/>
  <c r="Q8" i="1" l="1"/>
  <c r="R13" i="1"/>
  <c r="R11" i="1"/>
  <c r="Q23" i="1" l="1"/>
  <c r="Q64" i="1"/>
  <c r="Q3" i="1"/>
  <c r="Q4" i="1"/>
  <c r="Q5" i="1"/>
  <c r="Q6" i="1"/>
  <c r="Q7" i="1"/>
  <c r="Q2" i="1"/>
  <c r="Q10" i="1"/>
  <c r="Q13" i="1"/>
  <c r="Q14" i="1"/>
  <c r="Q16" i="1"/>
  <c r="Q17" i="1"/>
  <c r="Q18" i="1"/>
  <c r="Q19" i="1"/>
  <c r="Q20" i="1"/>
  <c r="Q21" i="1"/>
  <c r="Q22" i="1"/>
  <c r="Q24" i="1"/>
  <c r="Q26" i="1"/>
  <c r="Q27" i="1"/>
  <c r="Q28" i="1"/>
  <c r="Q29" i="1"/>
  <c r="Q30" i="1"/>
  <c r="Q31" i="1"/>
  <c r="Q32" i="1"/>
  <c r="Q33" i="1"/>
  <c r="Q34" i="1"/>
  <c r="Q35" i="1"/>
  <c r="Q36" i="1"/>
  <c r="Q37" i="1"/>
  <c r="Q38" i="1"/>
  <c r="Q39" i="1"/>
  <c r="Q40" i="1"/>
  <c r="Q41" i="1"/>
  <c r="Q52" i="1"/>
  <c r="Q53" i="1"/>
  <c r="Q9" i="1"/>
</calcChain>
</file>

<file path=xl/sharedStrings.xml><?xml version="1.0" encoding="utf-8"?>
<sst xmlns="http://schemas.openxmlformats.org/spreadsheetml/2006/main" count="719" uniqueCount="417">
  <si>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</si>
  <si>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</si>
  <si>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</si>
  <si>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</si>
  <si>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</si>
  <si>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</si>
  <si>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</si>
  <si>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</si>
  <si>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</si>
  <si>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</si>
  <si>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</si>
  <si>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</si>
  <si>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</si>
  <si>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</si>
  <si>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</si>
  <si>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</si>
  <si>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</si>
  <si>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</si>
  <si>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</si>
  <si>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</si>
  <si>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</si>
  <si>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</si>
  <si>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</si>
  <si>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</si>
  <si>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</si>
  <si>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</si>
  <si>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</si>
  <si>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</si>
  <si>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</si>
  <si>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</si>
  <si>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</si>
  <si>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</si>
  <si>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</si>
  <si>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</si>
  <si>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</si>
  <si>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</si>
  <si>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</si>
  <si>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</si>
  <si>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</si>
  <si>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</si>
  <si>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</si>
  <si>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</si>
  <si>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</si>
  <si>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</si>
  <si>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</si>
  <si>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</si>
  <si>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</si>
  <si>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</si>
  <si>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</si>
  <si>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</si>
  <si>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</si>
  <si>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</si>
  <si>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</si>
  <si>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</si>
  <si>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</si>
  <si>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</si>
  <si>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</si>
  <si>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</si>
  <si>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</si>
  <si>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</si>
  <si>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</si>
  <si>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</si>
  <si>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</si>
  <si>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</si>
  <si>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</si>
  <si>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</si>
  <si>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</si>
  <si>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</si>
  <si>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</si>
  <si>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</si>
  <si>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</si>
  <si>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</si>
  <si>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</si>
  <si>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</si>
  <si>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</si>
  <si>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</si>
  <si>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</si>
  <si>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</si>
  <si>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</si>
  <si>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</si>
  <si>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</si>
  <si>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</si>
  <si>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</si>
  <si>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</si>
  <si>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</si>
  <si>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</si>
  <si>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</si>
  <si>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</si>
  <si>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</si>
  <si>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</si>
  <si>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</si>
  <si>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</si>
  <si>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</si>
  <si>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</si>
  <si>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</si>
  <si>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</si>
  <si>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</si>
  <si>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</si>
  <si>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</si>
  <si>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</si>
  <si>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</si>
  <si>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</si>
  <si>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</si>
  <si>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</si>
  <si>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</si>
  <si>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</si>
  <si>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</si>
  <si>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</si>
  <si>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</si>
  <si>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</si>
  <si>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</si>
  <si>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</si>
  <si>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</si>
  <si>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</si>
  <si>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</si>
  <si>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</si>
  <si>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</si>
  <si>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</si>
  <si>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</si>
  <si>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</si>
  <si>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</si>
  <si>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</si>
  <si>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</si>
  <si>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</si>
  <si>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</si>
  <si>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</si>
  <si>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</si>
  <si>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</si>
  <si>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</si>
  <si>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</si>
  <si>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</si>
  <si>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</si>
  <si>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</si>
  <si>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</si>
  <si>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</si>
  <si>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</si>
  <si>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</si>
  <si>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</si>
  <si>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</si>
  <si>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</si>
  <si>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</si>
  <si>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</si>
  <si>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</si>
  <si>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</si>
  <si>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</si>
  <si>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</si>
  <si>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</si>
  <si>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</si>
  <si>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</si>
  <si>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</si>
  <si>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</si>
  <si>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</si>
  <si>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</si>
  <si>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</si>
  <si>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</si>
  <si>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</si>
  <si>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</si>
  <si>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</si>
  <si>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</si>
  <si>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</si>
  <si>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</si>
  <si>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</si>
  <si>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</si>
  <si>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</si>
  <si>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</si>
  <si>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</si>
  <si>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</si>
  <si>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</si>
  <si>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</si>
  <si>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</si>
  <si>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</si>
  <si>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</si>
  <si>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</si>
  <si>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</si>
  <si>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</si>
  <si>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</si>
  <si>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</si>
  <si>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</si>
  <si>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</si>
  <si>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</si>
  <si>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</si>
  <si>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</si>
  <si>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</si>
  <si>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</si>
  <si>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</si>
  <si>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</si>
  <si>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</si>
  <si>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</si>
  <si>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</si>
  <si>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</si>
  <si>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</si>
  <si>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</si>
  <si>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</si>
  <si>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</si>
  <si>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</si>
  <si>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</si>
  <si>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</si>
  <si>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</si>
  <si>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</si>
  <si>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</si>
  <si>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</si>
  <si>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</si>
  <si>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</si>
  <si>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</si>
  <si>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</si>
  <si>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</si>
  <si>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egypt_mitigation_action</t>
  </si>
  <si>
    <t>egypt_action_descirption</t>
  </si>
  <si>
    <t>magnitude</t>
  </si>
  <si>
    <t>magnitude_description</t>
  </si>
  <si>
    <t>default_magnitude</t>
  </si>
  <si>
    <t>start_period</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</si>
  <si>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</si>
  <si>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</si>
  <si>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</si>
  <si>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</si>
  <si>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</si>
  <si>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</si>
  <si>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</si>
  <si>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</si>
  <si>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</si>
  <si>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</si>
  <si>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</si>
  <si>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</si>
  <si>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</si>
  <si>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</si>
  <si>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</si>
  <si>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</si>
  <si>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</si>
  <si>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</si>
  <si>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</si>
  <si>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</si>
  <si>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</si>
  <si>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</si>
  <si>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</si>
  <si>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</si>
  <si>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</si>
  <si>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</si>
  <si>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</si>
  <si>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</si>
  <si>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</si>
  <si>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</si>
  <si>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</si>
  <si>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</si>
  <si>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</si>
  <si>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</si>
  <si>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</si>
  <si>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</si>
  <si>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</si>
  <si>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</si>
  <si>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</si>
  <si>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</si>
  <si>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</si>
  <si>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</si>
  <si>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</si>
  <si>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</si>
  <si>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</si>
  <si>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</si>
  <si>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</si>
  <si>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</si>
  <si>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</si>
  <si>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</si>
  <si>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</si>
  <si>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</si>
  <si>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</si>
  <si>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</si>
  <si>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</si>
  <si>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</si>
  <si>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</si>
  <si>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</si>
  <si>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</si>
  <si>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</si>
  <si>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</si>
  <si>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</si>
  <si>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</si>
  <si>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</si>
  <si>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</si>
  <si>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</si>
  <si>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</si>
  <si>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</si>
  <si>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</si>
  <si>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</si>
  <si>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</si>
  <si>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</si>
  <si>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</si>
  <si>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</si>
  <si>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</si>
  <si>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</si>
  <si>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</si>
  <si>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</si>
  <si>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</si>
  <si>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</si>
  <si>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</si>
  <si>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</si>
  <si>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</si>
  <si>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</si>
  <si>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</si>
  <si>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</si>
  <si>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</si>
  <si>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</si>
  <si>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</si>
  <si>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</si>
  <si>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</si>
  <si>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</si>
  <si>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</si>
  <si>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</si>
  <si>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</si>
  <si>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</si>
  <si>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</si>
  <si>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</si>
  <si>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</si>
  <si>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</si>
  <si>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</si>
  <si>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</si>
  <si>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</si>
  <si>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</si>
  <si>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</si>
  <si>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</si>
  <si>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</si>
  <si>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</si>
  <si>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</si>
  <si>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</si>
  <si>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</si>
  <si>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</si>
  <si>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</si>
  <si>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</si>
  <si>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</si>
  <si>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</si>
  <si>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</si>
  <si>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</si>
  <si>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</si>
  <si>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</si>
  <si>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</si>
  <si>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</si>
  <si>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</si>
  <si>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</si>
  <si>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</si>
  <si>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</si>
  <si>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</si>
  <si>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</si>
  <si>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</si>
  <si>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</si>
  <si>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</si>
  <si>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</si>
  <si>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</si>
  <si>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</si>
  <si>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</si>
  <si>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</si>
  <si>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</si>
  <si>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</si>
  <si>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</si>
  <si>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</si>
  <si>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</si>
  <si>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</si>
  <si>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</si>
  <si>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</si>
  <si>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</si>
  <si>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</si>
  <si>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</si>
  <si>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</si>
  <si>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</si>
  <si>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</si>
  <si>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</si>
  <si>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</si>
  <si>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</si>
  <si>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</si>
  <si>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</si>
  <si>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</si>
  <si>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</si>
  <si>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</si>
  <si>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</si>
  <si>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</si>
  <si>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</si>
  <si>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</si>
  <si>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</si>
  <si>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</si>
  <si>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</si>
  <si>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</si>
  <si>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</si>
  <si>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</si>
  <si>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</si>
  <si>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</si>
  <si>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</si>
  <si>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</si>
  <si>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</si>
  <si>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</si>
  <si>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</si>
  <si>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</si>
  <si>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</si>
  <si>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</si>
  <si>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</si>
  <si>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</si>
  <si>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</si>
  <si>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</si>
  <si>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</si>
  <si>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</si>
  <si>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</si>
  <si>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</si>
  <si>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</si>
  <si>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</si>
  <si>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</si>
  <si>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</si>
  <si>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</si>
  <si>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</si>
  <si>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</si>
  <si>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</si>
  <si>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TX:ENFU:ADJ_EXPORTS</t>
  </si>
  <si>
    <t>ENFU</t>
  </si>
  <si>
    <t>Increase fuel exports</t>
  </si>
  <si>
    <t>transformation_enfu_adj_exports.yaml</t>
  </si>
  <si>
    <t>strategy_Conditional</t>
  </si>
  <si>
    <t>strategy_Unconditional</t>
  </si>
  <si>
    <t>strategy_BAU</t>
  </si>
  <si>
    <t>Esta impacta en waso</t>
  </si>
  <si>
    <t>TX:FGTV:INC_GAS_RECOVERY</t>
  </si>
  <si>
    <t>Gas Recovery</t>
  </si>
  <si>
    <t>transformation_fgtv_inc_gas_recovery.yaml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</si>
</sst>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00"/>
    <numFmt numFmtId="166" formatCode="#,##0.000000"/>
  </numFmts>
  <fonts count="7"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0"/>
      <color rgb="FF000000"/>
      <name val="Calibri"/>
      <family val="2"/>
    </font>
  </fonts>
  <fills count="6">
    <fill>
      <patternFill patternType="none"/>
    </fill>
    <fill>
      <patternFill patternType="gray125"/>
    </fill>
    <fill>
      <patternFill patternType="solid">
        <fgColor rgb="FFFFFFFF"/>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83">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4" fillId="0" borderId="1" xfId="0" applyFont="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3"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4" fontId="2" fillId="2" borderId="1" xfId="0" applyNumberFormat="1" applyFont="1" applyFill="1" applyBorder="1" applyAlignment="1">
      <alignment horizontal="center"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0" borderId="3" xfId="0" applyFont="1" applyBorder="1" applyAlignment="1">
      <alignment horizontal="left" wrapText="1"/>
    </xf>
    <xf numFmtId="4" fontId="4" fillId="2" borderId="6" xfId="0" applyNumberFormat="1" applyFont="1" applyFill="1" applyBorder="1" applyAlignment="1">
      <alignment horizontal="right"/>
    </xf>
    <xf numFmtId="164" fontId="2" fillId="0" borderId="3" xfId="0" applyNumberFormat="1" applyFont="1" applyBorder="1" applyAlignment="1">
      <alignment horizontal="right"/>
    </xf>
    <xf numFmtId="164" fontId="4" fillId="2" borderId="6" xfId="0" applyNumberFormat="1" applyFont="1" applyFill="1" applyBorder="1" applyAlignment="1">
      <alignment horizontal="right"/>
    </xf>
    <xf numFmtId="0" fontId="6" fillId="2" borderId="1" xfId="0" applyFont="1" applyFill="1" applyBorder="1" applyAlignment="1">
      <alignment horizontal="left" wrapText="1"/>
    </xf>
    <xf numFmtId="0" fontId="2" fillId="0" borderId="3" xfId="0" applyFont="1" applyBorder="1" applyAlignment="1">
      <alignment horizontal="left" wrapText="1"/>
    </xf>
    <xf numFmtId="3" fontId="2" fillId="0" borderId="3" xfId="0" applyNumberFormat="1" applyFont="1" applyBorder="1" applyAlignment="1">
      <alignment horizontal="right" wrapText="1"/>
    </xf>
    <xf numFmtId="4" fontId="2" fillId="0" borderId="3" xfId="0" applyNumberFormat="1" applyFont="1" applyBorder="1" applyAlignment="1">
      <alignment horizontal="right"/>
    </xf>
    <xf numFmtId="0" fontId="0" fillId="0" borderId="0" xfId="0" applyAlignment="1">
      <alignment horizontal="left" wrapText="1"/>
    </xf>
    <xf numFmtId="4" fontId="0" fillId="0" borderId="0" xfId="0" applyNumberFormat="1" applyAlignment="1">
      <alignment horizontal="right" wrapText="1"/>
    </xf>
    <xf numFmtId="3" fontId="0" fillId="0" borderId="0" xfId="0" applyNumberFormat="1" applyAlignment="1">
      <alignment horizontal="right" wrapText="1"/>
    </xf>
    <xf numFmtId="164" fontId="0" fillId="0" borderId="0" xfId="0" applyNumberFormat="1" applyAlignment="1">
      <alignment horizontal="right" wrapText="1"/>
    </xf>
    <xf numFmtId="4" fontId="0" fillId="0" borderId="0" xfId="0" applyNumberFormat="1" applyAlignment="1">
      <alignment horizontal="right"/>
    </xf>
    <xf numFmtId="164" fontId="0" fillId="0" borderId="0" xfId="0" applyNumberFormat="1" applyAlignment="1">
      <alignment horizontal="right"/>
    </xf>
    <xf numFmtId="0" fontId="4" fillId="2" borderId="8" xfId="0" applyFont="1" applyFill="1" applyBorder="1" applyAlignment="1">
      <alignment horizontal="left" wrapText="1"/>
    </xf>
    <xf numFmtId="3" fontId="2" fillId="0" borderId="8" xfId="0" applyNumberFormat="1" applyFont="1" applyBorder="1" applyAlignment="1">
      <alignment horizontal="center" wrapText="1"/>
    </xf>
    <xf numFmtId="3" fontId="4" fillId="2" borderId="8" xfId="0" applyNumberFormat="1" applyFont="1" applyFill="1" applyBorder="1" applyAlignment="1">
      <alignment horizontal="center" wrapText="1"/>
    </xf>
    <xf numFmtId="164" fontId="4" fillId="2" borderId="8" xfId="0" applyNumberFormat="1" applyFont="1" applyFill="1" applyBorder="1" applyAlignment="1">
      <alignment horizontal="center" wrapText="1"/>
    </xf>
    <xf numFmtId="0" fontId="4" fillId="2" borderId="7" xfId="0" applyFont="1" applyFill="1" applyBorder="1" applyAlignment="1">
      <alignment horizontal="left" wrapText="1"/>
    </xf>
    <xf numFmtId="0" fontId="4" fillId="0" borderId="7" xfId="0" applyFont="1" applyBorder="1" applyAlignment="1">
      <alignment horizontal="left" wrapText="1"/>
    </xf>
    <xf numFmtId="4" fontId="4" fillId="2" borderId="7" xfId="0" applyNumberFormat="1" applyFont="1" applyFill="1" applyBorder="1" applyAlignment="1">
      <alignment horizontal="center" wrapText="1"/>
    </xf>
    <xf numFmtId="3" fontId="4" fillId="2" borderId="7" xfId="0" applyNumberFormat="1" applyFont="1" applyFill="1" applyBorder="1" applyAlignment="1">
      <alignment horizontal="center" wrapText="1"/>
    </xf>
    <xf numFmtId="164" fontId="4" fillId="2" borderId="7" xfId="0" applyNumberFormat="1" applyFont="1" applyFill="1" applyBorder="1" applyAlignment="1">
      <alignment horizontal="center" wrapText="1"/>
    </xf>
    <xf numFmtId="164" fontId="4" fillId="0" borderId="7" xfId="0" applyNumberFormat="1" applyFont="1" applyBorder="1" applyAlignment="1">
      <alignment horizontal="right" wrapText="1"/>
    </xf>
    <xf numFmtId="4" fontId="2" fillId="0" borderId="7" xfId="0" applyNumberFormat="1" applyFont="1" applyBorder="1" applyAlignment="1">
      <alignment horizontal="right"/>
    </xf>
    <xf numFmtId="4" fontId="4" fillId="0" borderId="7" xfId="0" applyNumberFormat="1" applyFont="1" applyBorder="1" applyAlignment="1">
      <alignment horizontal="center" wrapText="1"/>
    </xf>
    <xf numFmtId="3" fontId="4" fillId="0" borderId="7" xfId="0" applyNumberFormat="1" applyFont="1" applyBorder="1" applyAlignment="1">
      <alignment horizontal="center" wrapText="1"/>
    </xf>
    <xf numFmtId="0" fontId="2" fillId="0" borderId="8" xfId="0" applyFont="1" applyBorder="1" applyAlignment="1">
      <alignment horizontal="left"/>
    </xf>
    <xf numFmtId="0" fontId="2" fillId="0" borderId="7" xfId="0" applyFont="1" applyBorder="1" applyAlignment="1">
      <alignment horizontal="left"/>
    </xf>
    <xf numFmtId="0" fontId="0" fillId="0" borderId="7" xfId="0" applyBorder="1" applyAlignment="1">
      <alignment horizontal="left"/>
    </xf>
    <xf numFmtId="164" fontId="3" fillId="3" borderId="1" xfId="0" applyNumberFormat="1" applyFont="1" applyFill="1" applyBorder="1" applyAlignment="1">
      <alignment horizontal="center" wrapText="1"/>
    </xf>
    <xf numFmtId="0" fontId="3" fillId="0" borderId="1" xfId="0" applyFont="1" applyBorder="1" applyAlignment="1">
      <alignment horizontal="center"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4" fillId="0" borderId="8" xfId="0" applyFont="1" applyBorder="1" applyAlignment="1">
      <alignment horizontal="left" wrapText="1"/>
    </xf>
    <xf numFmtId="0" fontId="4" fillId="4" borderId="1" xfId="0" applyFont="1" applyFill="1" applyBorder="1" applyAlignment="1">
      <alignment horizontal="left" wrapText="1"/>
    </xf>
    <xf numFmtId="4" fontId="2" fillId="4" borderId="1" xfId="0" applyNumberFormat="1" applyFont="1" applyFill="1" applyBorder="1" applyAlignment="1">
      <alignment horizontal="center" wrapText="1"/>
    </xf>
    <xf numFmtId="3" fontId="4" fillId="4" borderId="1" xfId="0" applyNumberFormat="1" applyFont="1" applyFill="1" applyBorder="1" applyAlignment="1">
      <alignment horizontal="center" wrapText="1"/>
    </xf>
    <xf numFmtId="164" fontId="4" fillId="4" borderId="1" xfId="0" applyNumberFormat="1" applyFont="1" applyFill="1" applyBorder="1" applyAlignment="1">
      <alignment horizontal="center" wrapText="1"/>
    </xf>
    <xf numFmtId="4" fontId="2" fillId="4" borderId="3" xfId="0" applyNumberFormat="1" applyFont="1" applyFill="1" applyBorder="1" applyAlignment="1">
      <alignment horizontal="right" wrapText="1"/>
    </xf>
    <xf numFmtId="164" fontId="2" fillId="4" borderId="3" xfId="0" applyNumberFormat="1" applyFont="1" applyFill="1" applyBorder="1" applyAlignment="1">
      <alignment horizontal="right" wrapText="1"/>
    </xf>
    <xf numFmtId="0" fontId="0" fillId="4" borderId="0" xfId="0" applyFill="1" applyAlignment="1">
      <alignment wrapText="1"/>
    </xf>
    <xf numFmtId="0" fontId="4" fillId="5" borderId="1" xfId="0" applyFont="1" applyFill="1" applyBorder="1" applyAlignment="1">
      <alignment horizontal="left" wrapText="1"/>
    </xf>
    <xf numFmtId="165" fontId="2" fillId="0" borderId="3" xfId="0" applyNumberFormat="1" applyFont="1" applyBorder="1" applyAlignment="1">
      <alignment horizontal="right" wrapText="1"/>
    </xf>
    <xf numFmtId="166" fontId="2" fillId="0" borderId="3" xfId="0" applyNumberFormat="1" applyFont="1" applyBorder="1" applyAlignment="1">
      <alignment horizontal="right" wrapText="1"/>
    </xf>
    <xf numFmtId="0" fontId="0" fillId="5" borderId="0" xfId="0" applyFill="1"/>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4"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4" fillId="0" borderId="7"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65"/>
  <sheetViews>
    <sheetView tabSelected="1" zoomScale="90" workbookViewId="0">
      <pane ySplit="1" topLeftCell="A24" activePane="bottomLeft" state="frozen"/>
      <selection pane="bottomLeft" activeCell="O28" sqref="O28"/>
    </sheetView>
  </sheetViews>
  <sheetFormatPr baseColWidth="10" defaultColWidth="8.83203125" defaultRowHeight="15" x14ac:dyDescent="0.2"/>
  <cols>
    <col min="1" max="2" width="13.1640625" style="34" bestFit="1" customWidth="1"/>
    <col min="3" max="3" width="38.5" style="34" customWidth="1"/>
    <col min="4" max="4" width="32.1640625" style="34" customWidth="1"/>
    <col min="5" max="5" width="44.1640625" style="34" customWidth="1"/>
    <col min="6" max="6" width="88.33203125" style="34" hidden="1" customWidth="1"/>
    <col min="7" max="10" width="13" style="34" hidden="1" customWidth="1"/>
    <col min="11" max="11" width="20.83203125" style="35" customWidth="1"/>
    <col min="12" max="12" width="16.33203125" style="36" customWidth="1"/>
    <col min="13" max="15" width="20.5" style="37" bestFit="1" customWidth="1"/>
    <col min="16" max="17" width="13.5" style="38" bestFit="1" customWidth="1"/>
    <col min="18" max="18" width="13.5" style="37" bestFit="1" customWidth="1"/>
    <col min="19" max="19" width="13.5" style="39" bestFit="1" customWidth="1"/>
  </cols>
  <sheetData>
    <row r="1" spans="1:19" s="4" customFormat="1" ht="65" customHeight="1" x14ac:dyDescent="0.2">
      <c r="A1" s="5" t="s">
        <v>203</v>
      </c>
      <c r="B1" s="57" t="s">
        <v>0</v>
      </c>
      <c r="C1" s="57" t="s">
        <v>1</v>
      </c>
      <c r="D1" s="57" t="s">
        <v>2</v>
      </c>
      <c r="E1" s="57" t="s">
        <v>204</v>
      </c>
      <c r="F1" s="5" t="s">
        <v>205</v>
      </c>
      <c r="G1" s="5" t="s">
        <v>206</v>
      </c>
      <c r="H1" s="6" t="s">
        <v>207</v>
      </c>
      <c r="I1" s="6" t="s">
        <v>208</v>
      </c>
      <c r="J1" s="6" t="s">
        <v>209</v>
      </c>
      <c r="K1" s="7" t="s">
        <v>210</v>
      </c>
      <c r="L1" s="8" t="s">
        <v>211</v>
      </c>
      <c r="M1" s="9" t="s">
        <v>412</v>
      </c>
      <c r="N1" s="56" t="s">
        <v>411</v>
      </c>
      <c r="O1" s="9" t="s">
        <v>410</v>
      </c>
      <c r="P1" s="10"/>
      <c r="Q1" s="10"/>
      <c r="R1" s="11"/>
      <c r="S1" s="11"/>
    </row>
    <row r="2" spans="1:19" s="4" customFormat="1" ht="20.25" customHeight="1" x14ac:dyDescent="0.2">
      <c r="A2" s="12" t="s">
        <v>212</v>
      </c>
      <c r="B2" s="13" t="s">
        <v>4</v>
      </c>
      <c r="C2" s="79" t="s">
        <v>5</v>
      </c>
      <c r="D2" s="74" t="s">
        <v>6</v>
      </c>
      <c r="E2" s="13" t="s">
        <v>213</v>
      </c>
      <c r="F2" s="12" t="s">
        <v>214</v>
      </c>
      <c r="G2" s="14"/>
      <c r="H2" s="14"/>
      <c r="I2" s="12"/>
      <c r="J2" s="12"/>
      <c r="K2" s="15">
        <v>0.45</v>
      </c>
      <c r="L2" s="16">
        <v>12</v>
      </c>
      <c r="M2" s="17"/>
      <c r="N2" s="17"/>
      <c r="O2" s="17"/>
      <c r="P2" s="10"/>
      <c r="Q2" s="10">
        <f>K2*N2</f>
        <v>0</v>
      </c>
      <c r="R2" s="11"/>
      <c r="S2" s="11"/>
    </row>
    <row r="3" spans="1:19" s="4" customFormat="1" ht="19.5" customHeight="1" x14ac:dyDescent="0.2">
      <c r="A3" s="12" t="s">
        <v>212</v>
      </c>
      <c r="B3" s="58" t="s">
        <v>4</v>
      </c>
      <c r="C3" s="80" t="s">
        <v>8</v>
      </c>
      <c r="D3" s="75" t="s">
        <v>9</v>
      </c>
      <c r="E3" s="59" t="s">
        <v>215</v>
      </c>
      <c r="F3" s="18" t="s">
        <v>216</v>
      </c>
      <c r="G3" s="12"/>
      <c r="H3" s="12"/>
      <c r="I3" s="12"/>
      <c r="J3" s="12"/>
      <c r="K3" s="19">
        <v>0.5</v>
      </c>
      <c r="L3" s="16">
        <v>12</v>
      </c>
      <c r="M3" s="17"/>
      <c r="N3" s="17"/>
      <c r="O3" s="17"/>
      <c r="P3" s="10"/>
      <c r="Q3" s="10">
        <f t="shared" ref="Q3:Q7" si="0">K3*N3</f>
        <v>0</v>
      </c>
      <c r="R3" s="11"/>
      <c r="S3" s="11"/>
    </row>
    <row r="4" spans="1:19" s="4" customFormat="1" ht="86" customHeight="1" x14ac:dyDescent="0.2">
      <c r="A4" s="12" t="s">
        <v>212</v>
      </c>
      <c r="B4" s="13" t="s">
        <v>4</v>
      </c>
      <c r="C4" s="79" t="s">
        <v>11</v>
      </c>
      <c r="D4" s="74" t="s">
        <v>12</v>
      </c>
      <c r="E4" s="13" t="s">
        <v>217</v>
      </c>
      <c r="F4" s="12" t="s">
        <v>218</v>
      </c>
      <c r="G4" s="12"/>
      <c r="H4" s="12"/>
      <c r="I4" s="12"/>
      <c r="J4" s="12"/>
      <c r="K4" s="19">
        <v>0.3</v>
      </c>
      <c r="L4" s="16">
        <v>12</v>
      </c>
      <c r="M4" s="17"/>
      <c r="N4" s="17">
        <v>0.5</v>
      </c>
      <c r="O4" s="17">
        <v>0.5</v>
      </c>
      <c r="P4" s="10"/>
      <c r="Q4" s="10">
        <f t="shared" si="0"/>
        <v>0.15</v>
      </c>
      <c r="R4" s="11" t="s">
        <v>413</v>
      </c>
      <c r="S4" s="11"/>
    </row>
    <row r="5" spans="1:19" s="4" customFormat="1" ht="95.25" customHeight="1" x14ac:dyDescent="0.2">
      <c r="A5" s="12" t="s">
        <v>212</v>
      </c>
      <c r="B5" s="13" t="s">
        <v>4</v>
      </c>
      <c r="C5" s="79" t="s">
        <v>14</v>
      </c>
      <c r="D5" s="74" t="s">
        <v>15</v>
      </c>
      <c r="E5" s="13" t="s">
        <v>219</v>
      </c>
      <c r="F5" s="12" t="s">
        <v>220</v>
      </c>
      <c r="G5" s="14"/>
      <c r="H5" s="14"/>
      <c r="I5" s="12"/>
      <c r="J5" s="12"/>
      <c r="K5" s="20" t="s">
        <v>221</v>
      </c>
      <c r="L5" s="16">
        <v>12</v>
      </c>
      <c r="M5" s="17"/>
      <c r="N5" s="17"/>
      <c r="O5" s="17"/>
      <c r="P5" s="10"/>
      <c r="Q5" s="10" t="e">
        <f t="shared" si="0"/>
        <v>#VALUE!</v>
      </c>
      <c r="R5" s="11"/>
      <c r="S5" s="11"/>
    </row>
    <row r="6" spans="1:19" s="4" customFormat="1" ht="70" customHeight="1" x14ac:dyDescent="0.2">
      <c r="A6" s="12" t="s">
        <v>212</v>
      </c>
      <c r="B6" s="13" t="s">
        <v>4</v>
      </c>
      <c r="C6" s="79" t="s">
        <v>17</v>
      </c>
      <c r="D6" s="74" t="s">
        <v>18</v>
      </c>
      <c r="E6" s="13" t="s">
        <v>222</v>
      </c>
      <c r="F6" s="21" t="s">
        <v>223</v>
      </c>
      <c r="G6" s="12"/>
      <c r="H6" s="12"/>
      <c r="I6" s="12" t="s">
        <v>224</v>
      </c>
      <c r="J6" s="12" t="s">
        <v>225</v>
      </c>
      <c r="K6" s="19">
        <v>0.2</v>
      </c>
      <c r="L6" s="16">
        <v>12</v>
      </c>
      <c r="M6" s="17">
        <v>1</v>
      </c>
      <c r="N6" s="17"/>
      <c r="O6" s="17"/>
      <c r="P6" s="10"/>
      <c r="Q6" s="10">
        <f t="shared" si="0"/>
        <v>0</v>
      </c>
      <c r="R6" s="11"/>
      <c r="S6" s="11"/>
    </row>
    <row r="7" spans="1:19" s="4" customFormat="1" ht="19.5" customHeight="1" x14ac:dyDescent="0.2">
      <c r="A7" s="22" t="s">
        <v>226</v>
      </c>
      <c r="B7" s="13" t="s">
        <v>20</v>
      </c>
      <c r="C7" s="60" t="s">
        <v>21</v>
      </c>
      <c r="D7" s="60" t="s">
        <v>22</v>
      </c>
      <c r="E7" s="60" t="s">
        <v>227</v>
      </c>
      <c r="F7" s="12" t="s">
        <v>228</v>
      </c>
      <c r="G7" s="12"/>
      <c r="H7" s="12"/>
      <c r="I7" s="12"/>
      <c r="J7" s="12"/>
      <c r="K7" s="23">
        <v>50</v>
      </c>
      <c r="L7" s="16">
        <v>12</v>
      </c>
      <c r="M7" s="17"/>
      <c r="N7" s="17"/>
      <c r="O7" s="17"/>
      <c r="P7" s="10"/>
      <c r="Q7" s="10">
        <f t="shared" si="0"/>
        <v>0</v>
      </c>
      <c r="R7" s="11"/>
      <c r="S7" s="11"/>
    </row>
    <row r="8" spans="1:19" s="4" customFormat="1" ht="31.5" customHeight="1" x14ac:dyDescent="0.2">
      <c r="A8" s="12" t="s">
        <v>226</v>
      </c>
      <c r="B8" s="13" t="s">
        <v>24</v>
      </c>
      <c r="C8" s="13" t="s">
        <v>25</v>
      </c>
      <c r="D8" s="13" t="s">
        <v>26</v>
      </c>
      <c r="E8" s="13" t="s">
        <v>229</v>
      </c>
      <c r="F8" s="12" t="s">
        <v>230</v>
      </c>
      <c r="G8" s="12"/>
      <c r="H8" s="12"/>
      <c r="I8" s="12" t="s">
        <v>231</v>
      </c>
      <c r="J8" s="12" t="s">
        <v>232</v>
      </c>
      <c r="K8" s="20" t="s">
        <v>233</v>
      </c>
      <c r="L8" s="16">
        <v>12</v>
      </c>
      <c r="M8" s="17"/>
      <c r="N8" s="17">
        <v>0.1</v>
      </c>
      <c r="O8" s="17">
        <v>0.1</v>
      </c>
      <c r="P8" s="10"/>
      <c r="Q8" s="10">
        <f>0.2*N8</f>
        <v>2.0000000000000004E-2</v>
      </c>
      <c r="R8" s="11"/>
      <c r="S8" s="11"/>
    </row>
    <row r="9" spans="1:19" s="4" customFormat="1" ht="85" customHeight="1" x14ac:dyDescent="0.2">
      <c r="A9" s="12" t="s">
        <v>226</v>
      </c>
      <c r="B9" s="13" t="s">
        <v>24</v>
      </c>
      <c r="C9" s="13" t="s">
        <v>28</v>
      </c>
      <c r="D9" s="13" t="s">
        <v>29</v>
      </c>
      <c r="E9" s="13" t="s">
        <v>234</v>
      </c>
      <c r="F9" s="12" t="s">
        <v>235</v>
      </c>
      <c r="G9" s="12"/>
      <c r="H9" s="12"/>
      <c r="I9" s="12" t="s">
        <v>236</v>
      </c>
      <c r="J9" s="12" t="s">
        <v>237</v>
      </c>
      <c r="K9" s="19">
        <v>0.95</v>
      </c>
      <c r="L9" s="16">
        <v>12</v>
      </c>
      <c r="M9" s="17"/>
      <c r="N9" s="17"/>
      <c r="O9" s="17"/>
      <c r="P9" s="10"/>
      <c r="Q9" s="10">
        <f>K9*N9</f>
        <v>0</v>
      </c>
      <c r="R9" s="11"/>
      <c r="S9" s="11"/>
    </row>
    <row r="10" spans="1:19" s="4" customFormat="1" ht="85" customHeight="1" x14ac:dyDescent="0.2">
      <c r="A10" s="12" t="s">
        <v>226</v>
      </c>
      <c r="B10" s="13" t="s">
        <v>24</v>
      </c>
      <c r="C10" s="13" t="s">
        <v>31</v>
      </c>
      <c r="D10" s="13" t="s">
        <v>32</v>
      </c>
      <c r="E10" s="13" t="s">
        <v>238</v>
      </c>
      <c r="F10" s="12" t="s">
        <v>239</v>
      </c>
      <c r="G10" s="12"/>
      <c r="H10" s="12"/>
      <c r="I10" s="12" t="s">
        <v>240</v>
      </c>
      <c r="J10" s="12" t="s">
        <v>241</v>
      </c>
      <c r="K10" s="19">
        <v>0.95</v>
      </c>
      <c r="L10" s="16">
        <v>12</v>
      </c>
      <c r="M10" s="17"/>
      <c r="N10" s="17">
        <v>0.2</v>
      </c>
      <c r="O10" s="17">
        <v>0.3</v>
      </c>
      <c r="P10" s="10"/>
      <c r="Q10" s="10">
        <f t="shared" ref="Q10:Q64" si="1">K10*N10</f>
        <v>0.19</v>
      </c>
      <c r="R10" s="11"/>
      <c r="S10" s="11"/>
    </row>
    <row r="11" spans="1:19" s="4" customFormat="1" ht="85" customHeight="1" x14ac:dyDescent="0.2">
      <c r="A11" s="12" t="s">
        <v>226</v>
      </c>
      <c r="B11" s="13" t="s">
        <v>34</v>
      </c>
      <c r="C11" s="63" t="s">
        <v>414</v>
      </c>
      <c r="D11" s="13" t="s">
        <v>415</v>
      </c>
      <c r="E11" s="13"/>
      <c r="F11" s="12" t="s">
        <v>243</v>
      </c>
      <c r="G11" s="12"/>
      <c r="H11" s="12"/>
      <c r="I11" s="12"/>
      <c r="J11" s="12"/>
      <c r="K11" s="19">
        <v>0.5</v>
      </c>
      <c r="L11" s="16">
        <v>12</v>
      </c>
      <c r="M11" s="17"/>
      <c r="N11" s="17">
        <v>0.75</v>
      </c>
      <c r="O11" s="17">
        <v>1</v>
      </c>
      <c r="P11" s="10"/>
      <c r="Q11" s="10">
        <f>K11*N11</f>
        <v>0.375</v>
      </c>
      <c r="R11" s="10">
        <f>K11*O11</f>
        <v>0.5</v>
      </c>
      <c r="S11" s="11"/>
    </row>
    <row r="12" spans="1:19" s="4" customFormat="1" ht="85" customHeight="1" x14ac:dyDescent="0.2">
      <c r="A12" s="12" t="s">
        <v>226</v>
      </c>
      <c r="B12" s="13" t="s">
        <v>34</v>
      </c>
      <c r="C12" s="63" t="s">
        <v>35</v>
      </c>
      <c r="D12" s="13" t="s">
        <v>36</v>
      </c>
      <c r="E12" s="13" t="s">
        <v>242</v>
      </c>
      <c r="F12" s="12" t="s">
        <v>243</v>
      </c>
      <c r="G12" s="12"/>
      <c r="H12" s="12"/>
      <c r="I12" s="12"/>
      <c r="J12" s="12"/>
      <c r="K12" s="19">
        <v>0.8</v>
      </c>
      <c r="L12" s="16">
        <v>12</v>
      </c>
      <c r="M12" s="17"/>
      <c r="N12" s="17">
        <v>0.8</v>
      </c>
      <c r="O12" s="17">
        <v>1.24</v>
      </c>
      <c r="P12" s="10"/>
      <c r="Q12" s="10">
        <f t="shared" ref="Q12" si="2">K12*N12</f>
        <v>0.64000000000000012</v>
      </c>
      <c r="R12" s="10">
        <f>K12*O12</f>
        <v>0.99199999999999999</v>
      </c>
      <c r="S12" s="11"/>
    </row>
    <row r="13" spans="1:19" s="4" customFormat="1" ht="85" customHeight="1" x14ac:dyDescent="0.2">
      <c r="A13" s="12" t="s">
        <v>226</v>
      </c>
      <c r="B13" s="13" t="s">
        <v>34</v>
      </c>
      <c r="C13" s="63" t="s">
        <v>38</v>
      </c>
      <c r="D13" s="13" t="s">
        <v>39</v>
      </c>
      <c r="E13" s="13" t="s">
        <v>244</v>
      </c>
      <c r="F13" s="24" t="s">
        <v>245</v>
      </c>
      <c r="G13" s="12"/>
      <c r="H13" s="12"/>
      <c r="I13" s="12"/>
      <c r="J13" s="12"/>
      <c r="K13" s="19">
        <v>0.8</v>
      </c>
      <c r="L13" s="16">
        <v>12</v>
      </c>
      <c r="M13" s="17">
        <v>1.1000000000000001</v>
      </c>
      <c r="N13" s="17">
        <v>0.01</v>
      </c>
      <c r="O13" s="17">
        <v>8.9999999999999993E-3</v>
      </c>
      <c r="P13" s="10">
        <f>K13*M13</f>
        <v>0.88000000000000012</v>
      </c>
      <c r="Q13" s="71">
        <f t="shared" si="1"/>
        <v>8.0000000000000002E-3</v>
      </c>
      <c r="R13" s="71">
        <f>K13*O13</f>
        <v>7.1999999999999998E-3</v>
      </c>
      <c r="S13" s="11"/>
    </row>
    <row r="14" spans="1:19" s="4" customFormat="1" ht="85" customHeight="1" x14ac:dyDescent="0.2">
      <c r="A14" s="12" t="s">
        <v>226</v>
      </c>
      <c r="B14" s="13" t="s">
        <v>41</v>
      </c>
      <c r="C14" s="13" t="s">
        <v>42</v>
      </c>
      <c r="D14" s="61" t="s">
        <v>43</v>
      </c>
      <c r="E14" s="61" t="s">
        <v>246</v>
      </c>
      <c r="F14" s="25" t="s">
        <v>247</v>
      </c>
      <c r="G14" s="12"/>
      <c r="H14" s="12"/>
      <c r="I14" s="12" t="s">
        <v>248</v>
      </c>
      <c r="J14" s="12" t="s">
        <v>249</v>
      </c>
      <c r="K14" s="20">
        <v>0.3</v>
      </c>
      <c r="L14" s="16">
        <v>12</v>
      </c>
      <c r="M14" s="17"/>
      <c r="N14" s="17">
        <v>0.1</v>
      </c>
      <c r="O14" s="17">
        <v>1</v>
      </c>
      <c r="P14" s="10"/>
      <c r="Q14" s="10">
        <f t="shared" si="1"/>
        <v>0.03</v>
      </c>
      <c r="R14" s="11"/>
      <c r="S14" s="11"/>
    </row>
    <row r="15" spans="1:19" s="4" customFormat="1" ht="85" customHeight="1" x14ac:dyDescent="0.2">
      <c r="A15" s="12" t="s">
        <v>226</v>
      </c>
      <c r="B15" s="13" t="s">
        <v>41</v>
      </c>
      <c r="C15" s="13" t="s">
        <v>45</v>
      </c>
      <c r="D15" s="13" t="s">
        <v>46</v>
      </c>
      <c r="E15" s="13" t="s">
        <v>250</v>
      </c>
      <c r="F15" s="12" t="s">
        <v>251</v>
      </c>
      <c r="G15" s="12"/>
      <c r="H15" s="12"/>
      <c r="I15" s="12" t="s">
        <v>252</v>
      </c>
      <c r="J15" s="12" t="s">
        <v>253</v>
      </c>
      <c r="K15" s="20">
        <v>0.4</v>
      </c>
      <c r="L15" s="16">
        <v>12</v>
      </c>
      <c r="M15" s="17"/>
      <c r="N15" s="17">
        <v>0.5</v>
      </c>
      <c r="O15" s="17">
        <v>0.5</v>
      </c>
      <c r="P15" s="10"/>
      <c r="Q15" s="10">
        <f>K15*N15</f>
        <v>0.2</v>
      </c>
      <c r="R15" s="10">
        <f>K15*O15</f>
        <v>0.2</v>
      </c>
      <c r="S15" s="11"/>
    </row>
    <row r="16" spans="1:19" s="4" customFormat="1" ht="85" customHeight="1" x14ac:dyDescent="0.2">
      <c r="A16" s="12" t="s">
        <v>226</v>
      </c>
      <c r="B16" s="13" t="s">
        <v>41</v>
      </c>
      <c r="C16" s="13" t="s">
        <v>48</v>
      </c>
      <c r="D16" s="13" t="s">
        <v>49</v>
      </c>
      <c r="E16" s="13" t="s">
        <v>254</v>
      </c>
      <c r="F16" s="12" t="s">
        <v>255</v>
      </c>
      <c r="G16" s="12"/>
      <c r="H16" s="12"/>
      <c r="I16" s="12"/>
      <c r="J16" s="12"/>
      <c r="K16" s="19" t="s">
        <v>256</v>
      </c>
      <c r="L16" s="16">
        <v>12</v>
      </c>
      <c r="M16" s="17"/>
      <c r="N16" s="17"/>
      <c r="O16" s="17">
        <v>0.5</v>
      </c>
      <c r="P16" s="10"/>
      <c r="Q16" s="10" t="e">
        <f t="shared" si="1"/>
        <v>#VALUE!</v>
      </c>
      <c r="R16" s="11"/>
      <c r="S16" s="11"/>
    </row>
    <row r="17" spans="1:19" s="69" customFormat="1" ht="85" customHeight="1" x14ac:dyDescent="0.2">
      <c r="A17" s="63" t="s">
        <v>51</v>
      </c>
      <c r="B17" s="63" t="s">
        <v>51</v>
      </c>
      <c r="C17" s="63" t="s">
        <v>52</v>
      </c>
      <c r="D17" s="63" t="s">
        <v>53</v>
      </c>
      <c r="E17" s="63" t="s">
        <v>257</v>
      </c>
      <c r="F17" s="63" t="s">
        <v>258</v>
      </c>
      <c r="G17" s="63"/>
      <c r="H17" s="63"/>
      <c r="I17" s="63" t="s">
        <v>259</v>
      </c>
      <c r="J17" s="63" t="s">
        <v>260</v>
      </c>
      <c r="K17" s="64">
        <v>0.5</v>
      </c>
      <c r="L17" s="65">
        <v>12</v>
      </c>
      <c r="M17" s="66"/>
      <c r="N17" s="66">
        <v>0.1</v>
      </c>
      <c r="O17" s="66">
        <v>0.5</v>
      </c>
      <c r="P17" s="67"/>
      <c r="Q17" s="67">
        <f t="shared" si="1"/>
        <v>0.05</v>
      </c>
      <c r="R17" s="68"/>
      <c r="S17" s="68"/>
    </row>
    <row r="18" spans="1:19" s="4" customFormat="1" ht="85" customHeight="1" x14ac:dyDescent="0.2">
      <c r="A18" s="12" t="s">
        <v>51</v>
      </c>
      <c r="B18" s="13" t="s">
        <v>51</v>
      </c>
      <c r="C18" s="13" t="s">
        <v>55</v>
      </c>
      <c r="D18" s="61" t="s">
        <v>56</v>
      </c>
      <c r="E18" s="60" t="s">
        <v>261</v>
      </c>
      <c r="F18" s="25" t="s">
        <v>262</v>
      </c>
      <c r="G18" s="12"/>
      <c r="H18" s="12"/>
      <c r="I18" s="12" t="s">
        <v>263</v>
      </c>
      <c r="J18" s="12" t="s">
        <v>264</v>
      </c>
      <c r="K18" s="19">
        <v>0.3</v>
      </c>
      <c r="L18" s="16">
        <v>12</v>
      </c>
      <c r="M18" s="17"/>
      <c r="N18" s="17"/>
      <c r="O18" s="17"/>
      <c r="P18" s="10"/>
      <c r="Q18" s="10">
        <f t="shared" si="1"/>
        <v>0</v>
      </c>
      <c r="R18" s="11"/>
      <c r="S18" s="11"/>
    </row>
    <row r="19" spans="1:19" s="4" customFormat="1" ht="85" customHeight="1" x14ac:dyDescent="0.2">
      <c r="A19" s="12" t="s">
        <v>51</v>
      </c>
      <c r="B19" s="13" t="s">
        <v>51</v>
      </c>
      <c r="C19" s="13" t="s">
        <v>58</v>
      </c>
      <c r="D19" s="13" t="s">
        <v>59</v>
      </c>
      <c r="E19" s="13" t="s">
        <v>265</v>
      </c>
      <c r="F19" s="12" t="s">
        <v>266</v>
      </c>
      <c r="G19" s="12"/>
      <c r="H19" s="12"/>
      <c r="I19" s="12" t="s">
        <v>267</v>
      </c>
      <c r="J19" s="12" t="s">
        <v>268</v>
      </c>
      <c r="K19" s="15">
        <v>0.1</v>
      </c>
      <c r="L19" s="16">
        <v>12</v>
      </c>
      <c r="M19" s="17"/>
      <c r="N19" s="17">
        <v>0.1</v>
      </c>
      <c r="O19" s="17">
        <v>1</v>
      </c>
      <c r="P19" s="10"/>
      <c r="Q19" s="10">
        <f t="shared" si="1"/>
        <v>1.0000000000000002E-2</v>
      </c>
      <c r="R19" s="11"/>
      <c r="S19" s="11"/>
    </row>
    <row r="20" spans="1:19" s="4" customFormat="1" ht="85" customHeight="1" x14ac:dyDescent="0.2">
      <c r="A20" s="12" t="s">
        <v>51</v>
      </c>
      <c r="B20" s="13" t="s">
        <v>51</v>
      </c>
      <c r="C20" s="13" t="s">
        <v>61</v>
      </c>
      <c r="D20" s="13" t="s">
        <v>62</v>
      </c>
      <c r="E20" s="13" t="s">
        <v>269</v>
      </c>
      <c r="F20" s="12" t="s">
        <v>270</v>
      </c>
      <c r="G20" s="12"/>
      <c r="H20" s="12"/>
      <c r="I20" s="12"/>
      <c r="J20" s="12"/>
      <c r="K20" s="15">
        <v>0.1</v>
      </c>
      <c r="L20" s="16">
        <v>12</v>
      </c>
      <c r="M20" s="17"/>
      <c r="N20" s="17"/>
      <c r="O20" s="17"/>
      <c r="P20" s="10"/>
      <c r="Q20" s="10">
        <f t="shared" si="1"/>
        <v>0</v>
      </c>
      <c r="R20" s="11"/>
      <c r="S20" s="11"/>
    </row>
    <row r="21" spans="1:19" s="4" customFormat="1" ht="85" customHeight="1" x14ac:dyDescent="0.2">
      <c r="A21" s="12" t="s">
        <v>51</v>
      </c>
      <c r="B21" s="13" t="s">
        <v>51</v>
      </c>
      <c r="C21" s="13" t="s">
        <v>64</v>
      </c>
      <c r="D21" s="13" t="s">
        <v>65</v>
      </c>
      <c r="E21" s="13" t="s">
        <v>271</v>
      </c>
      <c r="F21" s="12" t="s">
        <v>272</v>
      </c>
      <c r="G21" s="12"/>
      <c r="H21" s="12"/>
      <c r="I21" s="12"/>
      <c r="J21" s="12"/>
      <c r="K21" s="15">
        <v>0.1</v>
      </c>
      <c r="L21" s="16">
        <v>12</v>
      </c>
      <c r="M21" s="17"/>
      <c r="N21" s="17">
        <v>0.1</v>
      </c>
      <c r="O21" s="17">
        <v>0.5</v>
      </c>
      <c r="P21" s="10"/>
      <c r="Q21" s="10">
        <f t="shared" si="1"/>
        <v>1.0000000000000002E-2</v>
      </c>
      <c r="R21" s="11"/>
      <c r="S21" s="11"/>
    </row>
    <row r="22" spans="1:19" s="4" customFormat="1" ht="85" customHeight="1" x14ac:dyDescent="0.2">
      <c r="A22" s="12" t="s">
        <v>51</v>
      </c>
      <c r="B22" s="13" t="s">
        <v>51</v>
      </c>
      <c r="C22" s="13" t="s">
        <v>67</v>
      </c>
      <c r="D22" s="13" t="s">
        <v>68</v>
      </c>
      <c r="E22" s="13" t="s">
        <v>273</v>
      </c>
      <c r="F22" s="12" t="s">
        <v>274</v>
      </c>
      <c r="G22" s="12"/>
      <c r="H22" s="12"/>
      <c r="I22" s="12"/>
      <c r="J22" s="12"/>
      <c r="K22" s="15">
        <v>0.1</v>
      </c>
      <c r="L22" s="16">
        <v>12</v>
      </c>
      <c r="M22" s="17"/>
      <c r="N22" s="17">
        <v>0.1</v>
      </c>
      <c r="O22" s="17">
        <v>0.5</v>
      </c>
      <c r="P22" s="10"/>
      <c r="Q22" s="10">
        <f t="shared" si="1"/>
        <v>1.0000000000000002E-2</v>
      </c>
      <c r="R22" s="11"/>
      <c r="S22" s="11"/>
    </row>
    <row r="23" spans="1:19" s="4" customFormat="1" ht="85" customHeight="1" x14ac:dyDescent="0.2">
      <c r="A23" s="12" t="s">
        <v>212</v>
      </c>
      <c r="B23" s="13" t="s">
        <v>70</v>
      </c>
      <c r="C23" s="13" t="s">
        <v>71</v>
      </c>
      <c r="D23" s="61" t="s">
        <v>72</v>
      </c>
      <c r="E23" s="60" t="s">
        <v>275</v>
      </c>
      <c r="F23" s="25" t="s">
        <v>276</v>
      </c>
      <c r="G23" s="12"/>
      <c r="H23" s="12"/>
      <c r="I23" s="13" t="s">
        <v>277</v>
      </c>
      <c r="J23" s="13" t="s">
        <v>278</v>
      </c>
      <c r="K23" s="15">
        <v>0.999</v>
      </c>
      <c r="L23" s="16">
        <v>10</v>
      </c>
      <c r="M23" s="17"/>
      <c r="N23" s="17"/>
      <c r="O23" s="17"/>
      <c r="P23" s="71"/>
      <c r="Q23" s="71">
        <f>K23*N23</f>
        <v>0</v>
      </c>
      <c r="R23" s="72">
        <f>K23*O23</f>
        <v>0</v>
      </c>
      <c r="S23" s="11"/>
    </row>
    <row r="24" spans="1:19" s="4" customFormat="1" ht="85" customHeight="1" x14ac:dyDescent="0.2">
      <c r="A24" s="12" t="s">
        <v>212</v>
      </c>
      <c r="B24" s="13" t="s">
        <v>70</v>
      </c>
      <c r="C24" s="13" t="s">
        <v>74</v>
      </c>
      <c r="D24" s="13" t="s">
        <v>75</v>
      </c>
      <c r="E24" s="13" t="s">
        <v>279</v>
      </c>
      <c r="F24" s="12" t="s">
        <v>280</v>
      </c>
      <c r="G24" s="12"/>
      <c r="H24" s="12"/>
      <c r="I24" s="12" t="s">
        <v>281</v>
      </c>
      <c r="J24" s="26" t="s">
        <v>282</v>
      </c>
      <c r="K24" s="19">
        <v>0.95</v>
      </c>
      <c r="L24" s="16">
        <v>12</v>
      </c>
      <c r="M24" s="17"/>
      <c r="N24" s="17"/>
      <c r="O24" s="17"/>
      <c r="P24" s="10"/>
      <c r="Q24" s="10">
        <f t="shared" si="1"/>
        <v>0</v>
      </c>
      <c r="R24" s="11"/>
      <c r="S24" s="11"/>
    </row>
    <row r="25" spans="1:19" s="4" customFormat="1" ht="85" customHeight="1" x14ac:dyDescent="0.2">
      <c r="A25" s="12" t="s">
        <v>212</v>
      </c>
      <c r="B25" s="13" t="s">
        <v>70</v>
      </c>
      <c r="C25" s="13" t="s">
        <v>77</v>
      </c>
      <c r="D25" s="61" t="s">
        <v>78</v>
      </c>
      <c r="E25" s="60" t="s">
        <v>283</v>
      </c>
      <c r="F25" s="25" t="s">
        <v>284</v>
      </c>
      <c r="G25" s="12"/>
      <c r="H25" s="12"/>
      <c r="I25" s="13" t="s">
        <v>285</v>
      </c>
      <c r="J25" s="13" t="s">
        <v>286</v>
      </c>
      <c r="K25" s="15">
        <v>0.2</v>
      </c>
      <c r="L25" s="16">
        <v>8</v>
      </c>
      <c r="M25" s="17"/>
      <c r="N25" s="17">
        <v>1</v>
      </c>
      <c r="O25" s="17">
        <v>4.9999000000000002</v>
      </c>
      <c r="P25" s="10"/>
      <c r="Q25" s="10">
        <f>K25*N25</f>
        <v>0.2</v>
      </c>
      <c r="R25" s="72">
        <f>K25*O25</f>
        <v>0.99998000000000009</v>
      </c>
      <c r="S25" s="11"/>
    </row>
    <row r="26" spans="1:19" s="4" customFormat="1" ht="85" customHeight="1" x14ac:dyDescent="0.2">
      <c r="A26" s="12" t="s">
        <v>212</v>
      </c>
      <c r="B26" s="13" t="s">
        <v>70</v>
      </c>
      <c r="C26" s="13" t="s">
        <v>80</v>
      </c>
      <c r="D26" s="13" t="s">
        <v>81</v>
      </c>
      <c r="E26" s="13" t="s">
        <v>287</v>
      </c>
      <c r="F26" s="12" t="s">
        <v>288</v>
      </c>
      <c r="G26" s="12"/>
      <c r="H26" s="12"/>
      <c r="I26" s="12" t="s">
        <v>289</v>
      </c>
      <c r="J26" s="12" t="s">
        <v>290</v>
      </c>
      <c r="K26" s="19">
        <v>0.1</v>
      </c>
      <c r="L26" s="16">
        <v>12</v>
      </c>
      <c r="M26" s="17"/>
      <c r="N26" s="17"/>
      <c r="O26" s="17"/>
      <c r="P26" s="10"/>
      <c r="Q26" s="10">
        <f t="shared" si="1"/>
        <v>0</v>
      </c>
      <c r="R26" s="11"/>
      <c r="S26" s="11"/>
    </row>
    <row r="27" spans="1:19" ht="85" customHeight="1" x14ac:dyDescent="0.2">
      <c r="A27" s="12" t="s">
        <v>212</v>
      </c>
      <c r="B27" s="13" t="s">
        <v>83</v>
      </c>
      <c r="C27" s="13" t="s">
        <v>84</v>
      </c>
      <c r="D27" s="13" t="s">
        <v>85</v>
      </c>
      <c r="E27" s="13" t="s">
        <v>291</v>
      </c>
      <c r="F27" s="12" t="s">
        <v>292</v>
      </c>
      <c r="G27" s="12"/>
      <c r="H27" s="12"/>
      <c r="I27" s="12"/>
      <c r="J27" s="12"/>
      <c r="K27" s="19">
        <v>0.9</v>
      </c>
      <c r="L27" s="16">
        <v>12</v>
      </c>
      <c r="M27" s="17"/>
      <c r="N27" s="17">
        <v>1</v>
      </c>
      <c r="O27" s="17">
        <v>1</v>
      </c>
      <c r="P27" s="10"/>
      <c r="Q27" s="10">
        <f t="shared" si="1"/>
        <v>0.9</v>
      </c>
      <c r="R27" s="11"/>
      <c r="S27" s="28"/>
    </row>
    <row r="28" spans="1:19" s="4" customFormat="1" ht="85" customHeight="1" x14ac:dyDescent="0.2">
      <c r="A28" s="12" t="s">
        <v>212</v>
      </c>
      <c r="B28" s="13" t="s">
        <v>83</v>
      </c>
      <c r="C28" s="13" t="s">
        <v>87</v>
      </c>
      <c r="D28" s="13" t="s">
        <v>88</v>
      </c>
      <c r="E28" s="13" t="s">
        <v>293</v>
      </c>
      <c r="F28" s="12" t="s">
        <v>294</v>
      </c>
      <c r="G28" s="12"/>
      <c r="H28" s="12"/>
      <c r="I28" s="12"/>
      <c r="J28" s="12"/>
      <c r="K28" s="19" t="s">
        <v>295</v>
      </c>
      <c r="L28" s="16">
        <v>12</v>
      </c>
      <c r="M28" s="17"/>
      <c r="N28" s="17">
        <v>1</v>
      </c>
      <c r="O28" s="17">
        <v>1</v>
      </c>
      <c r="P28" s="10"/>
      <c r="Q28" s="10" t="e">
        <f t="shared" si="1"/>
        <v>#VALUE!</v>
      </c>
      <c r="R28" s="11"/>
      <c r="S28" s="11"/>
    </row>
    <row r="29" spans="1:19" s="4" customFormat="1" ht="85" customHeight="1" x14ac:dyDescent="0.2">
      <c r="A29" s="12" t="s">
        <v>212</v>
      </c>
      <c r="B29" s="13" t="s">
        <v>83</v>
      </c>
      <c r="C29" s="13" t="s">
        <v>90</v>
      </c>
      <c r="D29" s="13" t="s">
        <v>91</v>
      </c>
      <c r="E29" s="13" t="s">
        <v>296</v>
      </c>
      <c r="F29" s="12" t="s">
        <v>294</v>
      </c>
      <c r="G29" s="12"/>
      <c r="H29" s="12"/>
      <c r="I29" s="12"/>
      <c r="J29" s="12"/>
      <c r="K29" s="19" t="s">
        <v>297</v>
      </c>
      <c r="L29" s="16">
        <v>12</v>
      </c>
      <c r="M29" s="17"/>
      <c r="N29" s="17">
        <v>1</v>
      </c>
      <c r="O29" s="17">
        <v>1</v>
      </c>
      <c r="P29" s="10"/>
      <c r="Q29" s="10" t="e">
        <f t="shared" si="1"/>
        <v>#VALUE!</v>
      </c>
      <c r="R29" s="11"/>
      <c r="S29" s="11"/>
    </row>
    <row r="30" spans="1:19" s="4" customFormat="1" ht="85" customHeight="1" x14ac:dyDescent="0.2">
      <c r="A30" s="12" t="s">
        <v>212</v>
      </c>
      <c r="B30" s="13" t="s">
        <v>83</v>
      </c>
      <c r="C30" s="13" t="s">
        <v>93</v>
      </c>
      <c r="D30" s="13" t="s">
        <v>94</v>
      </c>
      <c r="E30" s="13" t="s">
        <v>298</v>
      </c>
      <c r="F30" s="12" t="s">
        <v>294</v>
      </c>
      <c r="G30" s="12"/>
      <c r="H30" s="12"/>
      <c r="I30" s="12"/>
      <c r="J30" s="12"/>
      <c r="K30" s="19" t="s">
        <v>299</v>
      </c>
      <c r="L30" s="16">
        <v>12</v>
      </c>
      <c r="M30" s="17"/>
      <c r="N30" s="17"/>
      <c r="O30" s="17"/>
      <c r="P30" s="10"/>
      <c r="Q30" s="10" t="e">
        <f t="shared" si="1"/>
        <v>#VALUE!</v>
      </c>
      <c r="R30" s="11"/>
      <c r="S30" s="11"/>
    </row>
    <row r="31" spans="1:19" s="4" customFormat="1" ht="85" customHeight="1" x14ac:dyDescent="0.2">
      <c r="A31" s="12" t="s">
        <v>212</v>
      </c>
      <c r="B31" s="13" t="s">
        <v>96</v>
      </c>
      <c r="C31" s="79" t="s">
        <v>97</v>
      </c>
      <c r="D31" s="74" t="s">
        <v>98</v>
      </c>
      <c r="E31" s="13" t="s">
        <v>300</v>
      </c>
      <c r="F31" s="12" t="s">
        <v>301</v>
      </c>
      <c r="G31" s="12"/>
      <c r="H31" s="12"/>
      <c r="I31" s="12"/>
      <c r="J31" s="12"/>
      <c r="K31" s="15" t="s">
        <v>302</v>
      </c>
      <c r="L31" s="16">
        <v>12</v>
      </c>
      <c r="M31" s="17"/>
      <c r="N31" s="17">
        <v>1</v>
      </c>
      <c r="O31" s="17">
        <v>1</v>
      </c>
      <c r="P31" s="10"/>
      <c r="Q31" s="10" t="e">
        <f t="shared" si="1"/>
        <v>#VALUE!</v>
      </c>
      <c r="R31" s="11"/>
      <c r="S31" s="11"/>
    </row>
    <row r="32" spans="1:19" s="4" customFormat="1" ht="85" customHeight="1" x14ac:dyDescent="0.2">
      <c r="A32" s="12" t="s">
        <v>212</v>
      </c>
      <c r="B32" s="13" t="s">
        <v>96</v>
      </c>
      <c r="C32" s="79" t="s">
        <v>100</v>
      </c>
      <c r="D32" s="74" t="s">
        <v>101</v>
      </c>
      <c r="E32" s="13" t="s">
        <v>303</v>
      </c>
      <c r="F32" s="12" t="s">
        <v>304</v>
      </c>
      <c r="G32" s="12"/>
      <c r="H32" s="12"/>
      <c r="I32" s="12"/>
      <c r="J32" s="12"/>
      <c r="K32" s="19">
        <v>0.5</v>
      </c>
      <c r="L32" s="16">
        <v>12</v>
      </c>
      <c r="M32" s="17"/>
      <c r="N32" s="17"/>
      <c r="O32" s="17"/>
      <c r="P32" s="10"/>
      <c r="Q32" s="10">
        <f t="shared" si="1"/>
        <v>0</v>
      </c>
      <c r="R32" s="11"/>
      <c r="S32" s="11"/>
    </row>
    <row r="33" spans="1:19" ht="85" customHeight="1" x14ac:dyDescent="0.2">
      <c r="A33" s="12" t="s">
        <v>212</v>
      </c>
      <c r="B33" s="13" t="s">
        <v>96</v>
      </c>
      <c r="C33" s="79" t="s">
        <v>103</v>
      </c>
      <c r="D33" s="74" t="s">
        <v>104</v>
      </c>
      <c r="E33" s="13" t="s">
        <v>305</v>
      </c>
      <c r="F33" s="12" t="s">
        <v>306</v>
      </c>
      <c r="G33" s="12"/>
      <c r="H33" s="12"/>
      <c r="I33" s="12" t="s">
        <v>307</v>
      </c>
      <c r="J33" s="12" t="s">
        <v>308</v>
      </c>
      <c r="K33" s="19">
        <v>0.3</v>
      </c>
      <c r="L33" s="16">
        <v>12</v>
      </c>
      <c r="M33" s="17">
        <v>0.2</v>
      </c>
      <c r="N33" s="17"/>
      <c r="O33" s="17"/>
      <c r="P33" s="10"/>
      <c r="Q33" s="10">
        <f t="shared" si="1"/>
        <v>0</v>
      </c>
      <c r="R33" s="17"/>
      <c r="S33" s="29"/>
    </row>
    <row r="34" spans="1:19" s="4" customFormat="1" ht="85" customHeight="1" x14ac:dyDescent="0.2">
      <c r="A34" s="12" t="s">
        <v>309</v>
      </c>
      <c r="B34" s="13" t="s">
        <v>106</v>
      </c>
      <c r="C34" s="13" t="s">
        <v>107</v>
      </c>
      <c r="D34" s="13" t="s">
        <v>108</v>
      </c>
      <c r="E34" s="13" t="s">
        <v>310</v>
      </c>
      <c r="F34" s="12" t="s">
        <v>311</v>
      </c>
      <c r="G34" s="12"/>
      <c r="H34" s="12"/>
      <c r="I34" s="12"/>
      <c r="J34" s="12"/>
      <c r="K34" s="19">
        <v>0.5</v>
      </c>
      <c r="L34" s="16">
        <v>12</v>
      </c>
      <c r="M34" s="17"/>
      <c r="N34" s="17"/>
      <c r="O34" s="17"/>
      <c r="P34" s="10"/>
      <c r="Q34" s="10">
        <f t="shared" si="1"/>
        <v>0</v>
      </c>
      <c r="R34" s="11"/>
      <c r="S34" s="11"/>
    </row>
    <row r="35" spans="1:19" s="4" customFormat="1" ht="85" customHeight="1" x14ac:dyDescent="0.2">
      <c r="A35" s="12" t="s">
        <v>309</v>
      </c>
      <c r="B35" s="13" t="s">
        <v>106</v>
      </c>
      <c r="C35" s="13" t="s">
        <v>110</v>
      </c>
      <c r="D35" s="13" t="s">
        <v>111</v>
      </c>
      <c r="E35" s="13" t="s">
        <v>312</v>
      </c>
      <c r="F35" s="12" t="s">
        <v>313</v>
      </c>
      <c r="G35" s="12"/>
      <c r="H35" s="12"/>
      <c r="I35" s="12"/>
      <c r="J35" s="12"/>
      <c r="K35" s="19">
        <v>0.9</v>
      </c>
      <c r="L35" s="16">
        <v>12</v>
      </c>
      <c r="M35" s="17"/>
      <c r="N35" s="17"/>
      <c r="O35" s="17"/>
      <c r="P35" s="10"/>
      <c r="Q35" s="10">
        <f t="shared" si="1"/>
        <v>0</v>
      </c>
      <c r="R35" s="11"/>
      <c r="S35" s="11"/>
    </row>
    <row r="36" spans="1:19" s="4" customFormat="1" ht="85" customHeight="1" x14ac:dyDescent="0.2">
      <c r="A36" s="12" t="s">
        <v>226</v>
      </c>
      <c r="B36" s="13" t="s">
        <v>113</v>
      </c>
      <c r="C36" s="70" t="s">
        <v>114</v>
      </c>
      <c r="D36" s="13" t="s">
        <v>115</v>
      </c>
      <c r="E36" s="13" t="s">
        <v>314</v>
      </c>
      <c r="F36" s="12" t="s">
        <v>315</v>
      </c>
      <c r="G36" s="12"/>
      <c r="H36" s="12"/>
      <c r="I36" s="12"/>
      <c r="J36" s="12"/>
      <c r="K36" s="20">
        <v>0.5</v>
      </c>
      <c r="L36" s="16">
        <v>12</v>
      </c>
      <c r="M36" s="17"/>
      <c r="N36" s="17">
        <v>0.1</v>
      </c>
      <c r="O36" s="17">
        <v>0.5</v>
      </c>
      <c r="P36" s="10"/>
      <c r="Q36" s="10">
        <f t="shared" si="1"/>
        <v>0.05</v>
      </c>
      <c r="R36" s="11"/>
      <c r="S36" s="11"/>
    </row>
    <row r="37" spans="1:19" s="4" customFormat="1" ht="85" customHeight="1" x14ac:dyDescent="0.2">
      <c r="A37" s="12" t="s">
        <v>226</v>
      </c>
      <c r="B37" s="13" t="s">
        <v>113</v>
      </c>
      <c r="C37" s="70" t="s">
        <v>117</v>
      </c>
      <c r="D37" s="13" t="s">
        <v>118</v>
      </c>
      <c r="E37" s="13" t="s">
        <v>316</v>
      </c>
      <c r="F37" s="12" t="s">
        <v>317</v>
      </c>
      <c r="G37" s="12"/>
      <c r="H37" s="12"/>
      <c r="I37" s="12"/>
      <c r="J37" s="12"/>
      <c r="K37" s="19">
        <v>0.5</v>
      </c>
      <c r="L37" s="16">
        <v>12</v>
      </c>
      <c r="M37" s="17"/>
      <c r="N37" s="17">
        <v>0.1</v>
      </c>
      <c r="O37" s="17">
        <v>0.5</v>
      </c>
      <c r="P37" s="10"/>
      <c r="Q37" s="10">
        <f t="shared" si="1"/>
        <v>0.05</v>
      </c>
      <c r="R37" s="11"/>
      <c r="S37" s="11"/>
    </row>
    <row r="38" spans="1:19" s="4" customFormat="1" ht="85" customHeight="1" x14ac:dyDescent="0.2">
      <c r="A38" s="12" t="s">
        <v>226</v>
      </c>
      <c r="B38" s="13" t="s">
        <v>113</v>
      </c>
      <c r="C38" s="13" t="s">
        <v>120</v>
      </c>
      <c r="D38" s="13" t="s">
        <v>121</v>
      </c>
      <c r="E38" s="13" t="s">
        <v>318</v>
      </c>
      <c r="F38" s="12" t="s">
        <v>319</v>
      </c>
      <c r="G38" s="12"/>
      <c r="H38" s="12"/>
      <c r="I38" s="12"/>
      <c r="J38" s="12"/>
      <c r="K38" s="20">
        <v>0.95</v>
      </c>
      <c r="L38" s="16">
        <v>12</v>
      </c>
      <c r="M38" s="17"/>
      <c r="N38" s="17"/>
      <c r="O38" s="17"/>
      <c r="P38" s="10"/>
      <c r="Q38" s="10">
        <f t="shared" si="1"/>
        <v>0</v>
      </c>
      <c r="R38" s="11"/>
      <c r="S38" s="11"/>
    </row>
    <row r="39" spans="1:19" s="4" customFormat="1" ht="85" customHeight="1" x14ac:dyDescent="0.2">
      <c r="A39" s="12" t="s">
        <v>212</v>
      </c>
      <c r="B39" s="13" t="s">
        <v>123</v>
      </c>
      <c r="C39" s="13" t="s">
        <v>124</v>
      </c>
      <c r="D39" s="13" t="s">
        <v>125</v>
      </c>
      <c r="E39" s="13" t="s">
        <v>320</v>
      </c>
      <c r="F39" s="12" t="s">
        <v>321</v>
      </c>
      <c r="G39" s="12"/>
      <c r="H39" s="12"/>
      <c r="I39" s="12"/>
      <c r="J39" s="12"/>
      <c r="K39" s="19">
        <v>0.2</v>
      </c>
      <c r="L39" s="16">
        <v>12</v>
      </c>
      <c r="M39" s="17"/>
      <c r="N39" s="17">
        <v>0.5</v>
      </c>
      <c r="O39" s="17">
        <v>1</v>
      </c>
      <c r="P39" s="10"/>
      <c r="Q39" s="10">
        <f t="shared" si="1"/>
        <v>0.1</v>
      </c>
      <c r="R39" s="11"/>
      <c r="S39" s="11"/>
    </row>
    <row r="40" spans="1:19" s="4" customFormat="1" ht="85" customHeight="1" x14ac:dyDescent="0.2">
      <c r="A40" s="12" t="s">
        <v>212</v>
      </c>
      <c r="B40" s="13" t="s">
        <v>123</v>
      </c>
      <c r="C40" s="13" t="s">
        <v>127</v>
      </c>
      <c r="D40" s="13" t="s">
        <v>128</v>
      </c>
      <c r="E40" s="13" t="s">
        <v>322</v>
      </c>
      <c r="F40" s="12" t="s">
        <v>323</v>
      </c>
      <c r="G40" s="12"/>
      <c r="H40" s="12"/>
      <c r="I40" s="12"/>
      <c r="J40" s="12"/>
      <c r="K40" s="19">
        <v>0.2</v>
      </c>
      <c r="L40" s="16">
        <v>12</v>
      </c>
      <c r="M40" s="17"/>
      <c r="N40" s="17">
        <v>0.5</v>
      </c>
      <c r="O40" s="17">
        <v>1</v>
      </c>
      <c r="P40" s="10"/>
      <c r="Q40" s="10">
        <f t="shared" si="1"/>
        <v>0.1</v>
      </c>
      <c r="R40" s="11"/>
      <c r="S40" s="11"/>
    </row>
    <row r="41" spans="1:19" s="4" customFormat="1" ht="85" customHeight="1" x14ac:dyDescent="0.2">
      <c r="A41" s="12" t="s">
        <v>226</v>
      </c>
      <c r="B41" s="13" t="s">
        <v>130</v>
      </c>
      <c r="C41" s="13" t="s">
        <v>131</v>
      </c>
      <c r="D41" s="13" t="s">
        <v>132</v>
      </c>
      <c r="E41" s="13" t="s">
        <v>324</v>
      </c>
      <c r="F41" s="12" t="s">
        <v>325</v>
      </c>
      <c r="G41" s="12"/>
      <c r="H41" s="12"/>
      <c r="I41" s="12" t="s">
        <v>326</v>
      </c>
      <c r="J41" s="12" t="s">
        <v>327</v>
      </c>
      <c r="K41" s="19">
        <v>0.25</v>
      </c>
      <c r="L41" s="16">
        <v>12</v>
      </c>
      <c r="M41" s="17"/>
      <c r="N41" s="17"/>
      <c r="O41" s="17"/>
      <c r="P41" s="10"/>
      <c r="Q41" s="10">
        <f t="shared" si="1"/>
        <v>0</v>
      </c>
      <c r="R41" s="10">
        <f>K41*O41</f>
        <v>0</v>
      </c>
      <c r="S41" s="11"/>
    </row>
    <row r="42" spans="1:19" s="4" customFormat="1" ht="85" customHeight="1" x14ac:dyDescent="0.2">
      <c r="A42" s="12" t="s">
        <v>226</v>
      </c>
      <c r="B42" s="13" t="s">
        <v>134</v>
      </c>
      <c r="C42" s="13" t="s">
        <v>135</v>
      </c>
      <c r="D42" s="13" t="s">
        <v>136</v>
      </c>
      <c r="E42" s="13" t="s">
        <v>328</v>
      </c>
      <c r="F42" s="12" t="s">
        <v>329</v>
      </c>
      <c r="G42" s="12"/>
      <c r="H42" s="30"/>
      <c r="I42" s="12" t="s">
        <v>330</v>
      </c>
      <c r="J42" s="12" t="s">
        <v>331</v>
      </c>
      <c r="K42" s="19">
        <v>0.25</v>
      </c>
      <c r="L42" s="16">
        <v>12</v>
      </c>
      <c r="M42" s="17"/>
      <c r="N42" s="17">
        <v>0.1</v>
      </c>
      <c r="O42" s="17">
        <v>0.25</v>
      </c>
      <c r="P42" s="10"/>
      <c r="Q42" s="10">
        <f>K42*O42</f>
        <v>6.25E-2</v>
      </c>
      <c r="R42" s="10">
        <f>K42*Q42</f>
        <v>1.5625E-2</v>
      </c>
      <c r="S42" s="11"/>
    </row>
    <row r="43" spans="1:19" s="4" customFormat="1" ht="18.75" customHeight="1" x14ac:dyDescent="0.2">
      <c r="A43" s="12" t="s">
        <v>226</v>
      </c>
      <c r="B43" s="13" t="s">
        <v>134</v>
      </c>
      <c r="C43" s="13" t="s">
        <v>138</v>
      </c>
      <c r="D43" s="13" t="s">
        <v>139</v>
      </c>
      <c r="E43" s="13" t="s">
        <v>332</v>
      </c>
      <c r="F43" s="12" t="s">
        <v>333</v>
      </c>
      <c r="G43" s="12"/>
      <c r="H43" s="30"/>
      <c r="I43" s="12" t="s">
        <v>334</v>
      </c>
      <c r="J43" s="12" t="s">
        <v>335</v>
      </c>
      <c r="K43" s="19">
        <v>0.25</v>
      </c>
      <c r="L43" s="16">
        <v>12</v>
      </c>
      <c r="M43" s="17"/>
      <c r="N43" s="17">
        <v>0.1</v>
      </c>
      <c r="O43" s="17">
        <v>0.22</v>
      </c>
      <c r="P43" s="10"/>
      <c r="Q43" s="10">
        <f t="shared" ref="Q43:Q50" si="3">K43*O43</f>
        <v>5.5E-2</v>
      </c>
      <c r="R43" s="11"/>
      <c r="S43" s="11"/>
    </row>
    <row r="44" spans="1:19" s="4" customFormat="1" ht="85" customHeight="1" x14ac:dyDescent="0.2">
      <c r="A44" s="12" t="s">
        <v>226</v>
      </c>
      <c r="B44" s="13" t="s">
        <v>134</v>
      </c>
      <c r="C44" s="13" t="s">
        <v>141</v>
      </c>
      <c r="D44" s="13" t="s">
        <v>142</v>
      </c>
      <c r="E44" s="13" t="s">
        <v>336</v>
      </c>
      <c r="F44" s="12" t="s">
        <v>337</v>
      </c>
      <c r="G44" s="12"/>
      <c r="H44" s="12"/>
      <c r="I44" s="12"/>
      <c r="J44" s="12"/>
      <c r="K44" s="19">
        <v>0.25</v>
      </c>
      <c r="L44" s="16">
        <v>12</v>
      </c>
      <c r="M44" s="17"/>
      <c r="N44" s="17"/>
      <c r="O44" s="17"/>
      <c r="P44" s="10"/>
      <c r="Q44" s="10">
        <f t="shared" si="3"/>
        <v>0</v>
      </c>
      <c r="R44" s="11"/>
      <c r="S44" s="11"/>
    </row>
    <row r="45" spans="1:19" s="4" customFormat="1" ht="85" customHeight="1" x14ac:dyDescent="0.2">
      <c r="A45" s="12" t="s">
        <v>226</v>
      </c>
      <c r="B45" s="13" t="s">
        <v>134</v>
      </c>
      <c r="C45" s="13" t="s">
        <v>144</v>
      </c>
      <c r="D45" s="13" t="s">
        <v>145</v>
      </c>
      <c r="E45" s="13" t="s">
        <v>338</v>
      </c>
      <c r="F45" s="12" t="s">
        <v>339</v>
      </c>
      <c r="G45" s="12"/>
      <c r="H45" s="12"/>
      <c r="I45" s="12"/>
      <c r="J45" s="12"/>
      <c r="K45" s="19">
        <v>0.7</v>
      </c>
      <c r="L45" s="16">
        <v>12</v>
      </c>
      <c r="M45" s="17"/>
      <c r="N45" s="17">
        <v>0.1</v>
      </c>
      <c r="O45" s="17">
        <v>0.2</v>
      </c>
      <c r="P45" s="10"/>
      <c r="Q45" s="10">
        <f t="shared" si="3"/>
        <v>0.13999999999999999</v>
      </c>
      <c r="R45" s="11"/>
      <c r="S45" s="11"/>
    </row>
    <row r="46" spans="1:19" s="4" customFormat="1" ht="85" customHeight="1" x14ac:dyDescent="0.2">
      <c r="A46" s="12" t="s">
        <v>226</v>
      </c>
      <c r="B46" s="13" t="s">
        <v>134</v>
      </c>
      <c r="C46" s="13" t="s">
        <v>147</v>
      </c>
      <c r="D46" s="13" t="s">
        <v>148</v>
      </c>
      <c r="E46" s="13" t="s">
        <v>340</v>
      </c>
      <c r="F46" s="12" t="s">
        <v>341</v>
      </c>
      <c r="G46" s="12"/>
      <c r="H46" s="12"/>
      <c r="I46" s="12" t="s">
        <v>342</v>
      </c>
      <c r="J46" s="12" t="s">
        <v>343</v>
      </c>
      <c r="K46" s="19">
        <v>0.7</v>
      </c>
      <c r="L46" s="16">
        <v>12</v>
      </c>
      <c r="M46" s="17"/>
      <c r="N46" s="17"/>
      <c r="O46" s="17"/>
      <c r="P46" s="10"/>
      <c r="Q46" s="10">
        <f t="shared" si="3"/>
        <v>0</v>
      </c>
      <c r="R46" s="11"/>
      <c r="S46" s="11"/>
    </row>
    <row r="47" spans="1:19" s="4" customFormat="1" ht="85" customHeight="1" x14ac:dyDescent="0.2">
      <c r="A47" s="12" t="s">
        <v>226</v>
      </c>
      <c r="B47" s="13" t="s">
        <v>134</v>
      </c>
      <c r="C47" s="13" t="s">
        <v>150</v>
      </c>
      <c r="D47" s="13" t="s">
        <v>151</v>
      </c>
      <c r="E47" s="13" t="s">
        <v>344</v>
      </c>
      <c r="F47" s="12" t="s">
        <v>345</v>
      </c>
      <c r="G47" s="12"/>
      <c r="H47" s="12"/>
      <c r="I47" s="12" t="s">
        <v>346</v>
      </c>
      <c r="J47" s="12" t="s">
        <v>347</v>
      </c>
      <c r="K47" s="20">
        <v>0.7</v>
      </c>
      <c r="L47" s="16">
        <v>12</v>
      </c>
      <c r="M47" s="17"/>
      <c r="N47" s="17">
        <v>0.1</v>
      </c>
      <c r="O47" s="17">
        <v>0.2</v>
      </c>
      <c r="P47" s="10"/>
      <c r="Q47" s="10">
        <f t="shared" si="3"/>
        <v>0.13999999999999999</v>
      </c>
      <c r="R47" s="11"/>
      <c r="S47" s="11"/>
    </row>
    <row r="48" spans="1:19" s="4" customFormat="1" ht="85" customHeight="1" x14ac:dyDescent="0.2">
      <c r="A48" s="12" t="s">
        <v>226</v>
      </c>
      <c r="B48" s="13" t="s">
        <v>134</v>
      </c>
      <c r="C48" s="13" t="s">
        <v>153</v>
      </c>
      <c r="D48" s="13" t="s">
        <v>154</v>
      </c>
      <c r="E48" s="13" t="s">
        <v>348</v>
      </c>
      <c r="F48" s="12" t="s">
        <v>349</v>
      </c>
      <c r="G48" s="12"/>
      <c r="H48" s="12"/>
      <c r="I48" s="12"/>
      <c r="J48" s="12"/>
      <c r="K48" s="19">
        <v>0.25</v>
      </c>
      <c r="L48" s="16">
        <v>12</v>
      </c>
      <c r="M48" s="17"/>
      <c r="N48" s="17"/>
      <c r="O48" s="17"/>
      <c r="P48" s="10"/>
      <c r="Q48" s="10">
        <f t="shared" si="3"/>
        <v>0</v>
      </c>
      <c r="R48" s="11"/>
      <c r="S48" s="11"/>
    </row>
    <row r="49" spans="1:19" s="4" customFormat="1" ht="85" customHeight="1" x14ac:dyDescent="0.2">
      <c r="A49" s="12" t="s">
        <v>226</v>
      </c>
      <c r="B49" s="13" t="s">
        <v>134</v>
      </c>
      <c r="C49" s="13" t="s">
        <v>156</v>
      </c>
      <c r="D49" s="13" t="s">
        <v>157</v>
      </c>
      <c r="E49" s="13" t="s">
        <v>350</v>
      </c>
      <c r="F49" s="12" t="s">
        <v>351</v>
      </c>
      <c r="G49" s="12"/>
      <c r="H49" s="12"/>
      <c r="I49" s="12" t="s">
        <v>352</v>
      </c>
      <c r="J49" s="12" t="s">
        <v>353</v>
      </c>
      <c r="K49" s="19">
        <v>0.2</v>
      </c>
      <c r="L49" s="16">
        <v>12</v>
      </c>
      <c r="M49" s="17"/>
      <c r="N49" s="17"/>
      <c r="O49" s="17"/>
      <c r="P49" s="10"/>
      <c r="Q49" s="10">
        <f t="shared" si="3"/>
        <v>0</v>
      </c>
      <c r="R49" s="11"/>
      <c r="S49" s="11"/>
    </row>
    <row r="50" spans="1:19" s="4" customFormat="1" ht="85" customHeight="1" x14ac:dyDescent="0.2">
      <c r="A50" s="12" t="s">
        <v>226</v>
      </c>
      <c r="B50" s="13" t="s">
        <v>134</v>
      </c>
      <c r="C50" s="13" t="s">
        <v>159</v>
      </c>
      <c r="D50" s="13" t="s">
        <v>160</v>
      </c>
      <c r="E50" s="13" t="s">
        <v>354</v>
      </c>
      <c r="F50" s="12" t="s">
        <v>355</v>
      </c>
      <c r="G50" s="12"/>
      <c r="H50" s="12"/>
      <c r="I50" s="12" t="s">
        <v>356</v>
      </c>
      <c r="J50" s="12" t="s">
        <v>357</v>
      </c>
      <c r="K50" s="19">
        <v>0.3</v>
      </c>
      <c r="L50" s="16">
        <v>12</v>
      </c>
      <c r="M50" s="17"/>
      <c r="N50" s="17">
        <v>0.1</v>
      </c>
      <c r="O50" s="17">
        <v>0.2</v>
      </c>
      <c r="P50" s="10"/>
      <c r="Q50" s="10">
        <f t="shared" si="3"/>
        <v>0.06</v>
      </c>
      <c r="R50" s="11"/>
      <c r="S50" s="11"/>
    </row>
    <row r="51" spans="1:19" s="4" customFormat="1" ht="85" customHeight="1" x14ac:dyDescent="0.2">
      <c r="A51" s="12" t="s">
        <v>226</v>
      </c>
      <c r="B51" s="13" t="s">
        <v>134</v>
      </c>
      <c r="C51" s="13" t="s">
        <v>162</v>
      </c>
      <c r="D51" s="13" t="s">
        <v>163</v>
      </c>
      <c r="E51" s="13" t="s">
        <v>358</v>
      </c>
      <c r="F51" s="12" t="s">
        <v>359</v>
      </c>
      <c r="G51" s="12"/>
      <c r="H51" s="12"/>
      <c r="I51" s="12" t="s">
        <v>360</v>
      </c>
      <c r="J51" s="12" t="s">
        <v>361</v>
      </c>
      <c r="K51" s="19" t="s">
        <v>362</v>
      </c>
      <c r="L51" s="16">
        <v>12</v>
      </c>
      <c r="M51" s="17"/>
      <c r="N51" s="17"/>
      <c r="O51" s="17"/>
      <c r="P51" s="10"/>
      <c r="Q51" s="10"/>
      <c r="R51" s="11"/>
      <c r="S51" s="11"/>
    </row>
    <row r="52" spans="1:19" s="4" customFormat="1" ht="85" customHeight="1" x14ac:dyDescent="0.2">
      <c r="A52" s="12" t="s">
        <v>51</v>
      </c>
      <c r="B52" s="13" t="s">
        <v>165</v>
      </c>
      <c r="C52" s="13" t="s">
        <v>166</v>
      </c>
      <c r="D52" s="13" t="s">
        <v>167</v>
      </c>
      <c r="E52" s="13" t="s">
        <v>363</v>
      </c>
      <c r="F52" s="12" t="s">
        <v>364</v>
      </c>
      <c r="G52" s="12"/>
      <c r="H52" s="12"/>
      <c r="I52" s="12"/>
      <c r="J52" s="12"/>
      <c r="K52" s="19">
        <v>0.85</v>
      </c>
      <c r="L52" s="16">
        <v>12</v>
      </c>
      <c r="M52" s="17">
        <v>1</v>
      </c>
      <c r="N52" s="17"/>
      <c r="O52" s="17"/>
      <c r="P52" s="10"/>
      <c r="Q52" s="10">
        <f t="shared" si="1"/>
        <v>0</v>
      </c>
      <c r="R52" s="11"/>
      <c r="S52" s="11"/>
    </row>
    <row r="53" spans="1:19" s="4" customFormat="1" ht="85" customHeight="1" x14ac:dyDescent="0.2">
      <c r="A53" s="12" t="s">
        <v>51</v>
      </c>
      <c r="B53" s="13" t="s">
        <v>165</v>
      </c>
      <c r="C53" s="13" t="s">
        <v>169</v>
      </c>
      <c r="D53" s="13" t="s">
        <v>170</v>
      </c>
      <c r="E53" s="13" t="s">
        <v>365</v>
      </c>
      <c r="F53" s="12" t="s">
        <v>366</v>
      </c>
      <c r="G53" s="12"/>
      <c r="H53" s="12"/>
      <c r="I53" s="12" t="s">
        <v>367</v>
      </c>
      <c r="J53" s="12" t="s">
        <v>368</v>
      </c>
      <c r="K53" s="19">
        <v>0.9</v>
      </c>
      <c r="L53" s="16">
        <v>12</v>
      </c>
      <c r="M53" s="17"/>
      <c r="N53" s="17"/>
      <c r="O53" s="17">
        <v>0.5</v>
      </c>
      <c r="P53" s="10"/>
      <c r="Q53" s="10">
        <f t="shared" si="1"/>
        <v>0</v>
      </c>
      <c r="R53" s="11"/>
      <c r="S53" s="11"/>
    </row>
    <row r="54" spans="1:19" s="4" customFormat="1" ht="85" customHeight="1" x14ac:dyDescent="0.2">
      <c r="A54" s="12" t="s">
        <v>369</v>
      </c>
      <c r="B54" s="13" t="s">
        <v>172</v>
      </c>
      <c r="C54" s="13" t="s">
        <v>173</v>
      </c>
      <c r="D54" s="13" t="s">
        <v>174</v>
      </c>
      <c r="E54" s="13" t="s">
        <v>370</v>
      </c>
      <c r="F54" s="12" t="s">
        <v>371</v>
      </c>
      <c r="G54" s="12"/>
      <c r="H54" s="12"/>
      <c r="I54" s="12" t="s">
        <v>372</v>
      </c>
      <c r="J54" s="12" t="s">
        <v>373</v>
      </c>
      <c r="K54" s="19" t="s">
        <v>374</v>
      </c>
      <c r="L54" s="16">
        <v>12</v>
      </c>
      <c r="M54" s="17"/>
      <c r="N54" s="17">
        <v>1</v>
      </c>
      <c r="O54" s="17">
        <v>1</v>
      </c>
      <c r="P54" s="10"/>
      <c r="Q54" s="10"/>
      <c r="R54" s="11"/>
      <c r="S54" s="11"/>
    </row>
    <row r="55" spans="1:19" s="4" customFormat="1" ht="85" customHeight="1" x14ac:dyDescent="0.2">
      <c r="A55" s="12" t="s">
        <v>369</v>
      </c>
      <c r="B55" s="13" t="s">
        <v>172</v>
      </c>
      <c r="C55" s="13" t="s">
        <v>176</v>
      </c>
      <c r="D55" s="13" t="s">
        <v>177</v>
      </c>
      <c r="E55" s="13" t="s">
        <v>375</v>
      </c>
      <c r="F55" s="12" t="s">
        <v>371</v>
      </c>
      <c r="G55" s="12"/>
      <c r="H55" s="12"/>
      <c r="I55" s="12" t="s">
        <v>376</v>
      </c>
      <c r="J55" s="12" t="s">
        <v>377</v>
      </c>
      <c r="K55" s="19" t="s">
        <v>378</v>
      </c>
      <c r="L55" s="16">
        <v>12</v>
      </c>
      <c r="M55" s="17"/>
      <c r="N55" s="17"/>
      <c r="O55" s="17"/>
      <c r="P55" s="10"/>
      <c r="Q55" s="10"/>
      <c r="R55" s="11"/>
      <c r="S55" s="11"/>
    </row>
    <row r="56" spans="1:19" s="4" customFormat="1" ht="85" customHeight="1" x14ac:dyDescent="0.2">
      <c r="A56" s="12" t="s">
        <v>369</v>
      </c>
      <c r="B56" s="13" t="s">
        <v>172</v>
      </c>
      <c r="C56" s="13" t="s">
        <v>179</v>
      </c>
      <c r="D56" s="13" t="s">
        <v>180</v>
      </c>
      <c r="E56" s="13" t="s">
        <v>379</v>
      </c>
      <c r="F56" s="12" t="s">
        <v>371</v>
      </c>
      <c r="G56" s="12"/>
      <c r="H56" s="12"/>
      <c r="I56" s="12" t="s">
        <v>380</v>
      </c>
      <c r="J56" s="12" t="s">
        <v>381</v>
      </c>
      <c r="K56" s="19" t="s">
        <v>382</v>
      </c>
      <c r="L56" s="16">
        <v>12</v>
      </c>
      <c r="M56" s="17"/>
      <c r="N56" s="17"/>
      <c r="O56" s="17"/>
      <c r="P56" s="10"/>
      <c r="Q56" s="10"/>
      <c r="R56" s="11"/>
      <c r="S56" s="11"/>
    </row>
    <row r="57" spans="1:19" s="4" customFormat="1" ht="85" customHeight="1" x14ac:dyDescent="0.2">
      <c r="A57" s="12" t="s">
        <v>369</v>
      </c>
      <c r="B57" s="13" t="s">
        <v>182</v>
      </c>
      <c r="C57" s="79" t="s">
        <v>183</v>
      </c>
      <c r="D57" s="74" t="s">
        <v>184</v>
      </c>
      <c r="E57" s="13" t="s">
        <v>383</v>
      </c>
      <c r="F57" s="12" t="s">
        <v>384</v>
      </c>
      <c r="G57" s="12"/>
      <c r="H57" s="12"/>
      <c r="I57" s="12" t="s">
        <v>385</v>
      </c>
      <c r="J57" s="12" t="s">
        <v>386</v>
      </c>
      <c r="K57" s="19">
        <v>0.3</v>
      </c>
      <c r="L57" s="16">
        <v>12</v>
      </c>
      <c r="M57" s="17"/>
      <c r="N57" s="17">
        <v>0.45</v>
      </c>
      <c r="O57" s="17">
        <v>0.45</v>
      </c>
      <c r="P57" s="10"/>
      <c r="Q57" s="10">
        <f>K57*N57</f>
        <v>0.13500000000000001</v>
      </c>
      <c r="R57" s="11"/>
      <c r="S57" s="11"/>
    </row>
    <row r="58" spans="1:19" s="4" customFormat="1" ht="85" customHeight="1" x14ac:dyDescent="0.2">
      <c r="A58" s="12" t="s">
        <v>369</v>
      </c>
      <c r="B58" s="13" t="s">
        <v>182</v>
      </c>
      <c r="C58" s="79" t="s">
        <v>186</v>
      </c>
      <c r="D58" s="74" t="s">
        <v>187</v>
      </c>
      <c r="E58" s="13" t="s">
        <v>387</v>
      </c>
      <c r="F58" s="12" t="s">
        <v>388</v>
      </c>
      <c r="G58" s="12"/>
      <c r="H58" s="12"/>
      <c r="I58" s="12"/>
      <c r="J58" s="12"/>
      <c r="K58" s="15" t="s">
        <v>389</v>
      </c>
      <c r="L58" s="16">
        <v>12</v>
      </c>
      <c r="M58" s="17"/>
      <c r="N58" s="17">
        <v>1</v>
      </c>
      <c r="O58" s="17">
        <v>1</v>
      </c>
      <c r="P58" s="10"/>
      <c r="Q58" s="10"/>
      <c r="R58" s="11"/>
      <c r="S58" s="11"/>
    </row>
    <row r="59" spans="1:19" s="4" customFormat="1" ht="85" customHeight="1" x14ac:dyDescent="0.2">
      <c r="A59" s="12" t="s">
        <v>369</v>
      </c>
      <c r="B59" s="13" t="s">
        <v>182</v>
      </c>
      <c r="C59" s="79" t="s">
        <v>189</v>
      </c>
      <c r="D59" s="76" t="s">
        <v>167</v>
      </c>
      <c r="E59" s="60" t="s">
        <v>390</v>
      </c>
      <c r="F59" s="22" t="s">
        <v>391</v>
      </c>
      <c r="G59" s="12"/>
      <c r="H59" s="12"/>
      <c r="I59" s="12" t="s">
        <v>392</v>
      </c>
      <c r="J59" s="12" t="s">
        <v>393</v>
      </c>
      <c r="K59" s="15">
        <v>0.85</v>
      </c>
      <c r="L59" s="16">
        <v>12</v>
      </c>
      <c r="M59" s="17"/>
      <c r="N59" s="17">
        <v>0.1</v>
      </c>
      <c r="O59" s="17">
        <v>0.2</v>
      </c>
      <c r="P59" s="10"/>
      <c r="Q59" s="10">
        <f t="shared" ref="Q59:Q63" si="4">K59*N59</f>
        <v>8.5000000000000006E-2</v>
      </c>
      <c r="R59" s="11"/>
      <c r="S59" s="11"/>
    </row>
    <row r="60" spans="1:19" s="4" customFormat="1" ht="85" customHeight="1" x14ac:dyDescent="0.2">
      <c r="A60" s="12" t="s">
        <v>369</v>
      </c>
      <c r="B60" s="13" t="s">
        <v>182</v>
      </c>
      <c r="C60" s="79" t="s">
        <v>191</v>
      </c>
      <c r="D60" s="74" t="s">
        <v>192</v>
      </c>
      <c r="E60" s="13" t="s">
        <v>394</v>
      </c>
      <c r="F60" s="12" t="s">
        <v>395</v>
      </c>
      <c r="G60" s="12"/>
      <c r="H60" s="12"/>
      <c r="I60" s="12"/>
      <c r="J60" s="12"/>
      <c r="K60" s="15">
        <v>0.85</v>
      </c>
      <c r="L60" s="16">
        <v>12</v>
      </c>
      <c r="M60" s="17"/>
      <c r="N60" s="17">
        <v>0.1</v>
      </c>
      <c r="O60" s="17">
        <v>0.2</v>
      </c>
      <c r="P60" s="10"/>
      <c r="Q60" s="10">
        <f t="shared" si="4"/>
        <v>8.5000000000000006E-2</v>
      </c>
      <c r="R60" s="11"/>
      <c r="S60" s="11"/>
    </row>
    <row r="61" spans="1:19" s="4" customFormat="1" ht="85" customHeight="1" x14ac:dyDescent="0.2">
      <c r="A61" s="12" t="s">
        <v>369</v>
      </c>
      <c r="B61" s="13" t="s">
        <v>182</v>
      </c>
      <c r="C61" s="79" t="s">
        <v>194</v>
      </c>
      <c r="D61" s="74" t="s">
        <v>195</v>
      </c>
      <c r="E61" s="13" t="s">
        <v>396</v>
      </c>
      <c r="F61" s="12" t="s">
        <v>397</v>
      </c>
      <c r="G61" s="12"/>
      <c r="H61" s="12"/>
      <c r="I61" s="12"/>
      <c r="J61" s="12"/>
      <c r="K61" s="15">
        <v>0.85</v>
      </c>
      <c r="L61" s="16">
        <v>12</v>
      </c>
      <c r="M61" s="17"/>
      <c r="N61" s="17"/>
      <c r="O61" s="17"/>
      <c r="P61" s="10"/>
      <c r="Q61" s="10">
        <f t="shared" si="4"/>
        <v>0</v>
      </c>
      <c r="R61" s="11"/>
      <c r="S61" s="11"/>
    </row>
    <row r="62" spans="1:19" s="4" customFormat="1" ht="85" customHeight="1" x14ac:dyDescent="0.2">
      <c r="A62" s="40" t="s">
        <v>369</v>
      </c>
      <c r="B62" s="62" t="s">
        <v>182</v>
      </c>
      <c r="C62" s="81" t="s">
        <v>197</v>
      </c>
      <c r="D62" s="77" t="s">
        <v>198</v>
      </c>
      <c r="E62" s="62" t="s">
        <v>398</v>
      </c>
      <c r="F62" s="40" t="s">
        <v>399</v>
      </c>
      <c r="G62" s="40"/>
      <c r="H62" s="40"/>
      <c r="I62" s="40" t="s">
        <v>400</v>
      </c>
      <c r="J62" s="40" t="s">
        <v>401</v>
      </c>
      <c r="K62" s="41">
        <v>1</v>
      </c>
      <c r="L62" s="42">
        <v>12</v>
      </c>
      <c r="M62" s="43"/>
      <c r="N62" s="43">
        <v>0.1</v>
      </c>
      <c r="O62" s="43">
        <v>0.6</v>
      </c>
      <c r="P62" s="10"/>
      <c r="Q62" s="10">
        <f t="shared" si="4"/>
        <v>0.1</v>
      </c>
      <c r="R62" s="11"/>
      <c r="S62" s="11"/>
    </row>
    <row r="63" spans="1:19" s="4" customFormat="1" ht="85" customHeight="1" x14ac:dyDescent="0.2">
      <c r="A63" s="44" t="s">
        <v>369</v>
      </c>
      <c r="B63" s="45" t="s">
        <v>182</v>
      </c>
      <c r="C63" s="82" t="s">
        <v>200</v>
      </c>
      <c r="D63" s="78" t="s">
        <v>201</v>
      </c>
      <c r="E63" s="45" t="s">
        <v>402</v>
      </c>
      <c r="F63" s="44" t="s">
        <v>403</v>
      </c>
      <c r="G63" s="44"/>
      <c r="H63" s="44"/>
      <c r="I63" s="44" t="s">
        <v>404</v>
      </c>
      <c r="J63" s="44" t="s">
        <v>405</v>
      </c>
      <c r="K63" s="46">
        <v>0.95</v>
      </c>
      <c r="L63" s="47">
        <v>12</v>
      </c>
      <c r="M63" s="48"/>
      <c r="N63" s="48"/>
      <c r="O63" s="48"/>
      <c r="P63" s="10"/>
      <c r="Q63" s="10">
        <f t="shared" si="4"/>
        <v>0</v>
      </c>
      <c r="R63" s="11"/>
      <c r="S63" s="11"/>
    </row>
    <row r="64" spans="1:19" ht="18.75" customHeight="1" x14ac:dyDescent="0.2">
      <c r="A64" s="45" t="s">
        <v>226</v>
      </c>
      <c r="B64" s="45" t="s">
        <v>407</v>
      </c>
      <c r="C64" s="45" t="s">
        <v>406</v>
      </c>
      <c r="D64" s="45" t="s">
        <v>408</v>
      </c>
      <c r="E64" s="45"/>
      <c r="F64" s="45"/>
      <c r="G64" s="45"/>
      <c r="H64" s="45"/>
      <c r="I64" s="45"/>
      <c r="J64" s="45"/>
      <c r="K64" s="51">
        <v>1.5</v>
      </c>
      <c r="L64" s="52">
        <v>12</v>
      </c>
      <c r="M64" s="49"/>
      <c r="N64" s="49"/>
      <c r="O64" s="49"/>
      <c r="P64" s="50"/>
      <c r="Q64" s="50">
        <f t="shared" si="1"/>
        <v>0</v>
      </c>
      <c r="R64" s="11"/>
      <c r="S64" s="28"/>
    </row>
    <row r="65" spans="1:19" ht="18.75" customHeight="1" x14ac:dyDescent="0.2">
      <c r="A65" s="31"/>
      <c r="B65" s="31"/>
      <c r="C65" s="31"/>
      <c r="D65" s="31"/>
      <c r="E65" s="31"/>
      <c r="F65" s="31"/>
      <c r="G65" s="31"/>
      <c r="H65" s="31"/>
      <c r="I65" s="31"/>
      <c r="J65" s="31"/>
      <c r="K65" s="10"/>
      <c r="L65" s="32"/>
      <c r="M65" s="11"/>
      <c r="N65" s="11"/>
      <c r="O65" s="11"/>
      <c r="P65" s="33"/>
      <c r="Q65" s="33"/>
      <c r="R65" s="11"/>
      <c r="S65" s="27"/>
    </row>
  </sheetData>
  <autoFilter ref="A1:S65" xr:uid="{00000000-0001-0000-0000-000000000000}"/>
  <conditionalFormatting sqref="M1:O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4"/>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414</v>
      </c>
      <c r="C11" s="2" t="s">
        <v>415</v>
      </c>
      <c r="D11" s="2" t="s">
        <v>416</v>
      </c>
    </row>
    <row r="12" spans="1:4" ht="18.75" customHeight="1" x14ac:dyDescent="0.2">
      <c r="A12" s="2" t="s">
        <v>34</v>
      </c>
      <c r="B12" s="2" t="s">
        <v>35</v>
      </c>
      <c r="C12" s="2" t="s">
        <v>36</v>
      </c>
      <c r="D12" s="2" t="s">
        <v>37</v>
      </c>
    </row>
    <row r="13" spans="1:4" ht="18.75" customHeight="1" x14ac:dyDescent="0.2">
      <c r="A13" s="2" t="s">
        <v>34</v>
      </c>
      <c r="B13" s="2" t="s">
        <v>38</v>
      </c>
      <c r="C13" s="2" t="s">
        <v>39</v>
      </c>
      <c r="D13" s="2" t="s">
        <v>40</v>
      </c>
    </row>
    <row r="14" spans="1:4" ht="18.75" customHeight="1" x14ac:dyDescent="0.2">
      <c r="A14" s="2" t="s">
        <v>41</v>
      </c>
      <c r="B14" s="2" t="s">
        <v>42</v>
      </c>
      <c r="C14" s="2" t="s">
        <v>43</v>
      </c>
      <c r="D14" s="2" t="s">
        <v>44</v>
      </c>
    </row>
    <row r="15" spans="1:4" ht="18.75" customHeight="1" x14ac:dyDescent="0.2">
      <c r="A15" s="2" t="s">
        <v>41</v>
      </c>
      <c r="B15" s="2" t="s">
        <v>45</v>
      </c>
      <c r="C15" s="2" t="s">
        <v>46</v>
      </c>
      <c r="D15" s="2" t="s">
        <v>47</v>
      </c>
    </row>
    <row r="16" spans="1:4" ht="18.75" customHeight="1" x14ac:dyDescent="0.2">
      <c r="A16" s="2" t="s">
        <v>41</v>
      </c>
      <c r="B16" s="2" t="s">
        <v>48</v>
      </c>
      <c r="C16" s="2" t="s">
        <v>49</v>
      </c>
      <c r="D16" s="2" t="s">
        <v>50</v>
      </c>
    </row>
    <row r="17" spans="1:4" ht="18.75" customHeight="1" x14ac:dyDescent="0.2">
      <c r="A17" s="2" t="s">
        <v>51</v>
      </c>
      <c r="B17" s="2" t="s">
        <v>52</v>
      </c>
      <c r="C17" s="2" t="s">
        <v>53</v>
      </c>
      <c r="D17" s="2" t="s">
        <v>54</v>
      </c>
    </row>
    <row r="18" spans="1:4" ht="18.75" customHeight="1" x14ac:dyDescent="0.2">
      <c r="A18" s="2" t="s">
        <v>51</v>
      </c>
      <c r="B18" s="2" t="s">
        <v>55</v>
      </c>
      <c r="C18" s="2" t="s">
        <v>56</v>
      </c>
      <c r="D18" s="2" t="s">
        <v>57</v>
      </c>
    </row>
    <row r="19" spans="1:4" ht="18.75" customHeight="1" x14ac:dyDescent="0.2">
      <c r="A19" s="2" t="s">
        <v>51</v>
      </c>
      <c r="B19" s="2" t="s">
        <v>58</v>
      </c>
      <c r="C19" s="2" t="s">
        <v>59</v>
      </c>
      <c r="D19" s="2" t="s">
        <v>60</v>
      </c>
    </row>
    <row r="20" spans="1:4" ht="18.75" customHeight="1" x14ac:dyDescent="0.2">
      <c r="A20" s="2" t="s">
        <v>51</v>
      </c>
      <c r="B20" s="2" t="s">
        <v>61</v>
      </c>
      <c r="C20" s="2" t="s">
        <v>62</v>
      </c>
      <c r="D20" s="2" t="s">
        <v>63</v>
      </c>
    </row>
    <row r="21" spans="1:4" ht="18.75" customHeight="1" x14ac:dyDescent="0.2">
      <c r="A21" s="2" t="s">
        <v>51</v>
      </c>
      <c r="B21" s="2" t="s">
        <v>64</v>
      </c>
      <c r="C21" s="2" t="s">
        <v>65</v>
      </c>
      <c r="D21" s="2" t="s">
        <v>66</v>
      </c>
    </row>
    <row r="22" spans="1:4" ht="18.75" customHeight="1" x14ac:dyDescent="0.2">
      <c r="A22" s="2" t="s">
        <v>51</v>
      </c>
      <c r="B22" s="2" t="s">
        <v>67</v>
      </c>
      <c r="C22" s="2" t="s">
        <v>68</v>
      </c>
      <c r="D22" s="2" t="s">
        <v>69</v>
      </c>
    </row>
    <row r="23" spans="1:4" ht="18.75" customHeight="1" x14ac:dyDescent="0.2">
      <c r="A23" s="2" t="s">
        <v>70</v>
      </c>
      <c r="B23" s="2" t="s">
        <v>71</v>
      </c>
      <c r="C23" s="2" t="s">
        <v>72</v>
      </c>
      <c r="D23" s="2" t="s">
        <v>73</v>
      </c>
    </row>
    <row r="24" spans="1:4" ht="18.75" customHeight="1" x14ac:dyDescent="0.2">
      <c r="A24" s="2" t="s">
        <v>70</v>
      </c>
      <c r="B24" s="2" t="s">
        <v>74</v>
      </c>
      <c r="C24" s="2" t="s">
        <v>75</v>
      </c>
      <c r="D24" s="2" t="s">
        <v>76</v>
      </c>
    </row>
    <row r="25" spans="1:4" ht="18.75" customHeight="1" x14ac:dyDescent="0.2">
      <c r="A25" s="2" t="s">
        <v>70</v>
      </c>
      <c r="B25" s="2" t="s">
        <v>77</v>
      </c>
      <c r="C25" s="2" t="s">
        <v>78</v>
      </c>
      <c r="D25" s="2" t="s">
        <v>79</v>
      </c>
    </row>
    <row r="26" spans="1:4" ht="18.75" customHeight="1" x14ac:dyDescent="0.2">
      <c r="A26" s="2" t="s">
        <v>70</v>
      </c>
      <c r="B26" s="2" t="s">
        <v>80</v>
      </c>
      <c r="C26" s="2" t="s">
        <v>81</v>
      </c>
      <c r="D26" s="2" t="s">
        <v>82</v>
      </c>
    </row>
    <row r="27" spans="1:4" ht="18.75" customHeight="1" x14ac:dyDescent="0.2">
      <c r="A27" s="2" t="s">
        <v>83</v>
      </c>
      <c r="B27" s="2" t="s">
        <v>84</v>
      </c>
      <c r="C27" s="2" t="s">
        <v>85</v>
      </c>
      <c r="D27" s="2" t="s">
        <v>86</v>
      </c>
    </row>
    <row r="28" spans="1:4" ht="18.75" customHeight="1" x14ac:dyDescent="0.2">
      <c r="A28" s="2" t="s">
        <v>83</v>
      </c>
      <c r="B28" s="2" t="s">
        <v>87</v>
      </c>
      <c r="C28" s="2" t="s">
        <v>88</v>
      </c>
      <c r="D28" s="2" t="s">
        <v>89</v>
      </c>
    </row>
    <row r="29" spans="1:4" ht="18.75" customHeight="1" x14ac:dyDescent="0.2">
      <c r="A29" s="2" t="s">
        <v>83</v>
      </c>
      <c r="B29" s="2" t="s">
        <v>90</v>
      </c>
      <c r="C29" s="2" t="s">
        <v>91</v>
      </c>
      <c r="D29" s="2" t="s">
        <v>92</v>
      </c>
    </row>
    <row r="30" spans="1:4" ht="18.75" customHeight="1" x14ac:dyDescent="0.2">
      <c r="A30" s="2" t="s">
        <v>83</v>
      </c>
      <c r="B30" s="2" t="s">
        <v>93</v>
      </c>
      <c r="C30" s="2" t="s">
        <v>94</v>
      </c>
      <c r="D30" s="2" t="s">
        <v>95</v>
      </c>
    </row>
    <row r="31" spans="1:4" ht="18.75" customHeight="1" x14ac:dyDescent="0.2">
      <c r="A31" s="2" t="s">
        <v>96</v>
      </c>
      <c r="B31" s="2" t="s">
        <v>97</v>
      </c>
      <c r="C31" s="2" t="s">
        <v>98</v>
      </c>
      <c r="D31" s="2" t="s">
        <v>99</v>
      </c>
    </row>
    <row r="32" spans="1:4" ht="18.75" customHeight="1" x14ac:dyDescent="0.2">
      <c r="A32" s="2" t="s">
        <v>96</v>
      </c>
      <c r="B32" s="2" t="s">
        <v>100</v>
      </c>
      <c r="C32" s="2" t="s">
        <v>101</v>
      </c>
      <c r="D32" s="2" t="s">
        <v>102</v>
      </c>
    </row>
    <row r="33" spans="1:4" ht="18.75" customHeight="1" x14ac:dyDescent="0.2">
      <c r="A33" s="2" t="s">
        <v>96</v>
      </c>
      <c r="B33" s="2" t="s">
        <v>103</v>
      </c>
      <c r="C33" s="2" t="s">
        <v>104</v>
      </c>
      <c r="D33" s="2" t="s">
        <v>105</v>
      </c>
    </row>
    <row r="34" spans="1:4" ht="18.75" customHeight="1" x14ac:dyDescent="0.2">
      <c r="A34" s="2" t="s">
        <v>106</v>
      </c>
      <c r="B34" s="2" t="s">
        <v>107</v>
      </c>
      <c r="C34" s="2" t="s">
        <v>108</v>
      </c>
      <c r="D34" s="2" t="s">
        <v>109</v>
      </c>
    </row>
    <row r="35" spans="1:4" ht="18.75" customHeight="1" x14ac:dyDescent="0.2">
      <c r="A35" s="2" t="s">
        <v>106</v>
      </c>
      <c r="B35" s="2" t="s">
        <v>110</v>
      </c>
      <c r="C35" s="2" t="s">
        <v>111</v>
      </c>
      <c r="D35" s="2" t="s">
        <v>112</v>
      </c>
    </row>
    <row r="36" spans="1:4" ht="18.75" customHeight="1" x14ac:dyDescent="0.2">
      <c r="A36" s="2" t="s">
        <v>113</v>
      </c>
      <c r="B36" s="2" t="s">
        <v>114</v>
      </c>
      <c r="C36" s="2" t="s">
        <v>115</v>
      </c>
      <c r="D36" s="2" t="s">
        <v>116</v>
      </c>
    </row>
    <row r="37" spans="1:4" ht="18.75" customHeight="1" x14ac:dyDescent="0.2">
      <c r="A37" s="2" t="s">
        <v>113</v>
      </c>
      <c r="B37" s="2" t="s">
        <v>117</v>
      </c>
      <c r="C37" s="2" t="s">
        <v>118</v>
      </c>
      <c r="D37" s="2" t="s">
        <v>119</v>
      </c>
    </row>
    <row r="38" spans="1:4" ht="18.75" customHeight="1" x14ac:dyDescent="0.2">
      <c r="A38" s="2" t="s">
        <v>113</v>
      </c>
      <c r="B38" s="2" t="s">
        <v>120</v>
      </c>
      <c r="C38" s="2" t="s">
        <v>121</v>
      </c>
      <c r="D38" s="2" t="s">
        <v>122</v>
      </c>
    </row>
    <row r="39" spans="1:4" ht="18.75" customHeight="1" x14ac:dyDescent="0.2">
      <c r="A39" s="2" t="s">
        <v>123</v>
      </c>
      <c r="B39" s="2" t="s">
        <v>124</v>
      </c>
      <c r="C39" s="2" t="s">
        <v>125</v>
      </c>
      <c r="D39" s="2" t="s">
        <v>126</v>
      </c>
    </row>
    <row r="40" spans="1:4" ht="18.75" customHeight="1" x14ac:dyDescent="0.2">
      <c r="A40" s="2" t="s">
        <v>123</v>
      </c>
      <c r="B40" s="2" t="s">
        <v>127</v>
      </c>
      <c r="C40" s="2" t="s">
        <v>128</v>
      </c>
      <c r="D40" s="2" t="s">
        <v>129</v>
      </c>
    </row>
    <row r="41" spans="1:4" ht="18.75" customHeight="1" x14ac:dyDescent="0.2">
      <c r="A41" s="2" t="s">
        <v>130</v>
      </c>
      <c r="B41" s="2" t="s">
        <v>131</v>
      </c>
      <c r="C41" s="2" t="s">
        <v>132</v>
      </c>
      <c r="D41" s="2" t="s">
        <v>133</v>
      </c>
    </row>
    <row r="42" spans="1:4" ht="18.75" customHeight="1" x14ac:dyDescent="0.2">
      <c r="A42" s="2" t="s">
        <v>134</v>
      </c>
      <c r="B42" s="2" t="s">
        <v>135</v>
      </c>
      <c r="C42" s="2" t="s">
        <v>136</v>
      </c>
      <c r="D42" s="2" t="s">
        <v>137</v>
      </c>
    </row>
    <row r="43" spans="1:4" ht="18.75" customHeight="1" x14ac:dyDescent="0.2">
      <c r="A43" s="2" t="s">
        <v>134</v>
      </c>
      <c r="B43" s="2" t="s">
        <v>138</v>
      </c>
      <c r="C43" s="2" t="s">
        <v>139</v>
      </c>
      <c r="D43" s="2" t="s">
        <v>140</v>
      </c>
    </row>
    <row r="44" spans="1:4" ht="18.75" customHeight="1" x14ac:dyDescent="0.2">
      <c r="A44" s="2" t="s">
        <v>134</v>
      </c>
      <c r="B44" s="2" t="s">
        <v>141</v>
      </c>
      <c r="C44" s="2" t="s">
        <v>142</v>
      </c>
      <c r="D44" s="2" t="s">
        <v>143</v>
      </c>
    </row>
    <row r="45" spans="1:4" ht="18.75" customHeight="1" x14ac:dyDescent="0.2">
      <c r="A45" s="2" t="s">
        <v>134</v>
      </c>
      <c r="B45" s="2" t="s">
        <v>144</v>
      </c>
      <c r="C45" s="2" t="s">
        <v>145</v>
      </c>
      <c r="D45" s="2" t="s">
        <v>146</v>
      </c>
    </row>
    <row r="46" spans="1:4" ht="18.75" customHeight="1" x14ac:dyDescent="0.2">
      <c r="A46" s="2" t="s">
        <v>134</v>
      </c>
      <c r="B46" s="2" t="s">
        <v>147</v>
      </c>
      <c r="C46" s="2" t="s">
        <v>148</v>
      </c>
      <c r="D46" s="2" t="s">
        <v>149</v>
      </c>
    </row>
    <row r="47" spans="1:4" ht="18.75" customHeight="1" x14ac:dyDescent="0.2">
      <c r="A47" s="2" t="s">
        <v>134</v>
      </c>
      <c r="B47" s="2" t="s">
        <v>150</v>
      </c>
      <c r="C47" s="2" t="s">
        <v>151</v>
      </c>
      <c r="D47" s="2" t="s">
        <v>152</v>
      </c>
    </row>
    <row r="48" spans="1:4" ht="18.75" customHeight="1" x14ac:dyDescent="0.2">
      <c r="A48" s="2" t="s">
        <v>134</v>
      </c>
      <c r="B48" s="2" t="s">
        <v>153</v>
      </c>
      <c r="C48" s="2" t="s">
        <v>154</v>
      </c>
      <c r="D48" s="2" t="s">
        <v>155</v>
      </c>
    </row>
    <row r="49" spans="1:4" ht="18.75" customHeight="1" x14ac:dyDescent="0.2">
      <c r="A49" s="2" t="s">
        <v>134</v>
      </c>
      <c r="B49" s="2" t="s">
        <v>156</v>
      </c>
      <c r="C49" s="2" t="s">
        <v>157</v>
      </c>
      <c r="D49" s="2" t="s">
        <v>158</v>
      </c>
    </row>
    <row r="50" spans="1:4" ht="18.75" customHeight="1" x14ac:dyDescent="0.2">
      <c r="A50" s="2" t="s">
        <v>134</v>
      </c>
      <c r="B50" s="2" t="s">
        <v>159</v>
      </c>
      <c r="C50" s="2" t="s">
        <v>160</v>
      </c>
      <c r="D50" s="2" t="s">
        <v>161</v>
      </c>
    </row>
    <row r="51" spans="1:4" ht="18.75" customHeight="1" x14ac:dyDescent="0.2">
      <c r="A51" s="2" t="s">
        <v>134</v>
      </c>
      <c r="B51" s="2" t="s">
        <v>162</v>
      </c>
      <c r="C51" s="2" t="s">
        <v>163</v>
      </c>
      <c r="D51" s="2" t="s">
        <v>164</v>
      </c>
    </row>
    <row r="52" spans="1:4" ht="18.75" customHeight="1" x14ac:dyDescent="0.2">
      <c r="A52" s="2" t="s">
        <v>165</v>
      </c>
      <c r="B52" s="2" t="s">
        <v>166</v>
      </c>
      <c r="C52" s="2" t="s">
        <v>167</v>
      </c>
      <c r="D52" s="2" t="s">
        <v>168</v>
      </c>
    </row>
    <row r="53" spans="1:4" ht="18.75" customHeight="1" x14ac:dyDescent="0.2">
      <c r="A53" s="2" t="s">
        <v>165</v>
      </c>
      <c r="B53" s="2" t="s">
        <v>169</v>
      </c>
      <c r="C53" s="2" t="s">
        <v>170</v>
      </c>
      <c r="D53" s="2" t="s">
        <v>171</v>
      </c>
    </row>
    <row r="54" spans="1:4" ht="18.75" customHeight="1" x14ac:dyDescent="0.2">
      <c r="A54" s="2" t="s">
        <v>172</v>
      </c>
      <c r="B54" s="2" t="s">
        <v>173</v>
      </c>
      <c r="C54" s="2" t="s">
        <v>174</v>
      </c>
      <c r="D54" s="2" t="s">
        <v>175</v>
      </c>
    </row>
    <row r="55" spans="1:4" ht="18.75" customHeight="1" x14ac:dyDescent="0.2">
      <c r="A55" s="2" t="s">
        <v>172</v>
      </c>
      <c r="B55" s="2" t="s">
        <v>176</v>
      </c>
      <c r="C55" s="2" t="s">
        <v>177</v>
      </c>
      <c r="D55" s="2" t="s">
        <v>178</v>
      </c>
    </row>
    <row r="56" spans="1:4" ht="18.75" customHeight="1" x14ac:dyDescent="0.2">
      <c r="A56" s="2" t="s">
        <v>172</v>
      </c>
      <c r="B56" s="2" t="s">
        <v>179</v>
      </c>
      <c r="C56" s="2" t="s">
        <v>180</v>
      </c>
      <c r="D56" s="2" t="s">
        <v>181</v>
      </c>
    </row>
    <row r="57" spans="1:4" ht="18.75" customHeight="1" x14ac:dyDescent="0.2">
      <c r="A57" s="2" t="s">
        <v>182</v>
      </c>
      <c r="B57" s="2" t="s">
        <v>183</v>
      </c>
      <c r="C57" s="2" t="s">
        <v>184</v>
      </c>
      <c r="D57" s="2" t="s">
        <v>185</v>
      </c>
    </row>
    <row r="58" spans="1:4" ht="18.75" customHeight="1" x14ac:dyDescent="0.2">
      <c r="A58" s="2" t="s">
        <v>182</v>
      </c>
      <c r="B58" s="2" t="s">
        <v>186</v>
      </c>
      <c r="C58" s="2" t="s">
        <v>187</v>
      </c>
      <c r="D58" s="2" t="s">
        <v>188</v>
      </c>
    </row>
    <row r="59" spans="1:4" ht="18.75" customHeight="1" x14ac:dyDescent="0.2">
      <c r="A59" s="2" t="s">
        <v>182</v>
      </c>
      <c r="B59" s="2" t="s">
        <v>189</v>
      </c>
      <c r="C59" s="2" t="s">
        <v>167</v>
      </c>
      <c r="D59" s="2" t="s">
        <v>190</v>
      </c>
    </row>
    <row r="60" spans="1:4" ht="18.75" customHeight="1" x14ac:dyDescent="0.2">
      <c r="A60" s="2" t="s">
        <v>182</v>
      </c>
      <c r="B60" s="2" t="s">
        <v>191</v>
      </c>
      <c r="C60" s="2" t="s">
        <v>192</v>
      </c>
      <c r="D60" s="2" t="s">
        <v>193</v>
      </c>
    </row>
    <row r="61" spans="1:4" ht="18.75" customHeight="1" x14ac:dyDescent="0.2">
      <c r="A61" s="53" t="s">
        <v>182</v>
      </c>
      <c r="B61" s="53" t="s">
        <v>194</v>
      </c>
      <c r="C61" s="53" t="s">
        <v>195</v>
      </c>
      <c r="D61" s="53" t="s">
        <v>196</v>
      </c>
    </row>
    <row r="62" spans="1:4" ht="18.75" customHeight="1" x14ac:dyDescent="0.2">
      <c r="A62" s="54" t="s">
        <v>182</v>
      </c>
      <c r="B62" s="54" t="s">
        <v>197</v>
      </c>
      <c r="C62" s="54" t="s">
        <v>198</v>
      </c>
      <c r="D62" s="54" t="s">
        <v>199</v>
      </c>
    </row>
    <row r="63" spans="1:4" ht="18.75" customHeight="1" x14ac:dyDescent="0.2">
      <c r="A63" s="54" t="s">
        <v>182</v>
      </c>
      <c r="B63" s="54" t="s">
        <v>200</v>
      </c>
      <c r="C63" s="54" t="s">
        <v>201</v>
      </c>
      <c r="D63" s="54" t="s">
        <v>202</v>
      </c>
    </row>
    <row r="64" spans="1:4" x14ac:dyDescent="0.2">
      <c r="A64" s="55" t="s">
        <v>407</v>
      </c>
      <c r="B64" s="55" t="s">
        <v>406</v>
      </c>
      <c r="C64" s="55" t="s">
        <v>408</v>
      </c>
      <c r="D64" s="55" t="s">
        <v>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1827-1506-7D43-8DF8-A60638971741}">
  <dimension ref="I8:J53"/>
  <sheetViews>
    <sheetView workbookViewId="0">
      <selection activeCell="I42" sqref="I42:J42"/>
    </sheetView>
  </sheetViews>
  <sheetFormatPr baseColWidth="10" defaultRowHeight="15" x14ac:dyDescent="0.2"/>
  <sheetData>
    <row r="8" spans="9:10" x14ac:dyDescent="0.2">
      <c r="I8">
        <v>0</v>
      </c>
      <c r="J8">
        <f>+I8+2015</f>
        <v>2015</v>
      </c>
    </row>
    <row r="9" spans="9:10" x14ac:dyDescent="0.2">
      <c r="I9">
        <v>1</v>
      </c>
      <c r="J9">
        <f t="shared" ref="J9:J53" si="0">+I9+2015</f>
        <v>2016</v>
      </c>
    </row>
    <row r="10" spans="9:10" x14ac:dyDescent="0.2">
      <c r="I10">
        <v>2</v>
      </c>
      <c r="J10">
        <f t="shared" si="0"/>
        <v>2017</v>
      </c>
    </row>
    <row r="11" spans="9:10" x14ac:dyDescent="0.2">
      <c r="I11">
        <v>3</v>
      </c>
      <c r="J11">
        <f t="shared" si="0"/>
        <v>2018</v>
      </c>
    </row>
    <row r="12" spans="9:10" x14ac:dyDescent="0.2">
      <c r="I12">
        <v>4</v>
      </c>
      <c r="J12">
        <f t="shared" si="0"/>
        <v>2019</v>
      </c>
    </row>
    <row r="13" spans="9:10" x14ac:dyDescent="0.2">
      <c r="I13">
        <v>5</v>
      </c>
      <c r="J13">
        <f t="shared" si="0"/>
        <v>2020</v>
      </c>
    </row>
    <row r="14" spans="9:10" x14ac:dyDescent="0.2">
      <c r="I14">
        <v>6</v>
      </c>
      <c r="J14">
        <f t="shared" si="0"/>
        <v>2021</v>
      </c>
    </row>
    <row r="15" spans="9:10" x14ac:dyDescent="0.2">
      <c r="I15">
        <v>7</v>
      </c>
      <c r="J15">
        <f t="shared" si="0"/>
        <v>2022</v>
      </c>
    </row>
    <row r="16" spans="9:10" x14ac:dyDescent="0.2">
      <c r="I16" s="73">
        <v>8</v>
      </c>
      <c r="J16" s="73">
        <f t="shared" si="0"/>
        <v>2023</v>
      </c>
    </row>
    <row r="17" spans="9:10" x14ac:dyDescent="0.2">
      <c r="I17">
        <v>9</v>
      </c>
      <c r="J17">
        <f t="shared" si="0"/>
        <v>2024</v>
      </c>
    </row>
    <row r="18" spans="9:10" x14ac:dyDescent="0.2">
      <c r="I18">
        <v>10</v>
      </c>
      <c r="J18">
        <f t="shared" si="0"/>
        <v>2025</v>
      </c>
    </row>
    <row r="19" spans="9:10" x14ac:dyDescent="0.2">
      <c r="I19">
        <v>11</v>
      </c>
      <c r="J19">
        <f t="shared" si="0"/>
        <v>2026</v>
      </c>
    </row>
    <row r="20" spans="9:10" x14ac:dyDescent="0.2">
      <c r="I20">
        <v>12</v>
      </c>
      <c r="J20">
        <f t="shared" si="0"/>
        <v>2027</v>
      </c>
    </row>
    <row r="21" spans="9:10" x14ac:dyDescent="0.2">
      <c r="I21">
        <v>13</v>
      </c>
      <c r="J21">
        <f t="shared" si="0"/>
        <v>2028</v>
      </c>
    </row>
    <row r="22" spans="9:10" x14ac:dyDescent="0.2">
      <c r="I22">
        <v>14</v>
      </c>
      <c r="J22">
        <f t="shared" si="0"/>
        <v>2029</v>
      </c>
    </row>
    <row r="23" spans="9:10" x14ac:dyDescent="0.2">
      <c r="I23">
        <v>15</v>
      </c>
      <c r="J23">
        <f t="shared" si="0"/>
        <v>2030</v>
      </c>
    </row>
    <row r="24" spans="9:10" x14ac:dyDescent="0.2">
      <c r="I24">
        <v>16</v>
      </c>
      <c r="J24">
        <f t="shared" si="0"/>
        <v>2031</v>
      </c>
    </row>
    <row r="25" spans="9:10" x14ac:dyDescent="0.2">
      <c r="I25">
        <v>17</v>
      </c>
      <c r="J25">
        <f t="shared" si="0"/>
        <v>2032</v>
      </c>
    </row>
    <row r="26" spans="9:10" x14ac:dyDescent="0.2">
      <c r="I26">
        <v>18</v>
      </c>
      <c r="J26">
        <f t="shared" si="0"/>
        <v>2033</v>
      </c>
    </row>
    <row r="27" spans="9:10" x14ac:dyDescent="0.2">
      <c r="I27">
        <v>19</v>
      </c>
      <c r="J27">
        <f t="shared" si="0"/>
        <v>2034</v>
      </c>
    </row>
    <row r="28" spans="9:10" x14ac:dyDescent="0.2">
      <c r="I28" s="73">
        <v>20</v>
      </c>
      <c r="J28" s="73">
        <f t="shared" si="0"/>
        <v>2035</v>
      </c>
    </row>
    <row r="29" spans="9:10" x14ac:dyDescent="0.2">
      <c r="I29">
        <v>21</v>
      </c>
      <c r="J29">
        <f t="shared" si="0"/>
        <v>2036</v>
      </c>
    </row>
    <row r="30" spans="9:10" x14ac:dyDescent="0.2">
      <c r="I30">
        <v>22</v>
      </c>
      <c r="J30">
        <f t="shared" si="0"/>
        <v>2037</v>
      </c>
    </row>
    <row r="31" spans="9:10" x14ac:dyDescent="0.2">
      <c r="I31">
        <v>23</v>
      </c>
      <c r="J31">
        <f t="shared" si="0"/>
        <v>2038</v>
      </c>
    </row>
    <row r="32" spans="9:10" x14ac:dyDescent="0.2">
      <c r="I32">
        <v>24</v>
      </c>
      <c r="J32">
        <f t="shared" si="0"/>
        <v>2039</v>
      </c>
    </row>
    <row r="33" spans="9:10" x14ac:dyDescent="0.2">
      <c r="I33">
        <v>25</v>
      </c>
      <c r="J33">
        <f t="shared" si="0"/>
        <v>2040</v>
      </c>
    </row>
    <row r="34" spans="9:10" x14ac:dyDescent="0.2">
      <c r="I34">
        <v>26</v>
      </c>
      <c r="J34">
        <f t="shared" si="0"/>
        <v>2041</v>
      </c>
    </row>
    <row r="35" spans="9:10" x14ac:dyDescent="0.2">
      <c r="I35">
        <v>27</v>
      </c>
      <c r="J35">
        <f t="shared" si="0"/>
        <v>2042</v>
      </c>
    </row>
    <row r="36" spans="9:10" x14ac:dyDescent="0.2">
      <c r="I36">
        <v>28</v>
      </c>
      <c r="J36">
        <f t="shared" si="0"/>
        <v>2043</v>
      </c>
    </row>
    <row r="37" spans="9:10" x14ac:dyDescent="0.2">
      <c r="I37">
        <v>29</v>
      </c>
      <c r="J37">
        <f t="shared" si="0"/>
        <v>2044</v>
      </c>
    </row>
    <row r="38" spans="9:10" x14ac:dyDescent="0.2">
      <c r="I38">
        <v>30</v>
      </c>
      <c r="J38">
        <f t="shared" si="0"/>
        <v>2045</v>
      </c>
    </row>
    <row r="39" spans="9:10" x14ac:dyDescent="0.2">
      <c r="I39">
        <v>31</v>
      </c>
      <c r="J39">
        <f t="shared" si="0"/>
        <v>2046</v>
      </c>
    </row>
    <row r="40" spans="9:10" x14ac:dyDescent="0.2">
      <c r="I40">
        <v>32</v>
      </c>
      <c r="J40">
        <f t="shared" si="0"/>
        <v>2047</v>
      </c>
    </row>
    <row r="41" spans="9:10" x14ac:dyDescent="0.2">
      <c r="I41">
        <v>33</v>
      </c>
      <c r="J41">
        <f t="shared" si="0"/>
        <v>2048</v>
      </c>
    </row>
    <row r="42" spans="9:10" x14ac:dyDescent="0.2">
      <c r="I42">
        <v>34</v>
      </c>
      <c r="J42">
        <f t="shared" si="0"/>
        <v>2049</v>
      </c>
    </row>
    <row r="43" spans="9:10" x14ac:dyDescent="0.2">
      <c r="I43">
        <v>35</v>
      </c>
      <c r="J43">
        <f t="shared" si="0"/>
        <v>2050</v>
      </c>
    </row>
    <row r="44" spans="9:10" x14ac:dyDescent="0.2">
      <c r="I44">
        <v>36</v>
      </c>
      <c r="J44">
        <f t="shared" si="0"/>
        <v>2051</v>
      </c>
    </row>
    <row r="45" spans="9:10" x14ac:dyDescent="0.2">
      <c r="I45">
        <v>37</v>
      </c>
      <c r="J45">
        <f t="shared" si="0"/>
        <v>2052</v>
      </c>
    </row>
    <row r="46" spans="9:10" x14ac:dyDescent="0.2">
      <c r="I46">
        <v>38</v>
      </c>
      <c r="J46">
        <f t="shared" si="0"/>
        <v>2053</v>
      </c>
    </row>
    <row r="47" spans="9:10" x14ac:dyDescent="0.2">
      <c r="I47">
        <v>39</v>
      </c>
      <c r="J47">
        <f t="shared" si="0"/>
        <v>2054</v>
      </c>
    </row>
    <row r="48" spans="9:10" x14ac:dyDescent="0.2">
      <c r="I48">
        <v>40</v>
      </c>
      <c r="J48">
        <f t="shared" si="0"/>
        <v>2055</v>
      </c>
    </row>
    <row r="49" spans="9:10" x14ac:dyDescent="0.2">
      <c r="I49">
        <v>41</v>
      </c>
      <c r="J49">
        <f t="shared" si="0"/>
        <v>2056</v>
      </c>
    </row>
    <row r="50" spans="9:10" x14ac:dyDescent="0.2">
      <c r="I50">
        <v>42</v>
      </c>
      <c r="J50">
        <f t="shared" si="0"/>
        <v>2057</v>
      </c>
    </row>
    <row r="51" spans="9:10" x14ac:dyDescent="0.2">
      <c r="I51">
        <v>43</v>
      </c>
      <c r="J51">
        <f t="shared" si="0"/>
        <v>2058</v>
      </c>
    </row>
    <row r="52" spans="9:10" x14ac:dyDescent="0.2">
      <c r="I52">
        <v>44</v>
      </c>
      <c r="J52">
        <f t="shared" si="0"/>
        <v>2059</v>
      </c>
    </row>
    <row r="53" spans="9:10" x14ac:dyDescent="0.2">
      <c r="I53">
        <v>45</v>
      </c>
      <c r="J53">
        <f t="shared" si="0"/>
        <v>2060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main</vt:lpstr>
      <vt:lpstr>yaml</vt:lpstr>
      <vt:lpstr>Sheet1</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2025-10-30T16:51:47Z</dcterms:created>
  <dcterms:modified xsi:type="dcterms:W3CDTF">2026-04-24T19:22:13Z</dcterms:modified>
</cp:coreProperties>
</file>