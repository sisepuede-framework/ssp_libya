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fabianfuentes/git/ssp_libya/ssp_modeling/input_data/reference/"/>
    </mc:Choice>
  </mc:AlternateContent>
  <xr:revisionPtr revIDLastSave="0" documentId="13_ncr:1_{5313CD7F-2899-2F4E-9928-8A3D165677B6}" xr6:coauthVersionLast="47" xr6:coauthVersionMax="47" xr10:uidLastSave="{00000000-0000-0000-0000-000000000000}"/>
  <bookViews>
    <workbookView xWindow="-51200" yWindow="-7160" windowWidth="25600" windowHeight="28200" tabRatio="500" activeTab="4" xr2:uid="{00000000-000D-0000-FFFF-FFFF00000000}"/>
  </bookViews>
  <sheets>
    <sheet name="README" sheetId="1" r:id="rId1"/>
    <sheet name="Inputs" sheetId="2" r:id="rId2"/>
    <sheet name="Demand" sheetId="3" r:id="rId3"/>
    <sheet name="Supply" sheetId="4" r:id="rId4"/>
    <sheet name="Energy" sheetId="5" r:id="rId5"/>
    <sheet name="Summar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5" l="1"/>
  <c r="AH13" i="5"/>
  <c r="C21" i="6" s="1"/>
  <c r="AG13" i="5"/>
  <c r="AF13" i="5"/>
  <c r="AE13" i="5"/>
  <c r="AD13" i="5"/>
  <c r="AC13" i="5"/>
  <c r="AB13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AH6" i="5"/>
  <c r="AG6" i="5"/>
  <c r="AF6" i="5"/>
  <c r="AF10" i="5" s="1"/>
  <c r="L150" i="6" s="1"/>
  <c r="AE6" i="5"/>
  <c r="AE10" i="5" s="1"/>
  <c r="L149" i="6" s="1"/>
  <c r="AD6" i="5"/>
  <c r="AC6" i="5"/>
  <c r="AB6" i="5"/>
  <c r="AA6" i="5"/>
  <c r="Z6" i="5"/>
  <c r="Y6" i="5"/>
  <c r="X6" i="5"/>
  <c r="X10" i="5" s="1"/>
  <c r="L142" i="6" s="1"/>
  <c r="W6" i="5"/>
  <c r="W10" i="5" s="1"/>
  <c r="L141" i="6" s="1"/>
  <c r="V6" i="5"/>
  <c r="U6" i="5"/>
  <c r="T6" i="5"/>
  <c r="S6" i="5"/>
  <c r="R6" i="5"/>
  <c r="Q6" i="5"/>
  <c r="P6" i="5"/>
  <c r="P10" i="5" s="1"/>
  <c r="L134" i="6" s="1"/>
  <c r="O6" i="5"/>
  <c r="O10" i="5" s="1"/>
  <c r="L133" i="6" s="1"/>
  <c r="N6" i="5"/>
  <c r="N10" i="5" s="1"/>
  <c r="L132" i="6" s="1"/>
  <c r="M6" i="5"/>
  <c r="L6" i="5"/>
  <c r="K6" i="5"/>
  <c r="J6" i="5"/>
  <c r="I6" i="5"/>
  <c r="H6" i="5"/>
  <c r="H10" i="5" s="1"/>
  <c r="L126" i="6" s="1"/>
  <c r="G6" i="5"/>
  <c r="G10" i="5" s="1"/>
  <c r="L125" i="6" s="1"/>
  <c r="F6" i="5"/>
  <c r="E6" i="5"/>
  <c r="D6" i="5"/>
  <c r="AH5" i="5"/>
  <c r="AG5" i="5"/>
  <c r="AF5" i="5"/>
  <c r="AE5" i="5"/>
  <c r="AE9" i="5" s="1"/>
  <c r="AD5" i="5"/>
  <c r="AD9" i="5" s="1"/>
  <c r="K148" i="6" s="1"/>
  <c r="AC5" i="5"/>
  <c r="AB5" i="5"/>
  <c r="AA5" i="5"/>
  <c r="Z5" i="5"/>
  <c r="Y5" i="5"/>
  <c r="X5" i="5"/>
  <c r="W5" i="5"/>
  <c r="W9" i="5" s="1"/>
  <c r="V5" i="5"/>
  <c r="V9" i="5" s="1"/>
  <c r="K140" i="6" s="1"/>
  <c r="U5" i="5"/>
  <c r="T5" i="5"/>
  <c r="S5" i="5"/>
  <c r="R5" i="5"/>
  <c r="Q5" i="5"/>
  <c r="P5" i="5"/>
  <c r="O5" i="5"/>
  <c r="O9" i="5" s="1"/>
  <c r="N5" i="5"/>
  <c r="N9" i="5" s="1"/>
  <c r="K132" i="6" s="1"/>
  <c r="M5" i="5"/>
  <c r="L5" i="5"/>
  <c r="K5" i="5"/>
  <c r="J5" i="5"/>
  <c r="I5" i="5"/>
  <c r="H5" i="5"/>
  <c r="G5" i="5"/>
  <c r="G9" i="5" s="1"/>
  <c r="F5" i="5"/>
  <c r="F9" i="5" s="1"/>
  <c r="E5" i="5"/>
  <c r="D5" i="5"/>
  <c r="AG14" i="4"/>
  <c r="L13" i="4"/>
  <c r="AE12" i="4"/>
  <c r="K12" i="4"/>
  <c r="AE10" i="4"/>
  <c r="AD10" i="4"/>
  <c r="W10" i="4"/>
  <c r="V10" i="4"/>
  <c r="S10" i="4"/>
  <c r="R10" i="4"/>
  <c r="O10" i="4"/>
  <c r="N10" i="4"/>
  <c r="L10" i="4"/>
  <c r="G10" i="4"/>
  <c r="F10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D10" i="4" s="1"/>
  <c r="AH8" i="4"/>
  <c r="AG8" i="4"/>
  <c r="AF8" i="4"/>
  <c r="AE8" i="4"/>
  <c r="AD8" i="4"/>
  <c r="AC8" i="4"/>
  <c r="AB8" i="4"/>
  <c r="AB10" i="4" s="1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AA6" i="4"/>
  <c r="W6" i="4"/>
  <c r="I6" i="4"/>
  <c r="AH17" i="3"/>
  <c r="F232" i="6" s="1"/>
  <c r="AG17" i="3"/>
  <c r="F231" i="6" s="1"/>
  <c r="AF17" i="3"/>
  <c r="AF6" i="4" s="1"/>
  <c r="AE17" i="3"/>
  <c r="F229" i="6" s="1"/>
  <c r="AD17" i="3"/>
  <c r="Y17" i="3"/>
  <c r="X17" i="3"/>
  <c r="U17" i="3"/>
  <c r="P17" i="3"/>
  <c r="F214" i="6" s="1"/>
  <c r="O17" i="3"/>
  <c r="M17" i="3"/>
  <c r="L17" i="3"/>
  <c r="G17" i="3"/>
  <c r="D17" i="3"/>
  <c r="AH16" i="3"/>
  <c r="AG16" i="3"/>
  <c r="AF16" i="3"/>
  <c r="AE16" i="3"/>
  <c r="AD16" i="3"/>
  <c r="AC16" i="3"/>
  <c r="AC17" i="3" s="1"/>
  <c r="AB16" i="3"/>
  <c r="AB17" i="3" s="1"/>
  <c r="AA16" i="3"/>
  <c r="AA17" i="3" s="1"/>
  <c r="F225" i="6" s="1"/>
  <c r="Z16" i="3"/>
  <c r="Z17" i="3" s="1"/>
  <c r="Y16" i="3"/>
  <c r="X16" i="3"/>
  <c r="W16" i="3"/>
  <c r="W17" i="3" s="1"/>
  <c r="F221" i="6" s="1"/>
  <c r="V16" i="3"/>
  <c r="V17" i="3" s="1"/>
  <c r="U16" i="3"/>
  <c r="T16" i="3"/>
  <c r="T17" i="3" s="1"/>
  <c r="S16" i="3"/>
  <c r="S17" i="3" s="1"/>
  <c r="F217" i="6" s="1"/>
  <c r="R16" i="3"/>
  <c r="R17" i="3" s="1"/>
  <c r="Q16" i="3"/>
  <c r="Q17" i="3" s="1"/>
  <c r="F215" i="6" s="1"/>
  <c r="P16" i="3"/>
  <c r="O16" i="3"/>
  <c r="N16" i="3"/>
  <c r="N17" i="3" s="1"/>
  <c r="M16" i="3"/>
  <c r="L16" i="3"/>
  <c r="K16" i="3"/>
  <c r="K17" i="3" s="1"/>
  <c r="J16" i="3"/>
  <c r="J17" i="3" s="1"/>
  <c r="I16" i="3"/>
  <c r="I17" i="3" s="1"/>
  <c r="F207" i="6" s="1"/>
  <c r="H16" i="3"/>
  <c r="H17" i="3" s="1"/>
  <c r="G16" i="3"/>
  <c r="F16" i="3"/>
  <c r="F17" i="3" s="1"/>
  <c r="E16" i="3"/>
  <c r="E17" i="3" s="1"/>
  <c r="D16" i="3"/>
  <c r="AG15" i="3"/>
  <c r="E231" i="6" s="1"/>
  <c r="AB15" i="3"/>
  <c r="AB14" i="4" s="1"/>
  <c r="Z15" i="3"/>
  <c r="Y15" i="3"/>
  <c r="Q15" i="3"/>
  <c r="E215" i="6" s="1"/>
  <c r="L15" i="3"/>
  <c r="L14" i="4" s="1"/>
  <c r="J15" i="3"/>
  <c r="I15" i="3"/>
  <c r="E207" i="6" s="1"/>
  <c r="AA14" i="3"/>
  <c r="AE13" i="3"/>
  <c r="AE15" i="4" s="1"/>
  <c r="AA13" i="3"/>
  <c r="Z13" i="3"/>
  <c r="X13" i="3"/>
  <c r="C37" i="6" s="1"/>
  <c r="W13" i="3"/>
  <c r="S13" i="3"/>
  <c r="O13" i="3"/>
  <c r="K13" i="3"/>
  <c r="J13" i="3"/>
  <c r="H13" i="3"/>
  <c r="G13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AH9" i="3"/>
  <c r="AG9" i="3"/>
  <c r="AF9" i="3"/>
  <c r="AF13" i="3" s="1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P13" i="3" s="1"/>
  <c r="C73" i="6" s="1"/>
  <c r="O9" i="3"/>
  <c r="N9" i="3"/>
  <c r="M9" i="3"/>
  <c r="L9" i="3"/>
  <c r="K9" i="3"/>
  <c r="J9" i="3"/>
  <c r="I9" i="3"/>
  <c r="H9" i="3"/>
  <c r="G9" i="3"/>
  <c r="F9" i="3"/>
  <c r="E9" i="3"/>
  <c r="D9" i="3"/>
  <c r="AE7" i="3"/>
  <c r="AE14" i="3" s="1"/>
  <c r="AD7" i="3"/>
  <c r="AD14" i="3" s="1"/>
  <c r="AB7" i="3"/>
  <c r="AB14" i="3" s="1"/>
  <c r="W7" i="3"/>
  <c r="W14" i="3" s="1"/>
  <c r="W13" i="4" s="1"/>
  <c r="T7" i="3"/>
  <c r="T14" i="3" s="1"/>
  <c r="O7" i="3"/>
  <c r="O14" i="3" s="1"/>
  <c r="N7" i="3"/>
  <c r="N14" i="3" s="1"/>
  <c r="L7" i="3"/>
  <c r="L14" i="3" s="1"/>
  <c r="G7" i="3"/>
  <c r="G14" i="3" s="1"/>
  <c r="G13" i="4" s="1"/>
  <c r="D7" i="3"/>
  <c r="D14" i="3" s="1"/>
  <c r="AH6" i="3"/>
  <c r="AG6" i="3"/>
  <c r="AF6" i="3"/>
  <c r="AE6" i="3"/>
  <c r="AD6" i="3"/>
  <c r="AC6" i="3"/>
  <c r="AB6" i="3"/>
  <c r="AA6" i="3"/>
  <c r="AA7" i="3" s="1"/>
  <c r="Z6" i="3"/>
  <c r="Y6" i="3"/>
  <c r="X6" i="3"/>
  <c r="W6" i="3"/>
  <c r="V6" i="3"/>
  <c r="V7" i="3" s="1"/>
  <c r="V14" i="3" s="1"/>
  <c r="U6" i="3"/>
  <c r="T6" i="3"/>
  <c r="S6" i="3"/>
  <c r="S7" i="3" s="1"/>
  <c r="S14" i="3" s="1"/>
  <c r="R6" i="3"/>
  <c r="Q6" i="3"/>
  <c r="P6" i="3"/>
  <c r="O6" i="3"/>
  <c r="N6" i="3"/>
  <c r="M6" i="3"/>
  <c r="L6" i="3"/>
  <c r="K6" i="3"/>
  <c r="K7" i="3" s="1"/>
  <c r="K14" i="3" s="1"/>
  <c r="J6" i="3"/>
  <c r="I6" i="3"/>
  <c r="H6" i="3"/>
  <c r="G6" i="3"/>
  <c r="F6" i="3"/>
  <c r="F7" i="3" s="1"/>
  <c r="F14" i="3" s="1"/>
  <c r="E6" i="3"/>
  <c r="D6" i="3"/>
  <c r="AH5" i="3"/>
  <c r="AH7" i="3" s="1"/>
  <c r="AH14" i="3" s="1"/>
  <c r="AH13" i="4" s="1"/>
  <c r="AG5" i="3"/>
  <c r="AF5" i="3"/>
  <c r="AF15" i="3" s="1"/>
  <c r="AF14" i="4" s="1"/>
  <c r="AE5" i="3"/>
  <c r="AE15" i="3" s="1"/>
  <c r="AD5" i="3"/>
  <c r="AD13" i="3" s="1"/>
  <c r="AC5" i="3"/>
  <c r="AC15" i="3" s="1"/>
  <c r="AB5" i="3"/>
  <c r="AB13" i="3" s="1"/>
  <c r="AA5" i="3"/>
  <c r="AA15" i="3" s="1"/>
  <c r="Z5" i="3"/>
  <c r="Z7" i="3" s="1"/>
  <c r="Z14" i="3" s="1"/>
  <c r="Z13" i="4" s="1"/>
  <c r="Y5" i="3"/>
  <c r="X5" i="3"/>
  <c r="X15" i="3" s="1"/>
  <c r="X14" i="4" s="1"/>
  <c r="W5" i="3"/>
  <c r="W15" i="3" s="1"/>
  <c r="V5" i="3"/>
  <c r="V13" i="3" s="1"/>
  <c r="U5" i="3"/>
  <c r="T5" i="3"/>
  <c r="T13" i="3" s="1"/>
  <c r="S5" i="3"/>
  <c r="S15" i="3" s="1"/>
  <c r="R5" i="3"/>
  <c r="R7" i="3" s="1"/>
  <c r="R14" i="3" s="1"/>
  <c r="R13" i="4" s="1"/>
  <c r="Q5" i="3"/>
  <c r="P5" i="3"/>
  <c r="P15" i="3" s="1"/>
  <c r="P14" i="4" s="1"/>
  <c r="O5" i="3"/>
  <c r="O15" i="3" s="1"/>
  <c r="N5" i="3"/>
  <c r="N13" i="3" s="1"/>
  <c r="M5" i="3"/>
  <c r="M15" i="3" s="1"/>
  <c r="E211" i="6" s="1"/>
  <c r="L5" i="3"/>
  <c r="L13" i="3" s="1"/>
  <c r="K5" i="3"/>
  <c r="K15" i="3" s="1"/>
  <c r="J5" i="3"/>
  <c r="J7" i="3" s="1"/>
  <c r="J14" i="3" s="1"/>
  <c r="J13" i="4" s="1"/>
  <c r="I5" i="3"/>
  <c r="H5" i="3"/>
  <c r="H15" i="3" s="1"/>
  <c r="H14" i="4" s="1"/>
  <c r="G5" i="3"/>
  <c r="G15" i="3" s="1"/>
  <c r="F5" i="3"/>
  <c r="F13" i="3" s="1"/>
  <c r="E5" i="3"/>
  <c r="D5" i="3"/>
  <c r="D13" i="3" s="1"/>
  <c r="D232" i="6"/>
  <c r="F230" i="6"/>
  <c r="E230" i="6"/>
  <c r="E226" i="6"/>
  <c r="C225" i="6"/>
  <c r="D221" i="6"/>
  <c r="C217" i="6"/>
  <c r="E210" i="6"/>
  <c r="C209" i="6"/>
  <c r="D205" i="6"/>
  <c r="D152" i="6"/>
  <c r="C151" i="6"/>
  <c r="D150" i="6"/>
  <c r="D149" i="6"/>
  <c r="C149" i="6"/>
  <c r="D148" i="6"/>
  <c r="C148" i="6"/>
  <c r="D147" i="6"/>
  <c r="C147" i="6"/>
  <c r="D146" i="6"/>
  <c r="C146" i="6"/>
  <c r="D145" i="6"/>
  <c r="D144" i="6"/>
  <c r="C144" i="6"/>
  <c r="C143" i="6"/>
  <c r="D142" i="6"/>
  <c r="C142" i="6"/>
  <c r="D141" i="6"/>
  <c r="C141" i="6"/>
  <c r="D140" i="6"/>
  <c r="C140" i="6"/>
  <c r="D139" i="6"/>
  <c r="C139" i="6"/>
  <c r="D138" i="6"/>
  <c r="C138" i="6"/>
  <c r="D137" i="6"/>
  <c r="D136" i="6"/>
  <c r="C136" i="6"/>
  <c r="D135" i="6"/>
  <c r="C135" i="6"/>
  <c r="D134" i="6"/>
  <c r="C134" i="6"/>
  <c r="D133" i="6"/>
  <c r="C133" i="6"/>
  <c r="D132" i="6"/>
  <c r="C132" i="6"/>
  <c r="D131" i="6"/>
  <c r="C131" i="6"/>
  <c r="D130" i="6"/>
  <c r="C130" i="6"/>
  <c r="D129" i="6"/>
  <c r="D128" i="6"/>
  <c r="C128" i="6"/>
  <c r="D127" i="6"/>
  <c r="C127" i="6"/>
  <c r="D126" i="6"/>
  <c r="C126" i="6"/>
  <c r="D125" i="6"/>
  <c r="C125" i="6"/>
  <c r="K124" i="6"/>
  <c r="D124" i="6"/>
  <c r="C124" i="6"/>
  <c r="D123" i="6"/>
  <c r="C123" i="6"/>
  <c r="C122" i="6"/>
  <c r="F90" i="6"/>
  <c r="E90" i="6"/>
  <c r="F89" i="6"/>
  <c r="C89" i="6"/>
  <c r="F88" i="6"/>
  <c r="E88" i="6"/>
  <c r="C87" i="6"/>
  <c r="F86" i="6"/>
  <c r="E86" i="6"/>
  <c r="F85" i="6"/>
  <c r="E85" i="6"/>
  <c r="C85" i="6"/>
  <c r="F84" i="6"/>
  <c r="E84" i="6"/>
  <c r="C84" i="6"/>
  <c r="E83" i="6"/>
  <c r="F82" i="6"/>
  <c r="E82" i="6"/>
  <c r="F81" i="6"/>
  <c r="F80" i="6"/>
  <c r="E80" i="6"/>
  <c r="D80" i="6"/>
  <c r="C79" i="6"/>
  <c r="F78" i="6"/>
  <c r="F77" i="6"/>
  <c r="C77" i="6"/>
  <c r="F76" i="6"/>
  <c r="E76" i="6"/>
  <c r="C76" i="6"/>
  <c r="F74" i="6"/>
  <c r="E74" i="6"/>
  <c r="F73" i="6"/>
  <c r="F72" i="6"/>
  <c r="E72" i="6"/>
  <c r="C71" i="6"/>
  <c r="F70" i="6"/>
  <c r="E70" i="6"/>
  <c r="E69" i="6"/>
  <c r="C69" i="6"/>
  <c r="F68" i="6"/>
  <c r="E68" i="6"/>
  <c r="C68" i="6"/>
  <c r="E67" i="6"/>
  <c r="C67" i="6"/>
  <c r="F66" i="6"/>
  <c r="E66" i="6"/>
  <c r="C65" i="6"/>
  <c r="F64" i="6"/>
  <c r="E64" i="6"/>
  <c r="D64" i="6"/>
  <c r="C63" i="6"/>
  <c r="F62" i="6"/>
  <c r="F61" i="6"/>
  <c r="C61" i="6"/>
  <c r="F38" i="6"/>
  <c r="F37" i="6"/>
  <c r="F36" i="6"/>
  <c r="F35" i="6"/>
  <c r="C35" i="6"/>
  <c r="C24" i="6"/>
  <c r="B24" i="6"/>
  <c r="B21" i="6"/>
  <c r="C13" i="6"/>
  <c r="D13" i="6" s="1"/>
  <c r="B13" i="6"/>
  <c r="C12" i="6"/>
  <c r="D12" i="6" s="1"/>
  <c r="B12" i="6"/>
  <c r="C11" i="6"/>
  <c r="D11" i="6" s="1"/>
  <c r="B11" i="6"/>
  <c r="C9" i="6"/>
  <c r="B8" i="6"/>
  <c r="C5" i="6"/>
  <c r="D5" i="6" s="1"/>
  <c r="B5" i="6"/>
  <c r="C4" i="6"/>
  <c r="D4" i="6" s="1"/>
  <c r="B4" i="6"/>
  <c r="D24" i="6" l="1"/>
  <c r="AB10" i="5"/>
  <c r="L146" i="6" s="1"/>
  <c r="D21" i="6"/>
  <c r="L10" i="5"/>
  <c r="L130" i="6" s="1"/>
  <c r="T10" i="5"/>
  <c r="L138" i="6" s="1"/>
  <c r="E9" i="5"/>
  <c r="M9" i="5"/>
  <c r="K13" i="4"/>
  <c r="D68" i="6"/>
  <c r="D209" i="6"/>
  <c r="E65" i="6"/>
  <c r="E89" i="6"/>
  <c r="E214" i="6"/>
  <c r="E222" i="6"/>
  <c r="D226" i="6"/>
  <c r="AB13" i="4"/>
  <c r="D85" i="6"/>
  <c r="G19" i="3"/>
  <c r="G5" i="4" s="1"/>
  <c r="G15" i="4"/>
  <c r="C64" i="6"/>
  <c r="C205" i="6"/>
  <c r="Z12" i="4"/>
  <c r="C224" i="6"/>
  <c r="Z19" i="3"/>
  <c r="Z5" i="4" s="1"/>
  <c r="Z15" i="4"/>
  <c r="AA13" i="4"/>
  <c r="D84" i="6"/>
  <c r="D225" i="6"/>
  <c r="P12" i="4"/>
  <c r="C214" i="6"/>
  <c r="P15" i="4"/>
  <c r="AF12" i="4"/>
  <c r="C230" i="6"/>
  <c r="AF15" i="4"/>
  <c r="X12" i="4"/>
  <c r="X15" i="4"/>
  <c r="C222" i="6"/>
  <c r="D13" i="4"/>
  <c r="D202" i="6"/>
  <c r="B9" i="6"/>
  <c r="D9" i="6" s="1"/>
  <c r="D61" i="6"/>
  <c r="D35" i="6"/>
  <c r="AE13" i="4"/>
  <c r="D88" i="6"/>
  <c r="D229" i="6"/>
  <c r="J12" i="4"/>
  <c r="C208" i="6"/>
  <c r="J19" i="3"/>
  <c r="J5" i="4" s="1"/>
  <c r="J14" i="4"/>
  <c r="E208" i="6"/>
  <c r="L6" i="4"/>
  <c r="F210" i="6"/>
  <c r="F69" i="6"/>
  <c r="AE6" i="4"/>
  <c r="AE16" i="4" s="1"/>
  <c r="I14" i="4"/>
  <c r="E206" i="6"/>
  <c r="H12" i="4"/>
  <c r="H15" i="4"/>
  <c r="C206" i="6"/>
  <c r="AD6" i="4"/>
  <c r="F228" i="6"/>
  <c r="F87" i="6"/>
  <c r="D210" i="6"/>
  <c r="D69" i="6"/>
  <c r="F6" i="4"/>
  <c r="F204" i="6"/>
  <c r="F63" i="6"/>
  <c r="N6" i="4"/>
  <c r="F212" i="6"/>
  <c r="F71" i="6"/>
  <c r="V6" i="4"/>
  <c r="F220" i="6"/>
  <c r="F79" i="6"/>
  <c r="M6" i="4"/>
  <c r="F211" i="6"/>
  <c r="M14" i="4"/>
  <c r="S13" i="4"/>
  <c r="D76" i="6"/>
  <c r="D217" i="6"/>
  <c r="C81" i="6"/>
  <c r="E227" i="6"/>
  <c r="AC14" i="4"/>
  <c r="F13" i="4"/>
  <c r="D204" i="6"/>
  <c r="D63" i="6"/>
  <c r="V13" i="4"/>
  <c r="D220" i="6"/>
  <c r="D79" i="6"/>
  <c r="D36" i="6"/>
  <c r="N13" i="4"/>
  <c r="D212" i="6"/>
  <c r="D71" i="6"/>
  <c r="O6" i="4"/>
  <c r="F213" i="6"/>
  <c r="G12" i="4"/>
  <c r="E37" i="6"/>
  <c r="E73" i="6"/>
  <c r="C83" i="6"/>
  <c r="AD13" i="4"/>
  <c r="D228" i="6"/>
  <c r="D87" i="6"/>
  <c r="E81" i="6"/>
  <c r="F12" i="4"/>
  <c r="C204" i="6"/>
  <c r="F15" i="4"/>
  <c r="N12" i="4"/>
  <c r="C212" i="6"/>
  <c r="C36" i="6"/>
  <c r="V12" i="4"/>
  <c r="C220" i="6"/>
  <c r="V15" i="4"/>
  <c r="AD12" i="4"/>
  <c r="C228" i="6"/>
  <c r="AD15" i="4"/>
  <c r="O13" i="4"/>
  <c r="D72" i="6"/>
  <c r="D213" i="6"/>
  <c r="E223" i="6"/>
  <c r="Y14" i="4"/>
  <c r="F206" i="6"/>
  <c r="F65" i="6"/>
  <c r="H6" i="4"/>
  <c r="K11" i="5"/>
  <c r="K19" i="4"/>
  <c r="K20" i="4" s="1"/>
  <c r="K18" i="4"/>
  <c r="J15" i="4"/>
  <c r="G14" i="4"/>
  <c r="E205" i="6"/>
  <c r="E213" i="6"/>
  <c r="O14" i="4"/>
  <c r="W14" i="4"/>
  <c r="E221" i="6"/>
  <c r="E229" i="6"/>
  <c r="AE14" i="4"/>
  <c r="T13" i="4"/>
  <c r="D218" i="6"/>
  <c r="D77" i="6"/>
  <c r="W15" i="4"/>
  <c r="C80" i="6"/>
  <c r="W12" i="4"/>
  <c r="C221" i="6"/>
  <c r="W19" i="3"/>
  <c r="W5" i="4" s="1"/>
  <c r="W37" i="4" s="1"/>
  <c r="Z14" i="4"/>
  <c r="E224" i="6"/>
  <c r="N19" i="3"/>
  <c r="N5" i="4" s="1"/>
  <c r="N37" i="4" s="1"/>
  <c r="AE11" i="5"/>
  <c r="AE19" i="4"/>
  <c r="AE18" i="4"/>
  <c r="N15" i="4"/>
  <c r="AB12" i="5"/>
  <c r="H10" i="4"/>
  <c r="P10" i="4"/>
  <c r="X10" i="4"/>
  <c r="AF10" i="4"/>
  <c r="C150" i="6"/>
  <c r="D143" i="6"/>
  <c r="D151" i="6"/>
  <c r="I12" i="5"/>
  <c r="K149" i="6"/>
  <c r="Y12" i="5"/>
  <c r="AG12" i="5"/>
  <c r="D67" i="6"/>
  <c r="D75" i="6"/>
  <c r="D83" i="6"/>
  <c r="D91" i="6"/>
  <c r="D208" i="6"/>
  <c r="D216" i="6"/>
  <c r="D224" i="6"/>
  <c r="I7" i="3"/>
  <c r="I14" i="3" s="1"/>
  <c r="I13" i="3"/>
  <c r="Q7" i="3"/>
  <c r="Q14" i="3" s="1"/>
  <c r="Q13" i="3"/>
  <c r="Y7" i="3"/>
  <c r="Y14" i="3" s="1"/>
  <c r="Y13" i="3"/>
  <c r="AG7" i="3"/>
  <c r="AG14" i="3" s="1"/>
  <c r="AG13" i="3"/>
  <c r="K19" i="3"/>
  <c r="K5" i="4" s="1"/>
  <c r="K15" i="4"/>
  <c r="AA19" i="3"/>
  <c r="AA5" i="4" s="1"/>
  <c r="AA15" i="4"/>
  <c r="AG6" i="4"/>
  <c r="J36" i="4"/>
  <c r="J10" i="4"/>
  <c r="R9" i="5"/>
  <c r="Z36" i="4"/>
  <c r="C152" i="6"/>
  <c r="AH10" i="4"/>
  <c r="K37" i="4"/>
  <c r="S10" i="5"/>
  <c r="L137" i="6" s="1"/>
  <c r="AA37" i="4"/>
  <c r="O19" i="3"/>
  <c r="O5" i="4" s="1"/>
  <c r="O15" i="4"/>
  <c r="J6" i="4"/>
  <c r="F208" i="6"/>
  <c r="R6" i="4"/>
  <c r="F216" i="6"/>
  <c r="Z6" i="4"/>
  <c r="F224" i="6"/>
  <c r="U6" i="4"/>
  <c r="F219" i="6"/>
  <c r="AH6" i="4"/>
  <c r="K9" i="5"/>
  <c r="K36" i="4"/>
  <c r="K10" i="4"/>
  <c r="S9" i="5"/>
  <c r="AA9" i="5"/>
  <c r="AA36" i="4"/>
  <c r="C145" i="6"/>
  <c r="D10" i="5"/>
  <c r="O12" i="4"/>
  <c r="Q14" i="4"/>
  <c r="AH9" i="5"/>
  <c r="F67" i="6"/>
  <c r="F75" i="6"/>
  <c r="F83" i="6"/>
  <c r="F91" i="6"/>
  <c r="K125" i="6"/>
  <c r="C129" i="6"/>
  <c r="K133" i="6"/>
  <c r="C137" i="6"/>
  <c r="K141" i="6"/>
  <c r="C213" i="6"/>
  <c r="C229" i="6"/>
  <c r="K14" i="4"/>
  <c r="E209" i="6"/>
  <c r="S14" i="4"/>
  <c r="E217" i="6"/>
  <c r="AA14" i="4"/>
  <c r="AA12" i="5" s="1"/>
  <c r="E225" i="6"/>
  <c r="R15" i="3"/>
  <c r="AH15" i="3"/>
  <c r="K6" i="4"/>
  <c r="F209" i="6"/>
  <c r="D6" i="4"/>
  <c r="F202" i="6"/>
  <c r="P6" i="4"/>
  <c r="Z10" i="4"/>
  <c r="B6" i="6"/>
  <c r="C72" i="6"/>
  <c r="C88" i="6"/>
  <c r="D15" i="4"/>
  <c r="C202" i="6"/>
  <c r="D12" i="4"/>
  <c r="L19" i="3"/>
  <c r="L5" i="4" s="1"/>
  <c r="L36" i="4" s="1"/>
  <c r="L15" i="4"/>
  <c r="C210" i="6"/>
  <c r="L12" i="4"/>
  <c r="T19" i="3"/>
  <c r="T5" i="4" s="1"/>
  <c r="T15" i="4"/>
  <c r="C218" i="6"/>
  <c r="T12" i="4"/>
  <c r="AB19" i="3"/>
  <c r="AB5" i="4" s="1"/>
  <c r="AB15" i="4"/>
  <c r="C226" i="6"/>
  <c r="AB12" i="4"/>
  <c r="R13" i="3"/>
  <c r="AH13" i="3"/>
  <c r="D15" i="3"/>
  <c r="T15" i="3"/>
  <c r="T6" i="4"/>
  <c r="F218" i="6"/>
  <c r="AB6" i="4"/>
  <c r="F226" i="6"/>
  <c r="X6" i="4"/>
  <c r="F222" i="6"/>
  <c r="AE19" i="3"/>
  <c r="AE5" i="4" s="1"/>
  <c r="AE37" i="4" s="1"/>
  <c r="Q6" i="4"/>
  <c r="AA10" i="4"/>
  <c r="AA12" i="4"/>
  <c r="C6" i="6"/>
  <c r="D6" i="6" s="1"/>
  <c r="D38" i="6"/>
  <c r="D122" i="6"/>
  <c r="E13" i="3"/>
  <c r="E7" i="3"/>
  <c r="E14" i="3" s="1"/>
  <c r="M13" i="3"/>
  <c r="M7" i="3"/>
  <c r="M14" i="3" s="1"/>
  <c r="U13" i="3"/>
  <c r="U7" i="3"/>
  <c r="U14" i="3" s="1"/>
  <c r="AC13" i="3"/>
  <c r="AC7" i="3"/>
  <c r="AC14" i="3" s="1"/>
  <c r="S19" i="3"/>
  <c r="S5" i="4" s="1"/>
  <c r="S37" i="4" s="1"/>
  <c r="S15" i="4"/>
  <c r="S12" i="4"/>
  <c r="E15" i="3"/>
  <c r="U15" i="3"/>
  <c r="E6" i="4"/>
  <c r="F203" i="6"/>
  <c r="AC6" i="4"/>
  <c r="F227" i="6"/>
  <c r="F205" i="6"/>
  <c r="G6" i="4"/>
  <c r="Y6" i="4"/>
  <c r="F223" i="6"/>
  <c r="S6" i="4"/>
  <c r="I9" i="5"/>
  <c r="I10" i="4"/>
  <c r="Q10" i="4"/>
  <c r="Q9" i="5"/>
  <c r="Y9" i="5"/>
  <c r="Y10" i="4"/>
  <c r="AG10" i="4"/>
  <c r="J37" i="4"/>
  <c r="J10" i="5"/>
  <c r="L128" i="6" s="1"/>
  <c r="R10" i="5"/>
  <c r="L136" i="6" s="1"/>
  <c r="Z37" i="4"/>
  <c r="Z10" i="5"/>
  <c r="L144" i="6" s="1"/>
  <c r="AH10" i="5"/>
  <c r="AG9" i="5"/>
  <c r="H7" i="3"/>
  <c r="H14" i="3" s="1"/>
  <c r="P7" i="3"/>
  <c r="P14" i="3" s="1"/>
  <c r="X7" i="3"/>
  <c r="X14" i="3" s="1"/>
  <c r="AF7" i="3"/>
  <c r="AF14" i="3" s="1"/>
  <c r="F15" i="3"/>
  <c r="N15" i="3"/>
  <c r="V15" i="3"/>
  <c r="AD15" i="3"/>
  <c r="AD19" i="3" s="1"/>
  <c r="AD5" i="4" s="1"/>
  <c r="T36" i="4"/>
  <c r="T10" i="4"/>
  <c r="U10" i="4"/>
  <c r="AC10" i="4"/>
  <c r="G37" i="4"/>
  <c r="H11" i="5"/>
  <c r="H12" i="5"/>
  <c r="P11" i="5"/>
  <c r="P12" i="5"/>
  <c r="X11" i="5"/>
  <c r="X12" i="5"/>
  <c r="AF11" i="5"/>
  <c r="AF12" i="5"/>
  <c r="E10" i="4"/>
  <c r="M10" i="4"/>
  <c r="S12" i="5"/>
  <c r="J9" i="5"/>
  <c r="Z9" i="5"/>
  <c r="K10" i="5"/>
  <c r="L129" i="6" s="1"/>
  <c r="AA10" i="5"/>
  <c r="L145" i="6" s="1"/>
  <c r="L11" i="5"/>
  <c r="AB11" i="5"/>
  <c r="U9" i="5"/>
  <c r="F10" i="5"/>
  <c r="V10" i="5"/>
  <c r="L140" i="6" s="1"/>
  <c r="AD10" i="5"/>
  <c r="O37" i="4"/>
  <c r="G36" i="4"/>
  <c r="O36" i="4"/>
  <c r="W36" i="4"/>
  <c r="T37" i="4"/>
  <c r="G12" i="5"/>
  <c r="O12" i="5"/>
  <c r="AE12" i="5"/>
  <c r="AC9" i="5"/>
  <c r="H9" i="5"/>
  <c r="P9" i="5"/>
  <c r="X9" i="5"/>
  <c r="AF9" i="5"/>
  <c r="I10" i="5"/>
  <c r="L127" i="6" s="1"/>
  <c r="Q10" i="5"/>
  <c r="L135" i="6" s="1"/>
  <c r="Y10" i="5"/>
  <c r="L143" i="6" s="1"/>
  <c r="AG10" i="5"/>
  <c r="L151" i="6" s="1"/>
  <c r="J11" i="5"/>
  <c r="J12" i="5"/>
  <c r="Z11" i="5"/>
  <c r="Z12" i="5"/>
  <c r="L12" i="5"/>
  <c r="D9" i="5"/>
  <c r="L9" i="5"/>
  <c r="T9" i="5"/>
  <c r="AB9" i="5"/>
  <c r="E10" i="5"/>
  <c r="L123" i="6" s="1"/>
  <c r="M10" i="5"/>
  <c r="L131" i="6" s="1"/>
  <c r="U10" i="5"/>
  <c r="L139" i="6" s="1"/>
  <c r="AC10" i="5"/>
  <c r="L147" i="6" s="1"/>
  <c r="F11" i="5"/>
  <c r="N11" i="5"/>
  <c r="V11" i="5"/>
  <c r="AD11" i="5"/>
  <c r="L124" i="6" l="1"/>
  <c r="K131" i="6"/>
  <c r="L148" i="6"/>
  <c r="K123" i="6"/>
  <c r="AD37" i="4"/>
  <c r="AD36" i="4"/>
  <c r="AE17" i="4"/>
  <c r="AE34" i="4" s="1"/>
  <c r="F149" i="6" s="1"/>
  <c r="M13" i="4"/>
  <c r="D70" i="6"/>
  <c r="D211" i="6"/>
  <c r="L122" i="6"/>
  <c r="B18" i="6"/>
  <c r="F18" i="4"/>
  <c r="F19" i="4"/>
  <c r="F20" i="4" s="1"/>
  <c r="AC12" i="5"/>
  <c r="AE22" i="4"/>
  <c r="AE21" i="4"/>
  <c r="AE23" i="4" s="1"/>
  <c r="X16" i="4"/>
  <c r="X17" i="4"/>
  <c r="Z18" i="4"/>
  <c r="M140" i="6"/>
  <c r="K138" i="6"/>
  <c r="M142" i="6"/>
  <c r="D206" i="6"/>
  <c r="D65" i="6"/>
  <c r="H13" i="4"/>
  <c r="M124" i="6"/>
  <c r="B17" i="6"/>
  <c r="K122" i="6"/>
  <c r="M144" i="6"/>
  <c r="AE36" i="4"/>
  <c r="M134" i="6"/>
  <c r="V14" i="4"/>
  <c r="E220" i="6"/>
  <c r="E79" i="6"/>
  <c r="L152" i="6"/>
  <c r="C18" i="6"/>
  <c r="D18" i="6" s="1"/>
  <c r="E14" i="4"/>
  <c r="E203" i="6"/>
  <c r="E62" i="6"/>
  <c r="T27" i="4"/>
  <c r="K16" i="4"/>
  <c r="I12" i="4"/>
  <c r="I15" i="4"/>
  <c r="I19" i="3"/>
  <c r="I5" i="4" s="1"/>
  <c r="C66" i="6"/>
  <c r="C207" i="6"/>
  <c r="K150" i="6"/>
  <c r="N36" i="4"/>
  <c r="K144" i="6"/>
  <c r="N14" i="4"/>
  <c r="E212" i="6"/>
  <c r="E71" i="6"/>
  <c r="E36" i="6"/>
  <c r="S18" i="4"/>
  <c r="S19" i="4"/>
  <c r="S20" i="4" s="1"/>
  <c r="S11" i="5"/>
  <c r="M15" i="4"/>
  <c r="M19" i="3"/>
  <c r="M5" i="4" s="1"/>
  <c r="C70" i="6"/>
  <c r="M12" i="4"/>
  <c r="C211" i="6"/>
  <c r="T14" i="4"/>
  <c r="E218" i="6"/>
  <c r="E77" i="6"/>
  <c r="T16" i="4"/>
  <c r="T17" i="4" s="1"/>
  <c r="D16" i="4"/>
  <c r="B27" i="6"/>
  <c r="B16" i="6"/>
  <c r="D27" i="4"/>
  <c r="I13" i="4"/>
  <c r="D66" i="6"/>
  <c r="D207" i="6"/>
  <c r="M149" i="6"/>
  <c r="W16" i="4"/>
  <c r="M129" i="6"/>
  <c r="O21" i="4"/>
  <c r="O22" i="4" s="1"/>
  <c r="V18" i="4"/>
  <c r="X18" i="4"/>
  <c r="P18" i="4"/>
  <c r="P19" i="4"/>
  <c r="P20" i="4" s="1"/>
  <c r="S16" i="4"/>
  <c r="K129" i="6"/>
  <c r="AG12" i="4"/>
  <c r="AG15" i="4"/>
  <c r="AG19" i="3"/>
  <c r="AG5" i="4" s="1"/>
  <c r="C90" i="6"/>
  <c r="C231" i="6"/>
  <c r="H27" i="4"/>
  <c r="AF16" i="4"/>
  <c r="AF17" i="4"/>
  <c r="M130" i="6"/>
  <c r="K142" i="6"/>
  <c r="K128" i="6"/>
  <c r="E13" i="4"/>
  <c r="D62" i="6"/>
  <c r="D203" i="6"/>
  <c r="D14" i="4"/>
  <c r="E202" i="6"/>
  <c r="E35" i="6"/>
  <c r="B10" i="6"/>
  <c r="E61" i="6"/>
  <c r="D19" i="3"/>
  <c r="K134" i="6"/>
  <c r="D230" i="6"/>
  <c r="D89" i="6"/>
  <c r="AF13" i="4"/>
  <c r="E15" i="4"/>
  <c r="E12" i="4"/>
  <c r="E19" i="3"/>
  <c r="E5" i="4" s="1"/>
  <c r="C62" i="6"/>
  <c r="C203" i="6"/>
  <c r="AH12" i="4"/>
  <c r="C232" i="6"/>
  <c r="AH15" i="4"/>
  <c r="C38" i="6"/>
  <c r="C8" i="6"/>
  <c r="D8" i="6" s="1"/>
  <c r="C91" i="6"/>
  <c r="AH19" i="3"/>
  <c r="AB19" i="4"/>
  <c r="AB18" i="4"/>
  <c r="L19" i="4"/>
  <c r="L20" i="4" s="1"/>
  <c r="L18" i="4"/>
  <c r="K152" i="6"/>
  <c r="C17" i="6"/>
  <c r="AG13" i="4"/>
  <c r="D90" i="6"/>
  <c r="D231" i="6"/>
  <c r="AD16" i="4"/>
  <c r="G11" i="5"/>
  <c r="G18" i="4"/>
  <c r="AD27" i="4"/>
  <c r="AF19" i="3"/>
  <c r="AF5" i="4" s="1"/>
  <c r="G17" i="4"/>
  <c r="G16" i="4"/>
  <c r="K139" i="6"/>
  <c r="M126" i="6"/>
  <c r="F14" i="4"/>
  <c r="E204" i="6"/>
  <c r="E63" i="6"/>
  <c r="M146" i="6"/>
  <c r="M150" i="6"/>
  <c r="AE27" i="4"/>
  <c r="M128" i="6"/>
  <c r="K126" i="6"/>
  <c r="D222" i="6"/>
  <c r="X13" i="4"/>
  <c r="D81" i="6"/>
  <c r="D37" i="6"/>
  <c r="K143" i="6"/>
  <c r="K127" i="6"/>
  <c r="AC13" i="4"/>
  <c r="D86" i="6"/>
  <c r="D227" i="6"/>
  <c r="X27" i="4"/>
  <c r="R12" i="4"/>
  <c r="C216" i="6"/>
  <c r="R15" i="4"/>
  <c r="R19" i="3"/>
  <c r="R5" i="4" s="1"/>
  <c r="C75" i="6"/>
  <c r="AH14" i="4"/>
  <c r="E232" i="6"/>
  <c r="C10" i="6"/>
  <c r="D10" i="6" s="1"/>
  <c r="E91" i="6"/>
  <c r="E38" i="6"/>
  <c r="K145" i="6"/>
  <c r="Y12" i="4"/>
  <c r="Y15" i="4"/>
  <c r="Y19" i="3"/>
  <c r="Y5" i="4" s="1"/>
  <c r="C82" i="6"/>
  <c r="C223" i="6"/>
  <c r="N18" i="4"/>
  <c r="N19" i="4" s="1"/>
  <c r="V21" i="4"/>
  <c r="H19" i="3"/>
  <c r="H5" i="4" s="1"/>
  <c r="M148" i="6"/>
  <c r="K146" i="6"/>
  <c r="K147" i="6"/>
  <c r="L37" i="4"/>
  <c r="D214" i="6"/>
  <c r="P13" i="4"/>
  <c r="D73" i="6"/>
  <c r="AC15" i="4"/>
  <c r="AC19" i="3"/>
  <c r="AC5" i="4" s="1"/>
  <c r="AC12" i="4"/>
  <c r="C86" i="6"/>
  <c r="C227" i="6"/>
  <c r="AB16" i="4"/>
  <c r="AB17" i="4"/>
  <c r="L16" i="4"/>
  <c r="L27" i="4" s="1"/>
  <c r="L17" i="4"/>
  <c r="R14" i="4"/>
  <c r="E216" i="6"/>
  <c r="E75" i="6"/>
  <c r="S36" i="4"/>
  <c r="Y13" i="4"/>
  <c r="D82" i="6"/>
  <c r="D223" i="6"/>
  <c r="Q12" i="5"/>
  <c r="N16" i="4"/>
  <c r="N17" i="4"/>
  <c r="AE24" i="4"/>
  <c r="AE25" i="4" s="1"/>
  <c r="J16" i="4"/>
  <c r="J17" i="4" s="1"/>
  <c r="AD18" i="4"/>
  <c r="F16" i="4"/>
  <c r="F27" i="4" s="1"/>
  <c r="O27" i="4"/>
  <c r="S21" i="4"/>
  <c r="S22" i="4"/>
  <c r="S23" i="4" s="1"/>
  <c r="J18" i="4"/>
  <c r="AF18" i="4"/>
  <c r="AF20" i="4" s="1"/>
  <c r="AF19" i="4"/>
  <c r="Z16" i="4"/>
  <c r="Z17" i="4"/>
  <c r="K135" i="6"/>
  <c r="U13" i="4"/>
  <c r="D78" i="6"/>
  <c r="D219" i="6"/>
  <c r="AB27" i="4"/>
  <c r="AB37" i="4"/>
  <c r="AB36" i="4"/>
  <c r="O18" i="4"/>
  <c r="O19" i="4"/>
  <c r="O11" i="5"/>
  <c r="O20" i="4"/>
  <c r="K137" i="6"/>
  <c r="O17" i="4"/>
  <c r="O16" i="4"/>
  <c r="V19" i="3"/>
  <c r="V5" i="4" s="1"/>
  <c r="F19" i="3"/>
  <c r="F5" i="4" s="1"/>
  <c r="M12" i="5"/>
  <c r="H16" i="4"/>
  <c r="H17" i="4"/>
  <c r="X19" i="3"/>
  <c r="X5" i="4" s="1"/>
  <c r="P16" i="4"/>
  <c r="P17" i="4"/>
  <c r="AB22" i="4"/>
  <c r="AB21" i="4"/>
  <c r="AB23" i="4" s="1"/>
  <c r="AA16" i="4"/>
  <c r="Q12" i="4"/>
  <c r="Q15" i="4"/>
  <c r="Q19" i="3"/>
  <c r="Q5" i="4" s="1"/>
  <c r="C74" i="6"/>
  <c r="C215" i="6"/>
  <c r="M132" i="6"/>
  <c r="K130" i="6"/>
  <c r="W12" i="5"/>
  <c r="K12" i="5"/>
  <c r="AD14" i="4"/>
  <c r="AD17" i="4" s="1"/>
  <c r="E228" i="6"/>
  <c r="E87" i="6"/>
  <c r="K151" i="6"/>
  <c r="U14" i="4"/>
  <c r="E219" i="6"/>
  <c r="E78" i="6"/>
  <c r="U15" i="4"/>
  <c r="U12" i="4"/>
  <c r="C78" i="6"/>
  <c r="C219" i="6"/>
  <c r="U19" i="3"/>
  <c r="U5" i="4" s="1"/>
  <c r="AA18" i="4"/>
  <c r="AA11" i="5"/>
  <c r="AA19" i="4"/>
  <c r="AA20" i="4"/>
  <c r="T19" i="4"/>
  <c r="T20" i="4" s="1"/>
  <c r="T11" i="5"/>
  <c r="T18" i="4"/>
  <c r="D11" i="5"/>
  <c r="D18" i="4"/>
  <c r="B14" i="6"/>
  <c r="K136" i="6"/>
  <c r="Q13" i="4"/>
  <c r="D74" i="6"/>
  <c r="D215" i="6"/>
  <c r="AE20" i="4"/>
  <c r="W11" i="5"/>
  <c r="W18" i="4"/>
  <c r="W19" i="4"/>
  <c r="W20" i="4" s="1"/>
  <c r="V16" i="4"/>
  <c r="V27" i="4" s="1"/>
  <c r="F21" i="4"/>
  <c r="F22" i="4"/>
  <c r="F23" i="4"/>
  <c r="N27" i="4"/>
  <c r="H18" i="4"/>
  <c r="P19" i="3"/>
  <c r="P5" i="4" s="1"/>
  <c r="K21" i="4"/>
  <c r="K22" i="4"/>
  <c r="K23" i="4"/>
  <c r="J21" i="4" l="1"/>
  <c r="Q37" i="4"/>
  <c r="Q36" i="4"/>
  <c r="Z14" i="5"/>
  <c r="Z34" i="4"/>
  <c r="F144" i="6" s="1"/>
  <c r="R12" i="5"/>
  <c r="Q16" i="4"/>
  <c r="P34" i="4"/>
  <c r="F134" i="6" s="1"/>
  <c r="P14" i="5"/>
  <c r="J20" i="4"/>
  <c r="AE26" i="4"/>
  <c r="AE28" i="4" s="1"/>
  <c r="AC16" i="4"/>
  <c r="AC17" i="4"/>
  <c r="Y36" i="4"/>
  <c r="Y37" i="4"/>
  <c r="W21" i="4"/>
  <c r="D19" i="4"/>
  <c r="D20" i="4" s="1"/>
  <c r="U12" i="5"/>
  <c r="V17" i="4"/>
  <c r="V34" i="4" s="1"/>
  <c r="F140" i="6" s="1"/>
  <c r="P27" i="4"/>
  <c r="R37" i="4"/>
  <c r="R36" i="4"/>
  <c r="G21" i="4"/>
  <c r="D17" i="6"/>
  <c r="E16" i="4"/>
  <c r="E17" i="4" s="1"/>
  <c r="I18" i="4"/>
  <c r="I11" i="5"/>
  <c r="H21" i="4"/>
  <c r="B19" i="6"/>
  <c r="M122" i="6"/>
  <c r="R18" i="4"/>
  <c r="R19" i="4" s="1"/>
  <c r="R20" i="4" s="1"/>
  <c r="R11" i="5"/>
  <c r="H19" i="4"/>
  <c r="H20" i="4" s="1"/>
  <c r="U20" i="4"/>
  <c r="U11" i="5"/>
  <c r="U19" i="4"/>
  <c r="U18" i="4"/>
  <c r="F17" i="4"/>
  <c r="F26" i="4" s="1"/>
  <c r="R16" i="4"/>
  <c r="R17" i="4" s="1"/>
  <c r="AF36" i="4"/>
  <c r="AF37" i="4"/>
  <c r="M125" i="6"/>
  <c r="AH16" i="4"/>
  <c r="AH17" i="4" s="1"/>
  <c r="C16" i="6"/>
  <c r="D16" i="6" s="1"/>
  <c r="C27" i="6"/>
  <c r="AF21" i="4"/>
  <c r="AF23" i="4" s="1"/>
  <c r="AF22" i="4"/>
  <c r="W34" i="4"/>
  <c r="F141" i="6" s="1"/>
  <c r="W14" i="5"/>
  <c r="W27" i="4"/>
  <c r="T34" i="4"/>
  <c r="F138" i="6" s="1"/>
  <c r="T14" i="5"/>
  <c r="M36" i="4"/>
  <c r="M37" i="4"/>
  <c r="Z21" i="4"/>
  <c r="AC11" i="5"/>
  <c r="AC18" i="4"/>
  <c r="F12" i="5"/>
  <c r="F24" i="4"/>
  <c r="F25" i="4"/>
  <c r="F28" i="4" s="1"/>
  <c r="O23" i="4"/>
  <c r="W17" i="4"/>
  <c r="M16" i="4"/>
  <c r="M17" i="4"/>
  <c r="K17" i="4"/>
  <c r="Z19" i="4"/>
  <c r="AE14" i="5"/>
  <c r="AD34" i="4"/>
  <c r="F148" i="6" s="1"/>
  <c r="AD14" i="5"/>
  <c r="AB20" i="4"/>
  <c r="AH18" i="4"/>
  <c r="AH19" i="4"/>
  <c r="AH20" i="4"/>
  <c r="C14" i="6"/>
  <c r="D14" i="6" s="1"/>
  <c r="AH11" i="5"/>
  <c r="S17" i="4"/>
  <c r="M137" i="6"/>
  <c r="N12" i="5"/>
  <c r="N24" i="4"/>
  <c r="N21" i="4"/>
  <c r="Z27" i="4"/>
  <c r="Z20" i="4"/>
  <c r="AD12" i="5"/>
  <c r="J19" i="4"/>
  <c r="D12" i="5"/>
  <c r="B20" i="6" s="1"/>
  <c r="B15" i="6"/>
  <c r="AG37" i="4"/>
  <c r="AG36" i="4"/>
  <c r="T24" i="4"/>
  <c r="T12" i="5"/>
  <c r="X24" i="4"/>
  <c r="X25" i="4" s="1"/>
  <c r="X26" i="4" s="1"/>
  <c r="U16" i="4"/>
  <c r="U17" i="4"/>
  <c r="J14" i="5"/>
  <c r="J34" i="4"/>
  <c r="F128" i="6" s="1"/>
  <c r="AC37" i="4"/>
  <c r="AC36" i="4"/>
  <c r="M145" i="6"/>
  <c r="F37" i="4"/>
  <c r="F36" i="4"/>
  <c r="V36" i="4"/>
  <c r="V37" i="4"/>
  <c r="AH5" i="4"/>
  <c r="C7" i="6"/>
  <c r="AG16" i="4"/>
  <c r="V12" i="5"/>
  <c r="X14" i="5"/>
  <c r="X34" i="4"/>
  <c r="F142" i="6" s="1"/>
  <c r="X37" i="4"/>
  <c r="X36" i="4"/>
  <c r="AA27" i="4"/>
  <c r="H24" i="4"/>
  <c r="AB24" i="4"/>
  <c r="AB26" i="4" s="1"/>
  <c r="AB25" i="4"/>
  <c r="AB28" i="4" s="1"/>
  <c r="P21" i="4"/>
  <c r="P23" i="4" s="1"/>
  <c r="P22" i="4"/>
  <c r="AD21" i="4"/>
  <c r="AD24" i="4" s="1"/>
  <c r="Y18" i="4"/>
  <c r="Y11" i="5"/>
  <c r="C15" i="6"/>
  <c r="D15" i="6" s="1"/>
  <c r="AH12" i="5"/>
  <c r="C20" i="6" s="1"/>
  <c r="D20" i="6" s="1"/>
  <c r="T21" i="4"/>
  <c r="G19" i="4"/>
  <c r="AG21" i="4"/>
  <c r="AG22" i="4" s="1"/>
  <c r="K27" i="4"/>
  <c r="E37" i="4"/>
  <c r="E36" i="4"/>
  <c r="AF24" i="4"/>
  <c r="AF26" i="4" s="1"/>
  <c r="AF25" i="4"/>
  <c r="AG18" i="4"/>
  <c r="AG19" i="4"/>
  <c r="AG20" i="4"/>
  <c r="AG11" i="5"/>
  <c r="O24" i="4"/>
  <c r="O25" i="4" s="1"/>
  <c r="D17" i="4"/>
  <c r="B29" i="6" s="1"/>
  <c r="I36" i="4"/>
  <c r="I37" i="4"/>
  <c r="Q19" i="4"/>
  <c r="Q20" i="4" s="1"/>
  <c r="Q18" i="4"/>
  <c r="Q11" i="5"/>
  <c r="M133" i="6"/>
  <c r="AD19" i="4"/>
  <c r="L34" i="4"/>
  <c r="F130" i="6" s="1"/>
  <c r="L14" i="5"/>
  <c r="Y16" i="4"/>
  <c r="Y17" i="4"/>
  <c r="M141" i="6"/>
  <c r="W15" i="5"/>
  <c r="W17" i="5" s="1"/>
  <c r="U37" i="4"/>
  <c r="U36" i="4"/>
  <c r="P36" i="4"/>
  <c r="P37" i="4"/>
  <c r="AE29" i="4"/>
  <c r="AE30" i="4"/>
  <c r="M138" i="6"/>
  <c r="AA17" i="4"/>
  <c r="AA34" i="4" s="1"/>
  <c r="F145" i="6" s="1"/>
  <c r="H14" i="5"/>
  <c r="H34" i="4"/>
  <c r="F126" i="6" s="1"/>
  <c r="O34" i="4"/>
  <c r="F133" i="6" s="1"/>
  <c r="O14" i="5"/>
  <c r="S27" i="4"/>
  <c r="D21" i="4"/>
  <c r="N34" i="4"/>
  <c r="F132" i="6" s="1"/>
  <c r="N14" i="5"/>
  <c r="AB34" i="4"/>
  <c r="F146" i="6" s="1"/>
  <c r="AB14" i="5"/>
  <c r="H36" i="4"/>
  <c r="H37" i="4"/>
  <c r="N20" i="4"/>
  <c r="J27" i="4"/>
  <c r="AC21" i="4"/>
  <c r="X22" i="4"/>
  <c r="X23" i="4" s="1"/>
  <c r="X21" i="4"/>
  <c r="AA21" i="4"/>
  <c r="G34" i="4"/>
  <c r="F125" i="6" s="1"/>
  <c r="G14" i="5"/>
  <c r="G20" i="4"/>
  <c r="L21" i="4"/>
  <c r="E20" i="4"/>
  <c r="E11" i="5"/>
  <c r="E18" i="4"/>
  <c r="E19" i="4"/>
  <c r="D5" i="4"/>
  <c r="B7" i="6"/>
  <c r="E21" i="4"/>
  <c r="E22" i="4" s="1"/>
  <c r="E23" i="4" s="1"/>
  <c r="AF34" i="4"/>
  <c r="F150" i="6" s="1"/>
  <c r="AF14" i="5"/>
  <c r="AF27" i="4"/>
  <c r="X19" i="4"/>
  <c r="X20" i="4" s="1"/>
  <c r="V19" i="4"/>
  <c r="V20" i="4" s="1"/>
  <c r="I21" i="4"/>
  <c r="B28" i="6"/>
  <c r="M11" i="5"/>
  <c r="M20" i="4"/>
  <c r="M19" i="4"/>
  <c r="M18" i="4"/>
  <c r="G27" i="4"/>
  <c r="I16" i="4"/>
  <c r="I17" i="4"/>
  <c r="E12" i="5"/>
  <c r="M21" i="4"/>
  <c r="J19" i="5" l="1"/>
  <c r="J21" i="5"/>
  <c r="J20" i="5"/>
  <c r="AD20" i="5"/>
  <c r="AD19" i="5"/>
  <c r="AD21" i="5"/>
  <c r="AE21" i="5"/>
  <c r="AE20" i="5"/>
  <c r="AE19" i="5"/>
  <c r="X20" i="5"/>
  <c r="X21" i="5"/>
  <c r="X19" i="5"/>
  <c r="P19" i="5"/>
  <c r="P21" i="5"/>
  <c r="P20" i="5"/>
  <c r="N20" i="5"/>
  <c r="N21" i="5"/>
  <c r="N19" i="5"/>
  <c r="AF19" i="5"/>
  <c r="AF21" i="5"/>
  <c r="AF20" i="5"/>
  <c r="T21" i="5"/>
  <c r="T20" i="5"/>
  <c r="T19" i="5"/>
  <c r="Z19" i="5"/>
  <c r="Z21" i="5"/>
  <c r="Z20" i="5"/>
  <c r="L20" i="5"/>
  <c r="L21" i="5"/>
  <c r="L19" i="5"/>
  <c r="AB20" i="5"/>
  <c r="AB19" i="5"/>
  <c r="AB21" i="5"/>
  <c r="N125" i="6"/>
  <c r="G20" i="5"/>
  <c r="G19" i="5"/>
  <c r="G21" i="5"/>
  <c r="N133" i="6"/>
  <c r="O21" i="5"/>
  <c r="O19" i="5"/>
  <c r="O20" i="5"/>
  <c r="H15" i="5"/>
  <c r="H17" i="5" s="1"/>
  <c r="H21" i="5"/>
  <c r="H19" i="5"/>
  <c r="H20" i="5"/>
  <c r="N141" i="6"/>
  <c r="W20" i="5"/>
  <c r="W19" i="5"/>
  <c r="W21" i="5"/>
  <c r="N138" i="6"/>
  <c r="T15" i="5"/>
  <c r="AF28" i="4"/>
  <c r="AF30" i="4"/>
  <c r="AF29" i="4"/>
  <c r="F30" i="4"/>
  <c r="F29" i="4"/>
  <c r="X30" i="4"/>
  <c r="X29" i="4"/>
  <c r="C29" i="6"/>
  <c r="O28" i="4"/>
  <c r="E24" i="4"/>
  <c r="M143" i="6"/>
  <c r="N148" i="6"/>
  <c r="AD15" i="5"/>
  <c r="AD17" i="5" s="1"/>
  <c r="Y24" i="4"/>
  <c r="L23" i="4"/>
  <c r="L22" i="4"/>
  <c r="N146" i="6"/>
  <c r="AB15" i="5"/>
  <c r="AB17" i="5" s="1"/>
  <c r="Y34" i="4"/>
  <c r="F143" i="6" s="1"/>
  <c r="Y14" i="5"/>
  <c r="Y27" i="4"/>
  <c r="M135" i="6"/>
  <c r="Y19" i="4"/>
  <c r="Y20" i="4" s="1"/>
  <c r="S24" i="4"/>
  <c r="S25" i="4" s="1"/>
  <c r="S14" i="5"/>
  <c r="AC19" i="4"/>
  <c r="M136" i="6"/>
  <c r="F14" i="5"/>
  <c r="AC24" i="4"/>
  <c r="O30" i="4"/>
  <c r="N144" i="6"/>
  <c r="Z15" i="5"/>
  <c r="Z17" i="5" s="1"/>
  <c r="O26" i="4"/>
  <c r="AE38" i="4"/>
  <c r="E149" i="6"/>
  <c r="AE31" i="4"/>
  <c r="AE32" i="4" s="1"/>
  <c r="AE35" i="4"/>
  <c r="AE40" i="4" s="1"/>
  <c r="N130" i="6"/>
  <c r="L15" i="5"/>
  <c r="L17" i="5" s="1"/>
  <c r="T22" i="4"/>
  <c r="T25" i="4" s="1"/>
  <c r="T26" i="4" s="1"/>
  <c r="T23" i="4"/>
  <c r="T28" i="4" s="1"/>
  <c r="V24" i="4"/>
  <c r="P24" i="4"/>
  <c r="N22" i="4"/>
  <c r="N25" i="4" s="1"/>
  <c r="N26" i="4" s="1"/>
  <c r="N23" i="4"/>
  <c r="N30" i="4" s="1"/>
  <c r="M152" i="6"/>
  <c r="C19" i="6"/>
  <c r="D19" i="6" s="1"/>
  <c r="N149" i="6"/>
  <c r="AE15" i="5"/>
  <c r="AE17" i="5" s="1"/>
  <c r="S34" i="4"/>
  <c r="F137" i="6" s="1"/>
  <c r="AC20" i="4"/>
  <c r="F34" i="4"/>
  <c r="F124" i="6" s="1"/>
  <c r="AC34" i="4"/>
  <c r="F147" i="6" s="1"/>
  <c r="AC14" i="5"/>
  <c r="AC27" i="4"/>
  <c r="O29" i="4"/>
  <c r="N126" i="6"/>
  <c r="M147" i="6"/>
  <c r="R21" i="4"/>
  <c r="N134" i="6"/>
  <c r="P15" i="5"/>
  <c r="P17" i="5" s="1"/>
  <c r="T17" i="5"/>
  <c r="AD22" i="4"/>
  <c r="AD25" i="4" s="1"/>
  <c r="AD26" i="4" s="1"/>
  <c r="AD23" i="4"/>
  <c r="AG27" i="4"/>
  <c r="N128" i="6"/>
  <c r="J15" i="5"/>
  <c r="J17" i="5" s="1"/>
  <c r="K24" i="4"/>
  <c r="K25" i="4"/>
  <c r="K26" i="4" s="1"/>
  <c r="Z22" i="4"/>
  <c r="Z23" i="4" s="1"/>
  <c r="M139" i="6"/>
  <c r="H22" i="4"/>
  <c r="H25" i="4" s="1"/>
  <c r="H26" i="4" s="1"/>
  <c r="E34" i="4"/>
  <c r="F123" i="6" s="1"/>
  <c r="E14" i="5"/>
  <c r="E27" i="4"/>
  <c r="Y21" i="4"/>
  <c r="J22" i="4"/>
  <c r="J23" i="4"/>
  <c r="Z24" i="4"/>
  <c r="J24" i="4"/>
  <c r="D22" i="4"/>
  <c r="D23" i="4"/>
  <c r="W16" i="5"/>
  <c r="W23" i="5"/>
  <c r="W24" i="5"/>
  <c r="O141" i="6"/>
  <c r="AG17" i="4"/>
  <c r="AG34" i="4" s="1"/>
  <c r="F151" i="6" s="1"/>
  <c r="D24" i="4"/>
  <c r="M24" i="4"/>
  <c r="M25" i="4" s="1"/>
  <c r="W22" i="4"/>
  <c r="W23" i="4"/>
  <c r="L24" i="4"/>
  <c r="Q27" i="4"/>
  <c r="N132" i="6"/>
  <c r="N15" i="5"/>
  <c r="N17" i="5" s="1"/>
  <c r="M131" i="6"/>
  <c r="D37" i="4"/>
  <c r="D36" i="4"/>
  <c r="D14" i="5"/>
  <c r="M22" i="4"/>
  <c r="I24" i="4"/>
  <c r="I25" i="4" s="1"/>
  <c r="N150" i="6"/>
  <c r="AF15" i="5"/>
  <c r="AF17" i="5" s="1"/>
  <c r="AA23" i="4"/>
  <c r="AA22" i="4"/>
  <c r="N29" i="4"/>
  <c r="D7" i="6"/>
  <c r="AH21" i="4"/>
  <c r="M34" i="4"/>
  <c r="F131" i="6" s="1"/>
  <c r="M14" i="5"/>
  <c r="M27" i="4"/>
  <c r="AH14" i="5"/>
  <c r="AH34" i="4"/>
  <c r="F152" i="6" s="1"/>
  <c r="C28" i="6"/>
  <c r="AH27" i="4"/>
  <c r="R14" i="5"/>
  <c r="R34" i="4"/>
  <c r="F136" i="6" s="1"/>
  <c r="R27" i="4"/>
  <c r="V14" i="5"/>
  <c r="M127" i="6"/>
  <c r="G22" i="4"/>
  <c r="G23" i="4"/>
  <c r="G24" i="4"/>
  <c r="Q17" i="4"/>
  <c r="Q34" i="4" s="1"/>
  <c r="F135" i="6" s="1"/>
  <c r="AA24" i="4"/>
  <c r="M151" i="6"/>
  <c r="O15" i="5"/>
  <c r="O17" i="5" s="1"/>
  <c r="AG23" i="4"/>
  <c r="N142" i="6"/>
  <c r="X15" i="5"/>
  <c r="X17" i="5" s="1"/>
  <c r="U34" i="4"/>
  <c r="F139" i="6" s="1"/>
  <c r="U14" i="5"/>
  <c r="U27" i="4"/>
  <c r="K14" i="5"/>
  <c r="I34" i="4"/>
  <c r="F127" i="6" s="1"/>
  <c r="I27" i="4"/>
  <c r="I14" i="5"/>
  <c r="D34" i="4"/>
  <c r="F122" i="6" s="1"/>
  <c r="M123" i="6"/>
  <c r="W25" i="5"/>
  <c r="AA14" i="5"/>
  <c r="AH36" i="4"/>
  <c r="AH37" i="4"/>
  <c r="Q21" i="4"/>
  <c r="AB30" i="4"/>
  <c r="AB29" i="4"/>
  <c r="W24" i="4"/>
  <c r="W26" i="4" s="1"/>
  <c r="W28" i="4" s="1"/>
  <c r="W25" i="4"/>
  <c r="K34" i="4"/>
  <c r="F129" i="6" s="1"/>
  <c r="X28" i="4"/>
  <c r="G15" i="5"/>
  <c r="G17" i="5" s="1"/>
  <c r="N28" i="4"/>
  <c r="I19" i="4"/>
  <c r="I22" i="4" s="1"/>
  <c r="I23" i="4" s="1"/>
  <c r="U21" i="4"/>
  <c r="U24" i="4" s="1"/>
  <c r="AD20" i="4"/>
  <c r="AD28" i="4" s="1"/>
  <c r="V22" i="4"/>
  <c r="V23" i="4" s="1"/>
  <c r="N147" i="6" l="1"/>
  <c r="AC20" i="5"/>
  <c r="AC19" i="5"/>
  <c r="AC21" i="5"/>
  <c r="AH15" i="5"/>
  <c r="AH17" i="5" s="1"/>
  <c r="AH21" i="5"/>
  <c r="AH19" i="5"/>
  <c r="AH20" i="5"/>
  <c r="S15" i="5"/>
  <c r="S17" i="5" s="1"/>
  <c r="S21" i="5"/>
  <c r="S20" i="5"/>
  <c r="S19" i="5"/>
  <c r="K19" i="5"/>
  <c r="K21" i="5"/>
  <c r="K20" i="5"/>
  <c r="N139" i="6"/>
  <c r="U19" i="5"/>
  <c r="U20" i="5"/>
  <c r="U21" i="5"/>
  <c r="N136" i="6"/>
  <c r="R20" i="5"/>
  <c r="R19" i="5"/>
  <c r="R21" i="5"/>
  <c r="N143" i="6"/>
  <c r="Y19" i="5"/>
  <c r="Y21" i="5"/>
  <c r="Y20" i="5"/>
  <c r="F21" i="5"/>
  <c r="F20" i="5"/>
  <c r="F19" i="5"/>
  <c r="N131" i="6"/>
  <c r="M21" i="5"/>
  <c r="M20" i="5"/>
  <c r="M19" i="5"/>
  <c r="N127" i="6"/>
  <c r="I19" i="5"/>
  <c r="I20" i="5"/>
  <c r="I21" i="5"/>
  <c r="D19" i="5"/>
  <c r="D21" i="5"/>
  <c r="D20" i="5"/>
  <c r="N123" i="6"/>
  <c r="E19" i="5"/>
  <c r="E20" i="5"/>
  <c r="E21" i="5"/>
  <c r="V19" i="5"/>
  <c r="V21" i="5"/>
  <c r="V20" i="5"/>
  <c r="AA19" i="5"/>
  <c r="AA21" i="5"/>
  <c r="AA20" i="5"/>
  <c r="D15" i="5"/>
  <c r="D17" i="5" s="1"/>
  <c r="Y15" i="5"/>
  <c r="Y17" i="5" s="1"/>
  <c r="I15" i="5"/>
  <c r="I16" i="5" s="1"/>
  <c r="K30" i="4"/>
  <c r="K29" i="4"/>
  <c r="AH16" i="5"/>
  <c r="C23" i="6" s="1"/>
  <c r="AH24" i="5"/>
  <c r="AH23" i="5"/>
  <c r="C25" i="6" s="1"/>
  <c r="S28" i="4"/>
  <c r="S26" i="4"/>
  <c r="B22" i="6"/>
  <c r="N122" i="6"/>
  <c r="B30" i="6"/>
  <c r="J16" i="5"/>
  <c r="J24" i="5"/>
  <c r="J23" i="5"/>
  <c r="O128" i="6"/>
  <c r="J25" i="5"/>
  <c r="P23" i="5"/>
  <c r="P24" i="5"/>
  <c r="P16" i="5"/>
  <c r="O134" i="6"/>
  <c r="P25" i="5"/>
  <c r="Z23" i="5"/>
  <c r="Z16" i="5"/>
  <c r="Z24" i="5"/>
  <c r="O144" i="6"/>
  <c r="Z25" i="5"/>
  <c r="N124" i="6"/>
  <c r="F15" i="5"/>
  <c r="F17" i="5" s="1"/>
  <c r="AD16" i="5"/>
  <c r="AD23" i="5"/>
  <c r="AD24" i="5"/>
  <c r="O148" i="6"/>
  <c r="AD25" i="5"/>
  <c r="G25" i="4"/>
  <c r="H23" i="5"/>
  <c r="H24" i="5"/>
  <c r="H16" i="5"/>
  <c r="O126" i="6"/>
  <c r="H25" i="5"/>
  <c r="L16" i="5"/>
  <c r="L23" i="5"/>
  <c r="L24" i="5"/>
  <c r="O130" i="6"/>
  <c r="L25" i="5"/>
  <c r="R15" i="5"/>
  <c r="R17" i="5" s="1"/>
  <c r="AB16" i="5"/>
  <c r="AB23" i="5"/>
  <c r="AB24" i="5"/>
  <c r="O146" i="6"/>
  <c r="AB25" i="5"/>
  <c r="X23" i="5"/>
  <c r="X24" i="5"/>
  <c r="X16" i="5"/>
  <c r="O142" i="6"/>
  <c r="X25" i="5"/>
  <c r="AA25" i="4"/>
  <c r="AA26" i="4" s="1"/>
  <c r="AH22" i="4"/>
  <c r="AH23" i="4" s="1"/>
  <c r="AF23" i="5"/>
  <c r="AF24" i="5"/>
  <c r="AF16" i="5"/>
  <c r="O150" i="6"/>
  <c r="AF25" i="5"/>
  <c r="K28" i="4"/>
  <c r="R22" i="4"/>
  <c r="R23" i="4" s="1"/>
  <c r="E25" i="4"/>
  <c r="F38" i="4"/>
  <c r="F31" i="4"/>
  <c r="F32" i="4" s="1"/>
  <c r="E124" i="6"/>
  <c r="F35" i="4"/>
  <c r="F40" i="4" s="1"/>
  <c r="N145" i="6"/>
  <c r="AA15" i="5"/>
  <c r="AA17" i="5" s="1"/>
  <c r="M15" i="5"/>
  <c r="M17" i="5" s="1"/>
  <c r="Q14" i="5"/>
  <c r="M26" i="4"/>
  <c r="J25" i="4"/>
  <c r="J28" i="4" s="1"/>
  <c r="J26" i="4"/>
  <c r="J29" i="4" s="1"/>
  <c r="AG14" i="5"/>
  <c r="O38" i="4"/>
  <c r="O31" i="4"/>
  <c r="O32" i="4" s="1"/>
  <c r="E133" i="6"/>
  <c r="O35" i="4"/>
  <c r="O40" i="4" s="1"/>
  <c r="AE16" i="5"/>
  <c r="AE23" i="5"/>
  <c r="AE24" i="5"/>
  <c r="O149" i="6"/>
  <c r="AE25" i="5"/>
  <c r="P25" i="4"/>
  <c r="AC25" i="4"/>
  <c r="AC26" i="4" s="1"/>
  <c r="AC22" i="4"/>
  <c r="AC23" i="4" s="1"/>
  <c r="AC30" i="4" s="1"/>
  <c r="R24" i="4"/>
  <c r="Z25" i="4"/>
  <c r="Z28" i="4" s="1"/>
  <c r="Z26" i="4"/>
  <c r="Z29" i="4" s="1"/>
  <c r="U15" i="5"/>
  <c r="U17" i="5" s="1"/>
  <c r="AC15" i="5"/>
  <c r="AC17" i="5" s="1"/>
  <c r="V25" i="4"/>
  <c r="V26" i="4" s="1"/>
  <c r="V30" i="4" s="1"/>
  <c r="Y23" i="5"/>
  <c r="Y16" i="5"/>
  <c r="O143" i="6"/>
  <c r="M23" i="4"/>
  <c r="AH24" i="4"/>
  <c r="AF38" i="4"/>
  <c r="E150" i="6"/>
  <c r="AF31" i="4"/>
  <c r="AF32" i="4" s="1"/>
  <c r="AF35" i="4"/>
  <c r="AF40" i="4" s="1"/>
  <c r="O16" i="5"/>
  <c r="O23" i="5"/>
  <c r="O24" i="5"/>
  <c r="O133" i="6"/>
  <c r="O25" i="5"/>
  <c r="N31" i="4"/>
  <c r="N32" i="4" s="1"/>
  <c r="N38" i="4"/>
  <c r="E132" i="6"/>
  <c r="N35" i="4"/>
  <c r="N40" i="4" s="1"/>
  <c r="I26" i="4"/>
  <c r="L26" i="4"/>
  <c r="L30" i="4" s="1"/>
  <c r="L25" i="4"/>
  <c r="L28" i="4" s="1"/>
  <c r="T30" i="4"/>
  <c r="T29" i="4"/>
  <c r="N137" i="6"/>
  <c r="X38" i="4"/>
  <c r="X31" i="4"/>
  <c r="X32" i="4" s="1"/>
  <c r="E142" i="6"/>
  <c r="X35" i="4"/>
  <c r="X40" i="4" s="1"/>
  <c r="Q23" i="4"/>
  <c r="Q22" i="4"/>
  <c r="AD30" i="4"/>
  <c r="AD29" i="4"/>
  <c r="AB31" i="4"/>
  <c r="AB32" i="4" s="1"/>
  <c r="AB38" i="4"/>
  <c r="E146" i="6"/>
  <c r="AB35" i="4"/>
  <c r="AB40" i="4" s="1"/>
  <c r="N129" i="6"/>
  <c r="K15" i="5"/>
  <c r="K17" i="5" s="1"/>
  <c r="N152" i="6"/>
  <c r="C22" i="6"/>
  <c r="C30" i="6"/>
  <c r="N16" i="5"/>
  <c r="N23" i="5"/>
  <c r="N24" i="5"/>
  <c r="O132" i="6"/>
  <c r="N25" i="5"/>
  <c r="W29" i="4"/>
  <c r="W30" i="4"/>
  <c r="AG24" i="4"/>
  <c r="AG25" i="4"/>
  <c r="AG26" i="4" s="1"/>
  <c r="J30" i="4"/>
  <c r="Y25" i="5"/>
  <c r="G16" i="5"/>
  <c r="G23" i="5"/>
  <c r="G24" i="5"/>
  <c r="O125" i="6"/>
  <c r="G25" i="5"/>
  <c r="O127" i="6"/>
  <c r="U22" i="4"/>
  <c r="U23" i="4"/>
  <c r="E15" i="5"/>
  <c r="E17" i="5" s="1"/>
  <c r="Q25" i="4"/>
  <c r="Q24" i="4"/>
  <c r="Q26" i="4" s="1"/>
  <c r="N140" i="6"/>
  <c r="V15" i="5"/>
  <c r="V17" i="5" s="1"/>
  <c r="Y23" i="4"/>
  <c r="Y29" i="4" s="1"/>
  <c r="Y22" i="4"/>
  <c r="Y25" i="4" s="1"/>
  <c r="Y26" i="4" s="1"/>
  <c r="D25" i="4"/>
  <c r="D26" i="4" s="1"/>
  <c r="T16" i="5"/>
  <c r="T23" i="5"/>
  <c r="T24" i="5"/>
  <c r="O138" i="6"/>
  <c r="T25" i="5"/>
  <c r="V28" i="4"/>
  <c r="I20" i="4"/>
  <c r="H23" i="4"/>
  <c r="Q21" i="5" l="1"/>
  <c r="Q20" i="5"/>
  <c r="Q19" i="5"/>
  <c r="I23" i="5"/>
  <c r="I24" i="5"/>
  <c r="AH25" i="5"/>
  <c r="AG21" i="5"/>
  <c r="AG20" i="5"/>
  <c r="AG19" i="5"/>
  <c r="O152" i="6"/>
  <c r="Y24" i="5"/>
  <c r="I25" i="5"/>
  <c r="I17" i="5"/>
  <c r="D22" i="6"/>
  <c r="Y38" i="4"/>
  <c r="E143" i="6"/>
  <c r="Y35" i="4"/>
  <c r="Y40" i="4" s="1"/>
  <c r="Z38" i="4"/>
  <c r="E144" i="6"/>
  <c r="Z35" i="4"/>
  <c r="Z40" i="4" s="1"/>
  <c r="J38" i="4"/>
  <c r="J31" i="4"/>
  <c r="J32" i="4" s="1"/>
  <c r="E128" i="6"/>
  <c r="J35" i="4"/>
  <c r="J40" i="4" s="1"/>
  <c r="AG30" i="4"/>
  <c r="AG29" i="4"/>
  <c r="G28" i="4"/>
  <c r="D28" i="4"/>
  <c r="D29" i="4"/>
  <c r="D30" i="4"/>
  <c r="AA30" i="4"/>
  <c r="AA28" i="4"/>
  <c r="AA29" i="4"/>
  <c r="Q28" i="4"/>
  <c r="N135" i="6"/>
  <c r="Q15" i="5"/>
  <c r="Q17" i="5" s="1"/>
  <c r="R24" i="5"/>
  <c r="R23" i="5"/>
  <c r="R16" i="5"/>
  <c r="O136" i="6"/>
  <c r="R25" i="5"/>
  <c r="V29" i="4"/>
  <c r="H30" i="4"/>
  <c r="H29" i="4"/>
  <c r="H28" i="4"/>
  <c r="M30" i="4"/>
  <c r="M29" i="4"/>
  <c r="AC16" i="5"/>
  <c r="AC23" i="5"/>
  <c r="AC24" i="5"/>
  <c r="O147" i="6"/>
  <c r="AC25" i="5"/>
  <c r="I29" i="4"/>
  <c r="I30" i="4"/>
  <c r="E16" i="5"/>
  <c r="E23" i="5"/>
  <c r="E24" i="5"/>
  <c r="O123" i="6"/>
  <c r="E25" i="5"/>
  <c r="AG28" i="4"/>
  <c r="U16" i="5"/>
  <c r="U23" i="5"/>
  <c r="U24" i="5"/>
  <c r="O139" i="6"/>
  <c r="U25" i="5"/>
  <c r="P26" i="4"/>
  <c r="P28" i="4" s="1"/>
  <c r="M16" i="5"/>
  <c r="M23" i="5"/>
  <c r="M24" i="5"/>
  <c r="O131" i="6"/>
  <c r="M25" i="5"/>
  <c r="S29" i="4"/>
  <c r="S30" i="4"/>
  <c r="U25" i="4"/>
  <c r="U26" i="4" s="1"/>
  <c r="U29" i="4" s="1"/>
  <c r="Y28" i="4"/>
  <c r="Y30" i="4"/>
  <c r="Y31" i="4" s="1"/>
  <c r="Y32" i="4" s="1"/>
  <c r="W38" i="4"/>
  <c r="W31" i="4"/>
  <c r="W32" i="4" s="1"/>
  <c r="E141" i="6"/>
  <c r="W35" i="4"/>
  <c r="W40" i="4" s="1"/>
  <c r="AD31" i="4"/>
  <c r="AD32" i="4" s="1"/>
  <c r="AD38" i="4"/>
  <c r="E148" i="6"/>
  <c r="AD35" i="4"/>
  <c r="AD40" i="4" s="1"/>
  <c r="S16" i="5"/>
  <c r="S24" i="5"/>
  <c r="S23" i="5"/>
  <c r="O137" i="6"/>
  <c r="S25" i="5"/>
  <c r="AA16" i="5"/>
  <c r="AA23" i="5"/>
  <c r="AA24" i="5"/>
  <c r="O145" i="6"/>
  <c r="AA25" i="5"/>
  <c r="D16" i="5"/>
  <c r="B23" i="6" s="1"/>
  <c r="D23" i="6" s="1"/>
  <c r="D23" i="5"/>
  <c r="B25" i="6" s="1"/>
  <c r="D25" i="6" s="1"/>
  <c r="D24" i="5"/>
  <c r="O122" i="6"/>
  <c r="D25" i="5"/>
  <c r="E26" i="4"/>
  <c r="AC28" i="4"/>
  <c r="M28" i="4"/>
  <c r="Z30" i="4"/>
  <c r="Z31" i="4" s="1"/>
  <c r="Z32" i="4" s="1"/>
  <c r="V16" i="5"/>
  <c r="V23" i="5"/>
  <c r="V24" i="5"/>
  <c r="O140" i="6"/>
  <c r="V25" i="5"/>
  <c r="R25" i="4"/>
  <c r="R28" i="4" s="1"/>
  <c r="R26" i="4"/>
  <c r="R29" i="4" s="1"/>
  <c r="N151" i="6"/>
  <c r="AG15" i="5"/>
  <c r="AG17" i="5" s="1"/>
  <c r="K16" i="5"/>
  <c r="K24" i="5"/>
  <c r="K23" i="5"/>
  <c r="O129" i="6"/>
  <c r="K25" i="5"/>
  <c r="T31" i="4"/>
  <c r="T32" i="4" s="1"/>
  <c r="T38" i="4"/>
  <c r="E138" i="6"/>
  <c r="T35" i="4"/>
  <c r="T40" i="4" s="1"/>
  <c r="L29" i="4"/>
  <c r="K38" i="4"/>
  <c r="K31" i="4"/>
  <c r="K32" i="4" s="1"/>
  <c r="E129" i="6"/>
  <c r="K35" i="4"/>
  <c r="K40" i="4" s="1"/>
  <c r="Q29" i="4"/>
  <c r="Q30" i="4"/>
  <c r="AC29" i="4"/>
  <c r="G26" i="4"/>
  <c r="I28" i="4"/>
  <c r="AH25" i="4"/>
  <c r="AH28" i="4" s="1"/>
  <c r="AH26" i="4"/>
  <c r="AH30" i="4" s="1"/>
  <c r="F16" i="5"/>
  <c r="F23" i="5"/>
  <c r="F24" i="5"/>
  <c r="O124" i="6"/>
  <c r="F25" i="5"/>
  <c r="U35" i="4" l="1"/>
  <c r="U40" i="4" s="1"/>
  <c r="U38" i="4"/>
  <c r="E139" i="6"/>
  <c r="R38" i="4"/>
  <c r="E136" i="6"/>
  <c r="R35" i="4"/>
  <c r="R40" i="4" s="1"/>
  <c r="Q38" i="4"/>
  <c r="Q31" i="4"/>
  <c r="Q32" i="4" s="1"/>
  <c r="E135" i="6"/>
  <c r="Q35" i="4"/>
  <c r="Q40" i="4" s="1"/>
  <c r="AH29" i="4"/>
  <c r="H38" i="4"/>
  <c r="H31" i="4"/>
  <c r="H32" i="4" s="1"/>
  <c r="E126" i="6"/>
  <c r="H35" i="4"/>
  <c r="H40" i="4" s="1"/>
  <c r="R30" i="4"/>
  <c r="R31" i="4" s="1"/>
  <c r="R32" i="4" s="1"/>
  <c r="Q24" i="5"/>
  <c r="Q16" i="5"/>
  <c r="Q23" i="5"/>
  <c r="O135" i="6"/>
  <c r="Q25" i="5"/>
  <c r="AG38" i="4"/>
  <c r="AG31" i="4"/>
  <c r="AG32" i="4" s="1"/>
  <c r="E151" i="6"/>
  <c r="AG35" i="4"/>
  <c r="AG40" i="4" s="1"/>
  <c r="V31" i="4"/>
  <c r="V32" i="4" s="1"/>
  <c r="V38" i="4"/>
  <c r="E140" i="6"/>
  <c r="V35" i="4"/>
  <c r="V40" i="4" s="1"/>
  <c r="D31" i="4"/>
  <c r="D32" i="4" s="1"/>
  <c r="D38" i="4"/>
  <c r="E122" i="6"/>
  <c r="D35" i="4"/>
  <c r="D40" i="4" s="1"/>
  <c r="U28" i="4"/>
  <c r="E29" i="4"/>
  <c r="E30" i="4"/>
  <c r="S38" i="4"/>
  <c r="S31" i="4"/>
  <c r="S32" i="4" s="1"/>
  <c r="E137" i="6"/>
  <c r="S35" i="4"/>
  <c r="S40" i="4" s="1"/>
  <c r="AC31" i="4"/>
  <c r="AC32" i="4" s="1"/>
  <c r="AC38" i="4"/>
  <c r="E147" i="6"/>
  <c r="AC35" i="4"/>
  <c r="AC40" i="4" s="1"/>
  <c r="U30" i="4"/>
  <c r="U31" i="4" s="1"/>
  <c r="U32" i="4" s="1"/>
  <c r="M31" i="4"/>
  <c r="M32" i="4" s="1"/>
  <c r="M38" i="4"/>
  <c r="E131" i="6"/>
  <c r="M35" i="4"/>
  <c r="M40" i="4" s="1"/>
  <c r="AA38" i="4"/>
  <c r="AA31" i="4"/>
  <c r="AA32" i="4" s="1"/>
  <c r="E145" i="6"/>
  <c r="AA35" i="4"/>
  <c r="AA40" i="4" s="1"/>
  <c r="P29" i="4"/>
  <c r="P30" i="4"/>
  <c r="E28" i="4"/>
  <c r="G29" i="4"/>
  <c r="G30" i="4"/>
  <c r="L31" i="4"/>
  <c r="L32" i="4" s="1"/>
  <c r="L38" i="4"/>
  <c r="E130" i="6"/>
  <c r="L35" i="4"/>
  <c r="L40" i="4" s="1"/>
  <c r="AG24" i="5"/>
  <c r="AG16" i="5"/>
  <c r="AG23" i="5"/>
  <c r="O151" i="6"/>
  <c r="AG25" i="5"/>
  <c r="I38" i="4"/>
  <c r="I31" i="4"/>
  <c r="I32" i="4" s="1"/>
  <c r="E127" i="6"/>
  <c r="I35" i="4"/>
  <c r="I40" i="4" s="1"/>
  <c r="P38" i="4" l="1"/>
  <c r="P31" i="4"/>
  <c r="P32" i="4" s="1"/>
  <c r="E134" i="6"/>
  <c r="P35" i="4"/>
  <c r="P40" i="4" s="1"/>
  <c r="AH38" i="4"/>
  <c r="AH31" i="4"/>
  <c r="AH32" i="4" s="1"/>
  <c r="E152" i="6"/>
  <c r="AH35" i="4"/>
  <c r="AH40" i="4" s="1"/>
  <c r="G38" i="4"/>
  <c r="G31" i="4"/>
  <c r="G32" i="4" s="1"/>
  <c r="E125" i="6"/>
  <c r="G35" i="4"/>
  <c r="G40" i="4" s="1"/>
  <c r="E31" i="4"/>
  <c r="E32" i="4" s="1"/>
  <c r="E38" i="4"/>
  <c r="E123" i="6"/>
  <c r="E35" i="4"/>
  <c r="E40" i="4" s="1"/>
</calcChain>
</file>

<file path=xl/sharedStrings.xml><?xml version="1.0" encoding="utf-8"?>
<sst xmlns="http://schemas.openxmlformats.org/spreadsheetml/2006/main" count="460" uniqueCount="331">
  <si>
    <t>Libya Water-Energy Model — Summary (2020 vs 2050)</t>
  </si>
  <si>
    <t>Metric</t>
  </si>
  <si>
    <t>2020</t>
  </si>
  <si>
    <t>2050</t>
  </si>
  <si>
    <t>CAGR</t>
  </si>
  <si>
    <t>Notes</t>
  </si>
  <si>
    <t>Population</t>
  </si>
  <si>
    <t>GDP per capita (USD)</t>
  </si>
  <si>
    <t>Total GDP (M USD)</t>
  </si>
  <si>
    <t>Total water demand (M m³/yr)</t>
  </si>
  <si>
    <t xml:space="preserve">  Domestic demand</t>
  </si>
  <si>
    <t xml:space="preserve">  Industrial demand</t>
  </si>
  <si>
    <t xml:space="preserve">  Agricultural demand</t>
  </si>
  <si>
    <t xml:space="preserve">  Tree programme demand</t>
  </si>
  <si>
    <t>~9% of national water use once fully established (2036+)</t>
  </si>
  <si>
    <t>Local groundwater (M m³/yr)</t>
  </si>
  <si>
    <t>GMMR pipeline (M m³/yr)</t>
  </si>
  <si>
    <t>Now declining at −2%/yr (was +recovery)</t>
  </si>
  <si>
    <t>Desalination required (M m³/yr)</t>
  </si>
  <si>
    <t>Makes up deficit</t>
  </si>
  <si>
    <t xml:space="preserve">  Incremental desal for trees</t>
  </si>
  <si>
    <t xml:space="preserve">  SWRO capacity for trees (m³/day)</t>
  </si>
  <si>
    <t>≈3× Libya's current operational desal fleet (~526 k m³/d, Brika 2018)</t>
  </si>
  <si>
    <t>Electricity: groundwater (GWh)</t>
  </si>
  <si>
    <t>Electricity: GMMR (GWh)</t>
  </si>
  <si>
    <t>Electricity: desalination (GWh)</t>
  </si>
  <si>
    <t xml:space="preserve">  of which: for tree programme (GWh)</t>
  </si>
  <si>
    <t>TOTAL electricity (GWh/yr)</t>
  </si>
  <si>
    <t>TOTAL electricity (TWh/yr)</t>
  </si>
  <si>
    <t>System-avg EI (kWh/m³)</t>
  </si>
  <si>
    <t>Electricity per capita (kWh/cap/yr)</t>
  </si>
  <si>
    <t>Desal share of energy (%)</t>
  </si>
  <si>
    <t>Recycled water available (M m³/yr)</t>
  </si>
  <si>
    <t>Recycled water to trees (M m³/yr)</t>
  </si>
  <si>
    <t>Recycled water to agriculture (M m³/yr)</t>
  </si>
  <si>
    <t>Electricity: recycled water (GWh)</t>
  </si>
  <si>
    <t>Note: Total demand rises over time; declining GW and GMMR are balanced by higher desalination and recycled water so total supply still matches demand.</t>
  </si>
  <si>
    <t>Sector water demand chart data</t>
  </si>
  <si>
    <t>Year</t>
  </si>
  <si>
    <t>Domestic</t>
  </si>
  <si>
    <t>Industrial</t>
  </si>
  <si>
    <t>Agriculture</t>
  </si>
  <si>
    <t>Trees</t>
  </si>
  <si>
    <t>Cleaned summary charts</t>
  </si>
  <si>
    <t>Total demand rises over time. Declining groundwater and GMMR are offset by desalination and treated wastewater, so total supply and total electricity demand both rise.</t>
  </si>
  <si>
    <t>Sector water demand full-period data</t>
  </si>
  <si>
    <t>Supply mix data</t>
  </si>
  <si>
    <t>Energy demand data</t>
  </si>
  <si>
    <t>Groundwater</t>
  </si>
  <si>
    <t>GMMR</t>
  </si>
  <si>
    <t>Desalination</t>
  </si>
  <si>
    <t>Treated wastewater</t>
  </si>
  <si>
    <t>Total</t>
  </si>
  <si>
    <t>Demand by sector data</t>
  </si>
  <si>
    <t>Libya Water–Energy Nexus Model (2020–2050)</t>
  </si>
  <si>
    <t>Purpose</t>
  </si>
  <si>
    <t>A simple annual-timestep model that translates population, GDP and a 100-million-tree afforestation programme into sector water demand, allocates demand across three supplies (local groundwater, pipeline transfers from southern fossil aquifers via the Great Man-Made River, and seawater desalination), and computes the associated electricity demand.</t>
  </si>
  <si>
    <t>Country context</t>
  </si>
  <si>
    <t>Libya is one of the most water-stressed countries in the world. Agriculture accounts for ~83% of withdrawals, municipal ~12%, industrial ~5% (FAO AQUASTAT via UNICEF 2022). Total renewable water resources are ~105 m³/cap/yr; &gt;90% of supply comes from non-renewable fossil groundwater. The Great Man-Made River (GMMR) conveys water ~1,000–2,000 km from the Nubian Sandstone Aquifer in the south to coastal demand centres. It is modelled here under "pipeline imports" and is assumed to DECLINE over the model horizon — reflecting aquifer drawdown (estimated depletion within ~60 yr per Lonergan / Columbia State of the Planet 2011), infrastructure damage (by 2019, 101 of 479 western wells dismantled, MEI 2024) and stalled Phase III/IV works.</t>
  </si>
  <si>
    <t>Model logic</t>
  </si>
  <si>
    <t>1.  Population: linear interpolation between UN WPP 2024 medium-variant 2020 (6.735M) and 2050 (9.261M).</t>
  </si>
  <si>
    <t>2.  GDP per capita: user-specified CAGR (default 2.5%/yr).</t>
  </si>
  <si>
    <t>3.  Sector demand:</t>
  </si>
  <si>
    <t xml:space="preserve">     • Domestic = L/cap/day × Population × 365 (with efficiency trend)</t>
  </si>
  <si>
    <t xml:space="preserve">     • Industrial = (m³ / $1000 GDP) × Total GDP (with efficiency trend)</t>
  </si>
  <si>
    <t xml:space="preserve">     • Agricultural = L/cap/day × Population × 365 (with efficiency trend)</t>
  </si>
  <si>
    <t xml:space="preserve">     • Afforestation (100M trees) = active-tree count × L/tree/day × 365</t>
  </si>
  <si>
    <t>4.  Supply allocation (priority order):</t>
  </si>
  <si>
    <t xml:space="preserve">     • Local groundwater: exponential decline from 2020 baseline (overdraft, salinization).</t>
  </si>
  <si>
    <t xml:space="preserve">     • GMMR pipeline: exponential decline from actual 2020 delivery (aquifer + infrastructure).</t>
  </si>
  <si>
    <t xml:space="preserve">     • Desalination = max(0, Demand − Groundwater − Pipeline).  Makes up the deficit.</t>
  </si>
  <si>
    <t>5.  Tree-program desalination burden is isolated by running the deficit calc twice, with and without the tree demand, and reporting the difference as 'Incremental desal for tree program'.</t>
  </si>
  <si>
    <t>6.  Energy = Σ (supply volume × specific energy intensity) for each source.</t>
  </si>
  <si>
    <t>Sheets</t>
  </si>
  <si>
    <t xml:space="preserve">  Inputs     — All assumptions (yellow cells). Change these to run scenarios.</t>
  </si>
  <si>
    <t xml:space="preserve">  Demand     — Annual water demand by sector + tree program, driven by Inputs.</t>
  </si>
  <si>
    <t xml:space="preserve">  Supply     — Annual water supply by source; isolates incremental desal for trees.</t>
  </si>
  <si>
    <t xml:space="preserve">  Energy     — Annual electricity demand by source and intensities.</t>
  </si>
  <si>
    <t xml:space="preserve">  Summary    — 2020 vs 2050 headline numbers, tree-program box, and charts.</t>
  </si>
  <si>
    <t>Data sources &amp; citations</t>
  </si>
  <si>
    <t>• UNICEF (Sep 2022). Libya Water Scarcity and Climate Change Analysis. Uses FAO AQUASTAT.</t>
  </si>
  <si>
    <t xml:space="preserve">   https://www.unicef.org/mena/media/19321/file/Libya%20water%20scarcity%20analysis%20and%20recommendations_%20UNICEF%20Sep%202022.pdf</t>
  </si>
  <si>
    <t>• FAO AQUASTAT. Core database — water withdrawals by sector. https://www.fao.org/aquastat/en/databases/maindatabase/</t>
  </si>
  <si>
    <t>• UN DESA. World Population Prospects 2024, medium variant. https://population.un.org/wpp/</t>
  </si>
  <si>
    <t>• World Bank. Libya country data. https://data.worldbank.org/country/libya</t>
  </si>
  <si>
    <t>• IMF. Libya Article IV Staff Report, June 2025. https://www.imf.org/en/countries/lby</t>
  </si>
  <si>
    <t>• Middle East Institute (2024). What's next for Libya's Great Man-Made River Project? https://mei.edu/publication/whats-next-libyas-great-man-made-river-project/</t>
  </si>
  <si>
    <t>• Columbia State of the Planet (2011). Colonel Qaddafi and the Great Man-made River (aquifer depletion ~60 yr, Lonergan). https://news.climate.columbia.edu/2011/04/01/libya/</t>
  </si>
  <si>
    <t>• Brika, B. (2018). Water Resources and Desalination in Libya: A Review. https://www.mdpi.com/2504-3900/2/11/586</t>
  </si>
  <si>
    <t>• Qasem, Mittal &amp; Arafat (2021). Review of SWRO energy consumption, ScienceDirect. https://www.sciencedirect.com/science/article/abs/pii/S030626191931339X</t>
  </si>
  <si>
    <t>• IRENA (2015). Renewable Energy in the Water–Energy–Food Nexus (desalination 3.5–5 kWh/m³).</t>
  </si>
  <si>
    <t>• Becker, Sapkota, Kolusu et al. (2022). Afforesting arid land with renewable electricity and desalination, Nature Sustainability. https://www.nature.com/articles/s41893-022-01056-7</t>
  </si>
  <si>
    <t>• USU Forestry Extension. Drip Irrigation for Trees (arid landscape tree water demand). https://forestry.usu.edu/trees-cities-towns/tree-care/drip-irrigation</t>
  </si>
  <si>
    <t>100-million-tree programme — assumed parameters (editable on Inputs)</t>
  </si>
  <si>
    <t>• Programme start: 2026.  Planting ramp: 10 years (10 M trees/yr), so 100 M trees by 2036.</t>
  </si>
  <si>
    <t>• Water per tree: 15 L/tree/day — approximate average combining establishment (≈20–30 L/d first 3 yrs) and drought-tolerant maintenance (≈5–15 L/d) under sub-surface drip (Becker et al. 2022 assume drip; USU Extension arid mature tree ≈10.9 gal/d ≈ 41 L/d; lower value reflects species selection for Sahara/coastal).</t>
  </si>
  <si>
    <t>• Implication: once fully established, programme demand ≈ 100 M × 15 L × 365 d ≈ 547 M m³/yr (~9% of national water use) and requires an equivalent incremental desalination plant fleet of ~1.5 M m³/day.</t>
  </si>
  <si>
    <t>Caveats</t>
  </si>
  <si>
    <t>• Libya's economy and water sector are highly disrupted by conflict; historical data are noisy.</t>
  </si>
  <si>
    <t>• GMMR actual delivery is already well below design capacity (2.5 vs 6.5 Mm³/day as of 2017–2024).</t>
  </si>
  <si>
    <t>• Local groundwater yield baseline is a residual estimate — treat as editable.</t>
  </si>
  <si>
    <t>• Industrial intensity is derived (AQUASTAT industrial share ÷ World Bank GDP) and very sensitive.</t>
  </si>
  <si>
    <t>• Thermal desalination (MSF/MED), still ~95% of Libya's legacy fleet per Brika (2018), would have higher equivalent electrical intensity (~15–25 kWh/m³). Default 3.5 kWh/m³ assumes new SWRO buildout.</t>
  </si>
  <si>
    <t>• Tree water demand is highly uncertain — depends on species, microclimate, mulching, drip efficiency, whether rainfall (56 mm/yr) is partially counted. Edit the 'Water per tree' assumption accordingly.</t>
  </si>
  <si>
    <t>• All trends are user-editable; the model is intentionally simple.</t>
  </si>
  <si>
    <t>Colour coding (in calculation sheets)</t>
  </si>
  <si>
    <t>• Blue text = hardcoded input number.  Black text = formula.  Green text = cross-sheet link.</t>
  </si>
  <si>
    <t>• Yellow fill = key assumption to review.  Light-blue fill = section header.  Green fill = total/result.</t>
  </si>
  <si>
    <t>• Light-green fill = 100-million-tree programme rows.</t>
  </si>
  <si>
    <t>UPDATE v2: recycled water and sector allocation logic added.</t>
  </si>
  <si>
    <t>Recycled water is derived from a configurable share of domestic demand, then allocated first to trees and then to agriculture. Urban demand is served first by groundwater, then GMMR, then desalination; industrial second by the same order; agriculture then uses recycled water, groundwater, GMMR, and desalination; trees use recycled water then desalination.</t>
  </si>
  <si>
    <t>UPDATE v3: allocation logic made more user-editable through new Inputs rows for recycled-water split and source-priority shares by sector.</t>
  </si>
  <si>
    <t>Libya Water-Energy Model — Inputs &amp; Assumptions</t>
  </si>
  <si>
    <t>Parameter</t>
  </si>
  <si>
    <t>Value</t>
  </si>
  <si>
    <t>Units</t>
  </si>
  <si>
    <t>Source / Note</t>
  </si>
  <si>
    <t>DEMOGRAPHICS &amp; ECONOMY</t>
  </si>
  <si>
    <t>Population 2020</t>
  </si>
  <si>
    <t>persons</t>
  </si>
  <si>
    <t>UN WPP 2024 medium variant</t>
  </si>
  <si>
    <t>Population 2050</t>
  </si>
  <si>
    <t>GDP per capita 2020</t>
  </si>
  <si>
    <t>USD (current)</t>
  </si>
  <si>
    <t>World Bank WDI 2020 (volatile)</t>
  </si>
  <si>
    <t>GDP per capita CAGR</t>
  </si>
  <si>
    <t>per year</t>
  </si>
  <si>
    <t>Assumption; IMF long-run non-oil trend ~2-3%</t>
  </si>
  <si>
    <t>WATER DEMAND INTENSITIES</t>
  </si>
  <si>
    <t>Domestic water use 2020</t>
  </si>
  <si>
    <t>L/cap/day</t>
  </si>
  <si>
    <t>UNICEF 2022 citing Libya VNR 2020</t>
  </si>
  <si>
    <t>Domestic efficiency trend</t>
  </si>
  <si>
    <t>Assumption: leak reduction, metering</t>
  </si>
  <si>
    <t>Industrial water intensity 2020</t>
  </si>
  <si>
    <t>m³ per $1000 GDP</t>
  </si>
  <si>
    <t>Derived: AQUASTAT industrial share ÷ WB GDP 2020</t>
  </si>
  <si>
    <t>Industrial efficiency trend</t>
  </si>
  <si>
    <t>Assumption: process efficiency</t>
  </si>
  <si>
    <t>Agricultural water use 2020</t>
  </si>
  <si>
    <t>UNICEF 2022 citing AQUASTAT (~83% of total)</t>
  </si>
  <si>
    <t>Agricultural efficiency trend</t>
  </si>
  <si>
    <t>Assumption: irrigation modernization</t>
  </si>
  <si>
    <t>SUPPLY CAPACITY &amp; TRENDS</t>
  </si>
  <si>
    <t>Local groundwater yield 2020</t>
  </si>
  <si>
    <t>M m³/yr</t>
  </si>
  <si>
    <t>Residual estimate: total use ~5.5 Gm³ − GMMR − desal</t>
  </si>
  <si>
    <t>Groundwater decline rate</t>
  </si>
  <si>
    <t>Overdraft &amp; coastal salinization</t>
  </si>
  <si>
    <t>GMMR pipeline delivery 2020</t>
  </si>
  <si>
    <t>2.5 Mm³/day × 365 (MEI 2024)</t>
  </si>
  <si>
    <t>GMMR decline rate</t>
  </si>
  <si>
    <t>Aquifer depletion (Lonergan ~60 yr) + infra decay</t>
  </si>
  <si>
    <t>ENERGY INTENSITIES</t>
  </si>
  <si>
    <t>EI local groundwater 2020</t>
  </si>
  <si>
    <t>kWh/m³</t>
  </si>
  <si>
    <t>USGS/Denver 1.2-1.8 deep; 0.7 shallow/coastal</t>
  </si>
  <si>
    <t>EI groundwater rise rate</t>
  </si>
  <si>
    <t>Water-table drawdown raises lift</t>
  </si>
  <si>
    <t>EI pipeline (GMMR) 2020</t>
  </si>
  <si>
    <t>Deep-well (500 m) + long conveyance; lit. 1.5-2.0</t>
  </si>
  <si>
    <t>EI pipeline rise rate</t>
  </si>
  <si>
    <t>Rising lift as Nubian aquifer draws down</t>
  </si>
  <si>
    <t>EI desalination 2020</t>
  </si>
  <si>
    <t>SWRO with ERDs (IRENA; ScienceDirect)</t>
  </si>
  <si>
    <t>EI desalination 2050</t>
  </si>
  <si>
    <t>Efficiency gains toward 2.8 state-of-art</t>
  </si>
  <si>
    <t>100-MILLION TREE AFFORESTATION PROGRAMME</t>
  </si>
  <si>
    <t>Programme start year</t>
  </si>
  <si>
    <t>year</t>
  </si>
  <si>
    <t>Assumption — edit to shift timeline</t>
  </si>
  <si>
    <t>Planting ramp (years)</t>
  </si>
  <si>
    <t>years</t>
  </si>
  <si>
    <t>Linear planting of target over this period</t>
  </si>
  <si>
    <t>Target trees</t>
  </si>
  <si>
    <t>trees</t>
  </si>
  <si>
    <t>Programme ambition (100 million)</t>
  </si>
  <si>
    <t>Water per tree</t>
  </si>
  <si>
    <t>L/tree/day</t>
  </si>
  <si>
    <t>Drip-irrigated drought-tolerant; Becker et al. 2022; USU ext. ~41 L/d for mature arid shade tree</t>
  </si>
  <si>
    <t>RECYCLED WATER &amp; ALLOCATION</t>
  </si>
  <si>
    <t>Urban wastewater recovery share 2020</t>
  </si>
  <si>
    <t>share of urban water demand met</t>
  </si>
  <si>
    <t>Assumption: recoverable municipal wastewater</t>
  </si>
  <si>
    <t>Urban wastewater recovery share 2050</t>
  </si>
  <si>
    <t>Assumption: better sewerage, treatment, and reuse</t>
  </si>
  <si>
    <t>Recycled water split to trees 2020</t>
  </si>
  <si>
    <t>share of recycled water</t>
  </si>
  <si>
    <t>Allocation priority from recycled water</t>
  </si>
  <si>
    <t>Recycled water split to trees 2050</t>
  </si>
  <si>
    <t>Less tree priority over time as ag reuse scales</t>
  </si>
  <si>
    <t>EI recycled water 2020</t>
  </si>
  <si>
    <t>Assumption: treatment + pumping for non-potable reuse</t>
  </si>
  <si>
    <t>EI recycled water 2050</t>
  </si>
  <si>
    <t>Efficiency improvement assumption</t>
  </si>
  <si>
    <t>EDITABLE ALLOCATION SHARES</t>
  </si>
  <si>
    <t>Editable share; remainder goes to agriculture</t>
  </si>
  <si>
    <t>Urban priority GW share</t>
  </si>
  <si>
    <t>share of urban demand</t>
  </si>
  <si>
    <t>Default strict priority</t>
  </si>
  <si>
    <t>Urban priority GMMR share</t>
  </si>
  <si>
    <t>share of urban residual</t>
  </si>
  <si>
    <t>Industrial priority GW share</t>
  </si>
  <si>
    <t>share of industrial demand</t>
  </si>
  <si>
    <t>Industrial priority GMMR share</t>
  </si>
  <si>
    <t>share of industrial residual</t>
  </si>
  <si>
    <t>Agriculture priority GW share</t>
  </si>
  <si>
    <t>share of ag residual demand</t>
  </si>
  <si>
    <t>Agriculture priority GMMR share</t>
  </si>
  <si>
    <t>share of ag residual after GW</t>
  </si>
  <si>
    <t>Water Demand Projections — Libya (2020–2050)</t>
  </si>
  <si>
    <t>Linear interp UN WPP 2024 (2020 ↔ 2050)</t>
  </si>
  <si>
    <t>GDP per capita</t>
  </si>
  <si>
    <t>USD</t>
  </si>
  <si>
    <t>GDP_pc_2020 × (1+CAGR)^(year-2020)</t>
  </si>
  <si>
    <t>Total GDP</t>
  </si>
  <si>
    <t>M USD</t>
  </si>
  <si>
    <t>Population × GDP per capita / 1e6</t>
  </si>
  <si>
    <t>Domestic intensity</t>
  </si>
  <si>
    <t>Base × (1+eff)^(year-2020)</t>
  </si>
  <si>
    <t>Industrial intensity</t>
  </si>
  <si>
    <t>m³/$1000 GDP</t>
  </si>
  <si>
    <t>Agricultural intensity</t>
  </si>
  <si>
    <t>Domestic demand</t>
  </si>
  <si>
    <t>Pop × lpcd × 365 / 1e9</t>
  </si>
  <si>
    <t>Industrial demand</t>
  </si>
  <si>
    <t>GDP(M USD) × (m³/$1000) / 1000</t>
  </si>
  <si>
    <t>Agricultural demand</t>
  </si>
  <si>
    <t>Active trees (100 M program)</t>
  </si>
  <si>
    <t>MIN(target, MAX(0, target×(year−start)/ramp))</t>
  </si>
  <si>
    <t>Tree programme demand</t>
  </si>
  <si>
    <t>Active trees × L/tree/day × 365 / 1e9</t>
  </si>
  <si>
    <t>TOTAL water demand</t>
  </si>
  <si>
    <t>Sum of sectors + tree program</t>
  </si>
  <si>
    <t>Water Supply Allocation — Libya (2020–2050)</t>
  </si>
  <si>
    <t>Total water demand</t>
  </si>
  <si>
    <t>link ← Demand row 19</t>
  </si>
  <si>
    <t>Of which tree programme</t>
  </si>
  <si>
    <t>link ← Demand row 17</t>
  </si>
  <si>
    <t>Local groundwater available</t>
  </si>
  <si>
    <t>GW_2020 × (1+decline)^(year-2020)</t>
  </si>
  <si>
    <t>Pipeline (GMMR) available</t>
  </si>
  <si>
    <t>GMMR_2020 × (1+decline)^(year-2020)</t>
  </si>
  <si>
    <t>Groundwater + Pipeline</t>
  </si>
  <si>
    <t>GW + GMMR</t>
  </si>
  <si>
    <t>link ← Demand domestic</t>
  </si>
  <si>
    <t>link ← Demand industrial</t>
  </si>
  <si>
    <t>link ← Demand agriculture</t>
  </si>
  <si>
    <t>Recycled water available</t>
  </si>
  <si>
    <t>Urban demand met × recovery share</t>
  </si>
  <si>
    <t>Recycled water to trees</t>
  </si>
  <si>
    <t>Allocated first from recycled water, capped by tree demand</t>
  </si>
  <si>
    <t>Recycled water to agriculture</t>
  </si>
  <si>
    <t>Residual recycled water after trees</t>
  </si>
  <si>
    <t>Urban from groundwater</t>
  </si>
  <si>
    <t>Urban first draw on GW</t>
  </si>
  <si>
    <t>Urban from GMMR</t>
  </si>
  <si>
    <t>Urban then GMMR</t>
  </si>
  <si>
    <t>Urban from desalination</t>
  </si>
  <si>
    <t>Urban residual desal</t>
  </si>
  <si>
    <t>Industrial from groundwater</t>
  </si>
  <si>
    <t>Industrial second draw on GW</t>
  </si>
  <si>
    <t>Industrial from GMMR</t>
  </si>
  <si>
    <t>Industrial then GMMR</t>
  </si>
  <si>
    <t>Industrial from desalination</t>
  </si>
  <si>
    <t>Industrial residual desal</t>
  </si>
  <si>
    <t>Agriculture from groundwater</t>
  </si>
  <si>
    <t>Agriculture draw on GW after recycled</t>
  </si>
  <si>
    <t>Agriculture from GMMR</t>
  </si>
  <si>
    <t>Agriculture then GMMR</t>
  </si>
  <si>
    <t>Agriculture from desalination</t>
  </si>
  <si>
    <t>Agriculture residual desal</t>
  </si>
  <si>
    <t>Trees from desalination</t>
  </si>
  <si>
    <t>Tree residual after recycled</t>
  </si>
  <si>
    <t>CHECK: allocated demand incl recycled</t>
  </si>
  <si>
    <t>Should equal total demand</t>
  </si>
  <si>
    <t>Desalination required (total)</t>
  </si>
  <si>
    <t>MAX(0, Total demand − GW − GMMR)</t>
  </si>
  <si>
    <t>Desalination if NO tree programme</t>
  </si>
  <si>
    <t>MAX(0, (Demand−Tree) − GW − GMMR)</t>
  </si>
  <si>
    <t>Incremental desal for tree programme</t>
  </si>
  <si>
    <t>Row 12 − Row 13</t>
  </si>
  <si>
    <t>→ equivalent SWRO capacity</t>
  </si>
  <si>
    <t>m³/day</t>
  </si>
  <si>
    <t>Row 14 × 1e6 / 365</t>
  </si>
  <si>
    <t>Recycled water used (total)</t>
  </si>
  <si>
    <t>Recycled water to trees + agriculture</t>
  </si>
  <si>
    <t>Total water supply (incl. recycled)</t>
  </si>
  <si>
    <t>GW + GMMR + desal + recycled</t>
  </si>
  <si>
    <t>Share: Local groundwater</t>
  </si>
  <si>
    <t>%</t>
  </si>
  <si>
    <t>Share: GMMR pipeline</t>
  </si>
  <si>
    <t>Share: Desalination</t>
  </si>
  <si>
    <t>CHECK: Supply − Demand</t>
  </si>
  <si>
    <t>Should equal zero</t>
  </si>
  <si>
    <t>Electricity Demand for Water Supply — Libya (2020–2050)</t>
  </si>
  <si>
    <t>EI local groundwater</t>
  </si>
  <si>
    <t>EI_GW_2020 × (1+rise)^(year-2020)</t>
  </si>
  <si>
    <t>EI pipeline (GMMR)</t>
  </si>
  <si>
    <t>EI_pipe × (1+rise)^(year-2020)</t>
  </si>
  <si>
    <t>EI desalination (SWRO)</t>
  </si>
  <si>
    <t>Linear from EI_2020 to EI_2050</t>
  </si>
  <si>
    <t>Energy: Local groundwater</t>
  </si>
  <si>
    <t>GWh/yr</t>
  </si>
  <si>
    <t>EI × volume (M m³)</t>
  </si>
  <si>
    <t>Energy: Pipeline (GMMR)</t>
  </si>
  <si>
    <t>EI × volume</t>
  </si>
  <si>
    <t xml:space="preserve">  of which: for tree programme</t>
  </si>
  <si>
    <t>EI × incremental desal volume</t>
  </si>
  <si>
    <t>EI recycled water</t>
  </si>
  <si>
    <t>EI × recycled water volume</t>
  </si>
  <si>
    <t>TOTAL electricity demand</t>
  </si>
  <si>
    <t>GW + GMMR + Desal</t>
  </si>
  <si>
    <t>TWh/yr</t>
  </si>
  <si>
    <t>GWh / 1000</t>
  </si>
  <si>
    <t>Total energy (GWh) / Total water (M m³)</t>
  </si>
  <si>
    <t>Electricity per capita</t>
  </si>
  <si>
    <t>kWh/cap/yr</t>
  </si>
  <si>
    <t>Total energy × 1e6 / Population</t>
  </si>
  <si>
    <t>Desalination share of energy</t>
  </si>
  <si>
    <t>*</t>
  </si>
  <si>
    <t>Great Man Made River</t>
  </si>
  <si>
    <t>PJ/yr</t>
  </si>
  <si>
    <t>GW * × 0.0036 PJ/GWh</t>
  </si>
  <si>
    <t>BAU</t>
  </si>
  <si>
    <t>Unconditional</t>
  </si>
  <si>
    <t>Conditional</t>
  </si>
  <si>
    <t>Energy: Recycled water (RW)</t>
  </si>
  <si>
    <t>GW + GMMR + RW</t>
  </si>
  <si>
    <t>GW + GMMR + RW + DESAL</t>
  </si>
  <si>
    <t>Energy: Desalination (total) (DESAL)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</si>
</sst>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#,##0.0"/>
    <numFmt numFmtId="166" formatCode="0.0%"/>
    <numFmt numFmtId="167" formatCode="0.000"/>
  </numFmts>
  <fonts count="17" x14ac:knownFonts="1">
    <font>
      <sz val="11"/>
      <color theme="1"/>
      <name val="Calibri"/>
      <family val="2"/>
      <charset val="1"/>
    </font>
    <font>
      <b/>
      <sz val="16"/>
      <color rgb="FF000000"/>
      <name val="Arial"/>
      <family val="2"/>
    </font>
    <font>
      <b/>
      <sz val="13"/>
      <color rgb="FF000000"/>
      <name val="Arial"/>
      <family val="2"/>
    </font>
    <font>
      <sz val="11"/>
      <color rgb="FF0563C1"/>
      <name val="Arial"/>
      <family val="2"/>
    </font>
    <font>
      <b/>
      <sz val="14"/>
      <color rgb="FF000000"/>
      <name val="Arial"/>
      <family val="2"/>
    </font>
    <font>
      <b/>
      <sz val="11"/>
      <color rgb="FFFFFFFF"/>
      <name val="Arial"/>
      <family val="2"/>
    </font>
    <font>
      <b/>
      <sz val="11"/>
      <color rgb="FF1F4E79"/>
      <name val="Arial"/>
      <family val="2"/>
    </font>
    <font>
      <sz val="11"/>
      <color rgb="FF000000"/>
      <name val="Arial"/>
      <family val="2"/>
    </font>
    <font>
      <sz val="11"/>
      <color rgb="FF0000FF"/>
      <name val="Arial"/>
      <family val="2"/>
    </font>
    <font>
      <i/>
      <sz val="11"/>
      <color rgb="FF000000"/>
      <name val="Arial"/>
      <family val="2"/>
    </font>
    <font>
      <sz val="10"/>
      <color rgb="FF000000"/>
      <name val="Arial"/>
      <family val="2"/>
    </font>
    <font>
      <sz val="11"/>
      <color rgb="FF008000"/>
      <name val="Arial"/>
      <family val="2"/>
    </font>
    <font>
      <b/>
      <sz val="11"/>
      <color rgb="FF000000"/>
      <name val="Arial"/>
      <family val="2"/>
    </font>
    <font>
      <i/>
      <sz val="10"/>
      <color rgb="FF000000"/>
      <name val="Arial"/>
      <family val="2"/>
    </font>
    <font>
      <b/>
      <sz val="11"/>
      <color rgb="FF008000"/>
      <name val="Arial"/>
      <family val="2"/>
    </font>
    <font>
      <sz val="11"/>
      <color rgb="FF0000FF"/>
      <name val="Calibri"/>
      <family val="2"/>
    </font>
    <font>
      <b/>
      <sz val="13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1F2"/>
        <bgColor rgb="FFD9D9D9"/>
      </patternFill>
    </fill>
    <fill>
      <patternFill patternType="solid">
        <fgColor rgb="FFFFF2CC"/>
        <bgColor rgb="FFFCE4D6"/>
      </patternFill>
    </fill>
    <fill>
      <patternFill patternType="solid">
        <fgColor rgb="FFE4F6E1"/>
        <bgColor rgb="FFE2EFDA"/>
      </patternFill>
    </fill>
    <fill>
      <patternFill patternType="solid">
        <fgColor rgb="FFE2EFDA"/>
        <bgColor rgb="FFE4F6E1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E4F6E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rgb="FFE4F6E1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4" fillId="0" borderId="0" xfId="0" applyFont="1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8" fillId="4" borderId="1" xfId="0" applyFont="1" applyFill="1" applyBorder="1" applyAlignment="1">
      <alignment horizontal="right" vertical="center"/>
    </xf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5" fillId="2" borderId="0" xfId="0" applyFont="1" applyFill="1" applyAlignment="1">
      <alignment horizontal="center" vertical="center"/>
    </xf>
    <xf numFmtId="1" fontId="5" fillId="2" borderId="0" xfId="0" applyNumberFormat="1" applyFont="1" applyFill="1" applyAlignment="1">
      <alignment horizontal="center" vertical="center"/>
    </xf>
    <xf numFmtId="0" fontId="7" fillId="0" borderId="0" xfId="0" applyFont="1"/>
    <xf numFmtId="0" fontId="9" fillId="0" borderId="0" xfId="0" applyFont="1"/>
    <xf numFmtId="0" fontId="10" fillId="0" borderId="0" xfId="0" applyFont="1"/>
    <xf numFmtId="3" fontId="11" fillId="0" borderId="0" xfId="0" applyNumberFormat="1" applyFont="1"/>
    <xf numFmtId="3" fontId="7" fillId="0" borderId="0" xfId="0" applyNumberFormat="1" applyFont="1"/>
    <xf numFmtId="164" fontId="11" fillId="0" borderId="0" xfId="0" applyNumberFormat="1" applyFont="1"/>
    <xf numFmtId="2" fontId="11" fillId="0" borderId="0" xfId="0" applyNumberFormat="1" applyFont="1"/>
    <xf numFmtId="165" fontId="7" fillId="0" borderId="0" xfId="0" applyNumberFormat="1" applyFont="1"/>
    <xf numFmtId="3" fontId="11" fillId="5" borderId="0" xfId="0" applyNumberFormat="1" applyFont="1" applyFill="1"/>
    <xf numFmtId="165" fontId="7" fillId="5" borderId="0" xfId="0" applyNumberFormat="1" applyFont="1" applyFill="1"/>
    <xf numFmtId="0" fontId="12" fillId="0" borderId="0" xfId="0" applyFont="1"/>
    <xf numFmtId="165" fontId="12" fillId="6" borderId="0" xfId="0" applyNumberFormat="1" applyFont="1" applyFill="1"/>
    <xf numFmtId="165" fontId="11" fillId="0" borderId="0" xfId="0" applyNumberFormat="1" applyFont="1"/>
    <xf numFmtId="165" fontId="11" fillId="5" borderId="0" xfId="0" applyNumberFormat="1" applyFont="1" applyFill="1"/>
    <xf numFmtId="165" fontId="12" fillId="5" borderId="0" xfId="0" applyNumberFormat="1" applyFont="1" applyFill="1"/>
    <xf numFmtId="3" fontId="7" fillId="5" borderId="0" xfId="0" applyNumberFormat="1" applyFont="1" applyFill="1"/>
    <xf numFmtId="166" fontId="7" fillId="0" borderId="0" xfId="0" applyNumberFormat="1" applyFont="1"/>
    <xf numFmtId="4" fontId="7" fillId="7" borderId="0" xfId="0" applyNumberFormat="1" applyFont="1" applyFill="1"/>
    <xf numFmtId="167" fontId="11" fillId="0" borderId="0" xfId="0" applyNumberFormat="1" applyFont="1"/>
    <xf numFmtId="2" fontId="12" fillId="6" borderId="0" xfId="0" applyNumberFormat="1" applyFont="1" applyFill="1"/>
    <xf numFmtId="167" fontId="7" fillId="0" borderId="0" xfId="0" applyNumberFormat="1" applyFont="1"/>
    <xf numFmtId="0" fontId="7" fillId="0" borderId="1" xfId="0" applyFont="1" applyBorder="1"/>
    <xf numFmtId="3" fontId="11" fillId="0" borderId="1" xfId="0" applyNumberFormat="1" applyFont="1" applyBorder="1"/>
    <xf numFmtId="10" fontId="7" fillId="0" borderId="1" xfId="0" applyNumberFormat="1" applyFont="1" applyBorder="1"/>
    <xf numFmtId="0" fontId="13" fillId="0" borderId="1" xfId="0" applyFont="1" applyBorder="1"/>
    <xf numFmtId="0" fontId="12" fillId="6" borderId="1" xfId="0" applyFont="1" applyFill="1" applyBorder="1"/>
    <xf numFmtId="165" fontId="14" fillId="6" borderId="1" xfId="0" applyNumberFormat="1" applyFont="1" applyFill="1" applyBorder="1"/>
    <xf numFmtId="10" fontId="12" fillId="6" borderId="1" xfId="0" applyNumberFormat="1" applyFont="1" applyFill="1" applyBorder="1"/>
    <xf numFmtId="0" fontId="13" fillId="6" borderId="1" xfId="0" applyFont="1" applyFill="1" applyBorder="1"/>
    <xf numFmtId="165" fontId="11" fillId="0" borderId="1" xfId="0" applyNumberFormat="1" applyFont="1" applyBorder="1"/>
    <xf numFmtId="0" fontId="7" fillId="5" borderId="1" xfId="0" applyFont="1" applyFill="1" applyBorder="1"/>
    <xf numFmtId="165" fontId="11" fillId="5" borderId="1" xfId="0" applyNumberFormat="1" applyFont="1" applyFill="1" applyBorder="1"/>
    <xf numFmtId="10" fontId="7" fillId="5" borderId="1" xfId="0" applyNumberFormat="1" applyFont="1" applyFill="1" applyBorder="1"/>
    <xf numFmtId="0" fontId="13" fillId="5" borderId="1" xfId="0" applyFont="1" applyFill="1" applyBorder="1"/>
    <xf numFmtId="0" fontId="12" fillId="0" borderId="1" xfId="0" applyFont="1" applyBorder="1"/>
    <xf numFmtId="165" fontId="14" fillId="0" borderId="1" xfId="0" applyNumberFormat="1" applyFont="1" applyBorder="1"/>
    <xf numFmtId="10" fontId="12" fillId="0" borderId="1" xfId="0" applyNumberFormat="1" applyFont="1" applyBorder="1"/>
    <xf numFmtId="3" fontId="11" fillId="5" borderId="1" xfId="0" applyNumberFormat="1" applyFont="1" applyFill="1" applyBorder="1"/>
    <xf numFmtId="3" fontId="14" fillId="6" borderId="1" xfId="0" applyNumberFormat="1" applyFont="1" applyFill="1" applyBorder="1"/>
    <xf numFmtId="2" fontId="14" fillId="6" borderId="1" xfId="0" applyNumberFormat="1" applyFont="1" applyFill="1" applyBorder="1"/>
    <xf numFmtId="2" fontId="11" fillId="0" borderId="1" xfId="0" applyNumberFormat="1" applyFont="1" applyBorder="1"/>
    <xf numFmtId="166" fontId="11" fillId="0" borderId="1" xfId="0" applyNumberFormat="1" applyFont="1" applyBorder="1"/>
    <xf numFmtId="0" fontId="15" fillId="8" borderId="0" xfId="0" applyFont="1" applyFill="1"/>
    <xf numFmtId="0" fontId="16" fillId="0" borderId="0" xfId="0" applyFont="1"/>
    <xf numFmtId="0" fontId="0" fillId="0" borderId="0" xfId="0" applyAlignment="1">
      <alignment wrapText="1"/>
    </xf>
    <xf numFmtId="0" fontId="9" fillId="9" borderId="0" xfId="0" applyFont="1" applyFill="1"/>
    <xf numFmtId="0" fontId="10" fillId="9" borderId="0" xfId="0" applyFont="1" applyFill="1"/>
    <xf numFmtId="0" fontId="7" fillId="10" borderId="0" xfId="0" applyFont="1" applyFill="1"/>
    <xf numFmtId="0" fontId="9" fillId="10" borderId="0" xfId="0" applyFont="1" applyFill="1"/>
    <xf numFmtId="0" fontId="10" fillId="10" borderId="0" xfId="0" applyFont="1" applyFill="1"/>
    <xf numFmtId="0" fontId="12" fillId="10" borderId="0" xfId="0" applyFont="1" applyFill="1"/>
    <xf numFmtId="2" fontId="12" fillId="11" borderId="0" xfId="0" applyNumberFormat="1" applyFont="1" applyFill="1"/>
    <xf numFmtId="2" fontId="12" fillId="0" borderId="0" xfId="0" applyNumberFormat="1" applyFont="1"/>
    <xf numFmtId="0" fontId="0" fillId="12" borderId="0" xfId="0" applyFill="1"/>
    <xf numFmtId="2" fontId="12" fillId="13" borderId="0" xfId="0" applyNumberFormat="1" applyFont="1" applyFill="1"/>
    <xf numFmtId="0" fontId="6" fillId="3" borderId="0" xfId="0" applyFont="1" applyFill="1" applyAlignment="1">
      <alignment horizontal="left" vertical="center" wrapText="1"/>
    </xf>
    <xf numFmtId="0" fontId="0" fillId="0" borderId="0" xfId="0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16A9C"/>
      <rgbColor rgb="FFB4B4B4"/>
      <rgbColor rgb="FF878787"/>
      <rgbColor rgb="FF9999FF"/>
      <rgbColor rgb="FFBE4B48"/>
      <rgbColor rgb="FFFFF2CC"/>
      <rgbColor rgb="FFE2EFDA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4F6E1"/>
      <rgbColor rgb="FFF9F9F9"/>
      <rgbColor rgb="FFAABAD7"/>
      <rgbColor rgb="FFFF99CC"/>
      <rgbColor rgb="FFCC99FF"/>
      <rgbColor rgb="FFFCE4D6"/>
      <rgbColor rgb="FF4A7EBB"/>
      <rgbColor rgb="FF46AAC4"/>
      <rgbColor rgb="FF98B855"/>
      <rgbColor rgb="FFFFCC00"/>
      <rgbColor rgb="FFFF9900"/>
      <rgbColor rgb="FFFF6600"/>
      <rgbColor rgb="FF7D5FA0"/>
      <rgbColor rgb="FF9BBB59"/>
      <rgbColor rgb="FF003366"/>
      <rgbColor rgb="FF4F81BD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Water supply mix (M m³/yr)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Summary!$C$121</c:f>
              <c:strCache>
                <c:ptCount val="1"/>
                <c:pt idx="0">
                  <c:v>Groundwater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Summary!$B$122:$B$152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Summary!$C$122:$C$152</c:f>
              <c:numCache>
                <c:formatCode>General</c:formatCode>
                <c:ptCount val="31"/>
                <c:pt idx="0">
                  <c:v>3500</c:v>
                </c:pt>
                <c:pt idx="1">
                  <c:v>3447.5</c:v>
                </c:pt>
                <c:pt idx="2">
                  <c:v>3395.7874999999999</c:v>
                </c:pt>
                <c:pt idx="3">
                  <c:v>3344.8506875000003</c:v>
                </c:pt>
                <c:pt idx="4">
                  <c:v>3294.6779271874998</c:v>
                </c:pt>
                <c:pt idx="5">
                  <c:v>3245.2577582796876</c:v>
                </c:pt>
                <c:pt idx="6">
                  <c:v>3196.5788919054921</c:v>
                </c:pt>
                <c:pt idx="7">
                  <c:v>3148.6302085269099</c:v>
                </c:pt>
                <c:pt idx="8">
                  <c:v>3101.4007553990064</c:v>
                </c:pt>
                <c:pt idx="9">
                  <c:v>3054.879744068021</c:v>
                </c:pt>
                <c:pt idx="10">
                  <c:v>3009.056547907001</c:v>
                </c:pt>
                <c:pt idx="11">
                  <c:v>2963.9206996883959</c:v>
                </c:pt>
                <c:pt idx="12">
                  <c:v>2919.46188919307</c:v>
                </c:pt>
                <c:pt idx="13">
                  <c:v>2875.6699608551739</c:v>
                </c:pt>
                <c:pt idx="14">
                  <c:v>2832.5349114423466</c:v>
                </c:pt>
                <c:pt idx="15">
                  <c:v>2790.0468877707108</c:v>
                </c:pt>
                <c:pt idx="16">
                  <c:v>2748.1961844541502</c:v>
                </c:pt>
                <c:pt idx="17">
                  <c:v>2706.973241687338</c:v>
                </c:pt>
                <c:pt idx="18">
                  <c:v>2666.3686430620278</c:v>
                </c:pt>
                <c:pt idx="19">
                  <c:v>2626.3731134160976</c:v>
                </c:pt>
                <c:pt idx="20">
                  <c:v>2586.9775167148564</c:v>
                </c:pt>
                <c:pt idx="21">
                  <c:v>2548.1728539641335</c:v>
                </c:pt>
                <c:pt idx="22">
                  <c:v>2509.9502611546714</c:v>
                </c:pt>
                <c:pt idx="23">
                  <c:v>2472.3010072373513</c:v>
                </c:pt>
                <c:pt idx="24">
                  <c:v>2435.2164921287908</c:v>
                </c:pt>
                <c:pt idx="25">
                  <c:v>2398.6882447468593</c:v>
                </c:pt>
                <c:pt idx="26">
                  <c:v>2362.707921075656</c:v>
                </c:pt>
                <c:pt idx="27">
                  <c:v>2327.2673022595213</c:v>
                </c:pt>
                <c:pt idx="28">
                  <c:v>2292.3582927256284</c:v>
                </c:pt>
                <c:pt idx="29">
                  <c:v>2257.972918334744</c:v>
                </c:pt>
                <c:pt idx="30">
                  <c:v>2224.1033245597232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78-9E43-AAD7-49BE962CB105}"/>
            </c:ext>
          </c:extLst>
        </c:ser>
        <c:ser>
          <c:idx val="1"/>
          <c:order val="1"/>
          <c:tx>
            <c:strRef>
              <c:f>Summary!$D$121</c:f>
              <c:strCache>
                <c:ptCount val="1"/>
                <c:pt idx="0">
                  <c:v>GMMR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Summary!$B$122:$B$152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Summary!$D$122:$D$152</c:f>
              <c:numCache>
                <c:formatCode>General</c:formatCode>
                <c:ptCount val="31"/>
                <c:pt idx="0">
                  <c:v>912</c:v>
                </c:pt>
                <c:pt idx="1">
                  <c:v>893.76</c:v>
                </c:pt>
                <c:pt idx="2">
                  <c:v>875.88479999999993</c:v>
                </c:pt>
                <c:pt idx="3">
                  <c:v>858.36710399999993</c:v>
                </c:pt>
                <c:pt idx="4">
                  <c:v>841.1997619199999</c:v>
                </c:pt>
                <c:pt idx="5">
                  <c:v>824.37576668159988</c:v>
                </c:pt>
                <c:pt idx="6">
                  <c:v>807.88825134796787</c:v>
                </c:pt>
                <c:pt idx="7">
                  <c:v>791.73048632100847</c:v>
                </c:pt>
                <c:pt idx="8">
                  <c:v>775.89587659458823</c:v>
                </c:pt>
                <c:pt idx="9">
                  <c:v>760.3779590626965</c:v>
                </c:pt>
                <c:pt idx="10">
                  <c:v>745.17039988144245</c:v>
                </c:pt>
                <c:pt idx="11">
                  <c:v>730.2669918838136</c:v>
                </c:pt>
                <c:pt idx="12">
                  <c:v>715.66165204613731</c:v>
                </c:pt>
                <c:pt idx="13">
                  <c:v>701.34841900521451</c:v>
                </c:pt>
                <c:pt idx="14">
                  <c:v>687.32145062511029</c:v>
                </c:pt>
                <c:pt idx="15">
                  <c:v>673.575021612608</c:v>
                </c:pt>
                <c:pt idx="16">
                  <c:v>660.10352118035587</c:v>
                </c:pt>
                <c:pt idx="17">
                  <c:v>646.90145075674877</c:v>
                </c:pt>
                <c:pt idx="18">
                  <c:v>633.96342174161373</c:v>
                </c:pt>
                <c:pt idx="19">
                  <c:v>621.28415330678149</c:v>
                </c:pt>
                <c:pt idx="20">
                  <c:v>608.85847024064583</c:v>
                </c:pt>
                <c:pt idx="21">
                  <c:v>596.68130083583287</c:v>
                </c:pt>
                <c:pt idx="22">
                  <c:v>584.74767481911624</c:v>
                </c:pt>
                <c:pt idx="23">
                  <c:v>573.05272132273387</c:v>
                </c:pt>
                <c:pt idx="24">
                  <c:v>561.59166689627921</c:v>
                </c:pt>
                <c:pt idx="25">
                  <c:v>550.35983355835356</c:v>
                </c:pt>
                <c:pt idx="26">
                  <c:v>539.35263688718646</c:v>
                </c:pt>
                <c:pt idx="27">
                  <c:v>528.56558414944266</c:v>
                </c:pt>
                <c:pt idx="28">
                  <c:v>517.99427246645382</c:v>
                </c:pt>
                <c:pt idx="29">
                  <c:v>507.63438701712477</c:v>
                </c:pt>
                <c:pt idx="30">
                  <c:v>497.48169927678225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78-9E43-AAD7-49BE962CB105}"/>
            </c:ext>
          </c:extLst>
        </c:ser>
        <c:ser>
          <c:idx val="2"/>
          <c:order val="2"/>
          <c:tx>
            <c:strRef>
              <c:f>Summary!$E$121</c:f>
              <c:strCache>
                <c:ptCount val="1"/>
                <c:pt idx="0">
                  <c:v>Desalination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Summary!$B$122:$B$152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Summary!$E$122:$E$152</c:f>
              <c:numCache>
                <c:formatCode>General</c:formatCode>
                <c:ptCount val="31"/>
                <c:pt idx="0">
                  <c:v>1595.6943241449503</c:v>
                </c:pt>
                <c:pt idx="1">
                  <c:v>1694.3585670248515</c:v>
                </c:pt>
                <c:pt idx="2">
                  <c:v>1791.1741394860464</c:v>
                </c:pt>
                <c:pt idx="3">
                  <c:v>1886.174854407428</c:v>
                </c:pt>
                <c:pt idx="4">
                  <c:v>1979.3941228911738</c:v>
                </c:pt>
                <c:pt idx="5">
                  <c:v>2070.8649620595402</c:v>
                </c:pt>
                <c:pt idx="6">
                  <c:v>2160.6200027569244</c:v>
                </c:pt>
                <c:pt idx="7">
                  <c:v>2303.4414971592614</c:v>
                </c:pt>
                <c:pt idx="8">
                  <c:v>2444.6113262929493</c:v>
                </c:pt>
                <c:pt idx="9">
                  <c:v>2584.1610074653358</c:v>
                </c:pt>
                <c:pt idx="10">
                  <c:v>2722.1217016088258</c:v>
                </c:pt>
                <c:pt idx="11">
                  <c:v>2858.5242205406857</c:v>
                </c:pt>
                <c:pt idx="12">
                  <c:v>2993.3990341404842</c:v>
                </c:pt>
                <c:pt idx="13">
                  <c:v>3126.7762774471939</c:v>
                </c:pt>
                <c:pt idx="14">
                  <c:v>3258.6857576779116</c:v>
                </c:pt>
                <c:pt idx="15">
                  <c:v>3389.1569611700825</c:v>
                </c:pt>
                <c:pt idx="16">
                  <c:v>3518.2190602491764</c:v>
                </c:pt>
                <c:pt idx="17">
                  <c:v>3591.1509200236869</c:v>
                </c:pt>
                <c:pt idx="18">
                  <c:v>3662.7311051093011</c:v>
                </c:pt>
                <c:pt idx="19">
                  <c:v>3732.9878862841051</c:v>
                </c:pt>
                <c:pt idx="20">
                  <c:v>3801.9492470765913</c:v>
                </c:pt>
                <c:pt idx="21">
                  <c:v>3869.6428902883463</c:v>
                </c:pt>
                <c:pt idx="22">
                  <c:v>3936.0962444530855</c:v>
                </c:pt>
                <c:pt idx="23">
                  <c:v>4001.336470233914</c:v>
                </c:pt>
                <c:pt idx="24">
                  <c:v>4065.3904667604256</c:v>
                </c:pt>
                <c:pt idx="25">
                  <c:v>4128.2848779074711</c:v>
                </c:pt>
                <c:pt idx="26">
                  <c:v>4190.0460985172194</c:v>
                </c:pt>
                <c:pt idx="27">
                  <c:v>4250.7002805662014</c:v>
                </c:pt>
                <c:pt idx="28">
                  <c:v>4310.2733392790733</c:v>
                </c:pt>
                <c:pt idx="29">
                  <c:v>4368.7909591906327</c:v>
                </c:pt>
                <c:pt idx="30">
                  <c:v>4426.2786001578343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78-9E43-AAD7-49BE962CB105}"/>
            </c:ext>
          </c:extLst>
        </c:ser>
        <c:ser>
          <c:idx val="3"/>
          <c:order val="3"/>
          <c:tx>
            <c:strRef>
              <c:f>Summary!$F$121</c:f>
              <c:strCache>
                <c:ptCount val="1"/>
                <c:pt idx="0">
                  <c:v>Treated wastewater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Summary!$B$122:$B$152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Summary!$F$122:$F$152</c:f>
              <c:numCache>
                <c:formatCode>General</c:formatCode>
                <c:ptCount val="31"/>
                <c:pt idx="0">
                  <c:v>153.03391253625</c:v>
                </c:pt>
                <c:pt idx="1">
                  <c:v>161.02388017348088</c:v>
                </c:pt>
                <c:pt idx="2">
                  <c:v>169.09843712266542</c:v>
                </c:pt>
                <c:pt idx="3">
                  <c:v>177.25569616731241</c:v>
                </c:pt>
                <c:pt idx="4">
                  <c:v>185.49379105623368</c:v>
                </c:pt>
                <c:pt idx="5">
                  <c:v>193.81087632003215</c:v>
                </c:pt>
                <c:pt idx="6">
                  <c:v>202.20512708900591</c:v>
                </c:pt>
                <c:pt idx="7">
                  <c:v>210.67473891245871</c:v>
                </c:pt>
                <c:pt idx="8">
                  <c:v>219.21792757940622</c:v>
                </c:pt>
                <c:pt idx="9">
                  <c:v>227.8329289406683</c:v>
                </c:pt>
                <c:pt idx="10">
                  <c:v>236.51799873233784</c:v>
                </c:pt>
                <c:pt idx="11">
                  <c:v>245.27141240061565</c:v>
                </c:pt>
                <c:pt idx="12">
                  <c:v>254.09146492800227</c:v>
                </c:pt>
                <c:pt idx="13">
                  <c:v>262.97647066083601</c:v>
                </c:pt>
                <c:pt idx="14">
                  <c:v>271.924763138169</c:v>
                </c:pt>
                <c:pt idx="15">
                  <c:v>280.93469492197073</c:v>
                </c:pt>
                <c:pt idx="16">
                  <c:v>290.00463742864946</c:v>
                </c:pt>
                <c:pt idx="17">
                  <c:v>299.13298076188306</c:v>
                </c:pt>
                <c:pt idx="18">
                  <c:v>308.31813354674802</c:v>
                </c:pt>
                <c:pt idx="19">
                  <c:v>317.55852276514065</c:v>
                </c:pt>
                <c:pt idx="20">
                  <c:v>326.85259359247613</c:v>
                </c:pt>
                <c:pt idx="21">
                  <c:v>336.1988092356624</c:v>
                </c:pt>
                <c:pt idx="22">
                  <c:v>345.59565077233441</c:v>
                </c:pt>
                <c:pt idx="23">
                  <c:v>355.04161699134249</c:v>
                </c:pt>
                <c:pt idx="24">
                  <c:v>364.53522423448493</c:v>
                </c:pt>
                <c:pt idx="25">
                  <c:v>374.07500623947698</c:v>
                </c:pt>
                <c:pt idx="26">
                  <c:v>383.6595139841458</c:v>
                </c:pt>
                <c:pt idx="27">
                  <c:v>393.28731553184247</c:v>
                </c:pt>
                <c:pt idx="28">
                  <c:v>402.95699587806541</c:v>
                </c:pt>
                <c:pt idx="29">
                  <c:v>412.66715679828093</c:v>
                </c:pt>
                <c:pt idx="30">
                  <c:v>422.41641669693894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078-9E43-AAD7-49BE962CB1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 m³/yr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Electricity demand for water supply (GWh/yr)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Summary!$K$121</c:f>
              <c:strCache>
                <c:ptCount val="1"/>
                <c:pt idx="0">
                  <c:v>Groundwater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Summary!$J$122:$J$152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Summary!$K$122:$K$152</c:f>
              <c:numCache>
                <c:formatCode>General</c:formatCode>
                <c:ptCount val="31"/>
                <c:pt idx="0">
                  <c:v>2450</c:v>
                </c:pt>
                <c:pt idx="1">
                  <c:v>2449.4487499999996</c:v>
                </c:pt>
                <c:pt idx="2">
                  <c:v>2448.8976240312491</c:v>
                </c:pt>
                <c:pt idx="3">
                  <c:v>2448.346622065842</c:v>
                </c:pt>
                <c:pt idx="4">
                  <c:v>2447.7957440758764</c:v>
                </c:pt>
                <c:pt idx="5">
                  <c:v>2447.2449900334591</c:v>
                </c:pt>
                <c:pt idx="6">
                  <c:v>2446.6943599107012</c:v>
                </c:pt>
                <c:pt idx="7">
                  <c:v>2446.1438536797214</c:v>
                </c:pt>
                <c:pt idx="8">
                  <c:v>2445.593471312643</c:v>
                </c:pt>
                <c:pt idx="9">
                  <c:v>2445.043212781597</c:v>
                </c:pt>
                <c:pt idx="10">
                  <c:v>2444.493078058721</c:v>
                </c:pt>
                <c:pt idx="11">
                  <c:v>2443.9430671161576</c:v>
                </c:pt>
                <c:pt idx="12">
                  <c:v>2443.3931799260563</c:v>
                </c:pt>
                <c:pt idx="13">
                  <c:v>2442.8434164605728</c:v>
                </c:pt>
                <c:pt idx="14">
                  <c:v>2442.2937766918685</c:v>
                </c:pt>
                <c:pt idx="15">
                  <c:v>2441.7442605921119</c:v>
                </c:pt>
                <c:pt idx="16">
                  <c:v>2441.1948681334784</c:v>
                </c:pt>
                <c:pt idx="17">
                  <c:v>2440.6455992881483</c:v>
                </c:pt>
                <c:pt idx="18">
                  <c:v>2440.096454028308</c:v>
                </c:pt>
                <c:pt idx="19">
                  <c:v>2439.5474323261515</c:v>
                </c:pt>
                <c:pt idx="20">
                  <c:v>2438.9985341538777</c:v>
                </c:pt>
                <c:pt idx="21">
                  <c:v>2438.449759483693</c:v>
                </c:pt>
                <c:pt idx="22">
                  <c:v>2437.9011082878083</c:v>
                </c:pt>
                <c:pt idx="23">
                  <c:v>2437.3525805384438</c:v>
                </c:pt>
                <c:pt idx="24">
                  <c:v>2436.8041762078219</c:v>
                </c:pt>
                <c:pt idx="25">
                  <c:v>2436.2558952681752</c:v>
                </c:pt>
                <c:pt idx="26">
                  <c:v>2435.7077376917391</c:v>
                </c:pt>
                <c:pt idx="27">
                  <c:v>2435.1597034507586</c:v>
                </c:pt>
                <c:pt idx="28">
                  <c:v>2434.6117925174813</c:v>
                </c:pt>
                <c:pt idx="29">
                  <c:v>2434.0640048641649</c:v>
                </c:pt>
                <c:pt idx="30">
                  <c:v>2433.5163404630703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FA-4949-ABA3-0E2F0819FD7C}"/>
            </c:ext>
          </c:extLst>
        </c:ser>
        <c:ser>
          <c:idx val="1"/>
          <c:order val="1"/>
          <c:tx>
            <c:strRef>
              <c:f>Summary!$L$121</c:f>
              <c:strCache>
                <c:ptCount val="1"/>
                <c:pt idx="0">
                  <c:v>GMMR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Summary!$J$122:$J$152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Summary!$L$122:$L$152</c:f>
              <c:numCache>
                <c:formatCode>General</c:formatCode>
                <c:ptCount val="31"/>
                <c:pt idx="0">
                  <c:v>1641.6000000000001</c:v>
                </c:pt>
                <c:pt idx="1">
                  <c:v>1624.8556800000001</c:v>
                </c:pt>
                <c:pt idx="2">
                  <c:v>1608.282152064</c:v>
                </c:pt>
                <c:pt idx="3">
                  <c:v>1591.8776741129468</c:v>
                </c:pt>
                <c:pt idx="4">
                  <c:v>1575.640521836995</c:v>
                </c:pt>
                <c:pt idx="5">
                  <c:v>1559.5689885142574</c:v>
                </c:pt>
                <c:pt idx="6">
                  <c:v>1543.6613848314123</c:v>
                </c:pt>
                <c:pt idx="7">
                  <c:v>1527.9160387061313</c:v>
                </c:pt>
                <c:pt idx="8">
                  <c:v>1512.3312951113292</c:v>
                </c:pt>
                <c:pt idx="9">
                  <c:v>1496.9055159011939</c:v>
                </c:pt>
                <c:pt idx="10">
                  <c:v>1481.6370796390015</c:v>
                </c:pt>
                <c:pt idx="11">
                  <c:v>1466.5243814266832</c:v>
                </c:pt>
                <c:pt idx="12">
                  <c:v>1451.5658327361309</c:v>
                </c:pt>
                <c:pt idx="13">
                  <c:v>1436.7598612422223</c:v>
                </c:pt>
                <c:pt idx="14">
                  <c:v>1422.1049106575522</c:v>
                </c:pt>
                <c:pt idx="15">
                  <c:v>1407.5994405688446</c:v>
                </c:pt>
                <c:pt idx="16">
                  <c:v>1393.2419262750429</c:v>
                </c:pt>
                <c:pt idx="17">
                  <c:v>1379.0308586270376</c:v>
                </c:pt>
                <c:pt idx="18">
                  <c:v>1364.9647438690417</c:v>
                </c:pt>
                <c:pt idx="19">
                  <c:v>1351.0421034815772</c:v>
                </c:pt>
                <c:pt idx="20">
                  <c:v>1337.2614740260653</c:v>
                </c:pt>
                <c:pt idx="21">
                  <c:v>1323.621406990999</c:v>
                </c:pt>
                <c:pt idx="22">
                  <c:v>1310.1204686396914</c:v>
                </c:pt>
                <c:pt idx="23">
                  <c:v>1296.757239859566</c:v>
                </c:pt>
                <c:pt idx="24">
                  <c:v>1283.5303160129988</c:v>
                </c:pt>
                <c:pt idx="25">
                  <c:v>1270.4383067896663</c:v>
                </c:pt>
                <c:pt idx="26">
                  <c:v>1257.4798360604116</c:v>
                </c:pt>
                <c:pt idx="27">
                  <c:v>1244.6535417325947</c:v>
                </c:pt>
                <c:pt idx="28">
                  <c:v>1231.9580756069226</c:v>
                </c:pt>
                <c:pt idx="29">
                  <c:v>1219.3921032357321</c:v>
                </c:pt>
                <c:pt idx="30">
                  <c:v>1206.9543037827277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FA-4949-ABA3-0E2F0819FD7C}"/>
            </c:ext>
          </c:extLst>
        </c:ser>
        <c:ser>
          <c:idx val="2"/>
          <c:order val="2"/>
          <c:tx>
            <c:strRef>
              <c:f>Summary!$M$121</c:f>
              <c:strCache>
                <c:ptCount val="1"/>
                <c:pt idx="0">
                  <c:v>Desalination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Summary!$J$122:$J$152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Summary!$M$122:$M$152</c:f>
              <c:numCache>
                <c:formatCode>General</c:formatCode>
                <c:ptCount val="31"/>
                <c:pt idx="0">
                  <c:v>3570.7912925124997</c:v>
                </c:pt>
                <c:pt idx="1">
                  <c:v>3580.2118038571821</c:v>
                </c:pt>
                <c:pt idx="2">
                  <c:v>3589.0280532157562</c:v>
                </c:pt>
                <c:pt idx="3">
                  <c:v>3597.2479516307521</c:v>
                </c:pt>
                <c:pt idx="4">
                  <c:v>3604.8793356211445</c:v>
                </c:pt>
                <c:pt idx="5">
                  <c:v>3611.9299677824174</c:v>
                </c:pt>
                <c:pt idx="6">
                  <c:v>3618.4075373822111</c:v>
                </c:pt>
                <c:pt idx="7">
                  <c:v>3624.3196609516203</c:v>
                </c:pt>
                <c:pt idx="8">
                  <c:v>3629.6738828721359</c:v>
                </c:pt>
                <c:pt idx="9">
                  <c:v>3634.4776759582801</c:v>
                </c:pt>
                <c:pt idx="10">
                  <c:v>3638.7384420359667</c:v>
                </c:pt>
                <c:pt idx="11">
                  <c:v>3642.4635125166064</c:v>
                </c:pt>
                <c:pt idx="12">
                  <c:v>3645.6601489669893</c:v>
                </c:pt>
                <c:pt idx="13">
                  <c:v>3648.3355436749785</c:v>
                </c:pt>
                <c:pt idx="14">
                  <c:v>3650.4968202110358</c:v>
                </c:pt>
                <c:pt idx="15">
                  <c:v>3652.1510339856195</c:v>
                </c:pt>
                <c:pt idx="16">
                  <c:v>3653.3051728024675</c:v>
                </c:pt>
                <c:pt idx="17">
                  <c:v>3653.9661574078127</c:v>
                </c:pt>
                <c:pt idx="18">
                  <c:v>3654.1408420355328</c:v>
                </c:pt>
                <c:pt idx="19">
                  <c:v>3653.836014948306</c:v>
                </c:pt>
                <c:pt idx="20">
                  <c:v>3653.0583989747329</c:v>
                </c:pt>
                <c:pt idx="21">
                  <c:v>3651.8146520425398</c:v>
                </c:pt>
                <c:pt idx="22">
                  <c:v>3650.1113677078019</c:v>
                </c:pt>
                <c:pt idx="23">
                  <c:v>3647.9550756802773</c:v>
                </c:pt>
                <c:pt idx="24">
                  <c:v>3645.3522423448494</c:v>
                </c:pt>
                <c:pt idx="25">
                  <c:v>3642.3092712791185</c:v>
                </c:pt>
                <c:pt idx="26">
                  <c:v>3638.8325037671561</c:v>
                </c:pt>
                <c:pt idx="27">
                  <c:v>3634.9282193094532</c:v>
                </c:pt>
                <c:pt idx="28">
                  <c:v>3630.6026361291042</c:v>
                </c:pt>
                <c:pt idx="29">
                  <c:v>3625.8619116742161</c:v>
                </c:pt>
                <c:pt idx="30">
                  <c:v>3620.7121431166197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FA-4949-ABA3-0E2F0819FD7C}"/>
            </c:ext>
          </c:extLst>
        </c:ser>
        <c:ser>
          <c:idx val="3"/>
          <c:order val="3"/>
          <c:tx>
            <c:strRef>
              <c:f>Summary!$N$121</c:f>
              <c:strCache>
                <c:ptCount val="1"/>
                <c:pt idx="0">
                  <c:v>Treated wastewater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Summary!$J$122:$J$152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Summary!$N$122:$N$152</c:f>
              <c:numCache>
                <c:formatCode>General</c:formatCode>
                <c:ptCount val="31"/>
                <c:pt idx="0">
                  <c:v>122.42713002900001</c:v>
                </c:pt>
                <c:pt idx="1">
                  <c:v>128.0139847379173</c:v>
                </c:pt>
                <c:pt idx="2">
                  <c:v>133.5877653269057</c:v>
                </c:pt>
                <c:pt idx="3">
                  <c:v>139.14572149134025</c:v>
                </c:pt>
                <c:pt idx="4">
                  <c:v>144.68515702386227</c:v>
                </c:pt>
                <c:pt idx="5">
                  <c:v>150.20342914802492</c:v>
                </c:pt>
                <c:pt idx="6">
                  <c:v>155.69794785853455</c:v>
                </c:pt>
                <c:pt idx="7">
                  <c:v>161.16617526803091</c:v>
                </c:pt>
                <c:pt idx="8">
                  <c:v>166.60562496034873</c:v>
                </c:pt>
                <c:pt idx="9">
                  <c:v>172.01386135020456</c:v>
                </c:pt>
                <c:pt idx="10">
                  <c:v>177.38849904925337</c:v>
                </c:pt>
                <c:pt idx="11">
                  <c:v>182.72720223845866</c:v>
                </c:pt>
                <c:pt idx="12">
                  <c:v>188.02768404672167</c:v>
                </c:pt>
                <c:pt idx="13">
                  <c:v>193.28770593571448</c:v>
                </c:pt>
                <c:pt idx="14">
                  <c:v>198.50507709086335</c:v>
                </c:pt>
                <c:pt idx="15">
                  <c:v>203.67765381842881</c:v>
                </c:pt>
                <c:pt idx="16">
                  <c:v>208.80333894862761</c:v>
                </c:pt>
                <c:pt idx="17">
                  <c:v>213.88008124474641</c:v>
                </c:pt>
                <c:pt idx="18">
                  <c:v>218.90587481819111</c:v>
                </c:pt>
                <c:pt idx="19">
                  <c:v>223.87875854942419</c:v>
                </c:pt>
                <c:pt idx="20">
                  <c:v>228.79681551473331</c:v>
                </c:pt>
                <c:pt idx="21">
                  <c:v>233.6581724187854</c:v>
                </c:pt>
                <c:pt idx="22">
                  <c:v>238.46099903291076</c:v>
                </c:pt>
                <c:pt idx="23">
                  <c:v>243.20350763906961</c:v>
                </c:pt>
                <c:pt idx="24">
                  <c:v>247.88395247944976</c:v>
                </c:pt>
                <c:pt idx="25">
                  <c:v>252.50062921164698</c:v>
                </c:pt>
                <c:pt idx="26">
                  <c:v>257.05187436937769</c:v>
                </c:pt>
                <c:pt idx="27">
                  <c:v>261.53606482867525</c:v>
                </c:pt>
                <c:pt idx="28">
                  <c:v>265.95161727952319</c:v>
                </c:pt>
                <c:pt idx="29">
                  <c:v>270.29698770287399</c:v>
                </c:pt>
                <c:pt idx="30">
                  <c:v>274.57067085301031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EFA-4949-ABA3-0E2F0819FD7C}"/>
            </c:ext>
          </c:extLst>
        </c:ser>
        <c:ser>
          <c:idx val="4"/>
          <c:order val="4"/>
          <c:tx>
            <c:strRef>
              <c:f>Summary!$O$121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Summary!$J$122:$J$152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Summary!$O$122:$O$152</c:f>
              <c:numCache>
                <c:formatCode>General</c:formatCode>
                <c:ptCount val="31"/>
                <c:pt idx="0">
                  <c:v>7784.8184225415007</c:v>
                </c:pt>
                <c:pt idx="1">
                  <c:v>7782.5302185950986</c:v>
                </c:pt>
                <c:pt idx="2">
                  <c:v>7779.7955946379107</c:v>
                </c:pt>
                <c:pt idx="3">
                  <c:v>7776.6179693008808</c:v>
                </c:pt>
                <c:pt idx="4">
                  <c:v>7773.0007585578778</c:v>
                </c:pt>
                <c:pt idx="5">
                  <c:v>7768.9473754781593</c:v>
                </c:pt>
                <c:pt idx="6">
                  <c:v>7764.4612299828586</c:v>
                </c:pt>
                <c:pt idx="7">
                  <c:v>7759.5457286055034</c:v>
                </c:pt>
                <c:pt idx="8">
                  <c:v>7754.2042742564563</c:v>
                </c:pt>
                <c:pt idx="9">
                  <c:v>7748.4402659912757</c:v>
                </c:pt>
                <c:pt idx="10">
                  <c:v>7742.2570987829422</c:v>
                </c:pt>
                <c:pt idx="11">
                  <c:v>7735.658163297906</c:v>
                </c:pt>
                <c:pt idx="12">
                  <c:v>7728.6468456758976</c:v>
                </c:pt>
                <c:pt idx="13">
                  <c:v>7721.2265273134872</c:v>
                </c:pt>
                <c:pt idx="14">
                  <c:v>7713.4005846513201</c:v>
                </c:pt>
                <c:pt idx="15">
                  <c:v>7705.1723889650048</c:v>
                </c:pt>
                <c:pt idx="16">
                  <c:v>7696.5453061596163</c:v>
                </c:pt>
                <c:pt idx="17">
                  <c:v>7687.5226965677448</c:v>
                </c:pt>
                <c:pt idx="18">
                  <c:v>7678.1079147510745</c:v>
                </c:pt>
                <c:pt idx="19">
                  <c:v>7668.3043093054584</c:v>
                </c:pt>
                <c:pt idx="20">
                  <c:v>7658.1152226694094</c:v>
                </c:pt>
                <c:pt idx="21">
                  <c:v>7647.5439909360175</c:v>
                </c:pt>
                <c:pt idx="22">
                  <c:v>7636.593943668212</c:v>
                </c:pt>
                <c:pt idx="23">
                  <c:v>7625.2684037173567</c:v>
                </c:pt>
                <c:pt idx="24">
                  <c:v>7613.5706870451195</c:v>
                </c:pt>
                <c:pt idx="25">
                  <c:v>7601.5041025486071</c:v>
                </c:pt>
                <c:pt idx="26">
                  <c:v>7589.0719518886835</c:v>
                </c:pt>
                <c:pt idx="27">
                  <c:v>7576.2775293214818</c:v>
                </c:pt>
                <c:pt idx="28">
                  <c:v>7563.124121533031</c:v>
                </c:pt>
                <c:pt idx="29">
                  <c:v>7549.6150074769866</c:v>
                </c:pt>
                <c:pt idx="30">
                  <c:v>7535.7534582154285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EFA-4949-ABA3-0E2F0819F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GWh/yr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Water demand by sector (M m³/yr)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Summary!$C$201</c:f>
              <c:strCache>
                <c:ptCount val="1"/>
                <c:pt idx="0">
                  <c:v>Domestic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Summary!$B$202:$B$232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Summary!$C$202:$C$232</c:f>
              <c:numCache>
                <c:formatCode>General</c:formatCode>
                <c:ptCount val="31"/>
                <c:pt idx="0">
                  <c:v>1020.226083575</c:v>
                </c:pt>
                <c:pt idx="1">
                  <c:v>1027.8120011073249</c:v>
                </c:pt>
                <c:pt idx="2">
                  <c:v>1035.2965538122373</c:v>
                </c:pt>
                <c:pt idx="3">
                  <c:v>1042.6805656900731</c:v>
                </c:pt>
                <c:pt idx="4">
                  <c:v>1049.9648550352849</c:v>
                </c:pt>
                <c:pt idx="5">
                  <c:v>1057.1502344729026</c:v>
                </c:pt>
                <c:pt idx="6">
                  <c:v>1064.2375109947679</c:v>
                </c:pt>
                <c:pt idx="7">
                  <c:v>1071.2274859955528</c:v>
                </c:pt>
                <c:pt idx="8">
                  <c:v>1078.1209553085553</c:v>
                </c:pt>
                <c:pt idx="9">
                  <c:v>1084.9187092412776</c:v>
                </c:pt>
                <c:pt idx="10">
                  <c:v>1091.6215326107899</c:v>
                </c:pt>
                <c:pt idx="11">
                  <c:v>1098.2302047788762</c:v>
                </c:pt>
                <c:pt idx="12">
                  <c:v>1104.7454996869665</c:v>
                </c:pt>
                <c:pt idx="13">
                  <c:v>1111.1681858908564</c:v>
                </c:pt>
                <c:pt idx="14">
                  <c:v>1117.4990265952151</c:v>
                </c:pt>
                <c:pt idx="15">
                  <c:v>1123.7387796878829</c:v>
                </c:pt>
                <c:pt idx="16">
                  <c:v>1129.8881977739591</c:v>
                </c:pt>
                <c:pt idx="17">
                  <c:v>1135.9480282096827</c:v>
                </c:pt>
                <c:pt idx="18">
                  <c:v>1141.919013136104</c:v>
                </c:pt>
                <c:pt idx="19">
                  <c:v>1147.8018895125567</c:v>
                </c:pt>
                <c:pt idx="20">
                  <c:v>1153.5973891499157</c:v>
                </c:pt>
                <c:pt idx="21">
                  <c:v>1159.3062387436635</c:v>
                </c:pt>
                <c:pt idx="22">
                  <c:v>1164.9291599067453</c:v>
                </c:pt>
                <c:pt idx="23">
                  <c:v>1170.4668692022281</c:v>
                </c:pt>
                <c:pt idx="24">
                  <c:v>1175.9200781757579</c:v>
                </c:pt>
                <c:pt idx="25">
                  <c:v>1181.2894933878222</c:v>
                </c:pt>
                <c:pt idx="26">
                  <c:v>1186.5758164458118</c:v>
                </c:pt>
                <c:pt idx="27">
                  <c:v>1191.7797440358863</c:v>
                </c:pt>
                <c:pt idx="28">
                  <c:v>1196.9019679546498</c:v>
                </c:pt>
                <c:pt idx="29">
                  <c:v>1201.9431751406241</c:v>
                </c:pt>
                <c:pt idx="30">
                  <c:v>1206.9040477055398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7D-F548-A825-353D86F3649F}"/>
            </c:ext>
          </c:extLst>
        </c:ser>
        <c:ser>
          <c:idx val="1"/>
          <c:order val="1"/>
          <c:tx>
            <c:strRef>
              <c:f>Summary!$D$201</c:f>
              <c:strCache>
                <c:ptCount val="1"/>
                <c:pt idx="0">
                  <c:v>Industrial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Summary!$B$202:$B$232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Summary!$D$202:$D$232</c:f>
              <c:numCache>
                <c:formatCode>General</c:formatCode>
                <c:ptCount val="31"/>
                <c:pt idx="0">
                  <c:v>248.33370415619999</c:v>
                </c:pt>
                <c:pt idx="1">
                  <c:v>255.14608417068769</c:v>
                </c:pt>
                <c:pt idx="2">
                  <c:v>262.1054012940923</c:v>
                </c:pt>
                <c:pt idx="3">
                  <c:v>269.2145080526999</c:v>
                </c:pt>
                <c:pt idx="4">
                  <c:v>276.47630915431745</c:v>
                </c:pt>
                <c:pt idx="5">
                  <c:v>283.8937624070245</c:v>
                </c:pt>
                <c:pt idx="6">
                  <c:v>291.46987965367595</c:v>
                </c:pt>
                <c:pt idx="7">
                  <c:v>299.20772772241997</c:v>
                </c:pt>
                <c:pt idx="8">
                  <c:v>307.11042939349977</c:v>
                </c:pt>
                <c:pt idx="9">
                  <c:v>315.18116438261393</c:v>
                </c:pt>
                <c:pt idx="10">
                  <c:v>323.42317034111193</c:v>
                </c:pt>
                <c:pt idx="11">
                  <c:v>331.83974387330966</c:v>
                </c:pt>
                <c:pt idx="12">
                  <c:v>340.43424157120984</c:v>
                </c:pt>
                <c:pt idx="13">
                  <c:v>349.2100810669217</c:v>
                </c:pt>
                <c:pt idx="14">
                  <c:v>358.17074210307521</c:v>
                </c:pt>
                <c:pt idx="15">
                  <c:v>367.31976762153312</c:v>
                </c:pt>
                <c:pt idx="16">
                  <c:v>376.6607648707066</c:v>
                </c:pt>
                <c:pt idx="17">
                  <c:v>386.19740653178769</c:v>
                </c:pt>
                <c:pt idx="18">
                  <c:v>395.93343186421356</c:v>
                </c:pt>
                <c:pt idx="19">
                  <c:v>405.87264787068727</c:v>
                </c:pt>
                <c:pt idx="20">
                  <c:v>416.01893048208217</c:v>
                </c:pt>
                <c:pt idx="21">
                  <c:v>426.37622576256069</c:v>
                </c:pt>
                <c:pt idx="22">
                  <c:v>436.94855113525023</c:v>
                </c:pt>
                <c:pt idx="23">
                  <c:v>447.73999662881698</c:v>
                </c:pt>
                <c:pt idx="24">
                  <c:v>458.75472614528729</c:v>
                </c:pt>
                <c:pt idx="25">
                  <c:v>469.99697874947691</c:v>
                </c:pt>
                <c:pt idx="26">
                  <c:v>481.47106998038328</c:v>
                </c:pt>
                <c:pt idx="27">
                  <c:v>493.18139318491217</c:v>
                </c:pt>
                <c:pt idx="28">
                  <c:v>505.13242087431206</c:v>
                </c:pt>
                <c:pt idx="29">
                  <c:v>517.32870610369434</c:v>
                </c:pt>
                <c:pt idx="30">
                  <c:v>529.77488387502706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7D-F548-A825-353D86F3649F}"/>
            </c:ext>
          </c:extLst>
        </c:ser>
        <c:ser>
          <c:idx val="2"/>
          <c:order val="2"/>
          <c:tx>
            <c:strRef>
              <c:f>Summary!$E$201</c:f>
              <c:strCache>
                <c:ptCount val="1"/>
                <c:pt idx="0">
                  <c:v>Agriculture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Summary!$B$202:$B$232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Summary!$E$202:$E$232</c:f>
              <c:numCache>
                <c:formatCode>General</c:formatCode>
                <c:ptCount val="31"/>
                <c:pt idx="0">
                  <c:v>4892.1684489500003</c:v>
                </c:pt>
                <c:pt idx="1">
                  <c:v>4913.68436192032</c:v>
                </c:pt>
                <c:pt idx="2">
                  <c:v>4934.5429215023814</c:v>
                </c:pt>
                <c:pt idx="3">
                  <c:v>4954.7532683319678</c:v>
                </c:pt>
                <c:pt idx="4">
                  <c:v>4974.3244388653047</c:v>
                </c:pt>
                <c:pt idx="5">
                  <c:v>4993.2653664609334</c:v>
                </c:pt>
                <c:pt idx="6">
                  <c:v>5011.5848824509467</c:v>
                </c:pt>
                <c:pt idx="7">
                  <c:v>5029.2917172016651</c:v>
                </c:pt>
                <c:pt idx="8">
                  <c:v>5046.3945011638953</c:v>
                </c:pt>
                <c:pt idx="9">
                  <c:v>5062.9017659128303</c:v>
                </c:pt>
                <c:pt idx="10">
                  <c:v>5078.8219451777049</c:v>
                </c:pt>
                <c:pt idx="11">
                  <c:v>5094.1633758613252</c:v>
                </c:pt>
                <c:pt idx="12">
                  <c:v>5108.934299049517</c:v>
                </c:pt>
                <c:pt idx="13">
                  <c:v>5123.1428610106404</c:v>
                </c:pt>
                <c:pt idx="14">
                  <c:v>5136.7971141852477</c:v>
                </c:pt>
                <c:pt idx="15">
                  <c:v>5149.9050181659559</c:v>
                </c:pt>
                <c:pt idx="16">
                  <c:v>5162.4744406676664</c:v>
                </c:pt>
                <c:pt idx="17">
                  <c:v>5174.5131584881865</c:v>
                </c:pt>
                <c:pt idx="18">
                  <c:v>5186.0288584593736</c:v>
                </c:pt>
                <c:pt idx="19">
                  <c:v>5197.0291383888807</c:v>
                </c:pt>
                <c:pt idx="20">
                  <c:v>5207.5215079925729</c:v>
                </c:pt>
                <c:pt idx="21">
                  <c:v>5217.513389817751</c:v>
                </c:pt>
                <c:pt idx="22">
                  <c:v>5227.0121201572119</c:v>
                </c:pt>
                <c:pt idx="23">
                  <c:v>5236.0249499542961</c:v>
                </c:pt>
                <c:pt idx="24">
                  <c:v>5244.5590456989357</c:v>
                </c:pt>
                <c:pt idx="25">
                  <c:v>5252.6214903148621</c:v>
                </c:pt>
                <c:pt idx="26">
                  <c:v>5260.2192840380121</c:v>
                </c:pt>
                <c:pt idx="27">
                  <c:v>5267.3593452862087</c:v>
                </c:pt>
                <c:pt idx="28">
                  <c:v>5274.0485115202591</c:v>
                </c:pt>
                <c:pt idx="29">
                  <c:v>5280.2935400964643</c:v>
                </c:pt>
                <c:pt idx="30">
                  <c:v>5286.1011091107111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7D-F548-A825-353D86F3649F}"/>
            </c:ext>
          </c:extLst>
        </c:ser>
        <c:ser>
          <c:idx val="3"/>
          <c:order val="3"/>
          <c:tx>
            <c:strRef>
              <c:f>Summary!$F$201</c:f>
              <c:strCache>
                <c:ptCount val="1"/>
                <c:pt idx="0">
                  <c:v>Trees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Summary!$B$202:$B$232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Summary!$F$202:$F$232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54.75</c:v>
                </c:pt>
                <c:pt idx="8">
                  <c:v>109.5</c:v>
                </c:pt>
                <c:pt idx="9">
                  <c:v>164.25</c:v>
                </c:pt>
                <c:pt idx="10">
                  <c:v>219</c:v>
                </c:pt>
                <c:pt idx="11">
                  <c:v>273.75</c:v>
                </c:pt>
                <c:pt idx="12">
                  <c:v>328.5</c:v>
                </c:pt>
                <c:pt idx="13">
                  <c:v>383.25</c:v>
                </c:pt>
                <c:pt idx="14">
                  <c:v>438</c:v>
                </c:pt>
                <c:pt idx="15">
                  <c:v>492.75</c:v>
                </c:pt>
                <c:pt idx="16">
                  <c:v>547.5</c:v>
                </c:pt>
                <c:pt idx="17">
                  <c:v>547.5</c:v>
                </c:pt>
                <c:pt idx="18">
                  <c:v>547.5</c:v>
                </c:pt>
                <c:pt idx="19">
                  <c:v>547.5</c:v>
                </c:pt>
                <c:pt idx="20">
                  <c:v>547.5</c:v>
                </c:pt>
                <c:pt idx="21">
                  <c:v>547.5</c:v>
                </c:pt>
                <c:pt idx="22">
                  <c:v>547.5</c:v>
                </c:pt>
                <c:pt idx="23">
                  <c:v>547.5</c:v>
                </c:pt>
                <c:pt idx="24">
                  <c:v>547.5</c:v>
                </c:pt>
                <c:pt idx="25">
                  <c:v>547.5</c:v>
                </c:pt>
                <c:pt idx="26">
                  <c:v>547.5</c:v>
                </c:pt>
                <c:pt idx="27">
                  <c:v>547.5</c:v>
                </c:pt>
                <c:pt idx="28">
                  <c:v>547.5</c:v>
                </c:pt>
                <c:pt idx="29">
                  <c:v>547.5</c:v>
                </c:pt>
                <c:pt idx="30">
                  <c:v>547.5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B7D-F548-A825-353D86F364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 m³/yr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1054100</xdr:colOff>
      <xdr:row>0</xdr:row>
      <xdr:rowOff>25400</xdr:rowOff>
    </xdr:from>
    <xdr:ext cx="54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88900</xdr:colOff>
      <xdr:row>15</xdr:row>
      <xdr:rowOff>63500</xdr:rowOff>
    </xdr:from>
    <xdr:ext cx="540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7</xdr:col>
      <xdr:colOff>787400</xdr:colOff>
      <xdr:row>34</xdr:row>
      <xdr:rowOff>63500</xdr:rowOff>
    </xdr:from>
    <xdr:ext cx="540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0"/>
  <sheetViews>
    <sheetView zoomScaleNormal="100" workbookViewId="0"/>
  </sheetViews>
  <sheetFormatPr baseColWidth="10" defaultColWidth="8.6640625" defaultRowHeight="15" x14ac:dyDescent="0.2"/>
  <cols>
    <col min="1" max="1" width="110" customWidth="1"/>
  </cols>
  <sheetData>
    <row r="1" spans="1:1" ht="21.75" customHeight="1" x14ac:dyDescent="0.2">
      <c r="A1" s="2" t="s">
        <v>54</v>
      </c>
    </row>
    <row r="2" spans="1:1" ht="15" customHeight="1" x14ac:dyDescent="0.2">
      <c r="A2" s="3"/>
    </row>
    <row r="3" spans="1:1" ht="15.75" customHeight="1" x14ac:dyDescent="0.2">
      <c r="A3" s="4" t="s">
        <v>55</v>
      </c>
    </row>
    <row r="4" spans="1:1" ht="34.5" customHeight="1" x14ac:dyDescent="0.2">
      <c r="A4" s="3" t="s">
        <v>56</v>
      </c>
    </row>
    <row r="5" spans="1:1" ht="15" customHeight="1" x14ac:dyDescent="0.2">
      <c r="A5" s="3"/>
    </row>
    <row r="6" spans="1:1" ht="15.75" customHeight="1" x14ac:dyDescent="0.2">
      <c r="A6" s="4" t="s">
        <v>57</v>
      </c>
    </row>
    <row r="7" spans="1:1" ht="79.5" customHeight="1" x14ac:dyDescent="0.2">
      <c r="A7" s="3" t="s">
        <v>58</v>
      </c>
    </row>
    <row r="8" spans="1:1" ht="15" customHeight="1" x14ac:dyDescent="0.2">
      <c r="A8" s="3"/>
    </row>
    <row r="9" spans="1:1" ht="15.75" customHeight="1" x14ac:dyDescent="0.2">
      <c r="A9" s="4" t="s">
        <v>59</v>
      </c>
    </row>
    <row r="10" spans="1:1" ht="15" customHeight="1" x14ac:dyDescent="0.2">
      <c r="A10" s="3" t="s">
        <v>60</v>
      </c>
    </row>
    <row r="11" spans="1:1" ht="15" customHeight="1" x14ac:dyDescent="0.2">
      <c r="A11" s="3" t="s">
        <v>61</v>
      </c>
    </row>
    <row r="12" spans="1:1" ht="15" customHeight="1" x14ac:dyDescent="0.2">
      <c r="A12" s="3" t="s">
        <v>62</v>
      </c>
    </row>
    <row r="13" spans="1:1" ht="15" customHeight="1" x14ac:dyDescent="0.2">
      <c r="A13" s="3" t="s">
        <v>63</v>
      </c>
    </row>
    <row r="14" spans="1:1" ht="15" customHeight="1" x14ac:dyDescent="0.2">
      <c r="A14" s="3" t="s">
        <v>64</v>
      </c>
    </row>
    <row r="15" spans="1:1" ht="15" customHeight="1" x14ac:dyDescent="0.2">
      <c r="A15" s="3" t="s">
        <v>65</v>
      </c>
    </row>
    <row r="16" spans="1:1" ht="15" customHeight="1" x14ac:dyDescent="0.2">
      <c r="A16" s="3" t="s">
        <v>66</v>
      </c>
    </row>
    <row r="17" spans="1:1" ht="15" customHeight="1" x14ac:dyDescent="0.2">
      <c r="A17" s="3" t="s">
        <v>67</v>
      </c>
    </row>
    <row r="18" spans="1:1" ht="15" customHeight="1" x14ac:dyDescent="0.2">
      <c r="A18" s="3" t="s">
        <v>68</v>
      </c>
    </row>
    <row r="19" spans="1:1" ht="15" customHeight="1" x14ac:dyDescent="0.2">
      <c r="A19" s="3" t="s">
        <v>69</v>
      </c>
    </row>
    <row r="20" spans="1:1" ht="15" customHeight="1" x14ac:dyDescent="0.2">
      <c r="A20" s="3" t="s">
        <v>70</v>
      </c>
    </row>
    <row r="21" spans="1:1" ht="23.25" customHeight="1" x14ac:dyDescent="0.2">
      <c r="A21" s="3" t="s">
        <v>71</v>
      </c>
    </row>
    <row r="22" spans="1:1" ht="15" customHeight="1" x14ac:dyDescent="0.2">
      <c r="A22" s="3" t="s">
        <v>72</v>
      </c>
    </row>
    <row r="23" spans="1:1" ht="15" customHeight="1" x14ac:dyDescent="0.2">
      <c r="A23" s="3"/>
    </row>
    <row r="24" spans="1:1" ht="15.75" customHeight="1" x14ac:dyDescent="0.2">
      <c r="A24" s="4" t="s">
        <v>73</v>
      </c>
    </row>
    <row r="25" spans="1:1" ht="15" customHeight="1" x14ac:dyDescent="0.2">
      <c r="A25" s="3" t="s">
        <v>74</v>
      </c>
    </row>
    <row r="26" spans="1:1" ht="15" customHeight="1" x14ac:dyDescent="0.2">
      <c r="A26" s="3" t="s">
        <v>75</v>
      </c>
    </row>
    <row r="27" spans="1:1" ht="15" customHeight="1" x14ac:dyDescent="0.2">
      <c r="A27" s="3" t="s">
        <v>76</v>
      </c>
    </row>
    <row r="28" spans="1:1" ht="15" customHeight="1" x14ac:dyDescent="0.2">
      <c r="A28" s="3" t="s">
        <v>77</v>
      </c>
    </row>
    <row r="29" spans="1:1" ht="15" customHeight="1" x14ac:dyDescent="0.2">
      <c r="A29" s="3" t="s">
        <v>78</v>
      </c>
    </row>
    <row r="30" spans="1:1" ht="15" customHeight="1" x14ac:dyDescent="0.2">
      <c r="A30" s="3"/>
    </row>
    <row r="31" spans="1:1" ht="15.75" customHeight="1" x14ac:dyDescent="0.2">
      <c r="A31" s="4" t="s">
        <v>79</v>
      </c>
    </row>
    <row r="32" spans="1:1" ht="15" customHeight="1" x14ac:dyDescent="0.2">
      <c r="A32" s="3" t="s">
        <v>80</v>
      </c>
    </row>
    <row r="33" spans="1:1" ht="39" customHeight="1" x14ac:dyDescent="0.2">
      <c r="A33" s="5" t="s">
        <v>81</v>
      </c>
    </row>
    <row r="34" spans="1:1" ht="26.25" customHeight="1" x14ac:dyDescent="0.2">
      <c r="A34" s="5" t="s">
        <v>82</v>
      </c>
    </row>
    <row r="35" spans="1:1" ht="15" customHeight="1" x14ac:dyDescent="0.2">
      <c r="A35" s="5" t="s">
        <v>83</v>
      </c>
    </row>
    <row r="36" spans="1:1" ht="15" customHeight="1" x14ac:dyDescent="0.2">
      <c r="A36" s="5" t="s">
        <v>84</v>
      </c>
    </row>
    <row r="37" spans="1:1" ht="15" customHeight="1" x14ac:dyDescent="0.2">
      <c r="A37" s="5" t="s">
        <v>85</v>
      </c>
    </row>
    <row r="38" spans="1:1" ht="26.25" customHeight="1" x14ac:dyDescent="0.2">
      <c r="A38" s="5" t="s">
        <v>86</v>
      </c>
    </row>
    <row r="39" spans="1:1" ht="26.25" customHeight="1" x14ac:dyDescent="0.2">
      <c r="A39" s="5" t="s">
        <v>87</v>
      </c>
    </row>
    <row r="40" spans="1:1" ht="15" customHeight="1" x14ac:dyDescent="0.2">
      <c r="A40" s="5" t="s">
        <v>88</v>
      </c>
    </row>
    <row r="41" spans="1:1" ht="26.25" customHeight="1" x14ac:dyDescent="0.2">
      <c r="A41" s="5" t="s">
        <v>89</v>
      </c>
    </row>
    <row r="42" spans="1:1" ht="15" customHeight="1" x14ac:dyDescent="0.2">
      <c r="A42" s="3" t="s">
        <v>90</v>
      </c>
    </row>
    <row r="43" spans="1:1" ht="26.25" customHeight="1" x14ac:dyDescent="0.2">
      <c r="A43" s="5" t="s">
        <v>91</v>
      </c>
    </row>
    <row r="44" spans="1:1" ht="26.25" customHeight="1" x14ac:dyDescent="0.2">
      <c r="A44" s="5" t="s">
        <v>92</v>
      </c>
    </row>
    <row r="45" spans="1:1" ht="15" customHeight="1" x14ac:dyDescent="0.2">
      <c r="A45" s="3"/>
    </row>
    <row r="46" spans="1:1" ht="15.75" customHeight="1" x14ac:dyDescent="0.2">
      <c r="A46" s="4" t="s">
        <v>93</v>
      </c>
    </row>
    <row r="47" spans="1:1" ht="15" customHeight="1" x14ac:dyDescent="0.2">
      <c r="A47" s="3" t="s">
        <v>94</v>
      </c>
    </row>
    <row r="48" spans="1:1" ht="34.5" customHeight="1" x14ac:dyDescent="0.2">
      <c r="A48" s="3" t="s">
        <v>95</v>
      </c>
    </row>
    <row r="49" spans="1:1" ht="23.25" customHeight="1" x14ac:dyDescent="0.2">
      <c r="A49" s="3" t="s">
        <v>96</v>
      </c>
    </row>
    <row r="50" spans="1:1" ht="15" customHeight="1" x14ac:dyDescent="0.2">
      <c r="A50" s="3"/>
    </row>
    <row r="51" spans="1:1" ht="15.75" customHeight="1" x14ac:dyDescent="0.2">
      <c r="A51" s="4" t="s">
        <v>97</v>
      </c>
    </row>
    <row r="52" spans="1:1" ht="15" customHeight="1" x14ac:dyDescent="0.2">
      <c r="A52" s="3" t="s">
        <v>98</v>
      </c>
    </row>
    <row r="53" spans="1:1" ht="15" customHeight="1" x14ac:dyDescent="0.2">
      <c r="A53" s="3" t="s">
        <v>99</v>
      </c>
    </row>
    <row r="54" spans="1:1" ht="15" customHeight="1" x14ac:dyDescent="0.2">
      <c r="A54" s="3" t="s">
        <v>100</v>
      </c>
    </row>
    <row r="55" spans="1:1" ht="15" customHeight="1" x14ac:dyDescent="0.2">
      <c r="A55" s="3" t="s">
        <v>101</v>
      </c>
    </row>
    <row r="56" spans="1:1" ht="23.25" customHeight="1" x14ac:dyDescent="0.2">
      <c r="A56" s="3" t="s">
        <v>102</v>
      </c>
    </row>
    <row r="57" spans="1:1" ht="23.25" customHeight="1" x14ac:dyDescent="0.2">
      <c r="A57" s="3" t="s">
        <v>103</v>
      </c>
    </row>
    <row r="58" spans="1:1" ht="15" customHeight="1" x14ac:dyDescent="0.2">
      <c r="A58" s="3" t="s">
        <v>104</v>
      </c>
    </row>
    <row r="59" spans="1:1" ht="15" customHeight="1" x14ac:dyDescent="0.2">
      <c r="A59" s="3"/>
    </row>
    <row r="60" spans="1:1" ht="15.75" customHeight="1" x14ac:dyDescent="0.2">
      <c r="A60" s="4" t="s">
        <v>105</v>
      </c>
    </row>
    <row r="61" spans="1:1" ht="15" customHeight="1" x14ac:dyDescent="0.2">
      <c r="A61" s="3" t="s">
        <v>106</v>
      </c>
    </row>
    <row r="62" spans="1:1" ht="15" customHeight="1" x14ac:dyDescent="0.2">
      <c r="A62" s="3" t="s">
        <v>107</v>
      </c>
    </row>
    <row r="63" spans="1:1" ht="15" customHeight="1" x14ac:dyDescent="0.2">
      <c r="A63" s="3" t="s">
        <v>108</v>
      </c>
    </row>
    <row r="65" spans="1:1" x14ac:dyDescent="0.2">
      <c r="A65" t="s">
        <v>109</v>
      </c>
    </row>
    <row r="68" spans="1:1" x14ac:dyDescent="0.2">
      <c r="A68" t="s">
        <v>110</v>
      </c>
    </row>
    <row r="70" spans="1:1" x14ac:dyDescent="0.2">
      <c r="A70" t="s">
        <v>111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7"/>
  <sheetViews>
    <sheetView zoomScaleNormal="100" workbookViewId="0">
      <selection activeCell="B6" sqref="B6"/>
    </sheetView>
  </sheetViews>
  <sheetFormatPr baseColWidth="10" defaultColWidth="8.6640625" defaultRowHeight="15" x14ac:dyDescent="0.2"/>
  <cols>
    <col min="1" max="1" width="42" customWidth="1"/>
    <col min="2" max="2" width="16" customWidth="1"/>
    <col min="3" max="3" width="20" customWidth="1"/>
    <col min="4" max="4" width="60" customWidth="1"/>
  </cols>
  <sheetData>
    <row r="1" spans="1:5" ht="17.25" customHeight="1" x14ac:dyDescent="0.2">
      <c r="A1" s="70" t="s">
        <v>112</v>
      </c>
      <c r="B1" s="69"/>
      <c r="C1" s="69"/>
      <c r="D1" s="69"/>
    </row>
    <row r="3" spans="1:5" ht="15" customHeight="1" x14ac:dyDescent="0.2">
      <c r="A3" s="6" t="s">
        <v>113</v>
      </c>
      <c r="B3" s="6" t="s">
        <v>114</v>
      </c>
      <c r="C3" s="6" t="s">
        <v>115</v>
      </c>
      <c r="D3" s="6" t="s">
        <v>116</v>
      </c>
    </row>
    <row r="5" spans="1:5" ht="15" customHeight="1" x14ac:dyDescent="0.2">
      <c r="A5" s="68" t="s">
        <v>117</v>
      </c>
      <c r="B5" s="69"/>
      <c r="C5" s="69"/>
      <c r="D5" s="69"/>
    </row>
    <row r="6" spans="1:5" ht="15" customHeight="1" x14ac:dyDescent="0.2">
      <c r="A6" s="7" t="s">
        <v>118</v>
      </c>
      <c r="B6" s="8">
        <v>6735277</v>
      </c>
      <c r="C6" s="9" t="s">
        <v>119</v>
      </c>
      <c r="D6" s="10" t="s">
        <v>120</v>
      </c>
      <c r="E6" t="s">
        <v>320</v>
      </c>
    </row>
    <row r="7" spans="1:5" ht="15" customHeight="1" x14ac:dyDescent="0.2">
      <c r="A7" s="7" t="s">
        <v>121</v>
      </c>
      <c r="B7" s="8">
        <v>9260605</v>
      </c>
      <c r="C7" s="9" t="s">
        <v>119</v>
      </c>
      <c r="D7" s="10" t="s">
        <v>120</v>
      </c>
      <c r="E7" t="s">
        <v>320</v>
      </c>
    </row>
    <row r="8" spans="1:5" ht="15" customHeight="1" x14ac:dyDescent="0.2">
      <c r="A8" s="7" t="s">
        <v>122</v>
      </c>
      <c r="B8" s="8">
        <v>6357</v>
      </c>
      <c r="C8" s="9" t="s">
        <v>123</v>
      </c>
      <c r="D8" s="10" t="s">
        <v>124</v>
      </c>
      <c r="E8" t="s">
        <v>320</v>
      </c>
    </row>
    <row r="9" spans="1:5" ht="15" customHeight="1" x14ac:dyDescent="0.2">
      <c r="A9" s="7" t="s">
        <v>125</v>
      </c>
      <c r="B9" s="8">
        <v>2.5000000000000001E-2</v>
      </c>
      <c r="C9" s="9" t="s">
        <v>126</v>
      </c>
      <c r="D9" s="10" t="s">
        <v>127</v>
      </c>
      <c r="E9" t="s">
        <v>320</v>
      </c>
    </row>
    <row r="11" spans="1:5" ht="15" customHeight="1" x14ac:dyDescent="0.2">
      <c r="A11" s="68" t="s">
        <v>128</v>
      </c>
      <c r="B11" s="69"/>
      <c r="C11" s="69"/>
      <c r="D11" s="69"/>
    </row>
    <row r="12" spans="1:5" ht="15" customHeight="1" x14ac:dyDescent="0.2">
      <c r="A12" s="7" t="s">
        <v>129</v>
      </c>
      <c r="B12" s="8">
        <v>415</v>
      </c>
      <c r="C12" s="9" t="s">
        <v>130</v>
      </c>
      <c r="D12" s="10" t="s">
        <v>131</v>
      </c>
    </row>
    <row r="13" spans="1:5" ht="15" customHeight="1" x14ac:dyDescent="0.2">
      <c r="A13" s="7" t="s">
        <v>132</v>
      </c>
      <c r="B13" s="8">
        <v>-5.0000000000000001E-3</v>
      </c>
      <c r="C13" s="9" t="s">
        <v>126</v>
      </c>
      <c r="D13" s="10" t="s">
        <v>133</v>
      </c>
    </row>
    <row r="14" spans="1:5" ht="15" customHeight="1" x14ac:dyDescent="0.2">
      <c r="A14" s="7" t="s">
        <v>134</v>
      </c>
      <c r="B14" s="8">
        <v>5.8</v>
      </c>
      <c r="C14" s="9" t="s">
        <v>135</v>
      </c>
      <c r="D14" s="10" t="s">
        <v>136</v>
      </c>
    </row>
    <row r="15" spans="1:5" ht="15" customHeight="1" x14ac:dyDescent="0.2">
      <c r="A15" s="7" t="s">
        <v>137</v>
      </c>
      <c r="B15" s="8">
        <v>-0.01</v>
      </c>
      <c r="C15" s="9" t="s">
        <v>126</v>
      </c>
      <c r="D15" s="10" t="s">
        <v>138</v>
      </c>
    </row>
    <row r="16" spans="1:5" ht="15" customHeight="1" x14ac:dyDescent="0.2">
      <c r="A16" s="7" t="s">
        <v>139</v>
      </c>
      <c r="B16" s="8">
        <v>1990</v>
      </c>
      <c r="C16" s="9" t="s">
        <v>130</v>
      </c>
      <c r="D16" s="10" t="s">
        <v>140</v>
      </c>
    </row>
    <row r="17" spans="1:5" ht="15" customHeight="1" x14ac:dyDescent="0.2">
      <c r="A17" s="7" t="s">
        <v>141</v>
      </c>
      <c r="B17" s="8">
        <v>-8.0000000000000002E-3</v>
      </c>
      <c r="C17" s="9" t="s">
        <v>126</v>
      </c>
      <c r="D17" s="10" t="s">
        <v>142</v>
      </c>
    </row>
    <row r="19" spans="1:5" ht="15" customHeight="1" x14ac:dyDescent="0.2">
      <c r="A19" s="68" t="s">
        <v>143</v>
      </c>
      <c r="B19" s="69"/>
      <c r="C19" s="69"/>
      <c r="D19" s="69"/>
    </row>
    <row r="20" spans="1:5" ht="15" customHeight="1" x14ac:dyDescent="0.2">
      <c r="A20" s="7" t="s">
        <v>144</v>
      </c>
      <c r="B20" s="8">
        <v>3500</v>
      </c>
      <c r="C20" s="9" t="s">
        <v>145</v>
      </c>
      <c r="D20" s="10" t="s">
        <v>146</v>
      </c>
    </row>
    <row r="21" spans="1:5" ht="15" customHeight="1" x14ac:dyDescent="0.2">
      <c r="A21" s="7" t="s">
        <v>147</v>
      </c>
      <c r="B21" s="8">
        <v>-1.4999999999999999E-2</v>
      </c>
      <c r="C21" s="9" t="s">
        <v>126</v>
      </c>
      <c r="D21" s="10" t="s">
        <v>148</v>
      </c>
    </row>
    <row r="22" spans="1:5" ht="15" customHeight="1" x14ac:dyDescent="0.2">
      <c r="A22" s="7" t="s">
        <v>149</v>
      </c>
      <c r="B22" s="8">
        <v>912</v>
      </c>
      <c r="C22" s="9" t="s">
        <v>145</v>
      </c>
      <c r="D22" s="10" t="s">
        <v>150</v>
      </c>
      <c r="E22" t="s">
        <v>321</v>
      </c>
    </row>
    <row r="23" spans="1:5" ht="15" customHeight="1" x14ac:dyDescent="0.2">
      <c r="A23" s="7" t="s">
        <v>151</v>
      </c>
      <c r="B23" s="8">
        <v>-0.02</v>
      </c>
      <c r="C23" s="9" t="s">
        <v>126</v>
      </c>
      <c r="D23" s="10" t="s">
        <v>152</v>
      </c>
    </row>
    <row r="25" spans="1:5" ht="15" customHeight="1" x14ac:dyDescent="0.2">
      <c r="A25" s="68" t="s">
        <v>153</v>
      </c>
      <c r="B25" s="69"/>
      <c r="C25" s="69"/>
      <c r="D25" s="69"/>
    </row>
    <row r="26" spans="1:5" ht="15" customHeight="1" x14ac:dyDescent="0.2">
      <c r="A26" s="7" t="s">
        <v>154</v>
      </c>
      <c r="B26" s="8">
        <v>0.7</v>
      </c>
      <c r="C26" s="9" t="s">
        <v>155</v>
      </c>
      <c r="D26" s="10" t="s">
        <v>156</v>
      </c>
    </row>
    <row r="27" spans="1:5" ht="15" customHeight="1" x14ac:dyDescent="0.2">
      <c r="A27" s="7" t="s">
        <v>157</v>
      </c>
      <c r="B27" s="8">
        <v>1.4999999999999999E-2</v>
      </c>
      <c r="C27" s="9" t="s">
        <v>126</v>
      </c>
      <c r="D27" s="10" t="s">
        <v>158</v>
      </c>
    </row>
    <row r="28" spans="1:5" ht="15" customHeight="1" x14ac:dyDescent="0.2">
      <c r="A28" s="7" t="s">
        <v>159</v>
      </c>
      <c r="B28" s="8">
        <v>1.8</v>
      </c>
      <c r="C28" s="9" t="s">
        <v>155</v>
      </c>
      <c r="D28" s="10" t="s">
        <v>160</v>
      </c>
    </row>
    <row r="29" spans="1:5" ht="15" customHeight="1" x14ac:dyDescent="0.2">
      <c r="A29" s="7" t="s">
        <v>161</v>
      </c>
      <c r="B29" s="8">
        <v>0.01</v>
      </c>
      <c r="C29" s="9" t="s">
        <v>126</v>
      </c>
      <c r="D29" s="10" t="s">
        <v>162</v>
      </c>
    </row>
    <row r="30" spans="1:5" ht="15" customHeight="1" x14ac:dyDescent="0.2">
      <c r="A30" s="7" t="s">
        <v>163</v>
      </c>
      <c r="B30" s="8">
        <v>3.5</v>
      </c>
      <c r="C30" s="9" t="s">
        <v>155</v>
      </c>
      <c r="D30" s="10" t="s">
        <v>164</v>
      </c>
    </row>
    <row r="31" spans="1:5" ht="15" customHeight="1" x14ac:dyDescent="0.2">
      <c r="A31" s="7" t="s">
        <v>165</v>
      </c>
      <c r="B31" s="8">
        <v>3</v>
      </c>
      <c r="C31" s="9" t="s">
        <v>155</v>
      </c>
      <c r="D31" s="10" t="s">
        <v>166</v>
      </c>
    </row>
    <row r="33" spans="1:4" ht="15" customHeight="1" x14ac:dyDescent="0.2">
      <c r="A33" s="68" t="s">
        <v>167</v>
      </c>
      <c r="B33" s="69"/>
      <c r="C33" s="69"/>
      <c r="D33" s="69"/>
    </row>
    <row r="34" spans="1:4" ht="15" customHeight="1" x14ac:dyDescent="0.2">
      <c r="A34" s="7" t="s">
        <v>168</v>
      </c>
      <c r="B34" s="8">
        <v>2026</v>
      </c>
      <c r="C34" s="9" t="s">
        <v>169</v>
      </c>
      <c r="D34" s="10" t="s">
        <v>170</v>
      </c>
    </row>
    <row r="35" spans="1:4" ht="15" customHeight="1" x14ac:dyDescent="0.2">
      <c r="A35" s="7" t="s">
        <v>171</v>
      </c>
      <c r="B35" s="8">
        <v>10</v>
      </c>
      <c r="C35" s="9" t="s">
        <v>172</v>
      </c>
      <c r="D35" s="10" t="s">
        <v>173</v>
      </c>
    </row>
    <row r="36" spans="1:4" ht="15" customHeight="1" x14ac:dyDescent="0.2">
      <c r="A36" s="7" t="s">
        <v>174</v>
      </c>
      <c r="B36" s="8">
        <v>100000000</v>
      </c>
      <c r="C36" s="9" t="s">
        <v>175</v>
      </c>
      <c r="D36" s="10" t="s">
        <v>176</v>
      </c>
    </row>
    <row r="37" spans="1:4" ht="23.25" customHeight="1" x14ac:dyDescent="0.2">
      <c r="A37" s="7" t="s">
        <v>177</v>
      </c>
      <c r="B37" s="8">
        <v>15</v>
      </c>
      <c r="C37" s="9" t="s">
        <v>178</v>
      </c>
      <c r="D37" s="10" t="s">
        <v>179</v>
      </c>
    </row>
    <row r="39" spans="1:4" x14ac:dyDescent="0.2">
      <c r="A39" t="s">
        <v>180</v>
      </c>
    </row>
    <row r="40" spans="1:4" x14ac:dyDescent="0.2">
      <c r="A40" t="s">
        <v>113</v>
      </c>
      <c r="B40" t="s">
        <v>114</v>
      </c>
      <c r="C40" t="s">
        <v>115</v>
      </c>
      <c r="D40" t="s">
        <v>116</v>
      </c>
    </row>
    <row r="41" spans="1:4" x14ac:dyDescent="0.2">
      <c r="A41" t="s">
        <v>181</v>
      </c>
      <c r="B41" s="55">
        <v>0.15</v>
      </c>
      <c r="C41" t="s">
        <v>182</v>
      </c>
      <c r="D41" t="s">
        <v>183</v>
      </c>
    </row>
    <row r="42" spans="1:4" x14ac:dyDescent="0.2">
      <c r="A42" t="s">
        <v>184</v>
      </c>
      <c r="B42" s="55">
        <v>0.35</v>
      </c>
      <c r="C42" t="s">
        <v>182</v>
      </c>
      <c r="D42" t="s">
        <v>185</v>
      </c>
    </row>
    <row r="43" spans="1:4" x14ac:dyDescent="0.2">
      <c r="A43" t="s">
        <v>186</v>
      </c>
      <c r="B43" s="55">
        <v>0.5</v>
      </c>
      <c r="C43" t="s">
        <v>187</v>
      </c>
      <c r="D43" t="s">
        <v>188</v>
      </c>
    </row>
    <row r="44" spans="1:4" x14ac:dyDescent="0.2">
      <c r="A44" t="s">
        <v>189</v>
      </c>
      <c r="B44" s="55">
        <v>0.3</v>
      </c>
      <c r="C44" t="s">
        <v>187</v>
      </c>
      <c r="D44" t="s">
        <v>190</v>
      </c>
    </row>
    <row r="45" spans="1:4" x14ac:dyDescent="0.2">
      <c r="A45" t="s">
        <v>191</v>
      </c>
      <c r="B45" s="55">
        <v>0.8</v>
      </c>
      <c r="C45" t="s">
        <v>155</v>
      </c>
      <c r="D45" t="s">
        <v>192</v>
      </c>
    </row>
    <row r="46" spans="1:4" x14ac:dyDescent="0.2">
      <c r="A46" t="s">
        <v>193</v>
      </c>
      <c r="B46" s="55">
        <v>0.65</v>
      </c>
      <c r="C46" t="s">
        <v>155</v>
      </c>
      <c r="D46" t="s">
        <v>194</v>
      </c>
    </row>
    <row r="48" spans="1:4" x14ac:dyDescent="0.2">
      <c r="A48" t="s">
        <v>195</v>
      </c>
    </row>
    <row r="49" spans="1:4" x14ac:dyDescent="0.2">
      <c r="A49" t="s">
        <v>113</v>
      </c>
      <c r="B49" t="s">
        <v>114</v>
      </c>
      <c r="C49" t="s">
        <v>115</v>
      </c>
      <c r="D49" t="s">
        <v>116</v>
      </c>
    </row>
    <row r="50" spans="1:4" x14ac:dyDescent="0.2">
      <c r="A50" t="s">
        <v>186</v>
      </c>
      <c r="B50" s="55">
        <v>0.5</v>
      </c>
      <c r="C50" t="s">
        <v>187</v>
      </c>
      <c r="D50" t="s">
        <v>196</v>
      </c>
    </row>
    <row r="51" spans="1:4" x14ac:dyDescent="0.2">
      <c r="A51" t="s">
        <v>189</v>
      </c>
      <c r="B51" s="55">
        <v>0.3</v>
      </c>
      <c r="C51" t="s">
        <v>187</v>
      </c>
      <c r="D51" t="s">
        <v>196</v>
      </c>
    </row>
    <row r="52" spans="1:4" x14ac:dyDescent="0.2">
      <c r="A52" t="s">
        <v>197</v>
      </c>
      <c r="B52" s="55">
        <v>1</v>
      </c>
      <c r="C52" t="s">
        <v>198</v>
      </c>
      <c r="D52" t="s">
        <v>199</v>
      </c>
    </row>
    <row r="53" spans="1:4" x14ac:dyDescent="0.2">
      <c r="A53" t="s">
        <v>200</v>
      </c>
      <c r="B53" s="55">
        <v>1</v>
      </c>
      <c r="C53" t="s">
        <v>201</v>
      </c>
      <c r="D53" t="s">
        <v>199</v>
      </c>
    </row>
    <row r="54" spans="1:4" x14ac:dyDescent="0.2">
      <c r="A54" t="s">
        <v>202</v>
      </c>
      <c r="B54" s="55">
        <v>1</v>
      </c>
      <c r="C54" t="s">
        <v>203</v>
      </c>
      <c r="D54" t="s">
        <v>199</v>
      </c>
    </row>
    <row r="55" spans="1:4" x14ac:dyDescent="0.2">
      <c r="A55" t="s">
        <v>204</v>
      </c>
      <c r="B55" s="55">
        <v>1</v>
      </c>
      <c r="C55" t="s">
        <v>205</v>
      </c>
      <c r="D55" t="s">
        <v>199</v>
      </c>
    </row>
    <row r="56" spans="1:4" x14ac:dyDescent="0.2">
      <c r="A56" t="s">
        <v>206</v>
      </c>
      <c r="B56" s="55">
        <v>1</v>
      </c>
      <c r="C56" t="s">
        <v>207</v>
      </c>
      <c r="D56" t="s">
        <v>199</v>
      </c>
    </row>
    <row r="57" spans="1:4" x14ac:dyDescent="0.2">
      <c r="A57" t="s">
        <v>208</v>
      </c>
      <c r="B57" s="55">
        <v>1</v>
      </c>
      <c r="C57" t="s">
        <v>209</v>
      </c>
      <c r="D57" t="s">
        <v>199</v>
      </c>
    </row>
  </sheetData>
  <mergeCells count="6">
    <mergeCell ref="A33:D33"/>
    <mergeCell ref="A1:D1"/>
    <mergeCell ref="A5:D5"/>
    <mergeCell ref="A25:D25"/>
    <mergeCell ref="A19:D19"/>
    <mergeCell ref="A11:D1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19"/>
  <sheetViews>
    <sheetView zoomScale="135"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T16" sqref="T16"/>
    </sheetView>
  </sheetViews>
  <sheetFormatPr baseColWidth="10" defaultColWidth="8.6640625" defaultRowHeight="15" x14ac:dyDescent="0.2"/>
  <cols>
    <col min="1" max="1" width="34" customWidth="1"/>
    <col min="2" max="2" width="14" customWidth="1"/>
    <col min="3" max="3" width="35.83203125" bestFit="1" customWidth="1"/>
    <col min="4" max="16" width="10" customWidth="1"/>
    <col min="17" max="34" width="11.33203125" customWidth="1"/>
  </cols>
  <sheetData>
    <row r="1" spans="1:34" ht="17.25" customHeight="1" x14ac:dyDescent="0.2">
      <c r="A1" s="1" t="s">
        <v>210</v>
      </c>
    </row>
    <row r="3" spans="1:34" ht="15" customHeight="1" x14ac:dyDescent="0.2">
      <c r="A3" s="11" t="s">
        <v>1</v>
      </c>
      <c r="B3" s="11" t="s">
        <v>115</v>
      </c>
      <c r="C3" s="11" t="s">
        <v>5</v>
      </c>
      <c r="D3" s="12">
        <v>2020</v>
      </c>
      <c r="E3" s="12">
        <v>2021</v>
      </c>
      <c r="F3" s="12">
        <v>2022</v>
      </c>
      <c r="G3" s="12">
        <v>2023</v>
      </c>
      <c r="H3" s="12">
        <v>2024</v>
      </c>
      <c r="I3" s="12">
        <v>2025</v>
      </c>
      <c r="J3" s="12">
        <v>2026</v>
      </c>
      <c r="K3" s="12">
        <v>2027</v>
      </c>
      <c r="L3" s="12">
        <v>2028</v>
      </c>
      <c r="M3" s="12">
        <v>2029</v>
      </c>
      <c r="N3" s="12">
        <v>2030</v>
      </c>
      <c r="O3" s="12">
        <v>2031</v>
      </c>
      <c r="P3" s="12">
        <v>2032</v>
      </c>
      <c r="Q3" s="12">
        <v>2033</v>
      </c>
      <c r="R3" s="12">
        <v>2034</v>
      </c>
      <c r="S3" s="12">
        <v>2035</v>
      </c>
      <c r="T3" s="12">
        <v>2036</v>
      </c>
      <c r="U3" s="12">
        <v>2037</v>
      </c>
      <c r="V3" s="12">
        <v>2038</v>
      </c>
      <c r="W3" s="12">
        <v>2039</v>
      </c>
      <c r="X3" s="12">
        <v>2040</v>
      </c>
      <c r="Y3" s="12">
        <v>2041</v>
      </c>
      <c r="Z3" s="12">
        <v>2042</v>
      </c>
      <c r="AA3" s="12">
        <v>2043</v>
      </c>
      <c r="AB3" s="12">
        <v>2044</v>
      </c>
      <c r="AC3" s="12">
        <v>2045</v>
      </c>
      <c r="AD3" s="12">
        <v>2046</v>
      </c>
      <c r="AE3" s="12">
        <v>2047</v>
      </c>
      <c r="AF3" s="12">
        <v>2048</v>
      </c>
      <c r="AG3" s="12">
        <v>2049</v>
      </c>
      <c r="AH3" s="12">
        <v>2050</v>
      </c>
    </row>
    <row r="5" spans="1:34" ht="15" customHeight="1" x14ac:dyDescent="0.2">
      <c r="A5" s="13" t="s">
        <v>6</v>
      </c>
      <c r="B5" s="14" t="s">
        <v>119</v>
      </c>
      <c r="C5" s="15" t="s">
        <v>211</v>
      </c>
      <c r="D5" s="16">
        <f>Inputs!$B$6+(Inputs!$B$7-Inputs!$B$6)*(D$3-2020)/30</f>
        <v>6735277</v>
      </c>
      <c r="E5" s="16">
        <f>Inputs!$B$6+(Inputs!$B$7-Inputs!$B$6)*(E$3-2020)/30</f>
        <v>6819454.5999999996</v>
      </c>
      <c r="F5" s="16">
        <f>Inputs!$B$6+(Inputs!$B$7-Inputs!$B$6)*(F$3-2020)/30</f>
        <v>6903632.2000000002</v>
      </c>
      <c r="G5" s="16">
        <f>Inputs!$B$6+(Inputs!$B$7-Inputs!$B$6)*(G$3-2020)/30</f>
        <v>6987809.7999999998</v>
      </c>
      <c r="H5" s="16">
        <f>Inputs!$B$6+(Inputs!$B$7-Inputs!$B$6)*(H$3-2020)/30</f>
        <v>7071987.4000000004</v>
      </c>
      <c r="I5" s="16">
        <f>Inputs!$B$6+(Inputs!$B$7-Inputs!$B$6)*(I$3-2020)/30</f>
        <v>7156165</v>
      </c>
      <c r="J5" s="16">
        <f>Inputs!$B$6+(Inputs!$B$7-Inputs!$B$6)*(J$3-2020)/30</f>
        <v>7240342.5999999996</v>
      </c>
      <c r="K5" s="16">
        <f>Inputs!$B$6+(Inputs!$B$7-Inputs!$B$6)*(K$3-2020)/30</f>
        <v>7324520.2000000002</v>
      </c>
      <c r="L5" s="16">
        <f>Inputs!$B$6+(Inputs!$B$7-Inputs!$B$6)*(L$3-2020)/30</f>
        <v>7408697.7999999998</v>
      </c>
      <c r="M5" s="16">
        <f>Inputs!$B$6+(Inputs!$B$7-Inputs!$B$6)*(M$3-2020)/30</f>
        <v>7492875.4000000004</v>
      </c>
      <c r="N5" s="16">
        <f>Inputs!$B$6+(Inputs!$B$7-Inputs!$B$6)*(N$3-2020)/30</f>
        <v>7577053</v>
      </c>
      <c r="O5" s="16">
        <f>Inputs!$B$6+(Inputs!$B$7-Inputs!$B$6)*(O$3-2020)/30</f>
        <v>7661230.5999999996</v>
      </c>
      <c r="P5" s="16">
        <f>Inputs!$B$6+(Inputs!$B$7-Inputs!$B$6)*(P$3-2020)/30</f>
        <v>7745408.2000000002</v>
      </c>
      <c r="Q5" s="16">
        <f>Inputs!$B$6+(Inputs!$B$7-Inputs!$B$6)*(Q$3-2020)/30</f>
        <v>7829585.7999999998</v>
      </c>
      <c r="R5" s="16">
        <f>Inputs!$B$6+(Inputs!$B$7-Inputs!$B$6)*(R$3-2020)/30</f>
        <v>7913763.4000000004</v>
      </c>
      <c r="S5" s="16">
        <f>Inputs!$B$6+(Inputs!$B$7-Inputs!$B$6)*(S$3-2020)/30</f>
        <v>7997941</v>
      </c>
      <c r="T5" s="16">
        <f>Inputs!$B$6+(Inputs!$B$7-Inputs!$B$6)*(T$3-2020)/30</f>
        <v>8082118.5999999996</v>
      </c>
      <c r="U5" s="16">
        <f>Inputs!$B$6+(Inputs!$B$7-Inputs!$B$6)*(U$3-2020)/30</f>
        <v>8166296.2000000002</v>
      </c>
      <c r="V5" s="16">
        <f>Inputs!$B$6+(Inputs!$B$7-Inputs!$B$6)*(V$3-2020)/30</f>
        <v>8250473.7999999998</v>
      </c>
      <c r="W5" s="16">
        <f>Inputs!$B$6+(Inputs!$B$7-Inputs!$B$6)*(W$3-2020)/30</f>
        <v>8334651.4000000004</v>
      </c>
      <c r="X5" s="16">
        <f>Inputs!$B$6+(Inputs!$B$7-Inputs!$B$6)*(X$3-2020)/30</f>
        <v>8418829</v>
      </c>
      <c r="Y5" s="16">
        <f>Inputs!$B$6+(Inputs!$B$7-Inputs!$B$6)*(Y$3-2020)/30</f>
        <v>8503006.5999999996</v>
      </c>
      <c r="Z5" s="16">
        <f>Inputs!$B$6+(Inputs!$B$7-Inputs!$B$6)*(Z$3-2020)/30</f>
        <v>8587184.1999999993</v>
      </c>
      <c r="AA5" s="16">
        <f>Inputs!$B$6+(Inputs!$B$7-Inputs!$B$6)*(AA$3-2020)/30</f>
        <v>8671361.8000000007</v>
      </c>
      <c r="AB5" s="16">
        <f>Inputs!$B$6+(Inputs!$B$7-Inputs!$B$6)*(AB$3-2020)/30</f>
        <v>8755539.4000000004</v>
      </c>
      <c r="AC5" s="16">
        <f>Inputs!$B$6+(Inputs!$B$7-Inputs!$B$6)*(AC$3-2020)/30</f>
        <v>8839717</v>
      </c>
      <c r="AD5" s="16">
        <f>Inputs!$B$6+(Inputs!$B$7-Inputs!$B$6)*(AD$3-2020)/30</f>
        <v>8923894.5999999996</v>
      </c>
      <c r="AE5" s="16">
        <f>Inputs!$B$6+(Inputs!$B$7-Inputs!$B$6)*(AE$3-2020)/30</f>
        <v>9008072.1999999993</v>
      </c>
      <c r="AF5" s="16">
        <f>Inputs!$B$6+(Inputs!$B$7-Inputs!$B$6)*(AF$3-2020)/30</f>
        <v>9092249.8000000007</v>
      </c>
      <c r="AG5" s="16">
        <f>Inputs!$B$6+(Inputs!$B$7-Inputs!$B$6)*(AG$3-2020)/30</f>
        <v>9176427.4000000004</v>
      </c>
      <c r="AH5" s="16">
        <f>Inputs!$B$6+(Inputs!$B$7-Inputs!$B$6)*(AH$3-2020)/30</f>
        <v>9260605</v>
      </c>
    </row>
    <row r="6" spans="1:34" ht="15" customHeight="1" x14ac:dyDescent="0.2">
      <c r="A6" s="13" t="s">
        <v>212</v>
      </c>
      <c r="B6" s="14" t="s">
        <v>213</v>
      </c>
      <c r="C6" s="15" t="s">
        <v>214</v>
      </c>
      <c r="D6" s="16">
        <f>Inputs!$B$8*(1+Inputs!$B$9)^(D$3-2020)</f>
        <v>6357</v>
      </c>
      <c r="E6" s="16">
        <f>Inputs!$B$8*(1+Inputs!$B$9)^(E$3-2020)</f>
        <v>6515.9249999999993</v>
      </c>
      <c r="F6" s="16">
        <f>Inputs!$B$8*(1+Inputs!$B$9)^(F$3-2020)</f>
        <v>6678.8231249999999</v>
      </c>
      <c r="G6" s="16">
        <f>Inputs!$B$8*(1+Inputs!$B$9)^(G$3-2020)</f>
        <v>6845.7937031249994</v>
      </c>
      <c r="H6" s="16">
        <f>Inputs!$B$8*(1+Inputs!$B$9)^(H$3-2020)</f>
        <v>7016.9385457031231</v>
      </c>
      <c r="I6" s="16">
        <f>Inputs!$B$8*(1+Inputs!$B$9)^(I$3-2020)</f>
        <v>7192.3620093457012</v>
      </c>
      <c r="J6" s="16">
        <f>Inputs!$B$8*(1+Inputs!$B$9)^(J$3-2020)</f>
        <v>7372.1710595793429</v>
      </c>
      <c r="K6" s="16">
        <f>Inputs!$B$8*(1+Inputs!$B$9)^(K$3-2020)</f>
        <v>7556.4753360688264</v>
      </c>
      <c r="L6" s="16">
        <f>Inputs!$B$8*(1+Inputs!$B$9)^(L$3-2020)</f>
        <v>7745.3872194705473</v>
      </c>
      <c r="M6" s="16">
        <f>Inputs!$B$8*(1+Inputs!$B$9)^(M$3-2020)</f>
        <v>7939.021899957309</v>
      </c>
      <c r="N6" s="16">
        <f>Inputs!$B$8*(1+Inputs!$B$9)^(N$3-2020)</f>
        <v>8137.4974474562423</v>
      </c>
      <c r="O6" s="16">
        <f>Inputs!$B$8*(1+Inputs!$B$9)^(O$3-2020)</f>
        <v>8340.934883642647</v>
      </c>
      <c r="P6" s="16">
        <f>Inputs!$B$8*(1+Inputs!$B$9)^(P$3-2020)</f>
        <v>8549.4582557337126</v>
      </c>
      <c r="Q6" s="16">
        <f>Inputs!$B$8*(1+Inputs!$B$9)^(Q$3-2020)</f>
        <v>8763.194712127055</v>
      </c>
      <c r="R6" s="16">
        <f>Inputs!$B$8*(1+Inputs!$B$9)^(R$3-2020)</f>
        <v>8982.274579930232</v>
      </c>
      <c r="S6" s="16">
        <f>Inputs!$B$8*(1+Inputs!$B$9)^(S$3-2020)</f>
        <v>9206.8314444284879</v>
      </c>
      <c r="T6" s="16">
        <f>Inputs!$B$8*(1+Inputs!$B$9)^(T$3-2020)</f>
        <v>9437.0022305391994</v>
      </c>
      <c r="U6" s="16">
        <f>Inputs!$B$8*(1+Inputs!$B$9)^(U$3-2020)</f>
        <v>9672.9272863026781</v>
      </c>
      <c r="V6" s="16">
        <f>Inputs!$B$8*(1+Inputs!$B$9)^(V$3-2020)</f>
        <v>9914.7504684602463</v>
      </c>
      <c r="W6" s="16">
        <f>Inputs!$B$8*(1+Inputs!$B$9)^(W$3-2020)</f>
        <v>10162.619230171753</v>
      </c>
      <c r="X6" s="16">
        <f>Inputs!$B$8*(1+Inputs!$B$9)^(X$3-2020)</f>
        <v>10416.684710926045</v>
      </c>
      <c r="Y6" s="16">
        <f>Inputs!$B$8*(1+Inputs!$B$9)^(Y$3-2020)</f>
        <v>10677.101828699195</v>
      </c>
      <c r="Z6" s="16">
        <f>Inputs!$B$8*(1+Inputs!$B$9)^(Z$3-2020)</f>
        <v>10944.029374416674</v>
      </c>
      <c r="AA6" s="16">
        <f>Inputs!$B$8*(1+Inputs!$B$9)^(AA$3-2020)</f>
        <v>11217.630108777092</v>
      </c>
      <c r="AB6" s="16">
        <f>Inputs!$B$8*(1+Inputs!$B$9)^(AB$3-2020)</f>
        <v>11498.070861496517</v>
      </c>
      <c r="AC6" s="16">
        <f>Inputs!$B$8*(1+Inputs!$B$9)^(AC$3-2020)</f>
        <v>11785.522633033928</v>
      </c>
      <c r="AD6" s="16">
        <f>Inputs!$B$8*(1+Inputs!$B$9)^(AD$3-2020)</f>
        <v>12080.160698859776</v>
      </c>
      <c r="AE6" s="16">
        <f>Inputs!$B$8*(1+Inputs!$B$9)^(AE$3-2020)</f>
        <v>12382.16471633127</v>
      </c>
      <c r="AF6" s="16">
        <f>Inputs!$B$8*(1+Inputs!$B$9)^(AF$3-2020)</f>
        <v>12691.718834239551</v>
      </c>
      <c r="AG6" s="16">
        <f>Inputs!$B$8*(1+Inputs!$B$9)^(AG$3-2020)</f>
        <v>13009.011805095541</v>
      </c>
      <c r="AH6" s="16">
        <f>Inputs!$B$8*(1+Inputs!$B$9)^(AH$3-2020)</f>
        <v>13334.237100222927</v>
      </c>
    </row>
    <row r="7" spans="1:34" ht="15" customHeight="1" x14ac:dyDescent="0.2">
      <c r="A7" s="13" t="s">
        <v>215</v>
      </c>
      <c r="B7" s="14" t="s">
        <v>216</v>
      </c>
      <c r="C7" s="15" t="s">
        <v>217</v>
      </c>
      <c r="D7" s="17">
        <f t="shared" ref="D7:AH7" si="0">D5*D6/1000000</f>
        <v>42816.155889000001</v>
      </c>
      <c r="E7" s="17">
        <f t="shared" si="0"/>
        <v>44435.054714504993</v>
      </c>
      <c r="F7" s="17">
        <f t="shared" si="0"/>
        <v>46108.138383854624</v>
      </c>
      <c r="G7" s="17">
        <f t="shared" si="0"/>
        <v>47837.104327475157</v>
      </c>
      <c r="H7" s="17">
        <f t="shared" si="0"/>
        <v>49623.700981786809</v>
      </c>
      <c r="I7" s="17">
        <f t="shared" si="0"/>
        <v>51469.729278609382</v>
      </c>
      <c r="J7" s="17">
        <f t="shared" si="0"/>
        <v>53377.044177159456</v>
      </c>
      <c r="K7" s="17">
        <f t="shared" si="0"/>
        <v>55347.556239837904</v>
      </c>
      <c r="L7" s="17">
        <f t="shared" si="0"/>
        <v>57383.233253039558</v>
      </c>
      <c r="M7" s="17">
        <f t="shared" si="0"/>
        <v>59486.101894251384</v>
      </c>
      <c r="N7" s="17">
        <f t="shared" si="0"/>
        <v>61658.249446740665</v>
      </c>
      <c r="O7" s="17">
        <f t="shared" si="0"/>
        <v>63901.825563170489</v>
      </c>
      <c r="P7" s="17">
        <f t="shared" si="0"/>
        <v>66219.044079517596</v>
      </c>
      <c r="Q7" s="17">
        <f t="shared" si="0"/>
        <v>68612.184880705085</v>
      </c>
      <c r="R7" s="17">
        <f t="shared" si="0"/>
        <v>71083.595819402253</v>
      </c>
      <c r="S7" s="17">
        <f t="shared" si="0"/>
        <v>73635.694689483833</v>
      </c>
      <c r="T7" s="17">
        <f t="shared" si="0"/>
        <v>76270.971255682336</v>
      </c>
      <c r="U7" s="17">
        <f t="shared" si="0"/>
        <v>78991.989341009874</v>
      </c>
      <c r="V7" s="17">
        <f t="shared" si="0"/>
        <v>81801.388973568988</v>
      </c>
      <c r="W7" s="17">
        <f t="shared" si="0"/>
        <v>84701.88859441792</v>
      </c>
      <c r="X7" s="17">
        <f t="shared" si="0"/>
        <v>87696.287328200808</v>
      </c>
      <c r="Y7" s="17">
        <f t="shared" si="0"/>
        <v>90787.467318301322</v>
      </c>
      <c r="Z7" s="17">
        <f t="shared" si="0"/>
        <v>93978.396128326742</v>
      </c>
      <c r="AA7" s="17">
        <f t="shared" si="0"/>
        <v>97272.129211779524</v>
      </c>
      <c r="AB7" s="17">
        <f t="shared" si="0"/>
        <v>100671.81245182471</v>
      </c>
      <c r="AC7" s="17">
        <f t="shared" si="0"/>
        <v>104180.68477311477</v>
      </c>
      <c r="AD7" s="17">
        <f t="shared" si="0"/>
        <v>107802.08082768698</v>
      </c>
      <c r="AE7" s="17">
        <f t="shared" si="0"/>
        <v>111539.43375700459</v>
      </c>
      <c r="AF7" s="17">
        <f t="shared" si="0"/>
        <v>115396.2780322708</v>
      </c>
      <c r="AG7" s="17">
        <f t="shared" si="0"/>
        <v>119376.25237520218</v>
      </c>
      <c r="AH7" s="17">
        <f t="shared" si="0"/>
        <v>123483.10276150993</v>
      </c>
    </row>
    <row r="9" spans="1:34" ht="15" customHeight="1" x14ac:dyDescent="0.2">
      <c r="A9" s="13" t="s">
        <v>218</v>
      </c>
      <c r="B9" s="14" t="s">
        <v>130</v>
      </c>
      <c r="C9" s="15" t="s">
        <v>219</v>
      </c>
      <c r="D9" s="18">
        <f>Inputs!$B$12*(1+Inputs!$B$13)^(D$3-2020)</f>
        <v>415</v>
      </c>
      <c r="E9" s="18">
        <f>Inputs!$B$12*(1+Inputs!$B$13)^(E$3-2020)</f>
        <v>412.92500000000001</v>
      </c>
      <c r="F9" s="18">
        <f>Inputs!$B$12*(1+Inputs!$B$13)^(F$3-2020)</f>
        <v>410.86037500000003</v>
      </c>
      <c r="G9" s="18">
        <f>Inputs!$B$12*(1+Inputs!$B$13)^(G$3-2020)</f>
        <v>408.80607312500001</v>
      </c>
      <c r="H9" s="18">
        <f>Inputs!$B$12*(1+Inputs!$B$13)^(H$3-2020)</f>
        <v>406.76204275937505</v>
      </c>
      <c r="I9" s="18">
        <f>Inputs!$B$12*(1+Inputs!$B$13)^(I$3-2020)</f>
        <v>404.72823254557818</v>
      </c>
      <c r="J9" s="18">
        <f>Inputs!$B$12*(1+Inputs!$B$13)^(J$3-2020)</f>
        <v>402.70459138285025</v>
      </c>
      <c r="K9" s="18">
        <f>Inputs!$B$12*(1+Inputs!$B$13)^(K$3-2020)</f>
        <v>400.69106842593601</v>
      </c>
      <c r="L9" s="18">
        <f>Inputs!$B$12*(1+Inputs!$B$13)^(L$3-2020)</f>
        <v>398.68761308380635</v>
      </c>
      <c r="M9" s="18">
        <f>Inputs!$B$12*(1+Inputs!$B$13)^(M$3-2020)</f>
        <v>396.69417501838728</v>
      </c>
      <c r="N9" s="18">
        <f>Inputs!$B$12*(1+Inputs!$B$13)^(N$3-2020)</f>
        <v>394.71070414329535</v>
      </c>
      <c r="O9" s="18">
        <f>Inputs!$B$12*(1+Inputs!$B$13)^(O$3-2020)</f>
        <v>392.73715062257889</v>
      </c>
      <c r="P9" s="18">
        <f>Inputs!$B$12*(1+Inputs!$B$13)^(P$3-2020)</f>
        <v>390.77346486946601</v>
      </c>
      <c r="Q9" s="18">
        <f>Inputs!$B$12*(1+Inputs!$B$13)^(Q$3-2020)</f>
        <v>388.81959754511871</v>
      </c>
      <c r="R9" s="18">
        <f>Inputs!$B$12*(1+Inputs!$B$13)^(R$3-2020)</f>
        <v>386.87549955739314</v>
      </c>
      <c r="S9" s="18">
        <f>Inputs!$B$12*(1+Inputs!$B$13)^(S$3-2020)</f>
        <v>384.94112205960613</v>
      </c>
      <c r="T9" s="18">
        <f>Inputs!$B$12*(1+Inputs!$B$13)^(T$3-2020)</f>
        <v>383.01641644930811</v>
      </c>
      <c r="U9" s="18">
        <f>Inputs!$B$12*(1+Inputs!$B$13)^(U$3-2020)</f>
        <v>381.10133436706155</v>
      </c>
      <c r="V9" s="18">
        <f>Inputs!$B$12*(1+Inputs!$B$13)^(V$3-2020)</f>
        <v>379.19582769522623</v>
      </c>
      <c r="W9" s="18">
        <f>Inputs!$B$12*(1+Inputs!$B$13)^(W$3-2020)</f>
        <v>377.29984855675013</v>
      </c>
      <c r="X9" s="18">
        <f>Inputs!$B$12*(1+Inputs!$B$13)^(X$3-2020)</f>
        <v>375.41334931396636</v>
      </c>
      <c r="Y9" s="18">
        <f>Inputs!$B$12*(1+Inputs!$B$13)^(Y$3-2020)</f>
        <v>373.53628256739654</v>
      </c>
      <c r="Z9" s="18">
        <f>Inputs!$B$12*(1+Inputs!$B$13)^(Z$3-2020)</f>
        <v>371.66860115455955</v>
      </c>
      <c r="AA9" s="18">
        <f>Inputs!$B$12*(1+Inputs!$B$13)^(AA$3-2020)</f>
        <v>369.81025814878677</v>
      </c>
      <c r="AB9" s="18">
        <f>Inputs!$B$12*(1+Inputs!$B$13)^(AB$3-2020)</f>
        <v>367.96120685804283</v>
      </c>
      <c r="AC9" s="18">
        <f>Inputs!$B$12*(1+Inputs!$B$13)^(AC$3-2020)</f>
        <v>366.12140082375265</v>
      </c>
      <c r="AD9" s="18">
        <f>Inputs!$B$12*(1+Inputs!$B$13)^(AD$3-2020)</f>
        <v>364.2907938196339</v>
      </c>
      <c r="AE9" s="18">
        <f>Inputs!$B$12*(1+Inputs!$B$13)^(AE$3-2020)</f>
        <v>362.46933985053568</v>
      </c>
      <c r="AF9" s="18">
        <f>Inputs!$B$12*(1+Inputs!$B$13)^(AF$3-2020)</f>
        <v>360.65699315128307</v>
      </c>
      <c r="AG9" s="18">
        <f>Inputs!$B$12*(1+Inputs!$B$13)^(AG$3-2020)</f>
        <v>358.85370818552667</v>
      </c>
      <c r="AH9" s="18">
        <f>Inputs!$B$12*(1+Inputs!$B$13)^(AH$3-2020)</f>
        <v>357.05943964459902</v>
      </c>
    </row>
    <row r="10" spans="1:34" ht="15" customHeight="1" x14ac:dyDescent="0.2">
      <c r="A10" s="13" t="s">
        <v>220</v>
      </c>
      <c r="B10" s="14" t="s">
        <v>221</v>
      </c>
      <c r="C10" s="15" t="s">
        <v>219</v>
      </c>
      <c r="D10" s="19">
        <f>Inputs!$B$14*(1+Inputs!$B$15)^(D$3-2020)</f>
        <v>5.8</v>
      </c>
      <c r="E10" s="19">
        <f>Inputs!$B$14*(1+Inputs!$B$15)^(E$3-2020)</f>
        <v>5.742</v>
      </c>
      <c r="F10" s="19">
        <f>Inputs!$B$14*(1+Inputs!$B$15)^(F$3-2020)</f>
        <v>5.6845799999999995</v>
      </c>
      <c r="G10" s="19">
        <f>Inputs!$B$14*(1+Inputs!$B$15)^(G$3-2020)</f>
        <v>5.627734199999999</v>
      </c>
      <c r="H10" s="19">
        <f>Inputs!$B$14*(1+Inputs!$B$15)^(H$3-2020)</f>
        <v>5.5714568579999995</v>
      </c>
      <c r="I10" s="19">
        <f>Inputs!$B$14*(1+Inputs!$B$15)^(I$3-2020)</f>
        <v>5.5157422894199994</v>
      </c>
      <c r="J10" s="19">
        <f>Inputs!$B$14*(1+Inputs!$B$15)^(J$3-2020)</f>
        <v>5.4605848665257994</v>
      </c>
      <c r="K10" s="19">
        <f>Inputs!$B$14*(1+Inputs!$B$15)^(K$3-2020)</f>
        <v>5.4059790178605409</v>
      </c>
      <c r="L10" s="19">
        <f>Inputs!$B$14*(1+Inputs!$B$15)^(L$3-2020)</f>
        <v>5.3519192276819352</v>
      </c>
      <c r="M10" s="19">
        <f>Inputs!$B$14*(1+Inputs!$B$15)^(M$3-2020)</f>
        <v>5.2984000354051162</v>
      </c>
      <c r="N10" s="19">
        <f>Inputs!$B$14*(1+Inputs!$B$15)^(N$3-2020)</f>
        <v>5.2454160350510648</v>
      </c>
      <c r="O10" s="19">
        <f>Inputs!$B$14*(1+Inputs!$B$15)^(O$3-2020)</f>
        <v>5.1929618747005541</v>
      </c>
      <c r="P10" s="19">
        <f>Inputs!$B$14*(1+Inputs!$B$15)^(P$3-2020)</f>
        <v>5.1410322559535491</v>
      </c>
      <c r="Q10" s="19">
        <f>Inputs!$B$14*(1+Inputs!$B$15)^(Q$3-2020)</f>
        <v>5.0896219333940129</v>
      </c>
      <c r="R10" s="19">
        <f>Inputs!$B$14*(1+Inputs!$B$15)^(R$3-2020)</f>
        <v>5.0387257140600727</v>
      </c>
      <c r="S10" s="19">
        <f>Inputs!$B$14*(1+Inputs!$B$15)^(S$3-2020)</f>
        <v>4.9883384569194718</v>
      </c>
      <c r="T10" s="19">
        <f>Inputs!$B$14*(1+Inputs!$B$15)^(T$3-2020)</f>
        <v>4.9384550723502771</v>
      </c>
      <c r="U10" s="19">
        <f>Inputs!$B$14*(1+Inputs!$B$15)^(U$3-2020)</f>
        <v>4.889070521626774</v>
      </c>
      <c r="V10" s="19">
        <f>Inputs!$B$14*(1+Inputs!$B$15)^(V$3-2020)</f>
        <v>4.8401798164105063</v>
      </c>
      <c r="W10" s="19">
        <f>Inputs!$B$14*(1+Inputs!$B$15)^(W$3-2020)</f>
        <v>4.7917780182464007</v>
      </c>
      <c r="X10" s="19">
        <f>Inputs!$B$14*(1+Inputs!$B$15)^(X$3-2020)</f>
        <v>4.7438602380639381</v>
      </c>
      <c r="Y10" s="19">
        <f>Inputs!$B$14*(1+Inputs!$B$15)^(Y$3-2020)</f>
        <v>4.696421635683298</v>
      </c>
      <c r="Z10" s="19">
        <f>Inputs!$B$14*(1+Inputs!$B$15)^(Z$3-2020)</f>
        <v>4.6494574193264642</v>
      </c>
      <c r="AA10" s="19">
        <f>Inputs!$B$14*(1+Inputs!$B$15)^(AA$3-2020)</f>
        <v>4.6029628451332005</v>
      </c>
      <c r="AB10" s="19">
        <f>Inputs!$B$14*(1+Inputs!$B$15)^(AB$3-2020)</f>
        <v>4.5569332166818679</v>
      </c>
      <c r="AC10" s="19">
        <f>Inputs!$B$14*(1+Inputs!$B$15)^(AC$3-2020)</f>
        <v>4.511363884515049</v>
      </c>
      <c r="AD10" s="19">
        <f>Inputs!$B$14*(1+Inputs!$B$15)^(AD$3-2020)</f>
        <v>4.4662502456698991</v>
      </c>
      <c r="AE10" s="19">
        <f>Inputs!$B$14*(1+Inputs!$B$15)^(AE$3-2020)</f>
        <v>4.4215877432132</v>
      </c>
      <c r="AF10" s="19">
        <f>Inputs!$B$14*(1+Inputs!$B$15)^(AF$3-2020)</f>
        <v>4.3773718657810674</v>
      </c>
      <c r="AG10" s="19">
        <f>Inputs!$B$14*(1+Inputs!$B$15)^(AG$3-2020)</f>
        <v>4.3335981471232561</v>
      </c>
      <c r="AH10" s="19">
        <f>Inputs!$B$14*(1+Inputs!$B$15)^(AH$3-2020)</f>
        <v>4.2902621656520248</v>
      </c>
    </row>
    <row r="11" spans="1:34" ht="15" customHeight="1" x14ac:dyDescent="0.2">
      <c r="A11" s="13" t="s">
        <v>222</v>
      </c>
      <c r="B11" s="14" t="s">
        <v>130</v>
      </c>
      <c r="C11" s="15" t="s">
        <v>219</v>
      </c>
      <c r="D11" s="18">
        <f>Inputs!$B$16*(1+Inputs!$B$17)^(D$3-2020)</f>
        <v>1990</v>
      </c>
      <c r="E11" s="18">
        <f>Inputs!$B$16*(1+Inputs!$B$17)^(E$3-2020)</f>
        <v>1974.08</v>
      </c>
      <c r="F11" s="18">
        <f>Inputs!$B$16*(1+Inputs!$B$17)^(F$3-2020)</f>
        <v>1958.2873599999998</v>
      </c>
      <c r="G11" s="18">
        <f>Inputs!$B$16*(1+Inputs!$B$17)^(G$3-2020)</f>
        <v>1942.6210611199997</v>
      </c>
      <c r="H11" s="18">
        <f>Inputs!$B$16*(1+Inputs!$B$17)^(H$3-2020)</f>
        <v>1927.0800926310396</v>
      </c>
      <c r="I11" s="18">
        <f>Inputs!$B$16*(1+Inputs!$B$17)^(I$3-2020)</f>
        <v>1911.6634518899914</v>
      </c>
      <c r="J11" s="18">
        <f>Inputs!$B$16*(1+Inputs!$B$17)^(J$3-2020)</f>
        <v>1896.3701442748713</v>
      </c>
      <c r="K11" s="18">
        <f>Inputs!$B$16*(1+Inputs!$B$17)^(K$3-2020)</f>
        <v>1881.1991831206724</v>
      </c>
      <c r="L11" s="18">
        <f>Inputs!$B$16*(1+Inputs!$B$17)^(L$3-2020)</f>
        <v>1866.1495896557069</v>
      </c>
      <c r="M11" s="18">
        <f>Inputs!$B$16*(1+Inputs!$B$17)^(M$3-2020)</f>
        <v>1851.2203929384611</v>
      </c>
      <c r="N11" s="18">
        <f>Inputs!$B$16*(1+Inputs!$B$17)^(N$3-2020)</f>
        <v>1836.4106297949534</v>
      </c>
      <c r="O11" s="18">
        <f>Inputs!$B$16*(1+Inputs!$B$17)^(O$3-2020)</f>
        <v>1821.7193447565937</v>
      </c>
      <c r="P11" s="18">
        <f>Inputs!$B$16*(1+Inputs!$B$17)^(P$3-2020)</f>
        <v>1807.145589998541</v>
      </c>
      <c r="Q11" s="18">
        <f>Inputs!$B$16*(1+Inputs!$B$17)^(Q$3-2020)</f>
        <v>1792.6884252785526</v>
      </c>
      <c r="R11" s="18">
        <f>Inputs!$B$16*(1+Inputs!$B$17)^(R$3-2020)</f>
        <v>1778.3469178763239</v>
      </c>
      <c r="S11" s="18">
        <f>Inputs!$B$16*(1+Inputs!$B$17)^(S$3-2020)</f>
        <v>1764.1201425333134</v>
      </c>
      <c r="T11" s="18">
        <f>Inputs!$B$16*(1+Inputs!$B$17)^(T$3-2020)</f>
        <v>1750.0071813930469</v>
      </c>
      <c r="U11" s="18">
        <f>Inputs!$B$16*(1+Inputs!$B$17)^(U$3-2020)</f>
        <v>1736.0071239419026</v>
      </c>
      <c r="V11" s="18">
        <f>Inputs!$B$16*(1+Inputs!$B$17)^(V$3-2020)</f>
        <v>1722.1190669503671</v>
      </c>
      <c r="W11" s="18">
        <f>Inputs!$B$16*(1+Inputs!$B$17)^(W$3-2020)</f>
        <v>1708.3421144147642</v>
      </c>
      <c r="X11" s="18">
        <f>Inputs!$B$16*(1+Inputs!$B$17)^(X$3-2020)</f>
        <v>1694.6753774994461</v>
      </c>
      <c r="Y11" s="18">
        <f>Inputs!$B$16*(1+Inputs!$B$17)^(Y$3-2020)</f>
        <v>1681.1179744794506</v>
      </c>
      <c r="Z11" s="18">
        <f>Inputs!$B$16*(1+Inputs!$B$17)^(Z$3-2020)</f>
        <v>1667.6690306836147</v>
      </c>
      <c r="AA11" s="18">
        <f>Inputs!$B$16*(1+Inputs!$B$17)^(AA$3-2020)</f>
        <v>1654.3276784381458</v>
      </c>
      <c r="AB11" s="18">
        <f>Inputs!$B$16*(1+Inputs!$B$17)^(AB$3-2020)</f>
        <v>1641.0930570106407</v>
      </c>
      <c r="AC11" s="18">
        <f>Inputs!$B$16*(1+Inputs!$B$17)^(AC$3-2020)</f>
        <v>1627.9643125545554</v>
      </c>
      <c r="AD11" s="18">
        <f>Inputs!$B$16*(1+Inputs!$B$17)^(AD$3-2020)</f>
        <v>1614.9405980541189</v>
      </c>
      <c r="AE11" s="18">
        <f>Inputs!$B$16*(1+Inputs!$B$17)^(AE$3-2020)</f>
        <v>1602.021073269686</v>
      </c>
      <c r="AF11" s="18">
        <f>Inputs!$B$16*(1+Inputs!$B$17)^(AF$3-2020)</f>
        <v>1589.2049046835284</v>
      </c>
      <c r="AG11" s="18">
        <f>Inputs!$B$16*(1+Inputs!$B$17)^(AG$3-2020)</f>
        <v>1576.4912654460602</v>
      </c>
      <c r="AH11" s="18">
        <f>Inputs!$B$16*(1+Inputs!$B$17)^(AH$3-2020)</f>
        <v>1563.8793353224914</v>
      </c>
    </row>
    <row r="13" spans="1:34" ht="15" customHeight="1" x14ac:dyDescent="0.2">
      <c r="A13" s="13" t="s">
        <v>223</v>
      </c>
      <c r="B13" s="14" t="s">
        <v>145</v>
      </c>
      <c r="C13" s="15" t="s">
        <v>224</v>
      </c>
      <c r="D13" s="20">
        <f t="shared" ref="D13:AH13" si="1">D5*D9*365/1000000000</f>
        <v>1020.226083575</v>
      </c>
      <c r="E13" s="20">
        <f t="shared" si="1"/>
        <v>1027.8120011073249</v>
      </c>
      <c r="F13" s="20">
        <f t="shared" si="1"/>
        <v>1035.2965538122373</v>
      </c>
      <c r="G13" s="20">
        <f t="shared" si="1"/>
        <v>1042.6805656900731</v>
      </c>
      <c r="H13" s="20">
        <f t="shared" si="1"/>
        <v>1049.9648550352849</v>
      </c>
      <c r="I13" s="20">
        <f t="shared" si="1"/>
        <v>1057.1502344729026</v>
      </c>
      <c r="J13" s="20">
        <f t="shared" si="1"/>
        <v>1064.2375109947679</v>
      </c>
      <c r="K13" s="20">
        <f t="shared" si="1"/>
        <v>1071.2274859955528</v>
      </c>
      <c r="L13" s="20">
        <f t="shared" si="1"/>
        <v>1078.1209553085553</v>
      </c>
      <c r="M13" s="20">
        <f t="shared" si="1"/>
        <v>1084.9187092412776</v>
      </c>
      <c r="N13" s="20">
        <f t="shared" si="1"/>
        <v>1091.6215326107899</v>
      </c>
      <c r="O13" s="20">
        <f t="shared" si="1"/>
        <v>1098.2302047788762</v>
      </c>
      <c r="P13" s="20">
        <f t="shared" si="1"/>
        <v>1104.7454996869665</v>
      </c>
      <c r="Q13" s="20">
        <f t="shared" si="1"/>
        <v>1111.1681858908564</v>
      </c>
      <c r="R13" s="20">
        <f t="shared" si="1"/>
        <v>1117.4990265952151</v>
      </c>
      <c r="S13" s="20">
        <f t="shared" si="1"/>
        <v>1123.7387796878829</v>
      </c>
      <c r="T13" s="20">
        <f t="shared" si="1"/>
        <v>1129.8881977739591</v>
      </c>
      <c r="U13" s="20">
        <f t="shared" si="1"/>
        <v>1135.9480282096827</v>
      </c>
      <c r="V13" s="20">
        <f t="shared" si="1"/>
        <v>1141.919013136104</v>
      </c>
      <c r="W13" s="20">
        <f t="shared" si="1"/>
        <v>1147.8018895125567</v>
      </c>
      <c r="X13" s="20">
        <f t="shared" si="1"/>
        <v>1153.5973891499157</v>
      </c>
      <c r="Y13" s="20">
        <f t="shared" si="1"/>
        <v>1159.3062387436635</v>
      </c>
      <c r="Z13" s="20">
        <f t="shared" si="1"/>
        <v>1164.9291599067453</v>
      </c>
      <c r="AA13" s="20">
        <f t="shared" si="1"/>
        <v>1170.4668692022281</v>
      </c>
      <c r="AB13" s="20">
        <f t="shared" si="1"/>
        <v>1175.9200781757579</v>
      </c>
      <c r="AC13" s="20">
        <f t="shared" si="1"/>
        <v>1181.2894933878222</v>
      </c>
      <c r="AD13" s="20">
        <f t="shared" si="1"/>
        <v>1186.5758164458118</v>
      </c>
      <c r="AE13" s="20">
        <f t="shared" si="1"/>
        <v>1191.7797440358863</v>
      </c>
      <c r="AF13" s="20">
        <f t="shared" si="1"/>
        <v>1196.9019679546498</v>
      </c>
      <c r="AG13" s="20">
        <f t="shared" si="1"/>
        <v>1201.9431751406241</v>
      </c>
      <c r="AH13" s="20">
        <f t="shared" si="1"/>
        <v>1206.9040477055398</v>
      </c>
    </row>
    <row r="14" spans="1:34" ht="15" customHeight="1" x14ac:dyDescent="0.2">
      <c r="A14" s="13" t="s">
        <v>225</v>
      </c>
      <c r="B14" s="14" t="s">
        <v>145</v>
      </c>
      <c r="C14" s="15" t="s">
        <v>226</v>
      </c>
      <c r="D14" s="20">
        <f t="shared" ref="D14:AH14" si="2">D7*D10/1000</f>
        <v>248.33370415619999</v>
      </c>
      <c r="E14" s="20">
        <f t="shared" si="2"/>
        <v>255.14608417068769</v>
      </c>
      <c r="F14" s="20">
        <f t="shared" si="2"/>
        <v>262.1054012940923</v>
      </c>
      <c r="G14" s="20">
        <f t="shared" si="2"/>
        <v>269.2145080526999</v>
      </c>
      <c r="H14" s="20">
        <f t="shared" si="2"/>
        <v>276.47630915431745</v>
      </c>
      <c r="I14" s="20">
        <f t="shared" si="2"/>
        <v>283.8937624070245</v>
      </c>
      <c r="J14" s="20">
        <f t="shared" si="2"/>
        <v>291.46987965367595</v>
      </c>
      <c r="K14" s="20">
        <f t="shared" si="2"/>
        <v>299.20772772241997</v>
      </c>
      <c r="L14" s="20">
        <f t="shared" si="2"/>
        <v>307.11042939349977</v>
      </c>
      <c r="M14" s="20">
        <f t="shared" si="2"/>
        <v>315.18116438261393</v>
      </c>
      <c r="N14" s="20">
        <f t="shared" si="2"/>
        <v>323.42317034111193</v>
      </c>
      <c r="O14" s="20">
        <f t="shared" si="2"/>
        <v>331.83974387330966</v>
      </c>
      <c r="P14" s="20">
        <f t="shared" si="2"/>
        <v>340.43424157120984</v>
      </c>
      <c r="Q14" s="20">
        <f t="shared" si="2"/>
        <v>349.2100810669217</v>
      </c>
      <c r="R14" s="20">
        <f t="shared" si="2"/>
        <v>358.17074210307521</v>
      </c>
      <c r="S14" s="20">
        <f t="shared" si="2"/>
        <v>367.31976762153312</v>
      </c>
      <c r="T14" s="20">
        <f t="shared" si="2"/>
        <v>376.6607648707066</v>
      </c>
      <c r="U14" s="20">
        <f t="shared" si="2"/>
        <v>386.19740653178769</v>
      </c>
      <c r="V14" s="20">
        <f t="shared" si="2"/>
        <v>395.93343186421356</v>
      </c>
      <c r="W14" s="20">
        <f t="shared" si="2"/>
        <v>405.87264787068727</v>
      </c>
      <c r="X14" s="20">
        <f t="shared" si="2"/>
        <v>416.01893048208217</v>
      </c>
      <c r="Y14" s="20">
        <f t="shared" si="2"/>
        <v>426.37622576256069</v>
      </c>
      <c r="Z14" s="20">
        <f t="shared" si="2"/>
        <v>436.94855113525023</v>
      </c>
      <c r="AA14" s="20">
        <f t="shared" si="2"/>
        <v>447.73999662881698</v>
      </c>
      <c r="AB14" s="20">
        <f t="shared" si="2"/>
        <v>458.75472614528729</v>
      </c>
      <c r="AC14" s="20">
        <f t="shared" si="2"/>
        <v>469.99697874947691</v>
      </c>
      <c r="AD14" s="20">
        <f t="shared" si="2"/>
        <v>481.47106998038328</v>
      </c>
      <c r="AE14" s="20">
        <f t="shared" si="2"/>
        <v>493.18139318491217</v>
      </c>
      <c r="AF14" s="20">
        <f t="shared" si="2"/>
        <v>505.13242087431206</v>
      </c>
      <c r="AG14" s="20">
        <f t="shared" si="2"/>
        <v>517.32870610369434</v>
      </c>
      <c r="AH14" s="20">
        <f t="shared" si="2"/>
        <v>529.77488387502706</v>
      </c>
    </row>
    <row r="15" spans="1:34" ht="15" customHeight="1" x14ac:dyDescent="0.2">
      <c r="A15" s="13" t="s">
        <v>227</v>
      </c>
      <c r="B15" s="14" t="s">
        <v>145</v>
      </c>
      <c r="C15" s="15" t="s">
        <v>224</v>
      </c>
      <c r="D15" s="20">
        <f t="shared" ref="D15:AH15" si="3">D5*D11*365/1000000000</f>
        <v>4892.1684489500003</v>
      </c>
      <c r="E15" s="20">
        <f t="shared" si="3"/>
        <v>4913.68436192032</v>
      </c>
      <c r="F15" s="20">
        <f t="shared" si="3"/>
        <v>4934.5429215023814</v>
      </c>
      <c r="G15" s="20">
        <f t="shared" si="3"/>
        <v>4954.7532683319678</v>
      </c>
      <c r="H15" s="20">
        <f t="shared" si="3"/>
        <v>4974.3244388653047</v>
      </c>
      <c r="I15" s="20">
        <f t="shared" si="3"/>
        <v>4993.2653664609334</v>
      </c>
      <c r="J15" s="20">
        <f t="shared" si="3"/>
        <v>5011.5848824509467</v>
      </c>
      <c r="K15" s="20">
        <f t="shared" si="3"/>
        <v>5029.2917172016651</v>
      </c>
      <c r="L15" s="20">
        <f t="shared" si="3"/>
        <v>5046.3945011638953</v>
      </c>
      <c r="M15" s="20">
        <f t="shared" si="3"/>
        <v>5062.9017659128303</v>
      </c>
      <c r="N15" s="20">
        <f t="shared" si="3"/>
        <v>5078.8219451777049</v>
      </c>
      <c r="O15" s="20">
        <f t="shared" si="3"/>
        <v>5094.1633758613252</v>
      </c>
      <c r="P15" s="20">
        <f t="shared" si="3"/>
        <v>5108.934299049517</v>
      </c>
      <c r="Q15" s="20">
        <f t="shared" si="3"/>
        <v>5123.1428610106404</v>
      </c>
      <c r="R15" s="20">
        <f t="shared" si="3"/>
        <v>5136.7971141852477</v>
      </c>
      <c r="S15" s="20">
        <f t="shared" si="3"/>
        <v>5149.9050181659559</v>
      </c>
      <c r="T15" s="20">
        <f t="shared" si="3"/>
        <v>5162.4744406676664</v>
      </c>
      <c r="U15" s="20">
        <f t="shared" si="3"/>
        <v>5174.5131584881865</v>
      </c>
      <c r="V15" s="20">
        <f t="shared" si="3"/>
        <v>5186.0288584593736</v>
      </c>
      <c r="W15" s="20">
        <f t="shared" si="3"/>
        <v>5197.0291383888807</v>
      </c>
      <c r="X15" s="20">
        <f t="shared" si="3"/>
        <v>5207.5215079925729</v>
      </c>
      <c r="Y15" s="20">
        <f t="shared" si="3"/>
        <v>5217.513389817751</v>
      </c>
      <c r="Z15" s="20">
        <f t="shared" si="3"/>
        <v>5227.0121201572119</v>
      </c>
      <c r="AA15" s="20">
        <f t="shared" si="3"/>
        <v>5236.0249499542961</v>
      </c>
      <c r="AB15" s="20">
        <f t="shared" si="3"/>
        <v>5244.5590456989357</v>
      </c>
      <c r="AC15" s="20">
        <f t="shared" si="3"/>
        <v>5252.6214903148621</v>
      </c>
      <c r="AD15" s="20">
        <f t="shared" si="3"/>
        <v>5260.2192840380121</v>
      </c>
      <c r="AE15" s="20">
        <f t="shared" si="3"/>
        <v>5267.3593452862087</v>
      </c>
      <c r="AF15" s="20">
        <f t="shared" si="3"/>
        <v>5274.0485115202591</v>
      </c>
      <c r="AG15" s="20">
        <f t="shared" si="3"/>
        <v>5280.2935400964643</v>
      </c>
      <c r="AH15" s="20">
        <f t="shared" si="3"/>
        <v>5286.1011091107111</v>
      </c>
    </row>
    <row r="16" spans="1:34" ht="15" customHeight="1" x14ac:dyDescent="0.2">
      <c r="A16" s="13" t="s">
        <v>228</v>
      </c>
      <c r="B16" s="14" t="s">
        <v>175</v>
      </c>
      <c r="C16" s="15" t="s">
        <v>229</v>
      </c>
      <c r="D16" s="21">
        <f>Inputs!$B$36*MIN(1,MAX(0,(D$3-Inputs!$B$34)/Inputs!$B$35))</f>
        <v>0</v>
      </c>
      <c r="E16" s="21">
        <f>Inputs!$B$36*MIN(1,MAX(0,(E$3-Inputs!$B$34)/Inputs!$B$35))</f>
        <v>0</v>
      </c>
      <c r="F16" s="21">
        <f>Inputs!$B$36*MIN(1,MAX(0,(F$3-Inputs!$B$34)/Inputs!$B$35))</f>
        <v>0</v>
      </c>
      <c r="G16" s="21">
        <f>Inputs!$B$36*MIN(1,MAX(0,(G$3-Inputs!$B$34)/Inputs!$B$35))</f>
        <v>0</v>
      </c>
      <c r="H16" s="21">
        <f>Inputs!$B$36*MIN(1,MAX(0,(H$3-Inputs!$B$34)/Inputs!$B$35))</f>
        <v>0</v>
      </c>
      <c r="I16" s="21">
        <f>Inputs!$B$36*MIN(1,MAX(0,(I$3-Inputs!$B$34)/Inputs!$B$35))</f>
        <v>0</v>
      </c>
      <c r="J16" s="21">
        <f>Inputs!$B$36*MIN(1,MAX(0,(J$3-Inputs!$B$34)/Inputs!$B$35))</f>
        <v>0</v>
      </c>
      <c r="K16" s="21">
        <f>Inputs!$B$36*MIN(1,MAX(0,(K$3-Inputs!$B$34)/Inputs!$B$35))</f>
        <v>10000000</v>
      </c>
      <c r="L16" s="21">
        <f>Inputs!$B$36*MIN(1,MAX(0,(L$3-Inputs!$B$34)/Inputs!$B$35))</f>
        <v>20000000</v>
      </c>
      <c r="M16" s="21">
        <f>Inputs!$B$36*MIN(1,MAX(0,(M$3-Inputs!$B$34)/Inputs!$B$35))</f>
        <v>30000000</v>
      </c>
      <c r="N16" s="21">
        <f>Inputs!$B$36*MIN(1,MAX(0,(N$3-Inputs!$B$34)/Inputs!$B$35))</f>
        <v>40000000</v>
      </c>
      <c r="O16" s="21">
        <f>Inputs!$B$36*MIN(1,MAX(0,(O$3-Inputs!$B$34)/Inputs!$B$35))</f>
        <v>50000000</v>
      </c>
      <c r="P16" s="21">
        <f>Inputs!$B$36*MIN(1,MAX(0,(P$3-Inputs!$B$34)/Inputs!$B$35))</f>
        <v>60000000</v>
      </c>
      <c r="Q16" s="21">
        <f>Inputs!$B$36*MIN(1,MAX(0,(Q$3-Inputs!$B$34)/Inputs!$B$35))</f>
        <v>70000000</v>
      </c>
      <c r="R16" s="21">
        <f>Inputs!$B$36*MIN(1,MAX(0,(R$3-Inputs!$B$34)/Inputs!$B$35))</f>
        <v>80000000</v>
      </c>
      <c r="S16" s="21">
        <f>Inputs!$B$36*MIN(1,MAX(0,(S$3-Inputs!$B$34)/Inputs!$B$35))</f>
        <v>90000000</v>
      </c>
      <c r="T16" s="21">
        <f>Inputs!$B$36*MIN(1,MAX(0,(T$3-Inputs!$B$34)/Inputs!$B$35))</f>
        <v>100000000</v>
      </c>
      <c r="U16" s="21">
        <f>Inputs!$B$36*MIN(1,MAX(0,(U$3-Inputs!$B$34)/Inputs!$B$35))</f>
        <v>100000000</v>
      </c>
      <c r="V16" s="21">
        <f>Inputs!$B$36*MIN(1,MAX(0,(V$3-Inputs!$B$34)/Inputs!$B$35))</f>
        <v>100000000</v>
      </c>
      <c r="W16" s="21">
        <f>Inputs!$B$36*MIN(1,MAX(0,(W$3-Inputs!$B$34)/Inputs!$B$35))</f>
        <v>100000000</v>
      </c>
      <c r="X16" s="21">
        <f>Inputs!$B$36*MIN(1,MAX(0,(X$3-Inputs!$B$34)/Inputs!$B$35))</f>
        <v>100000000</v>
      </c>
      <c r="Y16" s="21">
        <f>Inputs!$B$36*MIN(1,MAX(0,(Y$3-Inputs!$B$34)/Inputs!$B$35))</f>
        <v>100000000</v>
      </c>
      <c r="Z16" s="21">
        <f>Inputs!$B$36*MIN(1,MAX(0,(Z$3-Inputs!$B$34)/Inputs!$B$35))</f>
        <v>100000000</v>
      </c>
      <c r="AA16" s="21">
        <f>Inputs!$B$36*MIN(1,MAX(0,(AA$3-Inputs!$B$34)/Inputs!$B$35))</f>
        <v>100000000</v>
      </c>
      <c r="AB16" s="21">
        <f>Inputs!$B$36*MIN(1,MAX(0,(AB$3-Inputs!$B$34)/Inputs!$B$35))</f>
        <v>100000000</v>
      </c>
      <c r="AC16" s="21">
        <f>Inputs!$B$36*MIN(1,MAX(0,(AC$3-Inputs!$B$34)/Inputs!$B$35))</f>
        <v>100000000</v>
      </c>
      <c r="AD16" s="21">
        <f>Inputs!$B$36*MIN(1,MAX(0,(AD$3-Inputs!$B$34)/Inputs!$B$35))</f>
        <v>100000000</v>
      </c>
      <c r="AE16" s="21">
        <f>Inputs!$B$36*MIN(1,MAX(0,(AE$3-Inputs!$B$34)/Inputs!$B$35))</f>
        <v>100000000</v>
      </c>
      <c r="AF16" s="21">
        <f>Inputs!$B$36*MIN(1,MAX(0,(AF$3-Inputs!$B$34)/Inputs!$B$35))</f>
        <v>100000000</v>
      </c>
      <c r="AG16" s="21">
        <f>Inputs!$B$36*MIN(1,MAX(0,(AG$3-Inputs!$B$34)/Inputs!$B$35))</f>
        <v>100000000</v>
      </c>
      <c r="AH16" s="21">
        <f>Inputs!$B$36*MIN(1,MAX(0,(AH$3-Inputs!$B$34)/Inputs!$B$35))</f>
        <v>100000000</v>
      </c>
    </row>
    <row r="17" spans="1:34" ht="15" customHeight="1" x14ac:dyDescent="0.2">
      <c r="A17" s="13" t="s">
        <v>230</v>
      </c>
      <c r="B17" s="14" t="s">
        <v>145</v>
      </c>
      <c r="C17" s="15" t="s">
        <v>231</v>
      </c>
      <c r="D17" s="22">
        <f>D16*Inputs!$B$37*365/1000000000</f>
        <v>0</v>
      </c>
      <c r="E17" s="22">
        <f>E16*Inputs!$B$37*365/1000000000</f>
        <v>0</v>
      </c>
      <c r="F17" s="22">
        <f>F16*Inputs!$B$37*365/1000000000</f>
        <v>0</v>
      </c>
      <c r="G17" s="22">
        <f>G16*Inputs!$B$37*365/1000000000</f>
        <v>0</v>
      </c>
      <c r="H17" s="22">
        <f>H16*Inputs!$B$37*365/1000000000</f>
        <v>0</v>
      </c>
      <c r="I17" s="22">
        <f>I16*Inputs!$B$37*365/1000000000</f>
        <v>0</v>
      </c>
      <c r="J17" s="22">
        <f>J16*Inputs!$B$37*365/1000000000</f>
        <v>0</v>
      </c>
      <c r="K17" s="22">
        <f>K16*Inputs!$B$37*365/1000000000</f>
        <v>54.75</v>
      </c>
      <c r="L17" s="22">
        <f>L16*Inputs!$B$37*365/1000000000</f>
        <v>109.5</v>
      </c>
      <c r="M17" s="22">
        <f>M16*Inputs!$B$37*365/1000000000</f>
        <v>164.25</v>
      </c>
      <c r="N17" s="22">
        <f>N16*Inputs!$B$37*365/1000000000</f>
        <v>219</v>
      </c>
      <c r="O17" s="22">
        <f>O16*Inputs!$B$37*365/1000000000</f>
        <v>273.75</v>
      </c>
      <c r="P17" s="22">
        <f>P16*Inputs!$B$37*365/1000000000</f>
        <v>328.5</v>
      </c>
      <c r="Q17" s="22">
        <f>Q16*Inputs!$B$37*365/1000000000</f>
        <v>383.25</v>
      </c>
      <c r="R17" s="22">
        <f>R16*Inputs!$B$37*365/1000000000</f>
        <v>438</v>
      </c>
      <c r="S17" s="22">
        <f>S16*Inputs!$B$37*365/1000000000</f>
        <v>492.75</v>
      </c>
      <c r="T17" s="22">
        <f>T16*Inputs!$B$37*365/1000000000</f>
        <v>547.5</v>
      </c>
      <c r="U17" s="22">
        <f>U16*Inputs!$B$37*365/1000000000</f>
        <v>547.5</v>
      </c>
      <c r="V17" s="22">
        <f>V16*Inputs!$B$37*365/1000000000</f>
        <v>547.5</v>
      </c>
      <c r="W17" s="22">
        <f>W16*Inputs!$B$37*365/1000000000</f>
        <v>547.5</v>
      </c>
      <c r="X17" s="22">
        <f>X16*Inputs!$B$37*365/1000000000</f>
        <v>547.5</v>
      </c>
      <c r="Y17" s="22">
        <f>Y16*Inputs!$B$37*365/1000000000</f>
        <v>547.5</v>
      </c>
      <c r="Z17" s="22">
        <f>Z16*Inputs!$B$37*365/1000000000</f>
        <v>547.5</v>
      </c>
      <c r="AA17" s="22">
        <f>AA16*Inputs!$B$37*365/1000000000</f>
        <v>547.5</v>
      </c>
      <c r="AB17" s="22">
        <f>AB16*Inputs!$B$37*365/1000000000</f>
        <v>547.5</v>
      </c>
      <c r="AC17" s="22">
        <f>AC16*Inputs!$B$37*365/1000000000</f>
        <v>547.5</v>
      </c>
      <c r="AD17" s="22">
        <f>AD16*Inputs!$B$37*365/1000000000</f>
        <v>547.5</v>
      </c>
      <c r="AE17" s="22">
        <f>AE16*Inputs!$B$37*365/1000000000</f>
        <v>547.5</v>
      </c>
      <c r="AF17" s="22">
        <f>AF16*Inputs!$B$37*365/1000000000</f>
        <v>547.5</v>
      </c>
      <c r="AG17" s="22">
        <f>AG16*Inputs!$B$37*365/1000000000</f>
        <v>547.5</v>
      </c>
      <c r="AH17" s="22">
        <f>AH16*Inputs!$B$37*365/1000000000</f>
        <v>547.5</v>
      </c>
    </row>
    <row r="19" spans="1:34" ht="15" customHeight="1" x14ac:dyDescent="0.2">
      <c r="A19" s="23" t="s">
        <v>232</v>
      </c>
      <c r="B19" s="14" t="s">
        <v>145</v>
      </c>
      <c r="C19" s="15" t="s">
        <v>233</v>
      </c>
      <c r="D19" s="24">
        <f t="shared" ref="D19:AH19" si="4">D13+D14+D15+D17</f>
        <v>6160.7282366812005</v>
      </c>
      <c r="E19" s="24">
        <f t="shared" si="4"/>
        <v>6196.6424471983328</v>
      </c>
      <c r="F19" s="24">
        <f t="shared" si="4"/>
        <v>6231.9448766087116</v>
      </c>
      <c r="G19" s="24">
        <f t="shared" si="4"/>
        <v>6266.6483420747409</v>
      </c>
      <c r="H19" s="24">
        <f t="shared" si="4"/>
        <v>6300.7656030549069</v>
      </c>
      <c r="I19" s="24">
        <f t="shared" si="4"/>
        <v>6334.3093633408607</v>
      </c>
      <c r="J19" s="24">
        <f t="shared" si="4"/>
        <v>6367.2922730993905</v>
      </c>
      <c r="K19" s="24">
        <f t="shared" si="4"/>
        <v>6454.4769309196381</v>
      </c>
      <c r="L19" s="24">
        <f t="shared" si="4"/>
        <v>6541.1258858659503</v>
      </c>
      <c r="M19" s="24">
        <f t="shared" si="4"/>
        <v>6627.251639536722</v>
      </c>
      <c r="N19" s="24">
        <f t="shared" si="4"/>
        <v>6712.8666481296068</v>
      </c>
      <c r="O19" s="24">
        <f t="shared" si="4"/>
        <v>6797.9833245135105</v>
      </c>
      <c r="P19" s="24">
        <f t="shared" si="4"/>
        <v>6882.6140403076934</v>
      </c>
      <c r="Q19" s="24">
        <f t="shared" si="4"/>
        <v>6966.771127968419</v>
      </c>
      <c r="R19" s="24">
        <f t="shared" si="4"/>
        <v>7050.4668828835383</v>
      </c>
      <c r="S19" s="24">
        <f t="shared" si="4"/>
        <v>7133.713565475372</v>
      </c>
      <c r="T19" s="24">
        <f t="shared" si="4"/>
        <v>7216.5234033123324</v>
      </c>
      <c r="U19" s="24">
        <f t="shared" si="4"/>
        <v>7244.1585932296566</v>
      </c>
      <c r="V19" s="24">
        <f t="shared" si="4"/>
        <v>7271.3813034596915</v>
      </c>
      <c r="W19" s="24">
        <f t="shared" si="4"/>
        <v>7298.2036757721253</v>
      </c>
      <c r="X19" s="24">
        <f t="shared" si="4"/>
        <v>7324.6378276245705</v>
      </c>
      <c r="Y19" s="24">
        <f t="shared" si="4"/>
        <v>7350.6958543239753</v>
      </c>
      <c r="Z19" s="24">
        <f t="shared" si="4"/>
        <v>7376.389831199207</v>
      </c>
      <c r="AA19" s="24">
        <f t="shared" si="4"/>
        <v>7401.7318157853406</v>
      </c>
      <c r="AB19" s="24">
        <f t="shared" si="4"/>
        <v>7426.7338500199812</v>
      </c>
      <c r="AC19" s="24">
        <f t="shared" si="4"/>
        <v>7451.407962452161</v>
      </c>
      <c r="AD19" s="24">
        <f t="shared" si="4"/>
        <v>7475.7661704642069</v>
      </c>
      <c r="AE19" s="24">
        <f t="shared" si="4"/>
        <v>7499.820482507007</v>
      </c>
      <c r="AF19" s="24">
        <f t="shared" si="4"/>
        <v>7523.5829003492208</v>
      </c>
      <c r="AG19" s="24">
        <f t="shared" si="4"/>
        <v>7547.0654213407834</v>
      </c>
      <c r="AH19" s="24">
        <f t="shared" si="4"/>
        <v>7570.2800406912775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40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13" sqref="D13"/>
    </sheetView>
  </sheetViews>
  <sheetFormatPr baseColWidth="10" defaultColWidth="8.6640625" defaultRowHeight="15" x14ac:dyDescent="0.2"/>
  <cols>
    <col min="1" max="1" width="38" customWidth="1"/>
    <col min="2" max="2" width="14" customWidth="1"/>
    <col min="3" max="3" width="34" customWidth="1"/>
    <col min="4" max="34" width="10" customWidth="1"/>
  </cols>
  <sheetData>
    <row r="1" spans="1:34" ht="17.25" customHeight="1" x14ac:dyDescent="0.2">
      <c r="A1" s="1" t="s">
        <v>234</v>
      </c>
    </row>
    <row r="3" spans="1:34" ht="15" customHeight="1" x14ac:dyDescent="0.2">
      <c r="A3" s="11" t="s">
        <v>1</v>
      </c>
      <c r="B3" s="11" t="s">
        <v>115</v>
      </c>
      <c r="C3" s="11" t="s">
        <v>5</v>
      </c>
      <c r="D3" s="12">
        <v>2020</v>
      </c>
      <c r="E3" s="12">
        <v>2021</v>
      </c>
      <c r="F3" s="12">
        <v>2022</v>
      </c>
      <c r="G3" s="12">
        <v>2023</v>
      </c>
      <c r="H3" s="12">
        <v>2024</v>
      </c>
      <c r="I3" s="12">
        <v>2025</v>
      </c>
      <c r="J3" s="12">
        <v>2026</v>
      </c>
      <c r="K3" s="12">
        <v>2027</v>
      </c>
      <c r="L3" s="12">
        <v>2028</v>
      </c>
      <c r="M3" s="12">
        <v>2029</v>
      </c>
      <c r="N3" s="12">
        <v>2030</v>
      </c>
      <c r="O3" s="12">
        <v>2031</v>
      </c>
      <c r="P3" s="12">
        <v>2032</v>
      </c>
      <c r="Q3" s="12">
        <v>2033</v>
      </c>
      <c r="R3" s="12">
        <v>2034</v>
      </c>
      <c r="S3" s="12">
        <v>2035</v>
      </c>
      <c r="T3" s="12">
        <v>2036</v>
      </c>
      <c r="U3" s="12">
        <v>2037</v>
      </c>
      <c r="V3" s="12">
        <v>2038</v>
      </c>
      <c r="W3" s="12">
        <v>2039</v>
      </c>
      <c r="X3" s="12">
        <v>2040</v>
      </c>
      <c r="Y3" s="12">
        <v>2041</v>
      </c>
      <c r="Z3" s="12">
        <v>2042</v>
      </c>
      <c r="AA3" s="12">
        <v>2043</v>
      </c>
      <c r="AB3" s="12">
        <v>2044</v>
      </c>
      <c r="AC3" s="12">
        <v>2045</v>
      </c>
      <c r="AD3" s="12">
        <v>2046</v>
      </c>
      <c r="AE3" s="12">
        <v>2047</v>
      </c>
      <c r="AF3" s="12">
        <v>2048</v>
      </c>
      <c r="AG3" s="12">
        <v>2049</v>
      </c>
      <c r="AH3" s="12">
        <v>2050</v>
      </c>
    </row>
    <row r="5" spans="1:34" ht="15" customHeight="1" x14ac:dyDescent="0.2">
      <c r="A5" s="13" t="s">
        <v>235</v>
      </c>
      <c r="B5" s="14" t="s">
        <v>145</v>
      </c>
      <c r="C5" s="15" t="s">
        <v>236</v>
      </c>
      <c r="D5" s="25">
        <f>Demand!D19</f>
        <v>6160.7282366812005</v>
      </c>
      <c r="E5" s="25">
        <f>Demand!E19</f>
        <v>6196.6424471983328</v>
      </c>
      <c r="F5" s="25">
        <f>Demand!F19</f>
        <v>6231.9448766087116</v>
      </c>
      <c r="G5" s="25">
        <f>Demand!G19</f>
        <v>6266.6483420747409</v>
      </c>
      <c r="H5" s="25">
        <f>Demand!H19</f>
        <v>6300.7656030549069</v>
      </c>
      <c r="I5" s="25">
        <f>Demand!I19</f>
        <v>6334.3093633408607</v>
      </c>
      <c r="J5" s="25">
        <f>Demand!J19</f>
        <v>6367.2922730993905</v>
      </c>
      <c r="K5" s="25">
        <f>Demand!K19</f>
        <v>6454.4769309196381</v>
      </c>
      <c r="L5" s="25">
        <f>Demand!L19</f>
        <v>6541.1258858659503</v>
      </c>
      <c r="M5" s="25">
        <f>Demand!M19</f>
        <v>6627.251639536722</v>
      </c>
      <c r="N5" s="25">
        <f>Demand!N19</f>
        <v>6712.8666481296068</v>
      </c>
      <c r="O5" s="25">
        <f>Demand!O19</f>
        <v>6797.9833245135105</v>
      </c>
      <c r="P5" s="25">
        <f>Demand!P19</f>
        <v>6882.6140403076934</v>
      </c>
      <c r="Q5" s="25">
        <f>Demand!Q19</f>
        <v>6966.771127968419</v>
      </c>
      <c r="R5" s="25">
        <f>Demand!R19</f>
        <v>7050.4668828835383</v>
      </c>
      <c r="S5" s="25">
        <f>Demand!S19</f>
        <v>7133.713565475372</v>
      </c>
      <c r="T5" s="25">
        <f>Demand!T19</f>
        <v>7216.5234033123324</v>
      </c>
      <c r="U5" s="25">
        <f>Demand!U19</f>
        <v>7244.1585932296566</v>
      </c>
      <c r="V5" s="25">
        <f>Demand!V19</f>
        <v>7271.3813034596915</v>
      </c>
      <c r="W5" s="25">
        <f>Demand!W19</f>
        <v>7298.2036757721253</v>
      </c>
      <c r="X5" s="25">
        <f>Demand!X19</f>
        <v>7324.6378276245705</v>
      </c>
      <c r="Y5" s="25">
        <f>Demand!Y19</f>
        <v>7350.6958543239753</v>
      </c>
      <c r="Z5" s="25">
        <f>Demand!Z19</f>
        <v>7376.389831199207</v>
      </c>
      <c r="AA5" s="25">
        <f>Demand!AA19</f>
        <v>7401.7318157853406</v>
      </c>
      <c r="AB5" s="25">
        <f>Demand!AB19</f>
        <v>7426.7338500199812</v>
      </c>
      <c r="AC5" s="25">
        <f>Demand!AC19</f>
        <v>7451.407962452161</v>
      </c>
      <c r="AD5" s="25">
        <f>Demand!AD19</f>
        <v>7475.7661704642069</v>
      </c>
      <c r="AE5" s="25">
        <f>Demand!AE19</f>
        <v>7499.820482507007</v>
      </c>
      <c r="AF5" s="25">
        <f>Demand!AF19</f>
        <v>7523.5829003492208</v>
      </c>
      <c r="AG5" s="25">
        <f>Demand!AG19</f>
        <v>7547.0654213407834</v>
      </c>
      <c r="AH5" s="25">
        <f>Demand!AH19</f>
        <v>7570.2800406912775</v>
      </c>
    </row>
    <row r="6" spans="1:34" ht="15" customHeight="1" x14ac:dyDescent="0.2">
      <c r="A6" s="13" t="s">
        <v>237</v>
      </c>
      <c r="B6" s="14" t="s">
        <v>145</v>
      </c>
      <c r="C6" s="15" t="s">
        <v>238</v>
      </c>
      <c r="D6" s="26">
        <f>Demand!D17</f>
        <v>0</v>
      </c>
      <c r="E6" s="26">
        <f>Demand!E17</f>
        <v>0</v>
      </c>
      <c r="F6" s="26">
        <f>Demand!F17</f>
        <v>0</v>
      </c>
      <c r="G6" s="26">
        <f>Demand!G17</f>
        <v>0</v>
      </c>
      <c r="H6" s="26">
        <f>Demand!H17</f>
        <v>0</v>
      </c>
      <c r="I6" s="26">
        <f>Demand!I17</f>
        <v>0</v>
      </c>
      <c r="J6" s="26">
        <f>Demand!J17</f>
        <v>0</v>
      </c>
      <c r="K6" s="26">
        <f>Demand!K17</f>
        <v>54.75</v>
      </c>
      <c r="L6" s="26">
        <f>Demand!L17</f>
        <v>109.5</v>
      </c>
      <c r="M6" s="26">
        <f>Demand!M17</f>
        <v>164.25</v>
      </c>
      <c r="N6" s="26">
        <f>Demand!N17</f>
        <v>219</v>
      </c>
      <c r="O6" s="26">
        <f>Demand!O17</f>
        <v>273.75</v>
      </c>
      <c r="P6" s="26">
        <f>Demand!P17</f>
        <v>328.5</v>
      </c>
      <c r="Q6" s="26">
        <f>Demand!Q17</f>
        <v>383.25</v>
      </c>
      <c r="R6" s="26">
        <f>Demand!R17</f>
        <v>438</v>
      </c>
      <c r="S6" s="26">
        <f>Demand!S17</f>
        <v>492.75</v>
      </c>
      <c r="T6" s="26">
        <f>Demand!T17</f>
        <v>547.5</v>
      </c>
      <c r="U6" s="26">
        <f>Demand!U17</f>
        <v>547.5</v>
      </c>
      <c r="V6" s="26">
        <f>Demand!V17</f>
        <v>547.5</v>
      </c>
      <c r="W6" s="26">
        <f>Demand!W17</f>
        <v>547.5</v>
      </c>
      <c r="X6" s="26">
        <f>Demand!X17</f>
        <v>547.5</v>
      </c>
      <c r="Y6" s="26">
        <f>Demand!Y17</f>
        <v>547.5</v>
      </c>
      <c r="Z6" s="26">
        <f>Demand!Z17</f>
        <v>547.5</v>
      </c>
      <c r="AA6" s="26">
        <f>Demand!AA17</f>
        <v>547.5</v>
      </c>
      <c r="AB6" s="26">
        <f>Demand!AB17</f>
        <v>547.5</v>
      </c>
      <c r="AC6" s="26">
        <f>Demand!AC17</f>
        <v>547.5</v>
      </c>
      <c r="AD6" s="26">
        <f>Demand!AD17</f>
        <v>547.5</v>
      </c>
      <c r="AE6" s="26">
        <f>Demand!AE17</f>
        <v>547.5</v>
      </c>
      <c r="AF6" s="26">
        <f>Demand!AF17</f>
        <v>547.5</v>
      </c>
      <c r="AG6" s="26">
        <f>Demand!AG17</f>
        <v>547.5</v>
      </c>
      <c r="AH6" s="26">
        <f>Demand!AH17</f>
        <v>547.5</v>
      </c>
    </row>
    <row r="8" spans="1:34" ht="15" customHeight="1" x14ac:dyDescent="0.2">
      <c r="A8" s="13" t="s">
        <v>239</v>
      </c>
      <c r="B8" s="14" t="s">
        <v>145</v>
      </c>
      <c r="C8" s="15" t="s">
        <v>240</v>
      </c>
      <c r="D8" s="25">
        <f>Inputs!$B$20*(1+Inputs!$B$21)^(D$3-2020)</f>
        <v>3500</v>
      </c>
      <c r="E8" s="25">
        <f>Inputs!$B$20*(1+Inputs!$B$21)^(E$3-2020)</f>
        <v>3447.5</v>
      </c>
      <c r="F8" s="25">
        <f>Inputs!$B$20*(1+Inputs!$B$21)^(F$3-2020)</f>
        <v>3395.7874999999999</v>
      </c>
      <c r="G8" s="25">
        <f>Inputs!$B$20*(1+Inputs!$B$21)^(G$3-2020)</f>
        <v>3344.8506875000003</v>
      </c>
      <c r="H8" s="25">
        <f>Inputs!$B$20*(1+Inputs!$B$21)^(H$3-2020)</f>
        <v>3294.6779271874998</v>
      </c>
      <c r="I8" s="25">
        <f>Inputs!$B$20*(1+Inputs!$B$21)^(I$3-2020)</f>
        <v>3245.2577582796876</v>
      </c>
      <c r="J8" s="25">
        <f>Inputs!$B$20*(1+Inputs!$B$21)^(J$3-2020)</f>
        <v>3196.5788919054921</v>
      </c>
      <c r="K8" s="25">
        <f>Inputs!$B$20*(1+Inputs!$B$21)^(K$3-2020)</f>
        <v>3148.6302085269099</v>
      </c>
      <c r="L8" s="25">
        <f>Inputs!$B$20*(1+Inputs!$B$21)^(L$3-2020)</f>
        <v>3101.4007553990064</v>
      </c>
      <c r="M8" s="25">
        <f>Inputs!$B$20*(1+Inputs!$B$21)^(M$3-2020)</f>
        <v>3054.879744068021</v>
      </c>
      <c r="N8" s="25">
        <f>Inputs!$B$20*(1+Inputs!$B$21)^(N$3-2020)</f>
        <v>3009.056547907001</v>
      </c>
      <c r="O8" s="25">
        <f>Inputs!$B$20*(1+Inputs!$B$21)^(O$3-2020)</f>
        <v>2963.9206996883959</v>
      </c>
      <c r="P8" s="25">
        <f>Inputs!$B$20*(1+Inputs!$B$21)^(P$3-2020)</f>
        <v>2919.46188919307</v>
      </c>
      <c r="Q8" s="25">
        <f>Inputs!$B$20*(1+Inputs!$B$21)^(Q$3-2020)</f>
        <v>2875.6699608551739</v>
      </c>
      <c r="R8" s="25">
        <f>Inputs!$B$20*(1+Inputs!$B$21)^(R$3-2020)</f>
        <v>2832.5349114423466</v>
      </c>
      <c r="S8" s="25">
        <f>Inputs!$B$20*(1+Inputs!$B$21)^(S$3-2020)</f>
        <v>2790.0468877707108</v>
      </c>
      <c r="T8" s="25">
        <f>Inputs!$B$20*(1+Inputs!$B$21)^(T$3-2020)</f>
        <v>2748.1961844541502</v>
      </c>
      <c r="U8" s="25">
        <f>Inputs!$B$20*(1+Inputs!$B$21)^(U$3-2020)</f>
        <v>2706.973241687338</v>
      </c>
      <c r="V8" s="25">
        <f>Inputs!$B$20*(1+Inputs!$B$21)^(V$3-2020)</f>
        <v>2666.3686430620278</v>
      </c>
      <c r="W8" s="25">
        <f>Inputs!$B$20*(1+Inputs!$B$21)^(W$3-2020)</f>
        <v>2626.3731134160976</v>
      </c>
      <c r="X8" s="25">
        <f>Inputs!$B$20*(1+Inputs!$B$21)^(X$3-2020)</f>
        <v>2586.9775167148564</v>
      </c>
      <c r="Y8" s="25">
        <f>Inputs!$B$20*(1+Inputs!$B$21)^(Y$3-2020)</f>
        <v>2548.1728539641335</v>
      </c>
      <c r="Z8" s="25">
        <f>Inputs!$B$20*(1+Inputs!$B$21)^(Z$3-2020)</f>
        <v>2509.9502611546714</v>
      </c>
      <c r="AA8" s="25">
        <f>Inputs!$B$20*(1+Inputs!$B$21)^(AA$3-2020)</f>
        <v>2472.3010072373513</v>
      </c>
      <c r="AB8" s="25">
        <f>Inputs!$B$20*(1+Inputs!$B$21)^(AB$3-2020)</f>
        <v>2435.2164921287908</v>
      </c>
      <c r="AC8" s="25">
        <f>Inputs!$B$20*(1+Inputs!$B$21)^(AC$3-2020)</f>
        <v>2398.6882447468593</v>
      </c>
      <c r="AD8" s="25">
        <f>Inputs!$B$20*(1+Inputs!$B$21)^(AD$3-2020)</f>
        <v>2362.707921075656</v>
      </c>
      <c r="AE8" s="25">
        <f>Inputs!$B$20*(1+Inputs!$B$21)^(AE$3-2020)</f>
        <v>2327.2673022595213</v>
      </c>
      <c r="AF8" s="25">
        <f>Inputs!$B$20*(1+Inputs!$B$21)^(AF$3-2020)</f>
        <v>2292.3582927256284</v>
      </c>
      <c r="AG8" s="25">
        <f>Inputs!$B$20*(1+Inputs!$B$21)^(AG$3-2020)</f>
        <v>2257.972918334744</v>
      </c>
      <c r="AH8" s="25">
        <f>Inputs!$B$20*(1+Inputs!$B$21)^(AH$3-2020)</f>
        <v>2224.1033245597232</v>
      </c>
    </row>
    <row r="9" spans="1:34" ht="15" customHeight="1" x14ac:dyDescent="0.2">
      <c r="A9" s="13" t="s">
        <v>241</v>
      </c>
      <c r="B9" s="14" t="s">
        <v>145</v>
      </c>
      <c r="C9" s="15" t="s">
        <v>242</v>
      </c>
      <c r="D9" s="25">
        <f>Inputs!$B$22*(1+Inputs!$B$23)^(D$3-2020)</f>
        <v>912</v>
      </c>
      <c r="E9" s="25">
        <f>Inputs!$B$22*(1+Inputs!$B$23)^(E$3-2020)</f>
        <v>893.76</v>
      </c>
      <c r="F9" s="25">
        <f>Inputs!$B$22*(1+Inputs!$B$23)^(F$3-2020)</f>
        <v>875.88479999999993</v>
      </c>
      <c r="G9" s="25">
        <f>Inputs!$B$22*(1+Inputs!$B$23)^(G$3-2020)</f>
        <v>858.36710399999993</v>
      </c>
      <c r="H9" s="25">
        <f>Inputs!$B$22*(1+Inputs!$B$23)^(H$3-2020)</f>
        <v>841.1997619199999</v>
      </c>
      <c r="I9" s="25">
        <f>Inputs!$B$22*(1+Inputs!$B$23)^(I$3-2020)</f>
        <v>824.37576668159988</v>
      </c>
      <c r="J9" s="25">
        <f>Inputs!$B$22*(1+Inputs!$B$23)^(J$3-2020)</f>
        <v>807.88825134796787</v>
      </c>
      <c r="K9" s="25">
        <f>Inputs!$B$22*(1+Inputs!$B$23)^(K$3-2020)</f>
        <v>791.73048632100847</v>
      </c>
      <c r="L9" s="25">
        <f>Inputs!$B$22*(1+Inputs!$B$23)^(L$3-2020)</f>
        <v>775.89587659458823</v>
      </c>
      <c r="M9" s="25">
        <f>Inputs!$B$22*(1+Inputs!$B$23)^(M$3-2020)</f>
        <v>760.3779590626965</v>
      </c>
      <c r="N9" s="25">
        <f>Inputs!$B$22*(1+Inputs!$B$23)^(N$3-2020)</f>
        <v>745.17039988144245</v>
      </c>
      <c r="O9" s="25">
        <f>Inputs!$B$22*(1+Inputs!$B$23)^(O$3-2020)</f>
        <v>730.2669918838136</v>
      </c>
      <c r="P9" s="25">
        <f>Inputs!$B$22*(1+Inputs!$B$23)^(P$3-2020)</f>
        <v>715.66165204613731</v>
      </c>
      <c r="Q9" s="25">
        <f>Inputs!$B$22*(1+Inputs!$B$23)^(Q$3-2020)</f>
        <v>701.34841900521451</v>
      </c>
      <c r="R9" s="25">
        <f>Inputs!$B$22*(1+Inputs!$B$23)^(R$3-2020)</f>
        <v>687.32145062511029</v>
      </c>
      <c r="S9" s="25">
        <f>Inputs!$B$22*(1+Inputs!$B$23)^(S$3-2020)</f>
        <v>673.575021612608</v>
      </c>
      <c r="T9" s="25">
        <f>Inputs!$B$22*(1+Inputs!$B$23)^(T$3-2020)</f>
        <v>660.10352118035587</v>
      </c>
      <c r="U9" s="25">
        <f>Inputs!$B$22*(1+Inputs!$B$23)^(U$3-2020)</f>
        <v>646.90145075674877</v>
      </c>
      <c r="V9" s="25">
        <f>Inputs!$B$22*(1+Inputs!$B$23)^(V$3-2020)</f>
        <v>633.96342174161373</v>
      </c>
      <c r="W9" s="25">
        <f>Inputs!$B$22*(1+Inputs!$B$23)^(W$3-2020)</f>
        <v>621.28415330678149</v>
      </c>
      <c r="X9" s="25">
        <f>Inputs!$B$22*(1+Inputs!$B$23)^(X$3-2020)</f>
        <v>608.85847024064583</v>
      </c>
      <c r="Y9" s="25">
        <f>Inputs!$B$22*(1+Inputs!$B$23)^(Y$3-2020)</f>
        <v>596.68130083583287</v>
      </c>
      <c r="Z9" s="25">
        <f>Inputs!$B$22*(1+Inputs!$B$23)^(Z$3-2020)</f>
        <v>584.74767481911624</v>
      </c>
      <c r="AA9" s="25">
        <f>Inputs!$B$22*(1+Inputs!$B$23)^(AA$3-2020)</f>
        <v>573.05272132273387</v>
      </c>
      <c r="AB9" s="25">
        <f>Inputs!$B$22*(1+Inputs!$B$23)^(AB$3-2020)</f>
        <v>561.59166689627921</v>
      </c>
      <c r="AC9" s="25">
        <f>Inputs!$B$22*(1+Inputs!$B$23)^(AC$3-2020)</f>
        <v>550.35983355835356</v>
      </c>
      <c r="AD9" s="25">
        <f>Inputs!$B$22*(1+Inputs!$B$23)^(AD$3-2020)</f>
        <v>539.35263688718646</v>
      </c>
      <c r="AE9" s="25">
        <f>Inputs!$B$22*(1+Inputs!$B$23)^(AE$3-2020)</f>
        <v>528.56558414944266</v>
      </c>
      <c r="AF9" s="25">
        <f>Inputs!$B$22*(1+Inputs!$B$23)^(AF$3-2020)</f>
        <v>517.99427246645382</v>
      </c>
      <c r="AG9" s="25">
        <f>Inputs!$B$22*(1+Inputs!$B$23)^(AG$3-2020)</f>
        <v>507.63438701712477</v>
      </c>
      <c r="AH9" s="25">
        <f>Inputs!$B$22*(1+Inputs!$B$23)^(AH$3-2020)</f>
        <v>497.48169927678225</v>
      </c>
    </row>
    <row r="10" spans="1:34" ht="15" customHeight="1" x14ac:dyDescent="0.2">
      <c r="A10" s="13" t="s">
        <v>243</v>
      </c>
      <c r="B10" s="14" t="s">
        <v>145</v>
      </c>
      <c r="C10" s="15" t="s">
        <v>244</v>
      </c>
      <c r="D10" s="20">
        <f t="shared" ref="D10:AH10" si="0">D8+D9</f>
        <v>4412</v>
      </c>
      <c r="E10" s="20">
        <f t="shared" si="0"/>
        <v>4341.26</v>
      </c>
      <c r="F10" s="20">
        <f t="shared" si="0"/>
        <v>4271.6723000000002</v>
      </c>
      <c r="G10" s="20">
        <f t="shared" si="0"/>
        <v>4203.2177915000002</v>
      </c>
      <c r="H10" s="20">
        <f t="shared" si="0"/>
        <v>4135.8776891074995</v>
      </c>
      <c r="I10" s="20">
        <f t="shared" si="0"/>
        <v>4069.6335249612875</v>
      </c>
      <c r="J10" s="20">
        <f t="shared" si="0"/>
        <v>4004.4671432534601</v>
      </c>
      <c r="K10" s="20">
        <f t="shared" si="0"/>
        <v>3940.3606948479182</v>
      </c>
      <c r="L10" s="20">
        <f t="shared" si="0"/>
        <v>3877.2966319935945</v>
      </c>
      <c r="M10" s="20">
        <f t="shared" si="0"/>
        <v>3815.2577031307173</v>
      </c>
      <c r="N10" s="20">
        <f t="shared" si="0"/>
        <v>3754.2269477884433</v>
      </c>
      <c r="O10" s="20">
        <f t="shared" si="0"/>
        <v>3694.1876915722096</v>
      </c>
      <c r="P10" s="20">
        <f t="shared" si="0"/>
        <v>3635.123541239207</v>
      </c>
      <c r="Q10" s="20">
        <f t="shared" si="0"/>
        <v>3577.0183798603884</v>
      </c>
      <c r="R10" s="20">
        <f t="shared" si="0"/>
        <v>3519.8563620674568</v>
      </c>
      <c r="S10" s="20">
        <f t="shared" si="0"/>
        <v>3463.6219093833188</v>
      </c>
      <c r="T10" s="20">
        <f t="shared" si="0"/>
        <v>3408.2997056345062</v>
      </c>
      <c r="U10" s="20">
        <f t="shared" si="0"/>
        <v>3353.8746924440866</v>
      </c>
      <c r="V10" s="20">
        <f t="shared" si="0"/>
        <v>3300.3320648036415</v>
      </c>
      <c r="W10" s="20">
        <f t="shared" si="0"/>
        <v>3247.6572667228793</v>
      </c>
      <c r="X10" s="20">
        <f t="shared" si="0"/>
        <v>3195.8359869555024</v>
      </c>
      <c r="Y10" s="20">
        <f t="shared" si="0"/>
        <v>3144.8541547999666</v>
      </c>
      <c r="Z10" s="20">
        <f t="shared" si="0"/>
        <v>3094.6979359737875</v>
      </c>
      <c r="AA10" s="20">
        <f t="shared" si="0"/>
        <v>3045.3537285600851</v>
      </c>
      <c r="AB10" s="20">
        <f t="shared" si="0"/>
        <v>2996.8081590250699</v>
      </c>
      <c r="AC10" s="20">
        <f t="shared" si="0"/>
        <v>2949.0480783052126</v>
      </c>
      <c r="AD10" s="20">
        <f t="shared" si="0"/>
        <v>2902.0605579628427</v>
      </c>
      <c r="AE10" s="20">
        <f t="shared" si="0"/>
        <v>2855.832886408964</v>
      </c>
      <c r="AF10" s="20">
        <f t="shared" si="0"/>
        <v>2810.3525651920822</v>
      </c>
      <c r="AG10" s="20">
        <f t="shared" si="0"/>
        <v>2765.6073053518689</v>
      </c>
      <c r="AH10" s="20">
        <f t="shared" si="0"/>
        <v>2721.5850238365056</v>
      </c>
    </row>
    <row r="12" spans="1:34" ht="15" customHeight="1" x14ac:dyDescent="0.2">
      <c r="A12" t="s">
        <v>223</v>
      </c>
      <c r="B12" t="s">
        <v>145</v>
      </c>
      <c r="C12" t="s">
        <v>245</v>
      </c>
      <c r="D12">
        <f>Demand!D13</f>
        <v>1020.226083575</v>
      </c>
      <c r="E12">
        <f>Demand!E13</f>
        <v>1027.8120011073249</v>
      </c>
      <c r="F12">
        <f>Demand!F13</f>
        <v>1035.2965538122373</v>
      </c>
      <c r="G12">
        <f>Demand!G13</f>
        <v>1042.6805656900731</v>
      </c>
      <c r="H12">
        <f>Demand!H13</f>
        <v>1049.9648550352849</v>
      </c>
      <c r="I12">
        <f>Demand!I13</f>
        <v>1057.1502344729026</v>
      </c>
      <c r="J12">
        <f>Demand!J13</f>
        <v>1064.2375109947679</v>
      </c>
      <c r="K12">
        <f>Demand!K13</f>
        <v>1071.2274859955528</v>
      </c>
      <c r="L12">
        <f>Demand!L13</f>
        <v>1078.1209553085553</v>
      </c>
      <c r="M12">
        <f>Demand!M13</f>
        <v>1084.9187092412776</v>
      </c>
      <c r="N12">
        <f>Demand!N13</f>
        <v>1091.6215326107899</v>
      </c>
      <c r="O12">
        <f>Demand!O13</f>
        <v>1098.2302047788762</v>
      </c>
      <c r="P12">
        <f>Demand!P13</f>
        <v>1104.7454996869665</v>
      </c>
      <c r="Q12">
        <f>Demand!Q13</f>
        <v>1111.1681858908564</v>
      </c>
      <c r="R12">
        <f>Demand!R13</f>
        <v>1117.4990265952151</v>
      </c>
      <c r="S12">
        <f>Demand!S13</f>
        <v>1123.7387796878829</v>
      </c>
      <c r="T12">
        <f>Demand!T13</f>
        <v>1129.8881977739591</v>
      </c>
      <c r="U12">
        <f>Demand!U13</f>
        <v>1135.9480282096827</v>
      </c>
      <c r="V12">
        <f>Demand!V13</f>
        <v>1141.919013136104</v>
      </c>
      <c r="W12">
        <f>Demand!W13</f>
        <v>1147.8018895125567</v>
      </c>
      <c r="X12">
        <f>Demand!X13</f>
        <v>1153.5973891499157</v>
      </c>
      <c r="Y12">
        <f>Demand!Y13</f>
        <v>1159.3062387436635</v>
      </c>
      <c r="Z12">
        <f>Demand!Z13</f>
        <v>1164.9291599067453</v>
      </c>
      <c r="AA12">
        <f>Demand!AA13</f>
        <v>1170.4668692022281</v>
      </c>
      <c r="AB12">
        <f>Demand!AB13</f>
        <v>1175.9200781757579</v>
      </c>
      <c r="AC12">
        <f>Demand!AC13</f>
        <v>1181.2894933878222</v>
      </c>
      <c r="AD12">
        <f>Demand!AD13</f>
        <v>1186.5758164458118</v>
      </c>
      <c r="AE12">
        <f>Demand!AE13</f>
        <v>1191.7797440358863</v>
      </c>
      <c r="AF12">
        <f>Demand!AF13</f>
        <v>1196.9019679546498</v>
      </c>
      <c r="AG12">
        <f>Demand!AG13</f>
        <v>1201.9431751406241</v>
      </c>
      <c r="AH12">
        <f>Demand!AH13</f>
        <v>1206.9040477055398</v>
      </c>
    </row>
    <row r="13" spans="1:34" ht="15" customHeight="1" x14ac:dyDescent="0.2">
      <c r="A13" t="s">
        <v>225</v>
      </c>
      <c r="B13" t="s">
        <v>145</v>
      </c>
      <c r="C13" t="s">
        <v>246</v>
      </c>
      <c r="D13">
        <f>Demand!D14</f>
        <v>248.33370415619999</v>
      </c>
      <c r="E13">
        <f>Demand!E14</f>
        <v>255.14608417068769</v>
      </c>
      <c r="F13">
        <f>Demand!F14</f>
        <v>262.1054012940923</v>
      </c>
      <c r="G13">
        <f>Demand!G14</f>
        <v>269.2145080526999</v>
      </c>
      <c r="H13">
        <f>Demand!H14</f>
        <v>276.47630915431745</v>
      </c>
      <c r="I13">
        <f>Demand!I14</f>
        <v>283.8937624070245</v>
      </c>
      <c r="J13">
        <f>Demand!J14</f>
        <v>291.46987965367595</v>
      </c>
      <c r="K13">
        <f>Demand!K14</f>
        <v>299.20772772241997</v>
      </c>
      <c r="L13">
        <f>Demand!L14</f>
        <v>307.11042939349977</v>
      </c>
      <c r="M13">
        <f>Demand!M14</f>
        <v>315.18116438261393</v>
      </c>
      <c r="N13">
        <f>Demand!N14</f>
        <v>323.42317034111193</v>
      </c>
      <c r="O13">
        <f>Demand!O14</f>
        <v>331.83974387330966</v>
      </c>
      <c r="P13">
        <f>Demand!P14</f>
        <v>340.43424157120984</v>
      </c>
      <c r="Q13">
        <f>Demand!Q14</f>
        <v>349.2100810669217</v>
      </c>
      <c r="R13">
        <f>Demand!R14</f>
        <v>358.17074210307521</v>
      </c>
      <c r="S13">
        <f>Demand!S14</f>
        <v>367.31976762153312</v>
      </c>
      <c r="T13">
        <f>Demand!T14</f>
        <v>376.6607648707066</v>
      </c>
      <c r="U13">
        <f>Demand!U14</f>
        <v>386.19740653178769</v>
      </c>
      <c r="V13">
        <f>Demand!V14</f>
        <v>395.93343186421356</v>
      </c>
      <c r="W13">
        <f>Demand!W14</f>
        <v>405.87264787068727</v>
      </c>
      <c r="X13">
        <f>Demand!X14</f>
        <v>416.01893048208217</v>
      </c>
      <c r="Y13">
        <f>Demand!Y14</f>
        <v>426.37622576256069</v>
      </c>
      <c r="Z13">
        <f>Demand!Z14</f>
        <v>436.94855113525023</v>
      </c>
      <c r="AA13">
        <f>Demand!AA14</f>
        <v>447.73999662881698</v>
      </c>
      <c r="AB13">
        <f>Demand!AB14</f>
        <v>458.75472614528729</v>
      </c>
      <c r="AC13">
        <f>Demand!AC14</f>
        <v>469.99697874947691</v>
      </c>
      <c r="AD13">
        <f>Demand!AD14</f>
        <v>481.47106998038328</v>
      </c>
      <c r="AE13">
        <f>Demand!AE14</f>
        <v>493.18139318491217</v>
      </c>
      <c r="AF13">
        <f>Demand!AF14</f>
        <v>505.13242087431206</v>
      </c>
      <c r="AG13">
        <f>Demand!AG14</f>
        <v>517.32870610369434</v>
      </c>
      <c r="AH13">
        <f>Demand!AH14</f>
        <v>529.77488387502706</v>
      </c>
    </row>
    <row r="14" spans="1:34" ht="15" customHeight="1" x14ac:dyDescent="0.2">
      <c r="A14" t="s">
        <v>227</v>
      </c>
      <c r="B14" t="s">
        <v>145</v>
      </c>
      <c r="C14" t="s">
        <v>247</v>
      </c>
      <c r="D14">
        <f>Demand!D15</f>
        <v>4892.1684489500003</v>
      </c>
      <c r="E14">
        <f>Demand!E15</f>
        <v>4913.68436192032</v>
      </c>
      <c r="F14">
        <f>Demand!F15</f>
        <v>4934.5429215023814</v>
      </c>
      <c r="G14">
        <f>Demand!G15</f>
        <v>4954.7532683319678</v>
      </c>
      <c r="H14">
        <f>Demand!H15</f>
        <v>4974.3244388653047</v>
      </c>
      <c r="I14">
        <f>Demand!I15</f>
        <v>4993.2653664609334</v>
      </c>
      <c r="J14">
        <f>Demand!J15</f>
        <v>5011.5848824509467</v>
      </c>
      <c r="K14">
        <f>Demand!K15</f>
        <v>5029.2917172016651</v>
      </c>
      <c r="L14">
        <f>Demand!L15</f>
        <v>5046.3945011638953</v>
      </c>
      <c r="M14">
        <f>Demand!M15</f>
        <v>5062.9017659128303</v>
      </c>
      <c r="N14">
        <f>Demand!N15</f>
        <v>5078.8219451777049</v>
      </c>
      <c r="O14">
        <f>Demand!O15</f>
        <v>5094.1633758613252</v>
      </c>
      <c r="P14">
        <f>Demand!P15</f>
        <v>5108.934299049517</v>
      </c>
      <c r="Q14">
        <f>Demand!Q15</f>
        <v>5123.1428610106404</v>
      </c>
      <c r="R14">
        <f>Demand!R15</f>
        <v>5136.7971141852477</v>
      </c>
      <c r="S14">
        <f>Demand!S15</f>
        <v>5149.9050181659559</v>
      </c>
      <c r="T14">
        <f>Demand!T15</f>
        <v>5162.4744406676664</v>
      </c>
      <c r="U14">
        <f>Demand!U15</f>
        <v>5174.5131584881865</v>
      </c>
      <c r="V14">
        <f>Demand!V15</f>
        <v>5186.0288584593736</v>
      </c>
      <c r="W14">
        <f>Demand!W15</f>
        <v>5197.0291383888807</v>
      </c>
      <c r="X14">
        <f>Demand!X15</f>
        <v>5207.5215079925729</v>
      </c>
      <c r="Y14">
        <f>Demand!Y15</f>
        <v>5217.513389817751</v>
      </c>
      <c r="Z14">
        <f>Demand!Z15</f>
        <v>5227.0121201572119</v>
      </c>
      <c r="AA14">
        <f>Demand!AA15</f>
        <v>5236.0249499542961</v>
      </c>
      <c r="AB14">
        <f>Demand!AB15</f>
        <v>5244.5590456989357</v>
      </c>
      <c r="AC14">
        <f>Demand!AC15</f>
        <v>5252.6214903148621</v>
      </c>
      <c r="AD14">
        <f>Demand!AD15</f>
        <v>5260.2192840380121</v>
      </c>
      <c r="AE14">
        <f>Demand!AE15</f>
        <v>5267.3593452862087</v>
      </c>
      <c r="AF14">
        <f>Demand!AF15</f>
        <v>5274.0485115202591</v>
      </c>
      <c r="AG14">
        <f>Demand!AG15</f>
        <v>5280.2935400964643</v>
      </c>
      <c r="AH14">
        <f>Demand!AH15</f>
        <v>5286.1011091107111</v>
      </c>
    </row>
    <row r="15" spans="1:34" ht="15" customHeight="1" x14ac:dyDescent="0.2">
      <c r="A15" t="s">
        <v>248</v>
      </c>
      <c r="B15" t="s">
        <v>145</v>
      </c>
      <c r="C15" t="s">
        <v>249</v>
      </c>
      <c r="D15">
        <f>Demand!D13*(Inputs!B41+(Inputs!B42-Inputs!B41)*(D3-2020)/30)</f>
        <v>153.03391253625</v>
      </c>
      <c r="E15">
        <f>Demand!E13*(Inputs!B41+(Inputs!B42-Inputs!B41)*(E3-2020)/30)</f>
        <v>161.02388017348088</v>
      </c>
      <c r="F15">
        <f>Demand!F13*(Inputs!B41+(Inputs!B42-Inputs!B41)*(F3-2020)/30)</f>
        <v>169.09843712266542</v>
      </c>
      <c r="G15">
        <f>Demand!G13*(Inputs!B41+(Inputs!B42-Inputs!B41)*(G3-2020)/30)</f>
        <v>177.25569616731241</v>
      </c>
      <c r="H15">
        <f>Demand!H13*(Inputs!B41+(Inputs!B42-Inputs!B41)*(H3-2020)/30)</f>
        <v>185.49379105623368</v>
      </c>
      <c r="I15">
        <f>Demand!I13*(Inputs!B41+(Inputs!B42-Inputs!B41)*(I3-2020)/30)</f>
        <v>193.81087632003215</v>
      </c>
      <c r="J15">
        <f>Demand!J13*(Inputs!B41+(Inputs!B42-Inputs!B41)*(J3-2020)/30)</f>
        <v>202.20512708900591</v>
      </c>
      <c r="K15">
        <f>Demand!K13*(Inputs!B41+(Inputs!B42-Inputs!B41)*(K3-2020)/30)</f>
        <v>210.67473891245871</v>
      </c>
      <c r="L15">
        <f>Demand!L13*(Inputs!B41+(Inputs!B42-Inputs!B41)*(L3-2020)/30)</f>
        <v>219.21792757940622</v>
      </c>
      <c r="M15">
        <f>Demand!M13*(Inputs!B41+(Inputs!B42-Inputs!B41)*(M3-2020)/30)</f>
        <v>227.8329289406683</v>
      </c>
      <c r="N15">
        <f>Demand!N13*(Inputs!B41+(Inputs!B42-Inputs!B41)*(N3-2020)/30)</f>
        <v>236.51799873233782</v>
      </c>
      <c r="O15">
        <f>Demand!O13*(Inputs!B41+(Inputs!B42-Inputs!B41)*(O3-2020)/30)</f>
        <v>245.27141240061567</v>
      </c>
      <c r="P15">
        <f>Demand!P13*(Inputs!B41+(Inputs!B42-Inputs!B41)*(P3-2020)/30)</f>
        <v>254.09146492800227</v>
      </c>
      <c r="Q15">
        <f>Demand!Q13*(Inputs!B41+(Inputs!B42-Inputs!B41)*(Q3-2020)/30)</f>
        <v>262.97647066083601</v>
      </c>
      <c r="R15">
        <f>Demand!R13*(Inputs!B41+(Inputs!B42-Inputs!B41)*(R3-2020)/30)</f>
        <v>271.924763138169</v>
      </c>
      <c r="S15">
        <f>Demand!S13*(Inputs!B41+(Inputs!B42-Inputs!B41)*(S3-2020)/30)</f>
        <v>280.93469492197073</v>
      </c>
      <c r="T15">
        <f>Demand!T13*(Inputs!B41+(Inputs!B42-Inputs!B41)*(T3-2020)/30)</f>
        <v>290.00463742864946</v>
      </c>
      <c r="U15">
        <f>Demand!U13*(Inputs!B41+(Inputs!B42-Inputs!B41)*(U3-2020)/30)</f>
        <v>299.13298076188306</v>
      </c>
      <c r="V15">
        <f>Demand!V13*(Inputs!B41+(Inputs!B42-Inputs!B41)*(V3-2020)/30)</f>
        <v>308.31813354674802</v>
      </c>
      <c r="W15">
        <f>Demand!W13*(Inputs!B41+(Inputs!B42-Inputs!B41)*(W3-2020)/30)</f>
        <v>317.55852276514065</v>
      </c>
      <c r="X15">
        <f>Demand!X13*(Inputs!B41+(Inputs!B42-Inputs!B41)*(X3-2020)/30)</f>
        <v>326.85259359247613</v>
      </c>
      <c r="Y15">
        <f>Demand!Y13*(Inputs!B41+(Inputs!B42-Inputs!B41)*(Y3-2020)/30)</f>
        <v>336.1988092356624</v>
      </c>
      <c r="Z15">
        <f>Demand!Z13*(Inputs!B41+(Inputs!B42-Inputs!B41)*(Z3-2020)/30)</f>
        <v>345.59565077233441</v>
      </c>
      <c r="AA15">
        <f>Demand!AA13*(Inputs!B41+(Inputs!B42-Inputs!B41)*(AA3-2020)/30)</f>
        <v>355.04161699134249</v>
      </c>
      <c r="AB15">
        <f>Demand!AB13*(Inputs!B41+(Inputs!B42-Inputs!B41)*(AB3-2020)/30)</f>
        <v>364.53522423448493</v>
      </c>
      <c r="AC15">
        <f>Demand!AC13*(Inputs!B41+(Inputs!B42-Inputs!B41)*(AC3-2020)/30)</f>
        <v>374.07500623947698</v>
      </c>
      <c r="AD15">
        <f>Demand!AD13*(Inputs!B41+(Inputs!B42-Inputs!B41)*(AD3-2020)/30)</f>
        <v>383.6595139841458</v>
      </c>
      <c r="AE15">
        <f>Demand!AE13*(Inputs!B41+(Inputs!B42-Inputs!B41)*(AE3-2020)/30)</f>
        <v>393.28731553184247</v>
      </c>
      <c r="AF15">
        <f>Demand!AF13*(Inputs!B41+(Inputs!B42-Inputs!B41)*(AF3-2020)/30)</f>
        <v>402.95699587806541</v>
      </c>
      <c r="AG15">
        <f>Demand!AG13*(Inputs!B41+(Inputs!B42-Inputs!B41)*(AG3-2020)/30)</f>
        <v>412.66715679828093</v>
      </c>
      <c r="AH15">
        <f>Demand!AH13*(Inputs!B41+(Inputs!B42-Inputs!B41)*(AH3-2020)/30)</f>
        <v>422.41641669693894</v>
      </c>
    </row>
    <row r="16" spans="1:34" x14ac:dyDescent="0.2">
      <c r="A16" t="s">
        <v>250</v>
      </c>
      <c r="B16" t="s">
        <v>145</v>
      </c>
      <c r="C16" t="s">
        <v>251</v>
      </c>
      <c r="D16">
        <f>MIN(Supply!D6,Supply!D15*(Inputs!B50+(Inputs!B51-Inputs!B50)*(D3-2020)/30))</f>
        <v>0</v>
      </c>
      <c r="E16">
        <f>MIN(Supply!E6,Supply!E15*(Inputs!B50+(Inputs!B51-Inputs!B50)*(E3-2020)/30))</f>
        <v>0</v>
      </c>
      <c r="F16">
        <f>MIN(Supply!F6,Supply!F15*(Inputs!B50+(Inputs!B51-Inputs!B50)*(F3-2020)/30))</f>
        <v>0</v>
      </c>
      <c r="G16">
        <f>MIN(Supply!G6,Supply!G15*(Inputs!B50+(Inputs!B51-Inputs!B50)*(G3-2020)/30))</f>
        <v>0</v>
      </c>
      <c r="H16">
        <f>MIN(Supply!H6,Supply!H15*(Inputs!B50+(Inputs!B51-Inputs!B50)*(H3-2020)/30))</f>
        <v>0</v>
      </c>
      <c r="I16">
        <f>MIN(Supply!I6,Supply!I15*(Inputs!B50+(Inputs!B51-Inputs!B50)*(I3-2020)/30))</f>
        <v>0</v>
      </c>
      <c r="J16">
        <f>MIN(Supply!J6,Supply!J15*(Inputs!B50+(Inputs!B51-Inputs!B50)*(J3-2020)/30))</f>
        <v>0</v>
      </c>
      <c r="K16">
        <f>MIN(Supply!K6,Supply!K15*(Inputs!B50+(Inputs!B51-Inputs!B50)*(K3-2020)/30))</f>
        <v>54.75</v>
      </c>
      <c r="L16">
        <f>MIN(Supply!L6,Supply!L15*(Inputs!B50+(Inputs!B51-Inputs!B50)*(L3-2020)/30))</f>
        <v>97.917340985468115</v>
      </c>
      <c r="M16">
        <f>MIN(Supply!M6,Supply!M15*(Inputs!B50+(Inputs!B51-Inputs!B50)*(M3-2020)/30))</f>
        <v>100.24648873389405</v>
      </c>
      <c r="N16">
        <f>MIN(Supply!N6,Supply!N15*(Inputs!B50+(Inputs!B51-Inputs!B50)*(N3-2020)/30))</f>
        <v>102.49113278401306</v>
      </c>
      <c r="O16">
        <f>MIN(Supply!O6,Supply!O15*(Inputs!B50+(Inputs!B51-Inputs!B50)*(O3-2020)/30))</f>
        <v>104.64913595759602</v>
      </c>
      <c r="P16">
        <f>MIN(Supply!P6,Supply!P15*(Inputs!B50+(Inputs!B51-Inputs!B50)*(P3-2020)/30))</f>
        <v>106.71841526976095</v>
      </c>
      <c r="Q16">
        <f>MIN(Supply!Q6,Supply!Q15*(Inputs!B50+(Inputs!B51-Inputs!B50)*(Q3-2020)/30))</f>
        <v>108.69694120647888</v>
      </c>
      <c r="R16">
        <f>MIN(Supply!R6,Supply!R15*(Inputs!B50+(Inputs!B51-Inputs!B50)*(R3-2020)/30))</f>
        <v>110.58273700952206</v>
      </c>
      <c r="S16">
        <f>MIN(Supply!S6,Supply!S15*(Inputs!B50+(Inputs!B51-Inputs!B50)*(S3-2020)/30))</f>
        <v>112.37387796878829</v>
      </c>
      <c r="T16">
        <f>MIN(Supply!T6,Supply!T15*(Inputs!B50+(Inputs!B51-Inputs!B50)*(T3-2020)/30))</f>
        <v>114.06849072193545</v>
      </c>
      <c r="U16">
        <f>MIN(Supply!U6,Supply!U15*(Inputs!B50+(Inputs!B51-Inputs!B50)*(U3-2020)/30))</f>
        <v>115.66475256126145</v>
      </c>
      <c r="V16">
        <f>MIN(Supply!V6,Supply!V15*(Inputs!B50+(Inputs!B51-Inputs!B50)*(V3-2020)/30))</f>
        <v>117.16089074776424</v>
      </c>
      <c r="W16">
        <f>MIN(Supply!W6,Supply!W15*(Inputs!B50+(Inputs!B51-Inputs!B50)*(W3-2020)/30))</f>
        <v>118.55518183231916</v>
      </c>
      <c r="X16">
        <f>MIN(Supply!X6,Supply!X15*(Inputs!B50+(Inputs!B51-Inputs!B50)*(X3-2020)/30))</f>
        <v>119.84595098390793</v>
      </c>
      <c r="Y16">
        <f>MIN(Supply!Y6,Supply!Y15*(Inputs!B50+(Inputs!B51-Inputs!B50)*(Y3-2020)/30))</f>
        <v>121.03157132483845</v>
      </c>
      <c r="Z16">
        <f>MIN(Supply!Z6,Supply!Z15*(Inputs!B50+(Inputs!B51-Inputs!B50)*(Z3-2020)/30))</f>
        <v>122.11046327289149</v>
      </c>
      <c r="AA16">
        <f>MIN(Supply!AA6,Supply!AA15*(Inputs!B50+(Inputs!B51-Inputs!B50)*(AA3-2020)/30))</f>
        <v>123.08109389033207</v>
      </c>
      <c r="AB16">
        <f>MIN(Supply!AB6,Supply!AB15*(Inputs!B50+(Inputs!B51-Inputs!B50)*(AB3-2020)/30))</f>
        <v>123.94197623972487</v>
      </c>
      <c r="AC16">
        <f>MIN(Supply!AC6,Supply!AC15*(Inputs!B50+(Inputs!B51-Inputs!B50)*(AC3-2020)/30))</f>
        <v>124.69166874649234</v>
      </c>
      <c r="AD16">
        <f>MIN(Supply!AD6,Supply!AD15*(Inputs!B50+(Inputs!B51-Inputs!B50)*(AD3-2020)/30))</f>
        <v>125.32877456815429</v>
      </c>
      <c r="AE16">
        <f>MIN(Supply!AE6,Supply!AE15*(Inputs!B50+(Inputs!B51-Inputs!B50)*(AE3-2020)/30))</f>
        <v>125.85194097018957</v>
      </c>
      <c r="AF16">
        <f>MIN(Supply!AF6,Supply!AF15*(Inputs!B50+(Inputs!B51-Inputs!B50)*(AF3-2020)/30))</f>
        <v>126.2598587084605</v>
      </c>
      <c r="AG16">
        <f>MIN(Supply!AG6,Supply!AG15*(Inputs!B50+(Inputs!B51-Inputs!B50)*(AG3-2020)/30))</f>
        <v>126.55126141813948</v>
      </c>
      <c r="AH16">
        <f>MIN(Supply!AH6,Supply!AH15*(Inputs!B50+(Inputs!B51-Inputs!B50)*(AH3-2020)/30))</f>
        <v>126.72492500908167</v>
      </c>
    </row>
    <row r="17" spans="1:34" ht="15" customHeight="1" x14ac:dyDescent="0.2">
      <c r="A17" t="s">
        <v>252</v>
      </c>
      <c r="B17" t="s">
        <v>145</v>
      </c>
      <c r="C17" t="s">
        <v>253</v>
      </c>
      <c r="D17">
        <f>MIN(Supply!D14,MAX(Supply!D15-Supply!D16,0))</f>
        <v>153.03391253625</v>
      </c>
      <c r="E17">
        <f>MIN(Supply!E14,MAX(Supply!E15-Supply!E16,0))</f>
        <v>161.02388017348088</v>
      </c>
      <c r="F17">
        <f>MIN(Supply!F14,MAX(Supply!F15-Supply!F16,0))</f>
        <v>169.09843712266542</v>
      </c>
      <c r="G17">
        <f>MIN(Supply!G14,MAX(Supply!G15-Supply!G16,0))</f>
        <v>177.25569616731241</v>
      </c>
      <c r="H17">
        <f>MIN(Supply!H14,MAX(Supply!H15-Supply!H16,0))</f>
        <v>185.49379105623368</v>
      </c>
      <c r="I17">
        <f>MIN(Supply!I14,MAX(Supply!I15-Supply!I16,0))</f>
        <v>193.81087632003215</v>
      </c>
      <c r="J17">
        <f>MIN(Supply!J14,MAX(Supply!J15-Supply!J16,0))</f>
        <v>202.20512708900591</v>
      </c>
      <c r="K17">
        <f>MIN(Supply!K14,MAX(Supply!K15-Supply!K16,0))</f>
        <v>155.92473891245871</v>
      </c>
      <c r="L17">
        <f>MIN(Supply!L14,MAX(Supply!L15-Supply!L16,0))</f>
        <v>121.30058659393811</v>
      </c>
      <c r="M17">
        <f>MIN(Supply!M14,MAX(Supply!M15-Supply!M16,0))</f>
        <v>127.58644020677424</v>
      </c>
      <c r="N17">
        <f>MIN(Supply!N14,MAX(Supply!N15-Supply!N16,0))</f>
        <v>134.02686594832477</v>
      </c>
      <c r="O17">
        <f>MIN(Supply!O14,MAX(Supply!O15-Supply!O16,0))</f>
        <v>140.62227644301964</v>
      </c>
      <c r="P17">
        <f>MIN(Supply!P14,MAX(Supply!P15-Supply!P16,0))</f>
        <v>147.37304965824131</v>
      </c>
      <c r="Q17">
        <f>MIN(Supply!Q14,MAX(Supply!Q15-Supply!Q16,0))</f>
        <v>154.27952945435715</v>
      </c>
      <c r="R17">
        <f>MIN(Supply!R14,MAX(Supply!R15-Supply!R16,0))</f>
        <v>161.34202612864692</v>
      </c>
      <c r="S17">
        <f>MIN(Supply!S14,MAX(Supply!S15-Supply!S16,0))</f>
        <v>168.56081695318244</v>
      </c>
      <c r="T17">
        <f>MIN(Supply!T14,MAX(Supply!T15-Supply!T16,0))</f>
        <v>175.936146706714</v>
      </c>
      <c r="U17">
        <f>MIN(Supply!U14,MAX(Supply!U15-Supply!U16,0))</f>
        <v>183.46822820062161</v>
      </c>
      <c r="V17">
        <f>MIN(Supply!V14,MAX(Supply!V15-Supply!V16,0))</f>
        <v>191.15724279898376</v>
      </c>
      <c r="W17">
        <f>MIN(Supply!W14,MAX(Supply!W15-Supply!W16,0))</f>
        <v>199.00334093282149</v>
      </c>
      <c r="X17">
        <f>MIN(Supply!X14,MAX(Supply!X15-Supply!X16,0))</f>
        <v>207.0066426085682</v>
      </c>
      <c r="Y17">
        <f>MIN(Supply!Y14,MAX(Supply!Y15-Supply!Y16,0))</f>
        <v>215.16723791082393</v>
      </c>
      <c r="Z17">
        <f>MIN(Supply!Z14,MAX(Supply!Z15-Supply!Z16,0))</f>
        <v>223.48518749944293</v>
      </c>
      <c r="AA17">
        <f>MIN(Supply!AA14,MAX(Supply!AA15-Supply!AA16,0))</f>
        <v>231.96052310101044</v>
      </c>
      <c r="AB17">
        <f>MIN(Supply!AB14,MAX(Supply!AB15-Supply!AB16,0))</f>
        <v>240.59324799476008</v>
      </c>
      <c r="AC17">
        <f>MIN(Supply!AC14,MAX(Supply!AC15-Supply!AC16,0))</f>
        <v>249.38333749298465</v>
      </c>
      <c r="AD17">
        <f>MIN(Supply!AD14,MAX(Supply!AD15-Supply!AD16,0))</f>
        <v>258.3307394159915</v>
      </c>
      <c r="AE17">
        <f>MIN(Supply!AE14,MAX(Supply!AE15-Supply!AE16,0))</f>
        <v>267.43537456165291</v>
      </c>
      <c r="AF17">
        <f>MIN(Supply!AF14,MAX(Supply!AF15-Supply!AF16,0))</f>
        <v>276.6971371696049</v>
      </c>
      <c r="AG17">
        <f>MIN(Supply!AG14,MAX(Supply!AG15-Supply!AG16,0))</f>
        <v>286.11589538014147</v>
      </c>
      <c r="AH17">
        <f>MIN(Supply!AH14,MAX(Supply!AH15-Supply!AH16,0))</f>
        <v>295.69149168785725</v>
      </c>
    </row>
    <row r="18" spans="1:34" ht="15" customHeight="1" x14ac:dyDescent="0.2">
      <c r="A18" t="s">
        <v>254</v>
      </c>
      <c r="B18" t="s">
        <v>145</v>
      </c>
      <c r="C18" t="s">
        <v>255</v>
      </c>
      <c r="D18">
        <f>MIN(Supply!D12*Inputs!B52,Supply!D8)</f>
        <v>1020.226083575</v>
      </c>
      <c r="E18">
        <f>MIN(Supply!E12*Inputs!B52,Supply!E8)</f>
        <v>1027.8120011073249</v>
      </c>
      <c r="F18">
        <f>MIN(Supply!F12*Inputs!B52,Supply!F8)</f>
        <v>1035.2965538122373</v>
      </c>
      <c r="G18">
        <f>MIN(Supply!G12*Inputs!B52,Supply!G8)</f>
        <v>1042.6805656900731</v>
      </c>
      <c r="H18">
        <f>MIN(Supply!H12*Inputs!B52,Supply!H8)</f>
        <v>1049.9648550352849</v>
      </c>
      <c r="I18">
        <f>MIN(Supply!I12*Inputs!B52,Supply!I8)</f>
        <v>1057.1502344729026</v>
      </c>
      <c r="J18">
        <f>MIN(Supply!J12*Inputs!B52,Supply!J8)</f>
        <v>1064.2375109947679</v>
      </c>
      <c r="K18">
        <f>MIN(Supply!K12*Inputs!B52,Supply!K8)</f>
        <v>1071.2274859955528</v>
      </c>
      <c r="L18">
        <f>MIN(Supply!L12*Inputs!B52,Supply!L8)</f>
        <v>1078.1209553085553</v>
      </c>
      <c r="M18">
        <f>MIN(Supply!M12*Inputs!B52,Supply!M8)</f>
        <v>1084.9187092412776</v>
      </c>
      <c r="N18">
        <f>MIN(Supply!N12*Inputs!B52,Supply!N8)</f>
        <v>1091.6215326107899</v>
      </c>
      <c r="O18">
        <f>MIN(Supply!O12*Inputs!B52,Supply!O8)</f>
        <v>1098.2302047788762</v>
      </c>
      <c r="P18">
        <f>MIN(Supply!P12*Inputs!B52,Supply!P8)</f>
        <v>1104.7454996869665</v>
      </c>
      <c r="Q18">
        <f>MIN(Supply!Q12*Inputs!B52,Supply!Q8)</f>
        <v>1111.1681858908564</v>
      </c>
      <c r="R18">
        <f>MIN(Supply!R12*Inputs!B52,Supply!R8)</f>
        <v>1117.4990265952151</v>
      </c>
      <c r="S18">
        <f>MIN(Supply!S12*Inputs!B52,Supply!S8)</f>
        <v>1123.7387796878829</v>
      </c>
      <c r="T18">
        <f>MIN(Supply!T12*Inputs!B52,Supply!T8)</f>
        <v>1129.8881977739591</v>
      </c>
      <c r="U18">
        <f>MIN(Supply!U12*Inputs!B52,Supply!U8)</f>
        <v>1135.9480282096827</v>
      </c>
      <c r="V18">
        <f>MIN(Supply!V12*Inputs!B52,Supply!V8)</f>
        <v>1141.919013136104</v>
      </c>
      <c r="W18">
        <f>MIN(Supply!W12*Inputs!B52,Supply!W8)</f>
        <v>1147.8018895125567</v>
      </c>
      <c r="X18">
        <f>MIN(Supply!X12*Inputs!B52,Supply!X8)</f>
        <v>1153.5973891499157</v>
      </c>
      <c r="Y18">
        <f>MIN(Supply!Y12*Inputs!B52,Supply!Y8)</f>
        <v>1159.3062387436635</v>
      </c>
      <c r="Z18">
        <f>MIN(Supply!Z12*Inputs!B52,Supply!Z8)</f>
        <v>1164.9291599067453</v>
      </c>
      <c r="AA18">
        <f>MIN(Supply!AA12*Inputs!B52,Supply!AA8)</f>
        <v>1170.4668692022281</v>
      </c>
      <c r="AB18">
        <f>MIN(Supply!AB12*Inputs!B52,Supply!AB8)</f>
        <v>1175.9200781757579</v>
      </c>
      <c r="AC18">
        <f>MIN(Supply!AC12*Inputs!B52,Supply!AC8)</f>
        <v>1181.2894933878222</v>
      </c>
      <c r="AD18">
        <f>MIN(Supply!AD12*Inputs!B52,Supply!AD8)</f>
        <v>1186.5758164458118</v>
      </c>
      <c r="AE18">
        <f>MIN(Supply!AE12*Inputs!B52,Supply!AE8)</f>
        <v>1191.7797440358863</v>
      </c>
      <c r="AF18">
        <f>MIN(Supply!AF12*Inputs!B52,Supply!AF8)</f>
        <v>1196.9019679546498</v>
      </c>
      <c r="AG18">
        <f>MIN(Supply!AG12*Inputs!B52,Supply!AG8)</f>
        <v>1201.9431751406241</v>
      </c>
      <c r="AH18">
        <f>MIN(Supply!AH12*Inputs!B52,Supply!AH8)</f>
        <v>1206.9040477055398</v>
      </c>
    </row>
    <row r="19" spans="1:34" ht="15" customHeight="1" x14ac:dyDescent="0.2">
      <c r="A19" t="s">
        <v>256</v>
      </c>
      <c r="B19" t="s">
        <v>145</v>
      </c>
      <c r="C19" t="s">
        <v>257</v>
      </c>
      <c r="D19">
        <f>MIN(MAX(Supply!D12-D18,0)*Inputs!B53,MAX(Supply!D9,0))</f>
        <v>0</v>
      </c>
      <c r="E19">
        <f>MIN(MAX(Supply!E12-E18,0)*Inputs!B53,MAX(Supply!E9,0))</f>
        <v>0</v>
      </c>
      <c r="F19">
        <f>MIN(MAX(Supply!F12-F18,0)*Inputs!B53,MAX(Supply!F9,0))</f>
        <v>0</v>
      </c>
      <c r="G19">
        <f>MIN(MAX(Supply!G12-G18,0)*Inputs!B53,MAX(Supply!G9,0))</f>
        <v>0</v>
      </c>
      <c r="H19">
        <f>MIN(MAX(Supply!H12-H18,0)*Inputs!B53,MAX(Supply!H9,0))</f>
        <v>0</v>
      </c>
      <c r="I19">
        <f>MIN(MAX(Supply!I12-I18,0)*Inputs!B53,MAX(Supply!I9,0))</f>
        <v>0</v>
      </c>
      <c r="J19">
        <f>MIN(MAX(Supply!J12-J18,0)*Inputs!B53,MAX(Supply!J9,0))</f>
        <v>0</v>
      </c>
      <c r="K19">
        <f>MIN(MAX(Supply!K12-K18,0)*Inputs!B53,MAX(Supply!K9,0))</f>
        <v>0</v>
      </c>
      <c r="L19">
        <f>MIN(MAX(Supply!L12-L18,0)*Inputs!B53,MAX(Supply!L9,0))</f>
        <v>0</v>
      </c>
      <c r="M19">
        <f>MIN(MAX(Supply!M12-M18,0)*Inputs!B53,MAX(Supply!M9,0))</f>
        <v>0</v>
      </c>
      <c r="N19">
        <f>MIN(MAX(Supply!N12-N18,0)*Inputs!B53,MAX(Supply!N9,0))</f>
        <v>0</v>
      </c>
      <c r="O19">
        <f>MIN(MAX(Supply!O12-O18,0)*Inputs!B53,MAX(Supply!O9,0))</f>
        <v>0</v>
      </c>
      <c r="P19">
        <f>MIN(MAX(Supply!P12-P18,0)*Inputs!B53,MAX(Supply!P9,0))</f>
        <v>0</v>
      </c>
      <c r="Q19">
        <f>MIN(MAX(Supply!Q12-Q18,0)*Inputs!B53,MAX(Supply!Q9,0))</f>
        <v>0</v>
      </c>
      <c r="R19">
        <f>MIN(MAX(Supply!R12-R18,0)*Inputs!B53,MAX(Supply!R9,0))</f>
        <v>0</v>
      </c>
      <c r="S19">
        <f>MIN(MAX(Supply!S12-S18,0)*Inputs!B53,MAX(Supply!S9,0))</f>
        <v>0</v>
      </c>
      <c r="T19">
        <f>MIN(MAX(Supply!T12-T18,0)*Inputs!B53,MAX(Supply!T9,0))</f>
        <v>0</v>
      </c>
      <c r="U19">
        <f>MIN(MAX(Supply!U12-U18,0)*Inputs!B53,MAX(Supply!U9,0))</f>
        <v>0</v>
      </c>
      <c r="V19">
        <f>MIN(MAX(Supply!V12-V18,0)*Inputs!B53,MAX(Supply!V9,0))</f>
        <v>0</v>
      </c>
      <c r="W19">
        <f>MIN(MAX(Supply!W12-W18,0)*Inputs!B53,MAX(Supply!W9,0))</f>
        <v>0</v>
      </c>
      <c r="X19">
        <f>MIN(MAX(Supply!X12-X18,0)*Inputs!B53,MAX(Supply!X9,0))</f>
        <v>0</v>
      </c>
      <c r="Y19">
        <f>MIN(MAX(Supply!Y12-Y18,0)*Inputs!B53,MAX(Supply!Y9,0))</f>
        <v>0</v>
      </c>
      <c r="Z19">
        <f>MIN(MAX(Supply!Z12-Z18,0)*Inputs!B53,MAX(Supply!Z9,0))</f>
        <v>0</v>
      </c>
      <c r="AA19">
        <f>MIN(MAX(Supply!AA12-AA18,0)*Inputs!B53,MAX(Supply!AA9,0))</f>
        <v>0</v>
      </c>
      <c r="AB19">
        <f>MIN(MAX(Supply!AB12-AB18,0)*Inputs!B53,MAX(Supply!AB9,0))</f>
        <v>0</v>
      </c>
      <c r="AC19">
        <f>MIN(MAX(Supply!AC12-AC18,0)*Inputs!B53,MAX(Supply!AC9,0))</f>
        <v>0</v>
      </c>
      <c r="AD19">
        <f>MIN(MAX(Supply!AD12-AD18,0)*Inputs!B53,MAX(Supply!AD9,0))</f>
        <v>0</v>
      </c>
      <c r="AE19">
        <f>MIN(MAX(Supply!AE12-AE18,0)*Inputs!B53,MAX(Supply!AE9,0))</f>
        <v>0</v>
      </c>
      <c r="AF19">
        <f>MIN(MAX(Supply!AF12-AF18,0)*Inputs!B53,MAX(Supply!AF9,0))</f>
        <v>0</v>
      </c>
      <c r="AG19">
        <f>MIN(MAX(Supply!AG12-AG18,0)*Inputs!B53,MAX(Supply!AG9,0))</f>
        <v>0</v>
      </c>
      <c r="AH19">
        <f>MIN(MAX(Supply!AH12-AH18,0)*Inputs!B53,MAX(Supply!AH9,0))</f>
        <v>0</v>
      </c>
    </row>
    <row r="20" spans="1:34" x14ac:dyDescent="0.2">
      <c r="A20" t="s">
        <v>258</v>
      </c>
      <c r="B20" t="s">
        <v>145</v>
      </c>
      <c r="C20" t="s">
        <v>259</v>
      </c>
      <c r="D20">
        <f>MAX(Supply!D12-D18-D19,0)</f>
        <v>0</v>
      </c>
      <c r="E20">
        <f>MAX(Supply!E12-E18-E19,0)</f>
        <v>0</v>
      </c>
      <c r="F20">
        <f>MAX(Supply!F12-F18-F19,0)</f>
        <v>0</v>
      </c>
      <c r="G20">
        <f>MAX(Supply!G12-G18-G19,0)</f>
        <v>0</v>
      </c>
      <c r="H20">
        <f>MAX(Supply!H12-H18-H19,0)</f>
        <v>0</v>
      </c>
      <c r="I20">
        <f>MAX(Supply!I12-I18-I19,0)</f>
        <v>0</v>
      </c>
      <c r="J20">
        <f>MAX(Supply!J12-J18-J19,0)</f>
        <v>0</v>
      </c>
      <c r="K20">
        <f>MAX(Supply!K12-K18-K19,0)</f>
        <v>0</v>
      </c>
      <c r="L20">
        <f>MAX(Supply!L12-L18-L19,0)</f>
        <v>0</v>
      </c>
      <c r="M20">
        <f>MAX(Supply!M12-M18-M19,0)</f>
        <v>0</v>
      </c>
      <c r="N20">
        <f>MAX(Supply!N12-N18-N19,0)</f>
        <v>0</v>
      </c>
      <c r="O20">
        <f>MAX(Supply!O12-O18-O19,0)</f>
        <v>0</v>
      </c>
      <c r="P20">
        <f>MAX(Supply!P12-P18-P19,0)</f>
        <v>0</v>
      </c>
      <c r="Q20">
        <f>MAX(Supply!Q12-Q18-Q19,0)</f>
        <v>0</v>
      </c>
      <c r="R20">
        <f>MAX(Supply!R12-R18-R19,0)</f>
        <v>0</v>
      </c>
      <c r="S20">
        <f>MAX(Supply!S12-S18-S19,0)</f>
        <v>0</v>
      </c>
      <c r="T20">
        <f>MAX(Supply!T12-T18-T19,0)</f>
        <v>0</v>
      </c>
      <c r="U20">
        <f>MAX(Supply!U12-U18-U19,0)</f>
        <v>0</v>
      </c>
      <c r="V20">
        <f>MAX(Supply!V12-V18-V19,0)</f>
        <v>0</v>
      </c>
      <c r="W20">
        <f>MAX(Supply!W12-W18-W19,0)</f>
        <v>0</v>
      </c>
      <c r="X20">
        <f>MAX(Supply!X12-X18-X19,0)</f>
        <v>0</v>
      </c>
      <c r="Y20">
        <f>MAX(Supply!Y12-Y18-Y19,0)</f>
        <v>0</v>
      </c>
      <c r="Z20">
        <f>MAX(Supply!Z12-Z18-Z19,0)</f>
        <v>0</v>
      </c>
      <c r="AA20">
        <f>MAX(Supply!AA12-AA18-AA19,0)</f>
        <v>0</v>
      </c>
      <c r="AB20">
        <f>MAX(Supply!AB12-AB18-AB19,0)</f>
        <v>0</v>
      </c>
      <c r="AC20">
        <f>MAX(Supply!AC12-AC18-AC19,0)</f>
        <v>0</v>
      </c>
      <c r="AD20">
        <f>MAX(Supply!AD12-AD18-AD19,0)</f>
        <v>0</v>
      </c>
      <c r="AE20">
        <f>MAX(Supply!AE12-AE18-AE19,0)</f>
        <v>0</v>
      </c>
      <c r="AF20">
        <f>MAX(Supply!AF12-AF18-AF19,0)</f>
        <v>0</v>
      </c>
      <c r="AG20">
        <f>MAX(Supply!AG12-AG18-AG19,0)</f>
        <v>0</v>
      </c>
      <c r="AH20">
        <f>MAX(Supply!AH12-AH18-AH19,0)</f>
        <v>0</v>
      </c>
    </row>
    <row r="21" spans="1:34" ht="15" customHeight="1" x14ac:dyDescent="0.2">
      <c r="A21" t="s">
        <v>260</v>
      </c>
      <c r="B21" t="s">
        <v>145</v>
      </c>
      <c r="C21" t="s">
        <v>261</v>
      </c>
      <c r="D21">
        <f>MIN(Supply!D13*Inputs!B54,MAX(Supply!D8-D18,0))</f>
        <v>248.33370415619999</v>
      </c>
      <c r="E21">
        <f>MIN(Supply!E13*Inputs!B54,MAX(Supply!E8-E18,0))</f>
        <v>255.14608417068769</v>
      </c>
      <c r="F21">
        <f>MIN(Supply!F13*Inputs!B54,MAX(Supply!F8-F18,0))</f>
        <v>262.1054012940923</v>
      </c>
      <c r="G21">
        <f>MIN(Supply!G13*Inputs!B54,MAX(Supply!G8-G18,0))</f>
        <v>269.2145080526999</v>
      </c>
      <c r="H21">
        <f>MIN(Supply!H13*Inputs!B54,MAX(Supply!H8-H18,0))</f>
        <v>276.47630915431745</v>
      </c>
      <c r="I21">
        <f>MIN(Supply!I13*Inputs!B54,MAX(Supply!I8-I18,0))</f>
        <v>283.8937624070245</v>
      </c>
      <c r="J21">
        <f>MIN(Supply!J13*Inputs!B54,MAX(Supply!J8-J18,0))</f>
        <v>291.46987965367595</v>
      </c>
      <c r="K21">
        <f>MIN(Supply!K13*Inputs!B54,MAX(Supply!K8-K18,0))</f>
        <v>299.20772772241997</v>
      </c>
      <c r="L21">
        <f>MIN(Supply!L13*Inputs!B54,MAX(Supply!L8-L18,0))</f>
        <v>307.11042939349977</v>
      </c>
      <c r="M21">
        <f>MIN(Supply!M13*Inputs!B54,MAX(Supply!M8-M18,0))</f>
        <v>315.18116438261393</v>
      </c>
      <c r="N21">
        <f>MIN(Supply!N13*Inputs!B54,MAX(Supply!N8-N18,0))</f>
        <v>323.42317034111193</v>
      </c>
      <c r="O21">
        <f>MIN(Supply!O13*Inputs!B54,MAX(Supply!O8-O18,0))</f>
        <v>331.83974387330966</v>
      </c>
      <c r="P21">
        <f>MIN(Supply!P13*Inputs!B54,MAX(Supply!P8-P18,0))</f>
        <v>340.43424157120984</v>
      </c>
      <c r="Q21">
        <f>MIN(Supply!Q13*Inputs!B54,MAX(Supply!Q8-Q18,0))</f>
        <v>349.2100810669217</v>
      </c>
      <c r="R21">
        <f>MIN(Supply!R13*Inputs!B54,MAX(Supply!R8-R18,0))</f>
        <v>358.17074210307521</v>
      </c>
      <c r="S21">
        <f>MIN(Supply!S13*Inputs!B54,MAX(Supply!S8-S18,0))</f>
        <v>367.31976762153312</v>
      </c>
      <c r="T21">
        <f>MIN(Supply!T13*Inputs!B54,MAX(Supply!T8-T18,0))</f>
        <v>376.6607648707066</v>
      </c>
      <c r="U21">
        <f>MIN(Supply!U13*Inputs!B54,MAX(Supply!U8-U18,0))</f>
        <v>386.19740653178769</v>
      </c>
      <c r="V21">
        <f>MIN(Supply!V13*Inputs!B54,MAX(Supply!V8-V18,0))</f>
        <v>395.93343186421356</v>
      </c>
      <c r="W21">
        <f>MIN(Supply!W13*Inputs!B54,MAX(Supply!W8-W18,0))</f>
        <v>405.87264787068727</v>
      </c>
      <c r="X21">
        <f>MIN(Supply!X13*Inputs!B54,MAX(Supply!X8-X18,0))</f>
        <v>416.01893048208217</v>
      </c>
      <c r="Y21">
        <f>MIN(Supply!Y13*Inputs!B54,MAX(Supply!Y8-Y18,0))</f>
        <v>426.37622576256069</v>
      </c>
      <c r="Z21">
        <f>MIN(Supply!Z13*Inputs!B54,MAX(Supply!Z8-Z18,0))</f>
        <v>436.94855113525023</v>
      </c>
      <c r="AA21">
        <f>MIN(Supply!AA13*Inputs!B54,MAX(Supply!AA8-AA18,0))</f>
        <v>447.73999662881698</v>
      </c>
      <c r="AB21">
        <f>MIN(Supply!AB13*Inputs!B54,MAX(Supply!AB8-AB18,0))</f>
        <v>458.75472614528729</v>
      </c>
      <c r="AC21">
        <f>MIN(Supply!AC13*Inputs!B54,MAX(Supply!AC8-AC18,0))</f>
        <v>469.99697874947691</v>
      </c>
      <c r="AD21">
        <f>MIN(Supply!AD13*Inputs!B54,MAX(Supply!AD8-AD18,0))</f>
        <v>481.47106998038328</v>
      </c>
      <c r="AE21">
        <f>MIN(Supply!AE13*Inputs!B54,MAX(Supply!AE8-AE18,0))</f>
        <v>493.18139318491217</v>
      </c>
      <c r="AF21">
        <f>MIN(Supply!AF13*Inputs!B54,MAX(Supply!AF8-AF18,0))</f>
        <v>505.13242087431206</v>
      </c>
      <c r="AG21">
        <f>MIN(Supply!AG13*Inputs!B54,MAX(Supply!AG8-AG18,0))</f>
        <v>517.32870610369434</v>
      </c>
      <c r="AH21">
        <f>MIN(Supply!AH13*Inputs!B54,MAX(Supply!AH8-AH18,0))</f>
        <v>529.77488387502706</v>
      </c>
    </row>
    <row r="22" spans="1:34" x14ac:dyDescent="0.2">
      <c r="A22" t="s">
        <v>262</v>
      </c>
      <c r="B22" t="s">
        <v>145</v>
      </c>
      <c r="C22" t="s">
        <v>263</v>
      </c>
      <c r="D22">
        <f>MIN(MAX(Supply!D13-D21,0)*Inputs!B55,MAX(Supply!D9-D19,0))</f>
        <v>0</v>
      </c>
      <c r="E22">
        <f>MIN(MAX(Supply!E13-E21,0)*Inputs!B55,MAX(Supply!E9-E19,0))</f>
        <v>0</v>
      </c>
      <c r="F22">
        <f>MIN(MAX(Supply!F13-F21,0)*Inputs!B55,MAX(Supply!F9-F19,0))</f>
        <v>0</v>
      </c>
      <c r="G22">
        <f>MIN(MAX(Supply!G13-G21,0)*Inputs!B55,MAX(Supply!G9-G19,0))</f>
        <v>0</v>
      </c>
      <c r="H22">
        <f>MIN(MAX(Supply!H13-H21,0)*Inputs!B55,MAX(Supply!H9-H19,0))</f>
        <v>0</v>
      </c>
      <c r="I22">
        <f>MIN(MAX(Supply!I13-I21,0)*Inputs!B55,MAX(Supply!I9-I19,0))</f>
        <v>0</v>
      </c>
      <c r="J22">
        <f>MIN(MAX(Supply!J13-J21,0)*Inputs!B55,MAX(Supply!J9-J19,0))</f>
        <v>0</v>
      </c>
      <c r="K22">
        <f>MIN(MAX(Supply!K13-K21,0)*Inputs!B55,MAX(Supply!K9-K19,0))</f>
        <v>0</v>
      </c>
      <c r="L22">
        <f>MIN(MAX(Supply!L13-L21,0)*Inputs!B55,MAX(Supply!L9-L19,0))</f>
        <v>0</v>
      </c>
      <c r="M22">
        <f>MIN(MAX(Supply!M13-M21,0)*Inputs!B55,MAX(Supply!M9-M19,0))</f>
        <v>0</v>
      </c>
      <c r="N22">
        <f>MIN(MAX(Supply!N13-N21,0)*Inputs!B55,MAX(Supply!N9-N19,0))</f>
        <v>0</v>
      </c>
      <c r="O22">
        <f>MIN(MAX(Supply!O13-O21,0)*Inputs!B55,MAX(Supply!O9-O19,0))</f>
        <v>0</v>
      </c>
      <c r="P22">
        <f>MIN(MAX(Supply!P13-P21,0)*Inputs!B55,MAX(Supply!P9-P19,0))</f>
        <v>0</v>
      </c>
      <c r="Q22">
        <f>MIN(MAX(Supply!Q13-Q21,0)*Inputs!B55,MAX(Supply!Q9-Q19,0))</f>
        <v>0</v>
      </c>
      <c r="R22">
        <f>MIN(MAX(Supply!R13-R21,0)*Inputs!B55,MAX(Supply!R9-R19,0))</f>
        <v>0</v>
      </c>
      <c r="S22">
        <f>MIN(MAX(Supply!S13-S21,0)*Inputs!B55,MAX(Supply!S9-S19,0))</f>
        <v>0</v>
      </c>
      <c r="T22">
        <f>MIN(MAX(Supply!T13-T21,0)*Inputs!B55,MAX(Supply!T9-T19,0))</f>
        <v>0</v>
      </c>
      <c r="U22">
        <f>MIN(MAX(Supply!U13-U21,0)*Inputs!B55,MAX(Supply!U9-U19,0))</f>
        <v>0</v>
      </c>
      <c r="V22">
        <f>MIN(MAX(Supply!V13-V21,0)*Inputs!B55,MAX(Supply!V9-V19,0))</f>
        <v>0</v>
      </c>
      <c r="W22">
        <f>MIN(MAX(Supply!W13-W21,0)*Inputs!B55,MAX(Supply!W9-W19,0))</f>
        <v>0</v>
      </c>
      <c r="X22">
        <f>MIN(MAX(Supply!X13-X21,0)*Inputs!B55,MAX(Supply!X9-X19,0))</f>
        <v>0</v>
      </c>
      <c r="Y22">
        <f>MIN(MAX(Supply!Y13-Y21,0)*Inputs!B55,MAX(Supply!Y9-Y19,0))</f>
        <v>0</v>
      </c>
      <c r="Z22">
        <f>MIN(MAX(Supply!Z13-Z21,0)*Inputs!B55,MAX(Supply!Z9-Z19,0))</f>
        <v>0</v>
      </c>
      <c r="AA22">
        <f>MIN(MAX(Supply!AA13-AA21,0)*Inputs!B55,MAX(Supply!AA9-AA19,0))</f>
        <v>0</v>
      </c>
      <c r="AB22">
        <f>MIN(MAX(Supply!AB13-AB21,0)*Inputs!B55,MAX(Supply!AB9-AB19,0))</f>
        <v>0</v>
      </c>
      <c r="AC22">
        <f>MIN(MAX(Supply!AC13-AC21,0)*Inputs!B55,MAX(Supply!AC9-AC19,0))</f>
        <v>0</v>
      </c>
      <c r="AD22">
        <f>MIN(MAX(Supply!AD13-AD21,0)*Inputs!B55,MAX(Supply!AD9-AD19,0))</f>
        <v>0</v>
      </c>
      <c r="AE22">
        <f>MIN(MAX(Supply!AE13-AE21,0)*Inputs!B55,MAX(Supply!AE9-AE19,0))</f>
        <v>0</v>
      </c>
      <c r="AF22">
        <f>MIN(MAX(Supply!AF13-AF21,0)*Inputs!B55,MAX(Supply!AF9-AF19,0))</f>
        <v>0</v>
      </c>
      <c r="AG22">
        <f>MIN(MAX(Supply!AG13-AG21,0)*Inputs!B55,MAX(Supply!AG9-AG19,0))</f>
        <v>0</v>
      </c>
      <c r="AH22">
        <f>MIN(MAX(Supply!AH13-AH21,0)*Inputs!B55,MAX(Supply!AH9-AH19,0))</f>
        <v>0</v>
      </c>
    </row>
    <row r="23" spans="1:34" x14ac:dyDescent="0.2">
      <c r="A23" t="s">
        <v>264</v>
      </c>
      <c r="B23" t="s">
        <v>145</v>
      </c>
      <c r="C23" t="s">
        <v>265</v>
      </c>
      <c r="D23">
        <f>MAX(Supply!D13-D21-D22,0)</f>
        <v>0</v>
      </c>
      <c r="E23">
        <f>MAX(Supply!E13-E21-E22,0)</f>
        <v>0</v>
      </c>
      <c r="F23">
        <f>MAX(Supply!F13-F21-F22,0)</f>
        <v>0</v>
      </c>
      <c r="G23">
        <f>MAX(Supply!G13-G21-G22,0)</f>
        <v>0</v>
      </c>
      <c r="H23">
        <f>MAX(Supply!H13-H21-H22,0)</f>
        <v>0</v>
      </c>
      <c r="I23">
        <f>MAX(Supply!I13-I21-I22,0)</f>
        <v>0</v>
      </c>
      <c r="J23">
        <f>MAX(Supply!J13-J21-J22,0)</f>
        <v>0</v>
      </c>
      <c r="K23">
        <f>MAX(Supply!K13-K21-K22,0)</f>
        <v>0</v>
      </c>
      <c r="L23">
        <f>MAX(Supply!L13-L21-L22,0)</f>
        <v>0</v>
      </c>
      <c r="M23">
        <f>MAX(Supply!M13-M21-M22,0)</f>
        <v>0</v>
      </c>
      <c r="N23">
        <f>MAX(Supply!N13-N21-N22,0)</f>
        <v>0</v>
      </c>
      <c r="O23">
        <f>MAX(Supply!O13-O21-O22,0)</f>
        <v>0</v>
      </c>
      <c r="P23">
        <f>MAX(Supply!P13-P21-P22,0)</f>
        <v>0</v>
      </c>
      <c r="Q23">
        <f>MAX(Supply!Q13-Q21-Q22,0)</f>
        <v>0</v>
      </c>
      <c r="R23">
        <f>MAX(Supply!R13-R21-R22,0)</f>
        <v>0</v>
      </c>
      <c r="S23">
        <f>MAX(Supply!S13-S21-S22,0)</f>
        <v>0</v>
      </c>
      <c r="T23">
        <f>MAX(Supply!T13-T21-T22,0)</f>
        <v>0</v>
      </c>
      <c r="U23">
        <f>MAX(Supply!U13-U21-U22,0)</f>
        <v>0</v>
      </c>
      <c r="V23">
        <f>MAX(Supply!V13-V21-V22,0)</f>
        <v>0</v>
      </c>
      <c r="W23">
        <f>MAX(Supply!W13-W21-W22,0)</f>
        <v>0</v>
      </c>
      <c r="X23">
        <f>MAX(Supply!X13-X21-X22,0)</f>
        <v>0</v>
      </c>
      <c r="Y23">
        <f>MAX(Supply!Y13-Y21-Y22,0)</f>
        <v>0</v>
      </c>
      <c r="Z23">
        <f>MAX(Supply!Z13-Z21-Z22,0)</f>
        <v>0</v>
      </c>
      <c r="AA23">
        <f>MAX(Supply!AA13-AA21-AA22,0)</f>
        <v>0</v>
      </c>
      <c r="AB23">
        <f>MAX(Supply!AB13-AB21-AB22,0)</f>
        <v>0</v>
      </c>
      <c r="AC23">
        <f>MAX(Supply!AC13-AC21-AC22,0)</f>
        <v>0</v>
      </c>
      <c r="AD23">
        <f>MAX(Supply!AD13-AD21-AD22,0)</f>
        <v>0</v>
      </c>
      <c r="AE23">
        <f>MAX(Supply!AE13-AE21-AE22,0)</f>
        <v>0</v>
      </c>
      <c r="AF23">
        <f>MAX(Supply!AF13-AF21-AF22,0)</f>
        <v>0</v>
      </c>
      <c r="AG23">
        <f>MAX(Supply!AG13-AG21-AG22,0)</f>
        <v>0</v>
      </c>
      <c r="AH23">
        <f>MAX(Supply!AH13-AH21-AH22,0)</f>
        <v>0</v>
      </c>
    </row>
    <row r="24" spans="1:34" x14ac:dyDescent="0.2">
      <c r="A24" t="s">
        <v>266</v>
      </c>
      <c r="B24" t="s">
        <v>145</v>
      </c>
      <c r="C24" t="s">
        <v>267</v>
      </c>
      <c r="D24">
        <f>MIN(MAX(Supply!D14-Supply!D17,0)*Inputs!B56,MAX(Supply!D8-D18-D21,0))</f>
        <v>2231.4402122688002</v>
      </c>
      <c r="E24">
        <f>MIN(MAX(Supply!E14-Supply!E17,0)*Inputs!B56,MAX(Supply!E8-E18-E21,0))</f>
        <v>2164.5419147219873</v>
      </c>
      <c r="F24">
        <f>MIN(MAX(Supply!F14-Supply!F17,0)*Inputs!B56,MAX(Supply!F8-F18-F21,0))</f>
        <v>2098.3855448936702</v>
      </c>
      <c r="G24">
        <f>MIN(MAX(Supply!G14-Supply!G17,0)*Inputs!B56,MAX(Supply!G8-G18-G21,0))</f>
        <v>2032.9556137572272</v>
      </c>
      <c r="H24">
        <f>MIN(MAX(Supply!H14-Supply!H17,0)*Inputs!B56,MAX(Supply!H8-H18-H21,0))</f>
        <v>1968.2367629978974</v>
      </c>
      <c r="I24">
        <f>MIN(MAX(Supply!I14-Supply!I17,0)*Inputs!B56,MAX(Supply!I8-I18-I21,0))</f>
        <v>1904.2137613997606</v>
      </c>
      <c r="J24">
        <f>MIN(MAX(Supply!J14-Supply!J17,0)*Inputs!B56,MAX(Supply!J8-J18-J21,0))</f>
        <v>1840.8715012570483</v>
      </c>
      <c r="K24">
        <f>MIN(MAX(Supply!K14-Supply!K17,0)*Inputs!B56,MAX(Supply!K8-K18-K21,0))</f>
        <v>1778.1949948089371</v>
      </c>
      <c r="L24">
        <f>MIN(MAX(Supply!L14-Supply!L17,0)*Inputs!B56,MAX(Supply!L8-L18-L21,0))</f>
        <v>1716.1693706969513</v>
      </c>
      <c r="M24">
        <f>MIN(MAX(Supply!M14-Supply!M17,0)*Inputs!B56,MAX(Supply!M8-M18-M21,0))</f>
        <v>1654.7798704441293</v>
      </c>
      <c r="N24">
        <f>MIN(MAX(Supply!N14-Supply!N17,0)*Inputs!B56,MAX(Supply!N8-N18-N21,0))</f>
        <v>1594.0118449550991</v>
      </c>
      <c r="O24">
        <f>MIN(MAX(Supply!O14-Supply!O17,0)*Inputs!B56,MAX(Supply!O8-O18-O21,0))</f>
        <v>1533.8507510362101</v>
      </c>
      <c r="P24">
        <f>MIN(MAX(Supply!P14-Supply!P17,0)*Inputs!B56,MAX(Supply!P8-P18-P21,0))</f>
        <v>1474.2821479348936</v>
      </c>
      <c r="Q24">
        <f>MIN(MAX(Supply!Q14-Supply!Q17,0)*Inputs!B56,MAX(Supply!Q8-Q18-Q21,0))</f>
        <v>1415.2916938973958</v>
      </c>
      <c r="R24">
        <f>MIN(MAX(Supply!R14-Supply!R17,0)*Inputs!B56,MAX(Supply!R8-R18-R21,0))</f>
        <v>1356.8651427440564</v>
      </c>
      <c r="S24">
        <f>MIN(MAX(Supply!S14-Supply!S17,0)*Inputs!B56,MAX(Supply!S8-S18-S21,0))</f>
        <v>1298.9883404612947</v>
      </c>
      <c r="T24">
        <f>MIN(MAX(Supply!T14-Supply!T17,0)*Inputs!B56,MAX(Supply!T8-T18-T21,0))</f>
        <v>1241.6472218094846</v>
      </c>
      <c r="U24">
        <f>MIN(MAX(Supply!U14-Supply!U17,0)*Inputs!B56,MAX(Supply!U8-U18-U21,0))</f>
        <v>1184.8278069458677</v>
      </c>
      <c r="V24">
        <f>MIN(MAX(Supply!V14-Supply!V17,0)*Inputs!B56,MAX(Supply!V8-V18-V21,0))</f>
        <v>1128.5161980617102</v>
      </c>
      <c r="W24">
        <f>MIN(MAX(Supply!W14-Supply!W17,0)*Inputs!B56,MAX(Supply!W8-W18-W21,0))</f>
        <v>1072.6985760328535</v>
      </c>
      <c r="X24">
        <f>MIN(MAX(Supply!X14-Supply!X17,0)*Inputs!B56,MAX(Supply!X8-X18-X21,0))</f>
        <v>1017.3611970828586</v>
      </c>
      <c r="Y24">
        <f>MIN(MAX(Supply!Y14-Supply!Y17,0)*Inputs!B56,MAX(Supply!Y8-Y18-Y21,0))</f>
        <v>962.49038945790937</v>
      </c>
      <c r="Z24">
        <f>MIN(MAX(Supply!Z14-Supply!Z17,0)*Inputs!B56,MAX(Supply!Z8-Z18-Z21,0))</f>
        <v>908.0725501126758</v>
      </c>
      <c r="AA24">
        <f>MIN(MAX(Supply!AA14-Supply!AA17,0)*Inputs!B56,MAX(Supply!AA8-AA18-AA21,0))</f>
        <v>854.09414140630633</v>
      </c>
      <c r="AB24">
        <f>MIN(MAX(Supply!AB14-Supply!AB17,0)*Inputs!B56,MAX(Supply!AB8-AB18-AB21,0))</f>
        <v>800.54168780774557</v>
      </c>
      <c r="AC24">
        <f>MIN(MAX(Supply!AC14-Supply!AC17,0)*Inputs!B56,MAX(Supply!AC8-AC18-AC21,0))</f>
        <v>747.40177260956011</v>
      </c>
      <c r="AD24">
        <f>MIN(MAX(Supply!AD14-Supply!AD17,0)*Inputs!B56,MAX(Supply!AD8-AD18-AD21,0))</f>
        <v>694.66103464946093</v>
      </c>
      <c r="AE24">
        <f>MIN(MAX(Supply!AE14-Supply!AE17,0)*Inputs!B56,MAX(Supply!AE8-AE18-AE21,0))</f>
        <v>642.30616503872284</v>
      </c>
      <c r="AF24">
        <f>MIN(MAX(Supply!AF14-Supply!AF17,0)*Inputs!B56,MAX(Supply!AF8-AF18-AF21,0))</f>
        <v>590.32390389666659</v>
      </c>
      <c r="AG24">
        <f>MIN(MAX(Supply!AG14-Supply!AG17,0)*Inputs!B56,MAX(Supply!AG8-AG18-AG21,0))</f>
        <v>538.70103709042553</v>
      </c>
      <c r="AH24">
        <f>MIN(MAX(Supply!AH14-Supply!AH17,0)*Inputs!B56,MAX(Supply!AH8-AH18-AH21,0))</f>
        <v>487.42439297915632</v>
      </c>
    </row>
    <row r="25" spans="1:34" x14ac:dyDescent="0.2">
      <c r="A25" t="s">
        <v>268</v>
      </c>
      <c r="B25" t="s">
        <v>145</v>
      </c>
      <c r="C25" t="s">
        <v>269</v>
      </c>
      <c r="D25">
        <f>MIN(MAX(MAX(Supply!D14-Supply!D17,0)-D24,0)*Inputs!B57,MAX(Supply!D9-D19-D22,0))</f>
        <v>912</v>
      </c>
      <c r="E25">
        <f>MIN(MAX(MAX(Supply!E14-Supply!E17,0)-E24,0)*Inputs!B57,MAX(Supply!E9-E19-E22,0))</f>
        <v>893.76</v>
      </c>
      <c r="F25">
        <f>MIN(MAX(MAX(Supply!F14-Supply!F17,0)-F24,0)*Inputs!B57,MAX(Supply!F9-F19-F22,0))</f>
        <v>875.88479999999993</v>
      </c>
      <c r="G25">
        <f>MIN(MAX(MAX(Supply!G14-Supply!G17,0)-G24,0)*Inputs!B57,MAX(Supply!G9-G19-G22,0))</f>
        <v>858.36710399999993</v>
      </c>
      <c r="H25">
        <f>MIN(MAX(MAX(Supply!H14-Supply!H17,0)-H24,0)*Inputs!B57,MAX(Supply!H9-H19-H22,0))</f>
        <v>841.1997619199999</v>
      </c>
      <c r="I25">
        <f>MIN(MAX(MAX(Supply!I14-Supply!I17,0)-I24,0)*Inputs!B57,MAX(Supply!I9-I19-I22,0))</f>
        <v>824.37576668159988</v>
      </c>
      <c r="J25">
        <f>MIN(MAX(MAX(Supply!J14-Supply!J17,0)-J24,0)*Inputs!B57,MAX(Supply!J9-J19-J22,0))</f>
        <v>807.88825134796787</v>
      </c>
      <c r="K25">
        <f>MIN(MAX(MAX(Supply!K14-Supply!K17,0)-K24,0)*Inputs!B57,MAX(Supply!K9-K19-K22,0))</f>
        <v>791.73048632100847</v>
      </c>
      <c r="L25">
        <f>MIN(MAX(MAX(Supply!L14-Supply!L17,0)-L24,0)*Inputs!B57,MAX(Supply!L9-L19-L22,0))</f>
        <v>775.89587659458823</v>
      </c>
      <c r="M25">
        <f>MIN(MAX(MAX(Supply!M14-Supply!M17,0)-M24,0)*Inputs!B57,MAX(Supply!M9-M19-M22,0))</f>
        <v>760.3779590626965</v>
      </c>
      <c r="N25">
        <f>MIN(MAX(MAX(Supply!N14-Supply!N17,0)-N24,0)*Inputs!B57,MAX(Supply!N9-N19-N22,0))</f>
        <v>745.17039988144245</v>
      </c>
      <c r="O25">
        <f>MIN(MAX(MAX(Supply!O14-Supply!O17,0)-O24,0)*Inputs!B57,MAX(Supply!O9-O19-O22,0))</f>
        <v>730.2669918838136</v>
      </c>
      <c r="P25">
        <f>MIN(MAX(MAX(Supply!P14-Supply!P17,0)-P24,0)*Inputs!B57,MAX(Supply!P9-P19-P22,0))</f>
        <v>715.66165204613731</v>
      </c>
      <c r="Q25">
        <f>MIN(MAX(MAX(Supply!Q14-Supply!Q17,0)-Q24,0)*Inputs!B57,MAX(Supply!Q9-Q19-Q22,0))</f>
        <v>701.34841900521451</v>
      </c>
      <c r="R25">
        <f>MIN(MAX(MAX(Supply!R14-Supply!R17,0)-R24,0)*Inputs!B57,MAX(Supply!R9-R19-R22,0))</f>
        <v>687.32145062511029</v>
      </c>
      <c r="S25">
        <f>MIN(MAX(MAX(Supply!S14-Supply!S17,0)-S24,0)*Inputs!B57,MAX(Supply!S9-S19-S22,0))</f>
        <v>673.575021612608</v>
      </c>
      <c r="T25">
        <f>MIN(MAX(MAX(Supply!T14-Supply!T17,0)-T24,0)*Inputs!B57,MAX(Supply!T9-T19-T22,0))</f>
        <v>660.10352118035587</v>
      </c>
      <c r="U25">
        <f>MIN(MAX(MAX(Supply!U14-Supply!U17,0)-U24,0)*Inputs!B57,MAX(Supply!U9-U19-U22,0))</f>
        <v>646.90145075674877</v>
      </c>
      <c r="V25">
        <f>MIN(MAX(MAX(Supply!V14-Supply!V17,0)-V24,0)*Inputs!B57,MAX(Supply!V9-V19-V22,0))</f>
        <v>633.96342174161373</v>
      </c>
      <c r="W25">
        <f>MIN(MAX(MAX(Supply!W14-Supply!W17,0)-W24,0)*Inputs!B57,MAX(Supply!W9-W19-W22,0))</f>
        <v>621.28415330678149</v>
      </c>
      <c r="X25">
        <f>MIN(MAX(MAX(Supply!X14-Supply!X17,0)-X24,0)*Inputs!B57,MAX(Supply!X9-X19-X22,0))</f>
        <v>608.85847024064583</v>
      </c>
      <c r="Y25">
        <f>MIN(MAX(MAX(Supply!Y14-Supply!Y17,0)-Y24,0)*Inputs!B57,MAX(Supply!Y9-Y19-Y22,0))</f>
        <v>596.68130083583287</v>
      </c>
      <c r="Z25">
        <f>MIN(MAX(MAX(Supply!Z14-Supply!Z17,0)-Z24,0)*Inputs!B57,MAX(Supply!Z9-Z19-Z22,0))</f>
        <v>584.74767481911624</v>
      </c>
      <c r="AA25">
        <f>MIN(MAX(MAX(Supply!AA14-Supply!AA17,0)-AA24,0)*Inputs!B57,MAX(Supply!AA9-AA19-AA22,0))</f>
        <v>573.05272132273387</v>
      </c>
      <c r="AB25">
        <f>MIN(MAX(MAX(Supply!AB14-Supply!AB17,0)-AB24,0)*Inputs!B57,MAX(Supply!AB9-AB19-AB22,0))</f>
        <v>561.59166689627921</v>
      </c>
      <c r="AC25">
        <f>MIN(MAX(MAX(Supply!AC14-Supply!AC17,0)-AC24,0)*Inputs!B57,MAX(Supply!AC9-AC19-AC22,0))</f>
        <v>550.35983355835356</v>
      </c>
      <c r="AD25">
        <f>MIN(MAX(MAX(Supply!AD14-Supply!AD17,0)-AD24,0)*Inputs!B57,MAX(Supply!AD9-AD19-AD22,0))</f>
        <v>539.35263688718646</v>
      </c>
      <c r="AE25">
        <f>MIN(MAX(MAX(Supply!AE14-Supply!AE17,0)-AE24,0)*Inputs!B57,MAX(Supply!AE9-AE19-AE22,0))</f>
        <v>528.56558414944266</v>
      </c>
      <c r="AF25">
        <f>MIN(MAX(MAX(Supply!AF14-Supply!AF17,0)-AF24,0)*Inputs!B57,MAX(Supply!AF9-AF19-AF22,0))</f>
        <v>517.99427246645382</v>
      </c>
      <c r="AG25">
        <f>MIN(MAX(MAX(Supply!AG14-Supply!AG17,0)-AG24,0)*Inputs!B57,MAX(Supply!AG9-AG19-AG22,0))</f>
        <v>507.63438701712477</v>
      </c>
      <c r="AH25">
        <f>MIN(MAX(MAX(Supply!AH14-Supply!AH17,0)-AH24,0)*Inputs!B57,MAX(Supply!AH9-AH19-AH22,0))</f>
        <v>497.48169927678225</v>
      </c>
    </row>
    <row r="26" spans="1:34" x14ac:dyDescent="0.2">
      <c r="A26" t="s">
        <v>270</v>
      </c>
      <c r="B26" t="s">
        <v>145</v>
      </c>
      <c r="C26" t="s">
        <v>271</v>
      </c>
      <c r="D26">
        <f>MAX(MAX(Supply!D14-Supply!D17,0)-D24-D25,0)</f>
        <v>1595.6943241449503</v>
      </c>
      <c r="E26">
        <f>MAX(MAX(Supply!E14-Supply!E17,0)-E24-E25,0)</f>
        <v>1694.3585670248515</v>
      </c>
      <c r="F26">
        <f>MAX(MAX(Supply!F14-Supply!F17,0)-F24-F25,0)</f>
        <v>1791.1741394860464</v>
      </c>
      <c r="G26">
        <f>MAX(MAX(Supply!G14-Supply!G17,0)-G24-G25,0)</f>
        <v>1886.174854407428</v>
      </c>
      <c r="H26">
        <f>MAX(MAX(Supply!H14-Supply!H17,0)-H24-H25,0)</f>
        <v>1979.3941228911738</v>
      </c>
      <c r="I26">
        <f>MAX(MAX(Supply!I14-Supply!I17,0)-I24-I25,0)</f>
        <v>2070.8649620595402</v>
      </c>
      <c r="J26">
        <f>MAX(MAX(Supply!J14-Supply!J17,0)-J24-J25,0)</f>
        <v>2160.6200027569244</v>
      </c>
      <c r="K26">
        <f>MAX(MAX(Supply!K14-Supply!K17,0)-K24-K25,0)</f>
        <v>2303.4414971592614</v>
      </c>
      <c r="L26">
        <f>MAX(MAX(Supply!L14-Supply!L17,0)-L24-L25,0)</f>
        <v>2433.0286672784173</v>
      </c>
      <c r="M26">
        <f>MAX(MAX(Supply!M14-Supply!M17,0)-M24-M25,0)</f>
        <v>2520.1574961992301</v>
      </c>
      <c r="N26">
        <f>MAX(MAX(Supply!N14-Supply!N17,0)-N24-N25,0)</f>
        <v>2605.612834392839</v>
      </c>
      <c r="O26">
        <f>MAX(MAX(Supply!O14-Supply!O17,0)-O24-O25,0)</f>
        <v>2689.4233564982819</v>
      </c>
      <c r="P26">
        <f>MAX(MAX(Supply!P14-Supply!P17,0)-P24-P25,0)</f>
        <v>2771.6174494102452</v>
      </c>
      <c r="Q26">
        <f>MAX(MAX(Supply!Q14-Supply!Q17,0)-Q24-Q25,0)</f>
        <v>2852.2232186536726</v>
      </c>
      <c r="R26">
        <f>MAX(MAX(Supply!R14-Supply!R17,0)-R24-R25,0)</f>
        <v>2931.2684946874338</v>
      </c>
      <c r="S26">
        <f>MAX(MAX(Supply!S14-Supply!S17,0)-S24-S25,0)</f>
        <v>3008.7808391388708</v>
      </c>
      <c r="T26">
        <f>MAX(MAX(Supply!T14-Supply!T17,0)-T24-T25,0)</f>
        <v>3084.7875509711121</v>
      </c>
      <c r="U26">
        <f>MAX(MAX(Supply!U14-Supply!U17,0)-U24-U25,0)</f>
        <v>3159.3156725849485</v>
      </c>
      <c r="V26">
        <f>MAX(MAX(Supply!V14-Supply!V17,0)-V24-V25,0)</f>
        <v>3232.3919958570655</v>
      </c>
      <c r="W26">
        <f>MAX(MAX(Supply!W14-Supply!W17,0)-W24-W25,0)</f>
        <v>3304.0430681164244</v>
      </c>
      <c r="X26">
        <f>MAX(MAX(Supply!X14-Supply!X17,0)-X24-X25,0)</f>
        <v>3374.2951980604994</v>
      </c>
      <c r="Y26">
        <f>MAX(MAX(Supply!Y14-Supply!Y17,0)-Y24-Y25,0)</f>
        <v>3443.1744616131846</v>
      </c>
      <c r="Z26">
        <f>MAX(MAX(Supply!Z14-Supply!Z17,0)-Z24-Z25,0)</f>
        <v>3510.7067077259771</v>
      </c>
      <c r="AA26">
        <f>MAX(MAX(Supply!AA14-Supply!AA17,0)-AA24-AA25,0)</f>
        <v>3576.9175641242459</v>
      </c>
      <c r="AB26">
        <f>MAX(MAX(Supply!AB14-Supply!AB17,0)-AB24-AB25,0)</f>
        <v>3641.8324430001503</v>
      </c>
      <c r="AC26">
        <f>MAX(MAX(Supply!AC14-Supply!AC17,0)-AC24-AC25,0)</f>
        <v>3705.4765466539639</v>
      </c>
      <c r="AD26">
        <f>MAX(MAX(Supply!AD14-Supply!AD17,0)-AD24-AD25,0)</f>
        <v>3767.874873085374</v>
      </c>
      <c r="AE26">
        <f>MAX(MAX(Supply!AE14-Supply!AE17,0)-AE24-AE25,0)</f>
        <v>3829.0522215363908</v>
      </c>
      <c r="AF26">
        <f>MAX(MAX(Supply!AF14-Supply!AF17,0)-AF24-AF25,0)</f>
        <v>3889.0331979875341</v>
      </c>
      <c r="AG26">
        <f>MAX(MAX(Supply!AG14-Supply!AG17,0)-AG24-AG25,0)</f>
        <v>3947.8422206087725</v>
      </c>
      <c r="AH26">
        <f>MAX(MAX(Supply!AH14-Supply!AH17,0)-AH24-AH25,0)</f>
        <v>4005.5035251669156</v>
      </c>
    </row>
    <row r="27" spans="1:34" x14ac:dyDescent="0.2">
      <c r="A27" t="s">
        <v>272</v>
      </c>
      <c r="B27" t="s">
        <v>145</v>
      </c>
      <c r="C27" t="s">
        <v>273</v>
      </c>
      <c r="D27">
        <f>MAX(Supply!D6-Supply!D16,0)</f>
        <v>0</v>
      </c>
      <c r="E27">
        <f>MAX(Supply!E6-Supply!E16,0)</f>
        <v>0</v>
      </c>
      <c r="F27">
        <f>MAX(Supply!F6-Supply!F16,0)</f>
        <v>0</v>
      </c>
      <c r="G27">
        <f>MAX(Supply!G6-Supply!G16,0)</f>
        <v>0</v>
      </c>
      <c r="H27">
        <f>MAX(Supply!H6-Supply!H16,0)</f>
        <v>0</v>
      </c>
      <c r="I27">
        <f>MAX(Supply!I6-Supply!I16,0)</f>
        <v>0</v>
      </c>
      <c r="J27">
        <f>MAX(Supply!J6-Supply!J16,0)</f>
        <v>0</v>
      </c>
      <c r="K27">
        <f>MAX(Supply!K6-Supply!K16,0)</f>
        <v>0</v>
      </c>
      <c r="L27">
        <f>MAX(Supply!L6-Supply!L16,0)</f>
        <v>11.582659014531885</v>
      </c>
      <c r="M27">
        <f>MAX(Supply!M6-Supply!M16,0)</f>
        <v>64.003511266105946</v>
      </c>
      <c r="N27">
        <f>MAX(Supply!N6-Supply!N16,0)</f>
        <v>116.50886721598694</v>
      </c>
      <c r="O27">
        <f>MAX(Supply!O6-Supply!O16,0)</f>
        <v>169.100864042404</v>
      </c>
      <c r="P27">
        <f>MAX(Supply!P6-Supply!P16,0)</f>
        <v>221.78158473023905</v>
      </c>
      <c r="Q27">
        <f>MAX(Supply!Q6-Supply!Q16,0)</f>
        <v>274.55305879352113</v>
      </c>
      <c r="R27">
        <f>MAX(Supply!R6-Supply!R16,0)</f>
        <v>327.41726299047792</v>
      </c>
      <c r="S27">
        <f>MAX(Supply!S6-Supply!S16,0)</f>
        <v>380.37612203121171</v>
      </c>
      <c r="T27">
        <f>MAX(Supply!T6-Supply!T16,0)</f>
        <v>433.43150927806454</v>
      </c>
      <c r="U27">
        <f>MAX(Supply!U6-Supply!U16,0)</f>
        <v>431.83524743873852</v>
      </c>
      <c r="V27">
        <f>MAX(Supply!V6-Supply!V16,0)</f>
        <v>430.33910925223574</v>
      </c>
      <c r="W27">
        <f>MAX(Supply!W6-Supply!W16,0)</f>
        <v>428.94481816768086</v>
      </c>
      <c r="X27">
        <f>MAX(Supply!X6-Supply!X16,0)</f>
        <v>427.65404901609207</v>
      </c>
      <c r="Y27">
        <f>MAX(Supply!Y6-Supply!Y16,0)</f>
        <v>426.46842867516153</v>
      </c>
      <c r="Z27">
        <f>MAX(Supply!Z6-Supply!Z16,0)</f>
        <v>425.38953672710852</v>
      </c>
      <c r="AA27">
        <f>MAX(Supply!AA6-Supply!AA16,0)</f>
        <v>424.41890610966794</v>
      </c>
      <c r="AB27">
        <f>MAX(Supply!AB6-Supply!AB16,0)</f>
        <v>423.55802376027515</v>
      </c>
      <c r="AC27">
        <f>MAX(Supply!AC6-Supply!AC16,0)</f>
        <v>422.80833125350767</v>
      </c>
      <c r="AD27">
        <f>MAX(Supply!AD6-Supply!AD16,0)</f>
        <v>422.1712254318457</v>
      </c>
      <c r="AE27">
        <f>MAX(Supply!AE6-Supply!AE16,0)</f>
        <v>421.64805902981044</v>
      </c>
      <c r="AF27">
        <f>MAX(Supply!AF6-Supply!AF16,0)</f>
        <v>421.24014129153949</v>
      </c>
      <c r="AG27">
        <f>MAX(Supply!AG6-Supply!AG16,0)</f>
        <v>420.94873858186054</v>
      </c>
      <c r="AH27">
        <f>MAX(Supply!AH6-Supply!AH16,0)</f>
        <v>420.77507499091831</v>
      </c>
    </row>
    <row r="28" spans="1:34" x14ac:dyDescent="0.2">
      <c r="A28" t="s">
        <v>274</v>
      </c>
      <c r="B28" t="s">
        <v>145</v>
      </c>
      <c r="C28" t="s">
        <v>275</v>
      </c>
      <c r="D28">
        <f t="shared" ref="D28:AH28" si="1">D18+D19+D20+D21+D22+D23+D17+D24+D25+D26+D16+D27</f>
        <v>6160.7282366811996</v>
      </c>
      <c r="E28">
        <f t="shared" si="1"/>
        <v>6196.6424471983319</v>
      </c>
      <c r="F28">
        <f t="shared" si="1"/>
        <v>6231.9448766087116</v>
      </c>
      <c r="G28">
        <f t="shared" si="1"/>
        <v>6266.6483420747409</v>
      </c>
      <c r="H28">
        <f t="shared" si="1"/>
        <v>6300.7656030549069</v>
      </c>
      <c r="I28">
        <f t="shared" si="1"/>
        <v>6334.3093633408607</v>
      </c>
      <c r="J28">
        <f t="shared" si="1"/>
        <v>6367.2922730993905</v>
      </c>
      <c r="K28">
        <f t="shared" si="1"/>
        <v>6454.4769309196381</v>
      </c>
      <c r="L28">
        <f t="shared" si="1"/>
        <v>6541.1258858659494</v>
      </c>
      <c r="M28">
        <f t="shared" si="1"/>
        <v>6627.251639536722</v>
      </c>
      <c r="N28">
        <f t="shared" si="1"/>
        <v>6712.8666481296068</v>
      </c>
      <c r="O28">
        <f t="shared" si="1"/>
        <v>6797.9833245135105</v>
      </c>
      <c r="P28">
        <f t="shared" si="1"/>
        <v>6882.6140403076943</v>
      </c>
      <c r="Q28">
        <f t="shared" si="1"/>
        <v>6966.7711279684181</v>
      </c>
      <c r="R28">
        <f t="shared" si="1"/>
        <v>7050.4668828835374</v>
      </c>
      <c r="S28">
        <f t="shared" si="1"/>
        <v>7133.713565475372</v>
      </c>
      <c r="T28">
        <f t="shared" si="1"/>
        <v>7216.5234033123324</v>
      </c>
      <c r="U28">
        <f t="shared" si="1"/>
        <v>7244.1585932296566</v>
      </c>
      <c r="V28">
        <f t="shared" si="1"/>
        <v>7271.3813034596906</v>
      </c>
      <c r="W28">
        <f t="shared" si="1"/>
        <v>7298.2036757721244</v>
      </c>
      <c r="X28">
        <f t="shared" si="1"/>
        <v>7324.6378276245696</v>
      </c>
      <c r="Y28">
        <f t="shared" si="1"/>
        <v>7350.6958543239753</v>
      </c>
      <c r="Z28">
        <f t="shared" si="1"/>
        <v>7376.389831199207</v>
      </c>
      <c r="AA28">
        <f t="shared" si="1"/>
        <v>7401.7318157853415</v>
      </c>
      <c r="AB28">
        <f t="shared" si="1"/>
        <v>7426.7338500199803</v>
      </c>
      <c r="AC28">
        <f t="shared" si="1"/>
        <v>7451.4079624521619</v>
      </c>
      <c r="AD28">
        <f t="shared" si="1"/>
        <v>7475.7661704642078</v>
      </c>
      <c r="AE28">
        <f t="shared" si="1"/>
        <v>7499.8204825070079</v>
      </c>
      <c r="AF28">
        <f t="shared" si="1"/>
        <v>7523.5829003492217</v>
      </c>
      <c r="AG28">
        <f t="shared" si="1"/>
        <v>7547.0654213407834</v>
      </c>
      <c r="AH28">
        <f t="shared" si="1"/>
        <v>7570.2800406912784</v>
      </c>
    </row>
    <row r="29" spans="1:34" x14ac:dyDescent="0.2">
      <c r="A29" s="13" t="s">
        <v>276</v>
      </c>
      <c r="B29" s="14" t="s">
        <v>145</v>
      </c>
      <c r="C29" s="15" t="s">
        <v>277</v>
      </c>
      <c r="D29" s="20">
        <f>Supply!D20+Supply!D23+Supply!D26+Supply!D27</f>
        <v>1595.6943241449503</v>
      </c>
      <c r="E29" s="20">
        <f>Supply!E20+Supply!E23+Supply!E26+Supply!E27</f>
        <v>1694.3585670248515</v>
      </c>
      <c r="F29" s="20">
        <f>Supply!F20+Supply!F23+Supply!F26+Supply!F27</f>
        <v>1791.1741394860464</v>
      </c>
      <c r="G29" s="20">
        <f>Supply!G20+Supply!G23+Supply!G26+Supply!G27</f>
        <v>1886.174854407428</v>
      </c>
      <c r="H29" s="20">
        <f>Supply!H20+Supply!H23+Supply!H26+Supply!H27</f>
        <v>1979.3941228911738</v>
      </c>
      <c r="I29" s="20">
        <f>Supply!I20+Supply!I23+Supply!I26+Supply!I27</f>
        <v>2070.8649620595402</v>
      </c>
      <c r="J29" s="20">
        <f>Supply!J20+Supply!J23+Supply!J26+Supply!J27</f>
        <v>2160.6200027569244</v>
      </c>
      <c r="K29" s="20">
        <f>Supply!K20+Supply!K23+Supply!K26+Supply!K27</f>
        <v>2303.4414971592614</v>
      </c>
      <c r="L29" s="20">
        <f>Supply!L20+Supply!L23+Supply!L26+Supply!L27</f>
        <v>2444.6113262929493</v>
      </c>
      <c r="M29" s="20">
        <f>Supply!M20+Supply!M23+Supply!M26+Supply!M27</f>
        <v>2584.1610074653358</v>
      </c>
      <c r="N29" s="20">
        <f>Supply!N20+Supply!N23+Supply!N26+Supply!N27</f>
        <v>2722.1217016088258</v>
      </c>
      <c r="O29" s="20">
        <f>Supply!O20+Supply!O23+Supply!O26+Supply!O27</f>
        <v>2858.5242205406857</v>
      </c>
      <c r="P29" s="20">
        <f>Supply!P20+Supply!P23+Supply!P26+Supply!P27</f>
        <v>2993.3990341404842</v>
      </c>
      <c r="Q29" s="20">
        <f>Supply!Q20+Supply!Q23+Supply!Q26+Supply!Q27</f>
        <v>3126.7762774471939</v>
      </c>
      <c r="R29" s="20">
        <f>Supply!R20+Supply!R23+Supply!R26+Supply!R27</f>
        <v>3258.6857576779116</v>
      </c>
      <c r="S29" s="20">
        <f>Supply!S20+Supply!S23+Supply!S26+Supply!S27</f>
        <v>3389.1569611700825</v>
      </c>
      <c r="T29" s="20">
        <f>Supply!T20+Supply!T23+Supply!T26+Supply!T27</f>
        <v>3518.2190602491764</v>
      </c>
      <c r="U29" s="20">
        <f>Supply!U20+Supply!U23+Supply!U26+Supply!U27</f>
        <v>3591.1509200236869</v>
      </c>
      <c r="V29" s="20">
        <f>Supply!V20+Supply!V23+Supply!V26+Supply!V27</f>
        <v>3662.7311051093011</v>
      </c>
      <c r="W29" s="20">
        <f>Supply!W20+Supply!W23+Supply!W26+Supply!W27</f>
        <v>3732.9878862841051</v>
      </c>
      <c r="X29" s="20">
        <f>Supply!X20+Supply!X23+Supply!X26+Supply!X27</f>
        <v>3801.9492470765913</v>
      </c>
      <c r="Y29" s="20">
        <f>Supply!Y20+Supply!Y23+Supply!Y26+Supply!Y27</f>
        <v>3869.6428902883463</v>
      </c>
      <c r="Z29" s="20">
        <f>Supply!Z20+Supply!Z23+Supply!Z26+Supply!Z27</f>
        <v>3936.0962444530855</v>
      </c>
      <c r="AA29" s="20">
        <f>Supply!AA20+Supply!AA23+Supply!AA26+Supply!AA27</f>
        <v>4001.336470233914</v>
      </c>
      <c r="AB29" s="20">
        <f>Supply!AB20+Supply!AB23+Supply!AB26+Supply!AB27</f>
        <v>4065.3904667604256</v>
      </c>
      <c r="AC29" s="20">
        <f>Supply!AC20+Supply!AC23+Supply!AC26+Supply!AC27</f>
        <v>4128.2848779074711</v>
      </c>
      <c r="AD29" s="20">
        <f>Supply!AD20+Supply!AD23+Supply!AD26+Supply!AD27</f>
        <v>4190.0460985172194</v>
      </c>
      <c r="AE29" s="20">
        <f>Supply!AE20+Supply!AE23+Supply!AE26+Supply!AE27</f>
        <v>4250.7002805662014</v>
      </c>
      <c r="AF29" s="20">
        <f>Supply!AF20+Supply!AF23+Supply!AF26+Supply!AF27</f>
        <v>4310.2733392790733</v>
      </c>
      <c r="AG29" s="20">
        <f>Supply!AG20+Supply!AG23+Supply!AG26+Supply!AG27</f>
        <v>4368.7909591906327</v>
      </c>
      <c r="AH29" s="20">
        <f>Supply!AH20+Supply!AH23+Supply!AH26+Supply!AH27</f>
        <v>4426.2786001578343</v>
      </c>
    </row>
    <row r="30" spans="1:34" x14ac:dyDescent="0.2">
      <c r="A30" s="13" t="s">
        <v>278</v>
      </c>
      <c r="B30" s="14" t="s">
        <v>145</v>
      </c>
      <c r="C30" s="15" t="s">
        <v>279</v>
      </c>
      <c r="D30" s="20">
        <f>Supply!D20+Supply!D23+Supply!D26</f>
        <v>1595.6943241449503</v>
      </c>
      <c r="E30" s="20">
        <f>Supply!E20+Supply!E23+Supply!E26</f>
        <v>1694.3585670248515</v>
      </c>
      <c r="F30" s="20">
        <f>Supply!F20+Supply!F23+Supply!F26</f>
        <v>1791.1741394860464</v>
      </c>
      <c r="G30" s="20">
        <f>Supply!G20+Supply!G23+Supply!G26</f>
        <v>1886.174854407428</v>
      </c>
      <c r="H30" s="20">
        <f>Supply!H20+Supply!H23+Supply!H26</f>
        <v>1979.3941228911738</v>
      </c>
      <c r="I30" s="20">
        <f>Supply!I20+Supply!I23+Supply!I26</f>
        <v>2070.8649620595402</v>
      </c>
      <c r="J30" s="20">
        <f>Supply!J20+Supply!J23+Supply!J26</f>
        <v>2160.6200027569244</v>
      </c>
      <c r="K30" s="20">
        <f>Supply!K20+Supply!K23+Supply!K26</f>
        <v>2303.4414971592614</v>
      </c>
      <c r="L30" s="20">
        <f>Supply!L20+Supply!L23+Supply!L26</f>
        <v>2433.0286672784173</v>
      </c>
      <c r="M30" s="20">
        <f>Supply!M20+Supply!M23+Supply!M26</f>
        <v>2520.1574961992301</v>
      </c>
      <c r="N30" s="20">
        <f>Supply!N20+Supply!N23+Supply!N26</f>
        <v>2605.612834392839</v>
      </c>
      <c r="O30" s="20">
        <f>Supply!O20+Supply!O23+Supply!O26</f>
        <v>2689.4233564982819</v>
      </c>
      <c r="P30" s="20">
        <f>Supply!P20+Supply!P23+Supply!P26</f>
        <v>2771.6174494102452</v>
      </c>
      <c r="Q30" s="20">
        <f>Supply!Q20+Supply!Q23+Supply!Q26</f>
        <v>2852.2232186536726</v>
      </c>
      <c r="R30" s="20">
        <f>Supply!R20+Supply!R23+Supply!R26</f>
        <v>2931.2684946874338</v>
      </c>
      <c r="S30" s="20">
        <f>Supply!S20+Supply!S23+Supply!S26</f>
        <v>3008.7808391388708</v>
      </c>
      <c r="T30" s="20">
        <f>Supply!T20+Supply!T23+Supply!T26</f>
        <v>3084.7875509711121</v>
      </c>
      <c r="U30" s="20">
        <f>Supply!U20+Supply!U23+Supply!U26</f>
        <v>3159.3156725849485</v>
      </c>
      <c r="V30" s="20">
        <f>Supply!V20+Supply!V23+Supply!V26</f>
        <v>3232.3919958570655</v>
      </c>
      <c r="W30" s="20">
        <f>Supply!W20+Supply!W23+Supply!W26</f>
        <v>3304.0430681164244</v>
      </c>
      <c r="X30" s="20">
        <f>Supply!X20+Supply!X23+Supply!X26</f>
        <v>3374.2951980604994</v>
      </c>
      <c r="Y30" s="20">
        <f>Supply!Y20+Supply!Y23+Supply!Y26</f>
        <v>3443.1744616131846</v>
      </c>
      <c r="Z30" s="20">
        <f>Supply!Z20+Supply!Z23+Supply!Z26</f>
        <v>3510.7067077259771</v>
      </c>
      <c r="AA30" s="20">
        <f>Supply!AA20+Supply!AA23+Supply!AA26</f>
        <v>3576.9175641242459</v>
      </c>
      <c r="AB30" s="20">
        <f>Supply!AB20+Supply!AB23+Supply!AB26</f>
        <v>3641.8324430001503</v>
      </c>
      <c r="AC30" s="20">
        <f>Supply!AC20+Supply!AC23+Supply!AC26</f>
        <v>3705.4765466539639</v>
      </c>
      <c r="AD30" s="20">
        <f>Supply!AD20+Supply!AD23+Supply!AD26</f>
        <v>3767.874873085374</v>
      </c>
      <c r="AE30" s="20">
        <f>Supply!AE20+Supply!AE23+Supply!AE26</f>
        <v>3829.0522215363908</v>
      </c>
      <c r="AF30" s="20">
        <f>Supply!AF20+Supply!AF23+Supply!AF26</f>
        <v>3889.0331979875341</v>
      </c>
      <c r="AG30" s="20">
        <f>Supply!AG20+Supply!AG23+Supply!AG26</f>
        <v>3947.8422206087725</v>
      </c>
      <c r="AH30" s="20">
        <f>Supply!AH20+Supply!AH23+Supply!AH26</f>
        <v>4005.5035251669156</v>
      </c>
    </row>
    <row r="31" spans="1:34" x14ac:dyDescent="0.2">
      <c r="A31" s="23" t="s">
        <v>280</v>
      </c>
      <c r="B31" s="14" t="s">
        <v>145</v>
      </c>
      <c r="C31" s="15" t="s">
        <v>281</v>
      </c>
      <c r="D31" s="27">
        <f>Supply!D29-Supply!D30</f>
        <v>0</v>
      </c>
      <c r="E31" s="27">
        <f>Supply!E29-Supply!E30</f>
        <v>0</v>
      </c>
      <c r="F31" s="27">
        <f>Supply!F29-Supply!F30</f>
        <v>0</v>
      </c>
      <c r="G31" s="27">
        <f>Supply!G29-Supply!G30</f>
        <v>0</v>
      </c>
      <c r="H31" s="27">
        <f>Supply!H29-Supply!H30</f>
        <v>0</v>
      </c>
      <c r="I31" s="27">
        <f>Supply!I29-Supply!I30</f>
        <v>0</v>
      </c>
      <c r="J31" s="27">
        <f>Supply!J29-Supply!J30</f>
        <v>0</v>
      </c>
      <c r="K31" s="27">
        <f>Supply!K29-Supply!K30</f>
        <v>0</v>
      </c>
      <c r="L31" s="27">
        <f>Supply!L29-Supply!L30</f>
        <v>11.582659014532055</v>
      </c>
      <c r="M31" s="27">
        <f>Supply!M29-Supply!M30</f>
        <v>64.003511266105761</v>
      </c>
      <c r="N31" s="27">
        <f>Supply!N29-Supply!N30</f>
        <v>116.50886721598681</v>
      </c>
      <c r="O31" s="27">
        <f>Supply!O29-Supply!O30</f>
        <v>169.10086404240383</v>
      </c>
      <c r="P31" s="27">
        <f>Supply!P29-Supply!P30</f>
        <v>221.78158473023905</v>
      </c>
      <c r="Q31" s="27">
        <f>Supply!Q29-Supply!Q30</f>
        <v>274.55305879352136</v>
      </c>
      <c r="R31" s="27">
        <f>Supply!R29-Supply!R30</f>
        <v>327.41726299047787</v>
      </c>
      <c r="S31" s="27">
        <f>Supply!S29-Supply!S30</f>
        <v>380.37612203121171</v>
      </c>
      <c r="T31" s="27">
        <f>Supply!T29-Supply!T30</f>
        <v>433.43150927806437</v>
      </c>
      <c r="U31" s="27">
        <f>Supply!U29-Supply!U30</f>
        <v>431.83524743873841</v>
      </c>
      <c r="V31" s="27">
        <f>Supply!V29-Supply!V30</f>
        <v>430.33910925223563</v>
      </c>
      <c r="W31" s="27">
        <f>Supply!W29-Supply!W30</f>
        <v>428.94481816768075</v>
      </c>
      <c r="X31" s="27">
        <f>Supply!X29-Supply!X30</f>
        <v>427.6540490160919</v>
      </c>
      <c r="Y31" s="27">
        <f>Supply!Y29-Supply!Y30</f>
        <v>426.4684286751617</v>
      </c>
      <c r="Z31" s="27">
        <f>Supply!Z29-Supply!Z30</f>
        <v>425.38953672710841</v>
      </c>
      <c r="AA31" s="27">
        <f>Supply!AA29-Supply!AA30</f>
        <v>424.41890610966811</v>
      </c>
      <c r="AB31" s="27">
        <f>Supply!AB29-Supply!AB30</f>
        <v>423.55802376027532</v>
      </c>
      <c r="AC31" s="27">
        <f>Supply!AC29-Supply!AC30</f>
        <v>422.80833125350728</v>
      </c>
      <c r="AD31" s="27">
        <f>Supply!AD29-Supply!AD30</f>
        <v>422.17122543184541</v>
      </c>
      <c r="AE31" s="27">
        <f>Supply!AE29-Supply!AE30</f>
        <v>421.64805902981061</v>
      </c>
      <c r="AF31" s="27">
        <f>Supply!AF29-Supply!AF30</f>
        <v>421.2401412915392</v>
      </c>
      <c r="AG31" s="27">
        <f>Supply!AG29-Supply!AG30</f>
        <v>420.9487385818602</v>
      </c>
      <c r="AH31" s="27">
        <f>Supply!AH29-Supply!AH30</f>
        <v>420.77507499091871</v>
      </c>
    </row>
    <row r="32" spans="1:34" x14ac:dyDescent="0.2">
      <c r="A32" s="13" t="s">
        <v>282</v>
      </c>
      <c r="B32" s="14" t="s">
        <v>283</v>
      </c>
      <c r="C32" s="15" t="s">
        <v>284</v>
      </c>
      <c r="D32" s="28">
        <f>Supply!D31*1000000/365</f>
        <v>0</v>
      </c>
      <c r="E32" s="28">
        <f>Supply!E31*1000000/365</f>
        <v>0</v>
      </c>
      <c r="F32" s="28">
        <f>Supply!F31*1000000/365</f>
        <v>0</v>
      </c>
      <c r="G32" s="28">
        <f>Supply!G31*1000000/365</f>
        <v>0</v>
      </c>
      <c r="H32" s="28">
        <f>Supply!H31*1000000/365</f>
        <v>0</v>
      </c>
      <c r="I32" s="28">
        <f>Supply!I31*1000000/365</f>
        <v>0</v>
      </c>
      <c r="J32" s="28">
        <f>Supply!J31*1000000/365</f>
        <v>0</v>
      </c>
      <c r="K32" s="28">
        <f>Supply!K31*1000000/365</f>
        <v>0</v>
      </c>
      <c r="L32" s="28">
        <f>Supply!L31*1000000/365</f>
        <v>31733.312368580973</v>
      </c>
      <c r="M32" s="28">
        <f>Supply!M31*1000000/365</f>
        <v>175352.08566056372</v>
      </c>
      <c r="N32" s="28">
        <f>Supply!N31*1000000/365</f>
        <v>319202.37593421049</v>
      </c>
      <c r="O32" s="28">
        <f>Supply!O31*1000000/365</f>
        <v>463290.03847233922</v>
      </c>
      <c r="P32" s="28">
        <f>Supply!P31*1000000/365</f>
        <v>607620.78008284664</v>
      </c>
      <c r="Q32" s="28">
        <f>Supply!Q31*1000000/365</f>
        <v>752200.16107814072</v>
      </c>
      <c r="R32" s="28">
        <f>Supply!R31*1000000/365</f>
        <v>897033.5972341859</v>
      </c>
      <c r="S32" s="28">
        <f>Supply!S31*1000000/365</f>
        <v>1042126.3617293473</v>
      </c>
      <c r="T32" s="28">
        <f>Supply!T31*1000000/365</f>
        <v>1187483.5870631901</v>
      </c>
      <c r="U32" s="28">
        <f>Supply!U31*1000000/365</f>
        <v>1183110.2669554476</v>
      </c>
      <c r="V32" s="28">
        <f>Supply!V31*1000000/365</f>
        <v>1179011.2582253031</v>
      </c>
      <c r="W32" s="28">
        <f>Supply!W31*1000000/365</f>
        <v>1175191.2826511802</v>
      </c>
      <c r="X32" s="28">
        <f>Supply!X31*1000000/365</f>
        <v>1171654.9288112107</v>
      </c>
      <c r="Y32" s="28">
        <f>Supply!Y31*1000000/365</f>
        <v>1168406.6539045526</v>
      </c>
      <c r="Z32" s="28">
        <f>Supply!Z31*1000000/365</f>
        <v>1165450.7855537217</v>
      </c>
      <c r="AA32" s="28">
        <f>Supply!AA31*1000000/365</f>
        <v>1162791.5235881319</v>
      </c>
      <c r="AB32" s="28">
        <f>Supply!AB31*1000000/365</f>
        <v>1160432.9418089734</v>
      </c>
      <c r="AC32" s="28">
        <f>Supply!AC31*1000000/365</f>
        <v>1158378.9897356364</v>
      </c>
      <c r="AD32" s="28">
        <f>Supply!AD31*1000000/365</f>
        <v>1156633.494333823</v>
      </c>
      <c r="AE32" s="28">
        <f>Supply!AE31*1000000/365</f>
        <v>1155200.1617255085</v>
      </c>
      <c r="AF32" s="28">
        <f>Supply!AF31*1000000/365</f>
        <v>1154082.5788809294</v>
      </c>
      <c r="AG32" s="28">
        <f>Supply!AG31*1000000/365</f>
        <v>1153284.2152927676</v>
      </c>
      <c r="AH32" s="28">
        <f>Supply!AH31*1000000/365</f>
        <v>1152808.4246326541</v>
      </c>
    </row>
    <row r="34" spans="1:34" x14ac:dyDescent="0.2">
      <c r="A34" t="s">
        <v>285</v>
      </c>
      <c r="B34" t="s">
        <v>145</v>
      </c>
      <c r="C34" t="s">
        <v>286</v>
      </c>
      <c r="D34">
        <f>Supply!D16+Supply!D17</f>
        <v>153.03391253625</v>
      </c>
      <c r="E34">
        <f>Supply!E16+Supply!E17</f>
        <v>161.02388017348088</v>
      </c>
      <c r="F34">
        <f>Supply!F16+Supply!F17</f>
        <v>169.09843712266542</v>
      </c>
      <c r="G34">
        <f>Supply!G16+Supply!G17</f>
        <v>177.25569616731241</v>
      </c>
      <c r="H34">
        <f>Supply!H16+Supply!H17</f>
        <v>185.49379105623368</v>
      </c>
      <c r="I34">
        <f>Supply!I16+Supply!I17</f>
        <v>193.81087632003215</v>
      </c>
      <c r="J34">
        <f>Supply!J16+Supply!J17</f>
        <v>202.20512708900591</v>
      </c>
      <c r="K34">
        <f>Supply!K16+Supply!K17</f>
        <v>210.67473891245871</v>
      </c>
      <c r="L34">
        <f>Supply!L16+Supply!L17</f>
        <v>219.21792757940622</v>
      </c>
      <c r="M34">
        <f>Supply!M16+Supply!M17</f>
        <v>227.8329289406683</v>
      </c>
      <c r="N34">
        <f>Supply!N16+Supply!N17</f>
        <v>236.51799873233784</v>
      </c>
      <c r="O34">
        <f>Supply!O16+Supply!O17</f>
        <v>245.27141240061565</v>
      </c>
      <c r="P34">
        <f>Supply!P16+Supply!P17</f>
        <v>254.09146492800227</v>
      </c>
      <c r="Q34">
        <f>Supply!Q16+Supply!Q17</f>
        <v>262.97647066083601</v>
      </c>
      <c r="R34">
        <f>Supply!R16+Supply!R17</f>
        <v>271.924763138169</v>
      </c>
      <c r="S34">
        <f>Supply!S16+Supply!S17</f>
        <v>280.93469492197073</v>
      </c>
      <c r="T34">
        <f>Supply!T16+Supply!T17</f>
        <v>290.00463742864946</v>
      </c>
      <c r="U34">
        <f>Supply!U16+Supply!U17</f>
        <v>299.13298076188306</v>
      </c>
      <c r="V34">
        <f>Supply!V16+Supply!V17</f>
        <v>308.31813354674802</v>
      </c>
      <c r="W34">
        <f>Supply!W16+Supply!W17</f>
        <v>317.55852276514065</v>
      </c>
      <c r="X34">
        <f>Supply!X16+Supply!X17</f>
        <v>326.85259359247613</v>
      </c>
      <c r="Y34">
        <f>Supply!Y16+Supply!Y17</f>
        <v>336.1988092356624</v>
      </c>
      <c r="Z34">
        <f>Supply!Z16+Supply!Z17</f>
        <v>345.59565077233441</v>
      </c>
      <c r="AA34">
        <f>Supply!AA16+Supply!AA17</f>
        <v>355.04161699134249</v>
      </c>
      <c r="AB34">
        <f>Supply!AB16+Supply!AB17</f>
        <v>364.53522423448493</v>
      </c>
      <c r="AC34">
        <f>Supply!AC16+Supply!AC17</f>
        <v>374.07500623947698</v>
      </c>
      <c r="AD34">
        <f>Supply!AD16+Supply!AD17</f>
        <v>383.6595139841458</v>
      </c>
      <c r="AE34">
        <f>Supply!AE16+Supply!AE17</f>
        <v>393.28731553184247</v>
      </c>
      <c r="AF34">
        <f>Supply!AF16+Supply!AF17</f>
        <v>402.95699587806541</v>
      </c>
      <c r="AG34">
        <f>Supply!AG16+Supply!AG17</f>
        <v>412.66715679828093</v>
      </c>
      <c r="AH34">
        <f>Supply!AH16+Supply!AH17</f>
        <v>422.41641669693894</v>
      </c>
    </row>
    <row r="35" spans="1:34" x14ac:dyDescent="0.2">
      <c r="A35" t="s">
        <v>287</v>
      </c>
      <c r="B35" t="s">
        <v>145</v>
      </c>
      <c r="C35" t="s">
        <v>288</v>
      </c>
      <c r="D35">
        <f>Supply!D8+Supply!D9+Supply!D29+Supply!D34</f>
        <v>6160.7282366811996</v>
      </c>
      <c r="E35">
        <f>Supply!E8+Supply!E9+Supply!E29+Supply!E34</f>
        <v>6196.6424471983328</v>
      </c>
      <c r="F35">
        <f>Supply!F8+Supply!F9+Supply!F29+Supply!F34</f>
        <v>6231.9448766087116</v>
      </c>
      <c r="G35">
        <f>Supply!G8+Supply!G9+Supply!G29+Supply!G34</f>
        <v>6266.6483420747409</v>
      </c>
      <c r="H35">
        <f>Supply!H8+Supply!H9+Supply!H29+Supply!H34</f>
        <v>6300.7656030549069</v>
      </c>
      <c r="I35">
        <f>Supply!I8+Supply!I9+Supply!I29+Supply!I34</f>
        <v>6334.3093633408607</v>
      </c>
      <c r="J35">
        <f>Supply!J8+Supply!J9+Supply!J29+Supply!J34</f>
        <v>6367.2922730993905</v>
      </c>
      <c r="K35">
        <f>Supply!K8+Supply!K9+Supply!K29+Supply!K34</f>
        <v>6454.4769309196381</v>
      </c>
      <c r="L35">
        <f>Supply!L8+Supply!L9+Supply!L29+Supply!L34</f>
        <v>6541.1258858659494</v>
      </c>
      <c r="M35">
        <f>Supply!M8+Supply!M9+Supply!M29+Supply!M34</f>
        <v>6627.251639536722</v>
      </c>
      <c r="N35">
        <f>Supply!N8+Supply!N9+Supply!N29+Supply!N34</f>
        <v>6712.8666481296068</v>
      </c>
      <c r="O35">
        <f>Supply!O8+Supply!O9+Supply!O29+Supply!O34</f>
        <v>6797.9833245135105</v>
      </c>
      <c r="P35">
        <f>Supply!P8+Supply!P9+Supply!P29+Supply!P34</f>
        <v>6882.6140403076934</v>
      </c>
      <c r="Q35">
        <f>Supply!Q8+Supply!Q9+Supply!Q29+Supply!Q34</f>
        <v>6966.7711279684181</v>
      </c>
      <c r="R35">
        <f>Supply!R8+Supply!R9+Supply!R29+Supply!R34</f>
        <v>7050.4668828835374</v>
      </c>
      <c r="S35">
        <f>Supply!S8+Supply!S9+Supply!S29+Supply!S34</f>
        <v>7133.713565475372</v>
      </c>
      <c r="T35">
        <f>Supply!T8+Supply!T9+Supply!T29+Supply!T34</f>
        <v>7216.5234033123315</v>
      </c>
      <c r="U35">
        <f>Supply!U8+Supply!U9+Supply!U29+Supply!U34</f>
        <v>7244.1585932296566</v>
      </c>
      <c r="V35">
        <f>Supply!V8+Supply!V9+Supply!V29+Supply!V34</f>
        <v>7271.3813034596906</v>
      </c>
      <c r="W35">
        <f>Supply!W8+Supply!W9+Supply!W29+Supply!W34</f>
        <v>7298.2036757721253</v>
      </c>
      <c r="X35">
        <f>Supply!X8+Supply!X9+Supply!X29+Supply!X34</f>
        <v>7324.6378276245696</v>
      </c>
      <c r="Y35">
        <f>Supply!Y8+Supply!Y9+Supply!Y29+Supply!Y34</f>
        <v>7350.6958543239753</v>
      </c>
      <c r="Z35">
        <f>Supply!Z8+Supply!Z9+Supply!Z29+Supply!Z34</f>
        <v>7376.389831199207</v>
      </c>
      <c r="AA35">
        <f>Supply!AA8+Supply!AA9+Supply!AA29+Supply!AA34</f>
        <v>7401.7318157853415</v>
      </c>
      <c r="AB35">
        <f>Supply!AB8+Supply!AB9+Supply!AB29+Supply!AB34</f>
        <v>7426.7338500199803</v>
      </c>
      <c r="AC35">
        <f>Supply!AC8+Supply!AC9+Supply!AC29+Supply!AC34</f>
        <v>7451.407962452161</v>
      </c>
      <c r="AD35">
        <f>Supply!AD8+Supply!AD9+Supply!AD29+Supply!AD34</f>
        <v>7475.7661704642078</v>
      </c>
      <c r="AE35">
        <f>Supply!AE8+Supply!AE9+Supply!AE29+Supply!AE34</f>
        <v>7499.820482507007</v>
      </c>
      <c r="AF35">
        <f>Supply!AF8+Supply!AF9+Supply!AF29+Supply!AF34</f>
        <v>7523.5829003492208</v>
      </c>
      <c r="AG35">
        <f>Supply!AG8+Supply!AG9+Supply!AG29+Supply!AG34</f>
        <v>7547.0654213407834</v>
      </c>
      <c r="AH35">
        <f>Supply!AH8+Supply!AH9+Supply!AH29+Supply!AH34</f>
        <v>7570.2800406912784</v>
      </c>
    </row>
    <row r="36" spans="1:34" x14ac:dyDescent="0.2">
      <c r="A36" s="13" t="s">
        <v>289</v>
      </c>
      <c r="B36" s="14" t="s">
        <v>290</v>
      </c>
      <c r="C36" s="15"/>
      <c r="D36" s="29">
        <f>Supply!D8/Supply!D5</f>
        <v>0.56811465553063556</v>
      </c>
      <c r="E36" s="29">
        <f>Supply!E8/Supply!E5</f>
        <v>0.55634967312963279</v>
      </c>
      <c r="F36" s="29">
        <f>Supply!F8/Supply!F5</f>
        <v>0.54490011821926021</v>
      </c>
      <c r="G36" s="29">
        <f>Supply!G8/Supply!G5</f>
        <v>0.53375433005270534</v>
      </c>
      <c r="H36" s="29">
        <f>Supply!H8/Supply!H5</f>
        <v>0.52290120514721028</v>
      </c>
      <c r="I36" s="29">
        <f>Supply!I8/Supply!I5</f>
        <v>0.51233016452610769</v>
      </c>
      <c r="J36" s="29">
        <f>Supply!J8/Supply!J5</f>
        <v>0.50203112324691535</v>
      </c>
      <c r="K36" s="29">
        <f>Supply!K8/Supply!K5</f>
        <v>0.48782112667312472</v>
      </c>
      <c r="L36" s="29">
        <f>Supply!L8/Supply!L5</f>
        <v>0.47413867421516925</v>
      </c>
      <c r="M36" s="29">
        <f>Supply!M8/Supply!M5</f>
        <v>0.46095725803488163</v>
      </c>
      <c r="N36" s="29">
        <f>Supply!N8/Supply!N5</f>
        <v>0.44825209640435931</v>
      </c>
      <c r="O36" s="29">
        <f>Supply!O8/Supply!O5</f>
        <v>0.43599999561642133</v>
      </c>
      <c r="P36" s="29">
        <f>Supply!P8/Supply!P5</f>
        <v>0.42417922494206184</v>
      </c>
      <c r="Q36" s="29">
        <f>Supply!Q8/Supply!Q5</f>
        <v>0.41276940321904165</v>
      </c>
      <c r="R36" s="29">
        <f>Supply!R8/Supply!R5</f>
        <v>0.40175139582868036</v>
      </c>
      <c r="S36" s="29">
        <f>Supply!S8/Supply!S5</f>
        <v>0.39110722096742739</v>
      </c>
      <c r="T36" s="29">
        <f>Supply!T8/Supply!T5</f>
        <v>0.38081996424937081</v>
      </c>
      <c r="U36" s="29">
        <f>Supply!U8/Supply!U5</f>
        <v>0.37367669507087514</v>
      </c>
      <c r="V36" s="29">
        <f>Supply!V8/Supply!V5</f>
        <v>0.36669355268075149</v>
      </c>
      <c r="W36" s="29">
        <f>Supply!W8/Supply!W5</f>
        <v>0.35986569162695176</v>
      </c>
      <c r="X36" s="29">
        <f>Supply!X8/Supply!X5</f>
        <v>0.35318845485549838</v>
      </c>
      <c r="Y36" s="29">
        <f>Supply!Y8/Supply!Y5</f>
        <v>0.34665736475346015</v>
      </c>
      <c r="Z36" s="29">
        <f>Supply!Z8/Supply!Z5</f>
        <v>0.34026811470003604</v>
      </c>
      <c r="AA36" s="29">
        <f>Supply!AA8/Supply!AA5</f>
        <v>0.33401656109247113</v>
      </c>
      <c r="AB36" s="29">
        <f>Supply!AB8/Supply!AB5</f>
        <v>0.32789871581600288</v>
      </c>
      <c r="AC36" s="29">
        <f>Supply!AC8/Supply!AC5</f>
        <v>0.32191073912929097</v>
      </c>
      <c r="AD36" s="29">
        <f>Supply!AD8/Supply!AD5</f>
        <v>0.3160489329388621</v>
      </c>
      <c r="AE36" s="29">
        <f>Supply!AE8/Supply!AE5</f>
        <v>0.31030973443801319</v>
      </c>
      <c r="AF36" s="29">
        <f>Supply!AF8/Supply!AF5</f>
        <v>0.30468971008736068</v>
      </c>
      <c r="AG36" s="29">
        <f>Supply!AG8/Supply!AG5</f>
        <v>0.29918554991585072</v>
      </c>
      <c r="AH36" s="29">
        <f>Supply!AH8/Supply!AH5</f>
        <v>0.29379406212251957</v>
      </c>
    </row>
    <row r="37" spans="1:34" x14ac:dyDescent="0.2">
      <c r="A37" s="13" t="s">
        <v>291</v>
      </c>
      <c r="B37" s="14" t="s">
        <v>290</v>
      </c>
      <c r="C37" s="15"/>
      <c r="D37" s="29">
        <f>Supply!D9/Supply!D5</f>
        <v>0.14803444738398275</v>
      </c>
      <c r="E37" s="29">
        <f>Supply!E9/Supply!E5</f>
        <v>0.14423294673135331</v>
      </c>
      <c r="F37" s="29">
        <f>Supply!F9/Supply!F5</f>
        <v>0.14054758463727576</v>
      </c>
      <c r="G37" s="29">
        <f>Supply!G9/Supply!G5</f>
        <v>0.13697387457292914</v>
      </c>
      <c r="H37" s="29">
        <f>Supply!H9/Supply!H5</f>
        <v>0.13350754732284387</v>
      </c>
      <c r="I37" s="29">
        <f>Supply!I9/Supply!I5</f>
        <v>0.1301445381642688</v>
      </c>
      <c r="J37" s="29">
        <f>Supply!J9/Supply!J5</f>
        <v>0.12688097494144307</v>
      </c>
      <c r="K37" s="29">
        <f>Supply!K9/Supply!K5</f>
        <v>0.12266377195157195</v>
      </c>
      <c r="L37" s="29">
        <f>Supply!L9/Supply!L5</f>
        <v>0.11861809268510522</v>
      </c>
      <c r="M37" s="29">
        <f>Supply!M9/Supply!M5</f>
        <v>0.11473503654613766</v>
      </c>
      <c r="N37" s="29">
        <f>Supply!N9/Supply!N5</f>
        <v>0.11100628672387941</v>
      </c>
      <c r="O37" s="29">
        <f>Supply!O9/Supply!O5</f>
        <v>0.10742406343517683</v>
      </c>
      <c r="P37" s="29">
        <f>Supply!P9/Supply!P5</f>
        <v>0.10398108158541214</v>
      </c>
      <c r="Q37" s="29">
        <f>Supply!Q9/Supply!Q5</f>
        <v>0.10067051236829345</v>
      </c>
      <c r="R37" s="29">
        <f>Supply!R9/Supply!R5</f>
        <v>9.7485948383606302E-2</v>
      </c>
      <c r="S37" s="29">
        <f>Supply!S9/Supply!S5</f>
        <v>9.4421371902632972E-2</v>
      </c>
      <c r="T37" s="29">
        <f>Supply!T9/Supply!T5</f>
        <v>9.1471125954829313E-2</v>
      </c>
      <c r="U37" s="29">
        <f>Supply!U9/Supply!U5</f>
        <v>8.9299736115846309E-2</v>
      </c>
      <c r="V37" s="29">
        <f>Supply!V9/Supply!V5</f>
        <v>8.7186106089633439E-2</v>
      </c>
      <c r="W37" s="29">
        <f>Supply!W9/Supply!W5</f>
        <v>8.5128365952468671E-2</v>
      </c>
      <c r="X37" s="29">
        <f>Supply!X9/Supply!X5</f>
        <v>8.3124720234543356E-2</v>
      </c>
      <c r="Y37" s="29">
        <f>Supply!Y9/Supply!Y5</f>
        <v>8.1173444346067034E-2</v>
      </c>
      <c r="Z37" s="29">
        <f>Supply!Z9/Supply!Z5</f>
        <v>7.9272881206178286E-2</v>
      </c>
      <c r="AA37" s="29">
        <f>Supply!AA9/Supply!AA5</f>
        <v>7.7421438061375053E-2</v>
      </c>
      <c r="AB37" s="29">
        <f>Supply!AB9/Supply!AB5</f>
        <v>7.5617583481164916E-2</v>
      </c>
      <c r="AC37" s="29">
        <f>Supply!AC9/Supply!AC5</f>
        <v>7.3859844519536588E-2</v>
      </c>
      <c r="AD37" s="29">
        <f>Supply!AD9/Supply!AD5</f>
        <v>7.2146804031685677E-2</v>
      </c>
      <c r="AE37" s="29">
        <f>Supply!AE9/Supply!AE5</f>
        <v>7.0477098136188465E-2</v>
      </c>
      <c r="AF37" s="29">
        <f>Supply!AF9/Supply!AF5</f>
        <v>6.884941381351832E-2</v>
      </c>
      <c r="AG37" s="29">
        <f>Supply!AG9/Supply!AG5</f>
        <v>6.7262486632445329E-2</v>
      </c>
      <c r="AH37" s="29">
        <f>Supply!AH9/Supply!AH5</f>
        <v>6.5715098596452304E-2</v>
      </c>
    </row>
    <row r="38" spans="1:34" x14ac:dyDescent="0.2">
      <c r="A38" s="13" t="s">
        <v>292</v>
      </c>
      <c r="B38" s="14" t="s">
        <v>290</v>
      </c>
      <c r="C38" s="15"/>
      <c r="D38" s="29">
        <f>Supply!D29/Supply!D5</f>
        <v>0.25901066608394252</v>
      </c>
      <c r="E38" s="29">
        <f>Supply!E29/Supply!E5</f>
        <v>0.27343171426502366</v>
      </c>
      <c r="F38" s="29">
        <f>Supply!F29/Supply!F5</f>
        <v>0.28741816157731553</v>
      </c>
      <c r="G38" s="29">
        <f>Supply!G29/Supply!G5</f>
        <v>0.30098622923254054</v>
      </c>
      <c r="H38" s="29">
        <f>Supply!H29/Supply!H5</f>
        <v>0.31415136629292645</v>
      </c>
      <c r="I38" s="29">
        <f>Supply!I29/Supply!I5</f>
        <v>0.32692829529995016</v>
      </c>
      <c r="J38" s="29">
        <f>Supply!J29/Supply!J5</f>
        <v>0.33933105472245034</v>
      </c>
      <c r="K38" s="29">
        <f>Supply!K29/Supply!K5</f>
        <v>0.35687500657486515</v>
      </c>
      <c r="L38" s="29">
        <f>Supply!L29/Supply!L5</f>
        <v>0.37372944183435758</v>
      </c>
      <c r="M38" s="29">
        <f>Supply!M29/Supply!M5</f>
        <v>0.38992951347264393</v>
      </c>
      <c r="N38" s="29">
        <f>Supply!N29/Supply!N5</f>
        <v>0.40550808533747434</v>
      </c>
      <c r="O38" s="29">
        <f>Supply!O29/Supply!O5</f>
        <v>0.42049591534490161</v>
      </c>
      <c r="P38" s="29">
        <f>Supply!P29/Supply!P5</f>
        <v>0.43492182136173679</v>
      </c>
      <c r="Q38" s="29">
        <f>Supply!Q29/Supply!Q5</f>
        <v>0.44881283165663483</v>
      </c>
      <c r="R38" s="29">
        <f>Supply!R29/Supply!R5</f>
        <v>0.46219432156883722</v>
      </c>
      <c r="S38" s="29">
        <f>Supply!S29/Supply!S5</f>
        <v>0.47509013784523013</v>
      </c>
      <c r="T38" s="29">
        <f>Supply!T29/Supply!T5</f>
        <v>0.487522711924462</v>
      </c>
      <c r="U38" s="29">
        <f>Supply!U29/Supply!U5</f>
        <v>0.4957305770997274</v>
      </c>
      <c r="V38" s="29">
        <f>Supply!V29/Supply!V5</f>
        <v>0.50371875057172277</v>
      </c>
      <c r="W38" s="29">
        <f>Supply!W29/Supply!W5</f>
        <v>0.51149406787269025</v>
      </c>
      <c r="X38" s="29">
        <f>Supply!X29/Supply!X5</f>
        <v>0.51906310408109135</v>
      </c>
      <c r="Y38" s="29">
        <f>Supply!Y29/Supply!Y5</f>
        <v>0.5264321864183874</v>
      </c>
      <c r="Z38" s="29">
        <f>Supply!Z29/Supply!Z5</f>
        <v>0.53360740613314084</v>
      </c>
      <c r="AA38" s="29">
        <f>Supply!AA29/Supply!AA5</f>
        <v>0.54059462971901306</v>
      </c>
      <c r="AB38" s="29">
        <f>Supply!AB29/Supply!AB5</f>
        <v>0.54739950950975413</v>
      </c>
      <c r="AC38" s="29">
        <f>Supply!AC29/Supply!AC5</f>
        <v>0.55402749369112603</v>
      </c>
      <c r="AD38" s="29">
        <f>Supply!AD29/Supply!AD5</f>
        <v>0.56048383576676786</v>
      </c>
      <c r="AE38" s="29">
        <f>Supply!AE29/Supply!AE5</f>
        <v>0.56677360351234651</v>
      </c>
      <c r="AF38" s="29">
        <f>Supply!AF29/Supply!AF5</f>
        <v>0.57290168744987235</v>
      </c>
      <c r="AG38" s="29">
        <f>Supply!AG29/Supply!AG5</f>
        <v>0.57887280887178127</v>
      </c>
      <c r="AH38" s="29">
        <f>Supply!AH29/Supply!AH5</f>
        <v>0.58469152744231245</v>
      </c>
    </row>
    <row r="40" spans="1:34" x14ac:dyDescent="0.2">
      <c r="A40" s="13" t="s">
        <v>293</v>
      </c>
      <c r="B40" s="14" t="s">
        <v>145</v>
      </c>
      <c r="C40" s="15" t="s">
        <v>294</v>
      </c>
      <c r="D40" s="30">
        <f>Supply!D35-Supply!D5</f>
        <v>0</v>
      </c>
      <c r="E40" s="30">
        <f>Supply!E35-Supply!E5</f>
        <v>0</v>
      </c>
      <c r="F40" s="30">
        <f>Supply!F35-Supply!F5</f>
        <v>0</v>
      </c>
      <c r="G40" s="30">
        <f>Supply!G35-Supply!G5</f>
        <v>0</v>
      </c>
      <c r="H40" s="30">
        <f>Supply!H35-Supply!H5</f>
        <v>0</v>
      </c>
      <c r="I40" s="30">
        <f>Supply!I35-Supply!I5</f>
        <v>0</v>
      </c>
      <c r="J40" s="30">
        <f>Supply!J35-Supply!J5</f>
        <v>0</v>
      </c>
      <c r="K40" s="30">
        <f>Supply!K35-Supply!K5</f>
        <v>0</v>
      </c>
      <c r="L40" s="30">
        <f>Supply!L35-Supply!L5</f>
        <v>0</v>
      </c>
      <c r="M40" s="30">
        <f>Supply!M35-Supply!M5</f>
        <v>0</v>
      </c>
      <c r="N40" s="30">
        <f>Supply!N35-Supply!N5</f>
        <v>0</v>
      </c>
      <c r="O40" s="30">
        <f>Supply!O35-Supply!O5</f>
        <v>0</v>
      </c>
      <c r="P40" s="30">
        <f>Supply!P35-Supply!P5</f>
        <v>0</v>
      </c>
      <c r="Q40" s="30">
        <f>Supply!Q35-Supply!Q5</f>
        <v>0</v>
      </c>
      <c r="R40" s="30">
        <f>Supply!R35-Supply!R5</f>
        <v>0</v>
      </c>
      <c r="S40" s="30">
        <f>Supply!S35-Supply!S5</f>
        <v>0</v>
      </c>
      <c r="T40" s="30">
        <f>Supply!T35-Supply!T5</f>
        <v>0</v>
      </c>
      <c r="U40" s="30">
        <f>Supply!U35-Supply!U5</f>
        <v>0</v>
      </c>
      <c r="V40" s="30">
        <f>Supply!V35-Supply!V5</f>
        <v>0</v>
      </c>
      <c r="W40" s="30">
        <f>Supply!W35-Supply!W5</f>
        <v>0</v>
      </c>
      <c r="X40" s="30">
        <f>Supply!X35-Supply!X5</f>
        <v>0</v>
      </c>
      <c r="Y40" s="30">
        <f>Supply!Y35-Supply!Y5</f>
        <v>0</v>
      </c>
      <c r="Z40" s="30">
        <f>Supply!Z35-Supply!Z5</f>
        <v>0</v>
      </c>
      <c r="AA40" s="30">
        <f>Supply!AA35-Supply!AA5</f>
        <v>0</v>
      </c>
      <c r="AB40" s="30">
        <f>Supply!AB35-Supply!AB5</f>
        <v>0</v>
      </c>
      <c r="AC40" s="30">
        <f>Supply!AC35-Supply!AC5</f>
        <v>0</v>
      </c>
      <c r="AD40" s="30">
        <f>Supply!AD35-Supply!AD5</f>
        <v>0</v>
      </c>
      <c r="AE40" s="30">
        <f>Supply!AE35-Supply!AE5</f>
        <v>0</v>
      </c>
      <c r="AF40" s="30">
        <f>Supply!AF35-Supply!AF5</f>
        <v>0</v>
      </c>
      <c r="AG40" s="30">
        <f>Supply!AG35-Supply!AG5</f>
        <v>0</v>
      </c>
      <c r="AH40" s="30">
        <f>Supply!AH35-Supply!AH5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25"/>
  <sheetViews>
    <sheetView tabSelected="1" zoomScale="136"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28" sqref="D28"/>
    </sheetView>
  </sheetViews>
  <sheetFormatPr baseColWidth="10" defaultColWidth="8.6640625" defaultRowHeight="15" x14ac:dyDescent="0.2"/>
  <cols>
    <col min="1" max="1" width="36" customWidth="1"/>
    <col min="2" max="2" width="14" customWidth="1"/>
    <col min="3" max="3" width="31.83203125" bestFit="1" customWidth="1"/>
    <col min="4" max="34" width="10" customWidth="1"/>
  </cols>
  <sheetData>
    <row r="1" spans="1:34" ht="17.25" customHeight="1" x14ac:dyDescent="0.2">
      <c r="A1" s="1" t="s">
        <v>295</v>
      </c>
    </row>
    <row r="3" spans="1:34" ht="15" customHeight="1" x14ac:dyDescent="0.2">
      <c r="A3" s="11" t="s">
        <v>1</v>
      </c>
      <c r="B3" s="11" t="s">
        <v>115</v>
      </c>
      <c r="C3" s="11" t="s">
        <v>5</v>
      </c>
      <c r="D3" s="12">
        <v>2020</v>
      </c>
      <c r="E3" s="12">
        <v>2021</v>
      </c>
      <c r="F3" s="12">
        <v>2022</v>
      </c>
      <c r="G3" s="12">
        <v>2023</v>
      </c>
      <c r="H3" s="12">
        <v>2024</v>
      </c>
      <c r="I3" s="12">
        <v>2025</v>
      </c>
      <c r="J3" s="12">
        <v>2026</v>
      </c>
      <c r="K3" s="12">
        <v>2027</v>
      </c>
      <c r="L3" s="12">
        <v>2028</v>
      </c>
      <c r="M3" s="12">
        <v>2029</v>
      </c>
      <c r="N3" s="12">
        <v>2030</v>
      </c>
      <c r="O3" s="12">
        <v>2031</v>
      </c>
      <c r="P3" s="12">
        <v>2032</v>
      </c>
      <c r="Q3" s="12">
        <v>2033</v>
      </c>
      <c r="R3" s="12">
        <v>2034</v>
      </c>
      <c r="S3" s="12">
        <v>2035</v>
      </c>
      <c r="T3" s="12">
        <v>2036</v>
      </c>
      <c r="U3" s="12">
        <v>2037</v>
      </c>
      <c r="V3" s="12">
        <v>2038</v>
      </c>
      <c r="W3" s="12">
        <v>2039</v>
      </c>
      <c r="X3" s="12">
        <v>2040</v>
      </c>
      <c r="Y3" s="12">
        <v>2041</v>
      </c>
      <c r="Z3" s="12">
        <v>2042</v>
      </c>
      <c r="AA3" s="12">
        <v>2043</v>
      </c>
      <c r="AB3" s="12">
        <v>2044</v>
      </c>
      <c r="AC3" s="12">
        <v>2045</v>
      </c>
      <c r="AD3" s="12">
        <v>2046</v>
      </c>
      <c r="AE3" s="12">
        <v>2047</v>
      </c>
      <c r="AF3" s="12">
        <v>2048</v>
      </c>
      <c r="AG3" s="12">
        <v>2049</v>
      </c>
      <c r="AH3" s="12">
        <v>2050</v>
      </c>
    </row>
    <row r="5" spans="1:34" ht="15" customHeight="1" x14ac:dyDescent="0.2">
      <c r="A5" s="13" t="s">
        <v>296</v>
      </c>
      <c r="B5" s="14" t="s">
        <v>155</v>
      </c>
      <c r="C5" s="15" t="s">
        <v>297</v>
      </c>
      <c r="D5" s="31">
        <f>Inputs!$B$26*(1+Inputs!$B$27)^(D$3-2020)</f>
        <v>0.7</v>
      </c>
      <c r="E5" s="31">
        <f>Inputs!$B$26*(1+Inputs!$B$27)^(E$3-2020)</f>
        <v>0.71049999999999991</v>
      </c>
      <c r="F5" s="31">
        <f>Inputs!$B$26*(1+Inputs!$B$27)^(F$3-2020)</f>
        <v>0.72115749999999978</v>
      </c>
      <c r="G5" s="31">
        <f>Inputs!$B$26*(1+Inputs!$B$27)^(G$3-2020)</f>
        <v>0.73197486249999966</v>
      </c>
      <c r="H5" s="31">
        <f>Inputs!$B$26*(1+Inputs!$B$27)^(H$3-2020)</f>
        <v>0.74295448543749953</v>
      </c>
      <c r="I5" s="31">
        <f>Inputs!$B$26*(1+Inputs!$B$27)^(I$3-2020)</f>
        <v>0.75409880271906193</v>
      </c>
      <c r="J5" s="31">
        <f>Inputs!$B$26*(1+Inputs!$B$27)^(J$3-2020)</f>
        <v>0.76541028475984774</v>
      </c>
      <c r="K5" s="31">
        <f>Inputs!$B$26*(1+Inputs!$B$27)^(K$3-2020)</f>
        <v>0.77689143903124536</v>
      </c>
      <c r="L5" s="31">
        <f>Inputs!$B$26*(1+Inputs!$B$27)^(L$3-2020)</f>
        <v>0.788544810616714</v>
      </c>
      <c r="M5" s="31">
        <f>Inputs!$B$26*(1+Inputs!$B$27)^(M$3-2020)</f>
        <v>0.80037298277596458</v>
      </c>
      <c r="N5" s="31">
        <f>Inputs!$B$26*(1+Inputs!$B$27)^(N$3-2020)</f>
        <v>0.81237857751760389</v>
      </c>
      <c r="O5" s="31">
        <f>Inputs!$B$26*(1+Inputs!$B$27)^(O$3-2020)</f>
        <v>0.82456425618036788</v>
      </c>
      <c r="P5" s="31">
        <f>Inputs!$B$26*(1+Inputs!$B$27)^(P$3-2020)</f>
        <v>0.83693272002307328</v>
      </c>
      <c r="Q5" s="31">
        <f>Inputs!$B$26*(1+Inputs!$B$27)^(Q$3-2020)</f>
        <v>0.84948671082341931</v>
      </c>
      <c r="R5" s="31">
        <f>Inputs!$B$26*(1+Inputs!$B$27)^(R$3-2020)</f>
        <v>0.86222901148577036</v>
      </c>
      <c r="S5" s="31">
        <f>Inputs!$B$26*(1+Inputs!$B$27)^(S$3-2020)</f>
        <v>0.87516244665805676</v>
      </c>
      <c r="T5" s="31">
        <f>Inputs!$B$26*(1+Inputs!$B$27)^(T$3-2020)</f>
        <v>0.88828988335792747</v>
      </c>
      <c r="U5" s="31">
        <f>Inputs!$B$26*(1+Inputs!$B$27)^(U$3-2020)</f>
        <v>0.90161423160829635</v>
      </c>
      <c r="V5" s="31">
        <f>Inputs!$B$26*(1+Inputs!$B$27)^(V$3-2020)</f>
        <v>0.9151384450824207</v>
      </c>
      <c r="W5" s="31">
        <f>Inputs!$B$26*(1+Inputs!$B$27)^(W$3-2020)</f>
        <v>0.92886552175865689</v>
      </c>
      <c r="X5" s="31">
        <f>Inputs!$B$26*(1+Inputs!$B$27)^(X$3-2020)</f>
        <v>0.94279850458503645</v>
      </c>
      <c r="Y5" s="31">
        <f>Inputs!$B$26*(1+Inputs!$B$27)^(Y$3-2020)</f>
        <v>0.95694048215381189</v>
      </c>
      <c r="Z5" s="31">
        <f>Inputs!$B$26*(1+Inputs!$B$27)^(Z$3-2020)</f>
        <v>0.9712945893861189</v>
      </c>
      <c r="AA5" s="31">
        <f>Inputs!$B$26*(1+Inputs!$B$27)^(AA$3-2020)</f>
        <v>0.98586400822691067</v>
      </c>
      <c r="AB5" s="31">
        <f>Inputs!$B$26*(1+Inputs!$B$27)^(AB$3-2020)</f>
        <v>1.0006519683503141</v>
      </c>
      <c r="AC5" s="31">
        <f>Inputs!$B$26*(1+Inputs!$B$27)^(AC$3-2020)</f>
        <v>1.0156617478755687</v>
      </c>
      <c r="AD5" s="31">
        <f>Inputs!$B$26*(1+Inputs!$B$27)^(AD$3-2020)</f>
        <v>1.0308966740937022</v>
      </c>
      <c r="AE5" s="31">
        <f>Inputs!$B$26*(1+Inputs!$B$27)^(AE$3-2020)</f>
        <v>1.0463601242051077</v>
      </c>
      <c r="AF5" s="31">
        <f>Inputs!$B$26*(1+Inputs!$B$27)^(AF$3-2020)</f>
        <v>1.0620555260681839</v>
      </c>
      <c r="AG5" s="31">
        <f>Inputs!$B$26*(1+Inputs!$B$27)^(AG$3-2020)</f>
        <v>1.0779863589592067</v>
      </c>
      <c r="AH5" s="31">
        <f>Inputs!$B$26*(1+Inputs!$B$27)^(AH$3-2020)</f>
        <v>1.0941561543435945</v>
      </c>
    </row>
    <row r="6" spans="1:34" ht="15" customHeight="1" x14ac:dyDescent="0.2">
      <c r="A6" s="13" t="s">
        <v>298</v>
      </c>
      <c r="B6" s="14" t="s">
        <v>155</v>
      </c>
      <c r="C6" s="15" t="s">
        <v>299</v>
      </c>
      <c r="D6" s="31">
        <f>Inputs!$B$28*(1+Inputs!$B$29)^(D$3-2020)</f>
        <v>1.8</v>
      </c>
      <c r="E6" s="31">
        <f>Inputs!$B$28*(1+Inputs!$B$29)^(E$3-2020)</f>
        <v>1.8180000000000001</v>
      </c>
      <c r="F6" s="31">
        <f>Inputs!$B$28*(1+Inputs!$B$29)^(F$3-2020)</f>
        <v>1.8361800000000001</v>
      </c>
      <c r="G6" s="31">
        <f>Inputs!$B$28*(1+Inputs!$B$29)^(G$3-2020)</f>
        <v>1.8545417999999998</v>
      </c>
      <c r="H6" s="31">
        <f>Inputs!$B$28*(1+Inputs!$B$29)^(H$3-2020)</f>
        <v>1.873087218</v>
      </c>
      <c r="I6" s="31">
        <f>Inputs!$B$28*(1+Inputs!$B$29)^(I$3-2020)</f>
        <v>1.8918180901799999</v>
      </c>
      <c r="J6" s="31">
        <f>Inputs!$B$28*(1+Inputs!$B$29)^(J$3-2020)</f>
        <v>1.9107362710818003</v>
      </c>
      <c r="K6" s="31">
        <f>Inputs!$B$28*(1+Inputs!$B$29)^(K$3-2020)</f>
        <v>1.9298436337926177</v>
      </c>
      <c r="L6" s="31">
        <f>Inputs!$B$28*(1+Inputs!$B$29)^(L$3-2020)</f>
        <v>1.9491420701305444</v>
      </c>
      <c r="M6" s="31">
        <f>Inputs!$B$28*(1+Inputs!$B$29)^(M$3-2020)</f>
        <v>1.9686334908318501</v>
      </c>
      <c r="N6" s="31">
        <f>Inputs!$B$28*(1+Inputs!$B$29)^(N$3-2020)</f>
        <v>1.9883198257401686</v>
      </c>
      <c r="O6" s="31">
        <f>Inputs!$B$28*(1+Inputs!$B$29)^(O$3-2020)</f>
        <v>2.0082030239975697</v>
      </c>
      <c r="P6" s="31">
        <f>Inputs!$B$28*(1+Inputs!$B$29)^(P$3-2020)</f>
        <v>2.0282850542375455</v>
      </c>
      <c r="Q6" s="31">
        <f>Inputs!$B$28*(1+Inputs!$B$29)^(Q$3-2020)</f>
        <v>2.048567904779921</v>
      </c>
      <c r="R6" s="31">
        <f>Inputs!$B$28*(1+Inputs!$B$29)^(R$3-2020)</f>
        <v>2.0690535838277206</v>
      </c>
      <c r="S6" s="31">
        <f>Inputs!$B$28*(1+Inputs!$B$29)^(S$3-2020)</f>
        <v>2.0897441196659972</v>
      </c>
      <c r="T6" s="31">
        <f>Inputs!$B$28*(1+Inputs!$B$29)^(T$3-2020)</f>
        <v>2.1106415608626579</v>
      </c>
      <c r="U6" s="31">
        <f>Inputs!$B$28*(1+Inputs!$B$29)^(U$3-2020)</f>
        <v>2.1317479764712846</v>
      </c>
      <c r="V6" s="31">
        <f>Inputs!$B$28*(1+Inputs!$B$29)^(V$3-2020)</f>
        <v>2.1530654562359977</v>
      </c>
      <c r="W6" s="31">
        <f>Inputs!$B$28*(1+Inputs!$B$29)^(W$3-2020)</f>
        <v>2.1745961107983569</v>
      </c>
      <c r="X6" s="31">
        <f>Inputs!$B$28*(1+Inputs!$B$29)^(X$3-2020)</f>
        <v>2.1963420719063409</v>
      </c>
      <c r="Y6" s="31">
        <f>Inputs!$B$28*(1+Inputs!$B$29)^(Y$3-2020)</f>
        <v>2.218305492625404</v>
      </c>
      <c r="Z6" s="31">
        <f>Inputs!$B$28*(1+Inputs!$B$29)^(Z$3-2020)</f>
        <v>2.2404885475516587</v>
      </c>
      <c r="AA6" s="31">
        <f>Inputs!$B$28*(1+Inputs!$B$29)^(AA$3-2020)</f>
        <v>2.2628934330271746</v>
      </c>
      <c r="AB6" s="31">
        <f>Inputs!$B$28*(1+Inputs!$B$29)^(AB$3-2020)</f>
        <v>2.285522367357447</v>
      </c>
      <c r="AC6" s="31">
        <f>Inputs!$B$28*(1+Inputs!$B$29)^(AC$3-2020)</f>
        <v>2.3083775910310216</v>
      </c>
      <c r="AD6" s="31">
        <f>Inputs!$B$28*(1+Inputs!$B$29)^(AD$3-2020)</f>
        <v>2.331461366941332</v>
      </c>
      <c r="AE6" s="31">
        <f>Inputs!$B$28*(1+Inputs!$B$29)^(AE$3-2020)</f>
        <v>2.3547759806107442</v>
      </c>
      <c r="AF6" s="31">
        <f>Inputs!$B$28*(1+Inputs!$B$29)^(AF$3-2020)</f>
        <v>2.3783237404168522</v>
      </c>
      <c r="AG6" s="31">
        <f>Inputs!$B$28*(1+Inputs!$B$29)^(AG$3-2020)</f>
        <v>2.4021069778210209</v>
      </c>
      <c r="AH6" s="31">
        <f>Inputs!$B$28*(1+Inputs!$B$29)^(AH$3-2020)</f>
        <v>2.4261280475992315</v>
      </c>
    </row>
    <row r="7" spans="1:34" ht="15" customHeight="1" x14ac:dyDescent="0.2">
      <c r="A7" s="13" t="s">
        <v>300</v>
      </c>
      <c r="B7" s="14" t="s">
        <v>155</v>
      </c>
      <c r="C7" s="15" t="s">
        <v>301</v>
      </c>
      <c r="D7" s="31">
        <f>Inputs!$B$30+(Inputs!$B$31-Inputs!$B$30)*(D$3-2020)/30</f>
        <v>3.5</v>
      </c>
      <c r="E7" s="31">
        <f>Inputs!$B$30+(Inputs!$B$31-Inputs!$B$30)*(E$3-2020)/30</f>
        <v>3.4833333333333334</v>
      </c>
      <c r="F7" s="31">
        <f>Inputs!$B$30+(Inputs!$B$31-Inputs!$B$30)*(F$3-2020)/30</f>
        <v>3.4666666666666668</v>
      </c>
      <c r="G7" s="31">
        <f>Inputs!$B$30+(Inputs!$B$31-Inputs!$B$30)*(G$3-2020)/30</f>
        <v>3.45</v>
      </c>
      <c r="H7" s="31">
        <f>Inputs!$B$30+(Inputs!$B$31-Inputs!$B$30)*(H$3-2020)/30</f>
        <v>3.4333333333333331</v>
      </c>
      <c r="I7" s="31">
        <f>Inputs!$B$30+(Inputs!$B$31-Inputs!$B$30)*(I$3-2020)/30</f>
        <v>3.4166666666666665</v>
      </c>
      <c r="J7" s="31">
        <f>Inputs!$B$30+(Inputs!$B$31-Inputs!$B$30)*(J$3-2020)/30</f>
        <v>3.4</v>
      </c>
      <c r="K7" s="31">
        <f>Inputs!$B$30+(Inputs!$B$31-Inputs!$B$30)*(K$3-2020)/30</f>
        <v>3.3833333333333333</v>
      </c>
      <c r="L7" s="31">
        <f>Inputs!$B$30+(Inputs!$B$31-Inputs!$B$30)*(L$3-2020)/30</f>
        <v>3.3666666666666667</v>
      </c>
      <c r="M7" s="31">
        <f>Inputs!$B$30+(Inputs!$B$31-Inputs!$B$30)*(M$3-2020)/30</f>
        <v>3.35</v>
      </c>
      <c r="N7" s="31">
        <f>Inputs!$B$30+(Inputs!$B$31-Inputs!$B$30)*(N$3-2020)/30</f>
        <v>3.3333333333333335</v>
      </c>
      <c r="O7" s="31">
        <f>Inputs!$B$30+(Inputs!$B$31-Inputs!$B$30)*(O$3-2020)/30</f>
        <v>3.3166666666666669</v>
      </c>
      <c r="P7" s="31">
        <f>Inputs!$B$30+(Inputs!$B$31-Inputs!$B$30)*(P$3-2020)/30</f>
        <v>3.3</v>
      </c>
      <c r="Q7" s="31">
        <f>Inputs!$B$30+(Inputs!$B$31-Inputs!$B$30)*(Q$3-2020)/30</f>
        <v>3.2833333333333332</v>
      </c>
      <c r="R7" s="31">
        <f>Inputs!$B$30+(Inputs!$B$31-Inputs!$B$30)*(R$3-2020)/30</f>
        <v>3.2666666666666666</v>
      </c>
      <c r="S7" s="31">
        <f>Inputs!$B$30+(Inputs!$B$31-Inputs!$B$30)*(S$3-2020)/30</f>
        <v>3.25</v>
      </c>
      <c r="T7" s="31">
        <f>Inputs!$B$30+(Inputs!$B$31-Inputs!$B$30)*(T$3-2020)/30</f>
        <v>3.2333333333333334</v>
      </c>
      <c r="U7" s="31">
        <f>Inputs!$B$30+(Inputs!$B$31-Inputs!$B$30)*(U$3-2020)/30</f>
        <v>3.2166666666666668</v>
      </c>
      <c r="V7" s="31">
        <f>Inputs!$B$30+(Inputs!$B$31-Inputs!$B$30)*(V$3-2020)/30</f>
        <v>3.2</v>
      </c>
      <c r="W7" s="31">
        <f>Inputs!$B$30+(Inputs!$B$31-Inputs!$B$30)*(W$3-2020)/30</f>
        <v>3.1833333333333336</v>
      </c>
      <c r="X7" s="31">
        <f>Inputs!$B$30+(Inputs!$B$31-Inputs!$B$30)*(X$3-2020)/30</f>
        <v>3.1666666666666665</v>
      </c>
      <c r="Y7" s="31">
        <f>Inputs!$B$30+(Inputs!$B$31-Inputs!$B$30)*(Y$3-2020)/30</f>
        <v>3.15</v>
      </c>
      <c r="Z7" s="31">
        <f>Inputs!$B$30+(Inputs!$B$31-Inputs!$B$30)*(Z$3-2020)/30</f>
        <v>3.1333333333333333</v>
      </c>
      <c r="AA7" s="31">
        <f>Inputs!$B$30+(Inputs!$B$31-Inputs!$B$30)*(AA$3-2020)/30</f>
        <v>3.1166666666666667</v>
      </c>
      <c r="AB7" s="31">
        <f>Inputs!$B$30+(Inputs!$B$31-Inputs!$B$30)*(AB$3-2020)/30</f>
        <v>3.1</v>
      </c>
      <c r="AC7" s="31">
        <f>Inputs!$B$30+(Inputs!$B$31-Inputs!$B$30)*(AC$3-2020)/30</f>
        <v>3.0833333333333335</v>
      </c>
      <c r="AD7" s="31">
        <f>Inputs!$B$30+(Inputs!$B$31-Inputs!$B$30)*(AD$3-2020)/30</f>
        <v>3.0666666666666664</v>
      </c>
      <c r="AE7" s="31">
        <f>Inputs!$B$30+(Inputs!$B$31-Inputs!$B$30)*(AE$3-2020)/30</f>
        <v>3.05</v>
      </c>
      <c r="AF7" s="31">
        <f>Inputs!$B$30+(Inputs!$B$31-Inputs!$B$30)*(AF$3-2020)/30</f>
        <v>3.0333333333333332</v>
      </c>
      <c r="AG7" s="31">
        <f>Inputs!$B$30+(Inputs!$B$31-Inputs!$B$30)*(AG$3-2020)/30</f>
        <v>3.0166666666666666</v>
      </c>
      <c r="AH7" s="31">
        <f>Inputs!$B$30+(Inputs!$B$31-Inputs!$B$30)*(AH$3-2020)/30</f>
        <v>3</v>
      </c>
    </row>
    <row r="9" spans="1:34" ht="15" customHeight="1" x14ac:dyDescent="0.2">
      <c r="A9" s="60" t="s">
        <v>302</v>
      </c>
      <c r="B9" s="61" t="s">
        <v>303</v>
      </c>
      <c r="C9" s="62" t="s">
        <v>304</v>
      </c>
      <c r="D9" s="20">
        <f>D5*Supply!D8</f>
        <v>2450</v>
      </c>
      <c r="E9" s="20">
        <f>E5*Supply!E8</f>
        <v>2449.4487499999996</v>
      </c>
      <c r="F9" s="20">
        <f>F5*Supply!F8</f>
        <v>2448.8976240312491</v>
      </c>
      <c r="G9" s="20">
        <f>G5*Supply!G8</f>
        <v>2448.346622065842</v>
      </c>
      <c r="H9" s="20">
        <f>H5*Supply!H8</f>
        <v>2447.7957440758764</v>
      </c>
      <c r="I9" s="20">
        <f>I5*Supply!I8</f>
        <v>2447.2449900334591</v>
      </c>
      <c r="J9" s="20">
        <f>J5*Supply!J8</f>
        <v>2446.6943599107012</v>
      </c>
      <c r="K9" s="20">
        <f>K5*Supply!K8</f>
        <v>2446.1438536797214</v>
      </c>
      <c r="L9" s="20">
        <f>L5*Supply!L8</f>
        <v>2445.593471312643</v>
      </c>
      <c r="M9" s="20">
        <f>M5*Supply!M8</f>
        <v>2445.043212781597</v>
      </c>
      <c r="N9" s="20">
        <f>N5*Supply!N8</f>
        <v>2444.493078058721</v>
      </c>
      <c r="O9" s="20">
        <f>O5*Supply!O8</f>
        <v>2443.9430671161576</v>
      </c>
      <c r="P9" s="20">
        <f>P5*Supply!P8</f>
        <v>2443.3931799260563</v>
      </c>
      <c r="Q9" s="20">
        <f>Q5*Supply!Q8</f>
        <v>2442.8434164605728</v>
      </c>
      <c r="R9" s="20">
        <f>R5*Supply!R8</f>
        <v>2442.2937766918685</v>
      </c>
      <c r="S9" s="20">
        <f>S5*Supply!S8</f>
        <v>2441.7442605921119</v>
      </c>
      <c r="T9" s="20">
        <f>T5*Supply!T8</f>
        <v>2441.1948681334784</v>
      </c>
      <c r="U9" s="20">
        <f>U5*Supply!U8</f>
        <v>2440.6455992881483</v>
      </c>
      <c r="V9" s="20">
        <f>V5*Supply!V8</f>
        <v>2440.096454028308</v>
      </c>
      <c r="W9" s="20">
        <f>W5*Supply!W8</f>
        <v>2439.5474323261515</v>
      </c>
      <c r="X9" s="20">
        <f>X5*Supply!X8</f>
        <v>2438.9985341538777</v>
      </c>
      <c r="Y9" s="20">
        <f>Y5*Supply!Y8</f>
        <v>2438.449759483693</v>
      </c>
      <c r="Z9" s="20">
        <f>Z5*Supply!Z8</f>
        <v>2437.9011082878083</v>
      </c>
      <c r="AA9" s="20">
        <f>AA5*Supply!AA8</f>
        <v>2437.3525805384438</v>
      </c>
      <c r="AB9" s="20">
        <f>AB5*Supply!AB8</f>
        <v>2436.8041762078219</v>
      </c>
      <c r="AC9" s="20">
        <f>AC5*Supply!AC8</f>
        <v>2436.2558952681752</v>
      </c>
      <c r="AD9" s="20">
        <f>AD5*Supply!AD8</f>
        <v>2435.7077376917391</v>
      </c>
      <c r="AE9" s="20">
        <f>AE5*Supply!AE8</f>
        <v>2435.1597034507586</v>
      </c>
      <c r="AF9" s="20">
        <f>AF5*Supply!AF8</f>
        <v>2434.6117925174813</v>
      </c>
      <c r="AG9" s="20">
        <f>AG5*Supply!AG8</f>
        <v>2434.0640048641649</v>
      </c>
      <c r="AH9" s="20">
        <f>AH5*Supply!AH8</f>
        <v>2433.5163404630703</v>
      </c>
    </row>
    <row r="10" spans="1:34" ht="15" customHeight="1" x14ac:dyDescent="0.2">
      <c r="A10" s="60" t="s">
        <v>305</v>
      </c>
      <c r="B10" s="61" t="s">
        <v>303</v>
      </c>
      <c r="C10" s="62" t="s">
        <v>306</v>
      </c>
      <c r="D10" s="20">
        <f>D6*Supply!D9</f>
        <v>1641.6000000000001</v>
      </c>
      <c r="E10" s="20">
        <f>E6*Supply!E9</f>
        <v>1624.8556800000001</v>
      </c>
      <c r="F10" s="20">
        <f>F6*Supply!F9</f>
        <v>1608.282152064</v>
      </c>
      <c r="G10" s="20">
        <f>G6*Supply!G9</f>
        <v>1591.8776741129468</v>
      </c>
      <c r="H10" s="20">
        <f>H6*Supply!H9</f>
        <v>1575.640521836995</v>
      </c>
      <c r="I10" s="20">
        <f>I6*Supply!I9</f>
        <v>1559.5689885142574</v>
      </c>
      <c r="J10" s="20">
        <f>J6*Supply!J9</f>
        <v>1543.6613848314123</v>
      </c>
      <c r="K10" s="20">
        <f>K6*Supply!K9</f>
        <v>1527.9160387061313</v>
      </c>
      <c r="L10" s="20">
        <f>L6*Supply!L9</f>
        <v>1512.3312951113292</v>
      </c>
      <c r="M10" s="20">
        <f>M6*Supply!M9</f>
        <v>1496.9055159011939</v>
      </c>
      <c r="N10" s="20">
        <f>N6*Supply!N9</f>
        <v>1481.6370796390015</v>
      </c>
      <c r="O10" s="20">
        <f>O6*Supply!O9</f>
        <v>1466.5243814266832</v>
      </c>
      <c r="P10" s="20">
        <f>P6*Supply!P9</f>
        <v>1451.5658327361309</v>
      </c>
      <c r="Q10" s="20">
        <f>Q6*Supply!Q9</f>
        <v>1436.7598612422223</v>
      </c>
      <c r="R10" s="20">
        <f>R6*Supply!R9</f>
        <v>1422.1049106575522</v>
      </c>
      <c r="S10" s="20">
        <f>S6*Supply!S9</f>
        <v>1407.5994405688446</v>
      </c>
      <c r="T10" s="20">
        <f>T6*Supply!T9</f>
        <v>1393.2419262750429</v>
      </c>
      <c r="U10" s="20">
        <f>U6*Supply!U9</f>
        <v>1379.0308586270376</v>
      </c>
      <c r="V10" s="20">
        <f>V6*Supply!V9</f>
        <v>1364.9647438690417</v>
      </c>
      <c r="W10" s="20">
        <f>W6*Supply!W9</f>
        <v>1351.0421034815772</v>
      </c>
      <c r="X10" s="20">
        <f>X6*Supply!X9</f>
        <v>1337.2614740260653</v>
      </c>
      <c r="Y10" s="20">
        <f>Y6*Supply!Y9</f>
        <v>1323.621406990999</v>
      </c>
      <c r="Z10" s="20">
        <f>Z6*Supply!Z9</f>
        <v>1310.1204686396914</v>
      </c>
      <c r="AA10" s="20">
        <f>AA6*Supply!AA9</f>
        <v>1296.757239859566</v>
      </c>
      <c r="AB10" s="20">
        <f>AB6*Supply!AB9</f>
        <v>1283.5303160129988</v>
      </c>
      <c r="AC10" s="20">
        <f>AC6*Supply!AC9</f>
        <v>1270.4383067896663</v>
      </c>
      <c r="AD10" s="20">
        <f>AD6*Supply!AD9</f>
        <v>1257.4798360604116</v>
      </c>
      <c r="AE10" s="20">
        <f>AE6*Supply!AE9</f>
        <v>1244.6535417325947</v>
      </c>
      <c r="AF10" s="20">
        <f>AF6*Supply!AF9</f>
        <v>1231.9580756069226</v>
      </c>
      <c r="AG10" s="20">
        <f>AG6*Supply!AG9</f>
        <v>1219.3921032357321</v>
      </c>
      <c r="AH10" s="20">
        <f>AH6*Supply!AH9</f>
        <v>1206.9543037827277</v>
      </c>
    </row>
    <row r="11" spans="1:34" ht="15" customHeight="1" x14ac:dyDescent="0.2">
      <c r="A11" s="13" t="s">
        <v>330</v>
      </c>
      <c r="B11" s="14" t="s">
        <v>303</v>
      </c>
      <c r="C11" s="15" t="s">
        <v>306</v>
      </c>
      <c r="D11" s="20">
        <f>D7*Supply!D12</f>
        <v>3570.7912925124997</v>
      </c>
      <c r="E11" s="20">
        <f>E7*Supply!E12</f>
        <v>3580.2118038571821</v>
      </c>
      <c r="F11" s="20">
        <f>F7*Supply!F12</f>
        <v>3589.0280532157562</v>
      </c>
      <c r="G11" s="20">
        <f>G7*Supply!G12</f>
        <v>3597.2479516307521</v>
      </c>
      <c r="H11" s="20">
        <f>H7*Supply!H12</f>
        <v>3604.8793356211445</v>
      </c>
      <c r="I11" s="20">
        <f>I7*Supply!I12</f>
        <v>3611.9299677824174</v>
      </c>
      <c r="J11" s="20">
        <f>J7*Supply!J12</f>
        <v>3618.4075373822111</v>
      </c>
      <c r="K11" s="20">
        <f>K7*Supply!K12</f>
        <v>3624.3196609516203</v>
      </c>
      <c r="L11" s="20">
        <f>L7*Supply!L12</f>
        <v>3629.6738828721359</v>
      </c>
      <c r="M11" s="20">
        <f>M7*Supply!M12</f>
        <v>3634.4776759582801</v>
      </c>
      <c r="N11" s="20">
        <f>N7*Supply!N12</f>
        <v>3638.7384420359667</v>
      </c>
      <c r="O11" s="20">
        <f>O7*Supply!O12</f>
        <v>3642.4635125166064</v>
      </c>
      <c r="P11" s="20">
        <f>P7*Supply!P12</f>
        <v>3645.6601489669893</v>
      </c>
      <c r="Q11" s="20">
        <f>Q7*Supply!Q12</f>
        <v>3648.3355436749785</v>
      </c>
      <c r="R11" s="20">
        <f>R7*Supply!R12</f>
        <v>3650.4968202110358</v>
      </c>
      <c r="S11" s="20">
        <f>S7*Supply!S12</f>
        <v>3652.1510339856195</v>
      </c>
      <c r="T11" s="20">
        <f>T7*Supply!T12</f>
        <v>3653.3051728024675</v>
      </c>
      <c r="U11" s="20">
        <f>U7*Supply!U12</f>
        <v>3653.9661574078127</v>
      </c>
      <c r="V11" s="20">
        <f>V7*Supply!V12</f>
        <v>3654.1408420355328</v>
      </c>
      <c r="W11" s="20">
        <f>W7*Supply!W12</f>
        <v>3653.836014948306</v>
      </c>
      <c r="X11" s="20">
        <f>X7*Supply!X12</f>
        <v>3653.0583989747329</v>
      </c>
      <c r="Y11" s="20">
        <f>Y7*Supply!Y12</f>
        <v>3651.8146520425398</v>
      </c>
      <c r="Z11" s="20">
        <f>Z7*Supply!Z12</f>
        <v>3650.1113677078019</v>
      </c>
      <c r="AA11" s="20">
        <f>AA7*Supply!AA12</f>
        <v>3647.9550756802773</v>
      </c>
      <c r="AB11" s="20">
        <f>AB7*Supply!AB12</f>
        <v>3645.3522423448494</v>
      </c>
      <c r="AC11" s="20">
        <f>AC7*Supply!AC12</f>
        <v>3642.3092712791185</v>
      </c>
      <c r="AD11" s="20">
        <f>AD7*Supply!AD12</f>
        <v>3638.8325037671561</v>
      </c>
      <c r="AE11" s="20">
        <f>AE7*Supply!AE12</f>
        <v>3634.9282193094532</v>
      </c>
      <c r="AF11" s="20">
        <f>AF7*Supply!AF12</f>
        <v>3630.6026361291042</v>
      </c>
      <c r="AG11" s="20">
        <f>AG7*Supply!AG12</f>
        <v>3625.8619116742161</v>
      </c>
      <c r="AH11" s="20">
        <f>AH7*Supply!AH12</f>
        <v>3620.7121431166197</v>
      </c>
    </row>
    <row r="12" spans="1:34" ht="15" customHeight="1" x14ac:dyDescent="0.2">
      <c r="A12" s="13" t="s">
        <v>307</v>
      </c>
      <c r="B12" s="14" t="s">
        <v>303</v>
      </c>
      <c r="C12" s="15" t="s">
        <v>308</v>
      </c>
      <c r="D12" s="22">
        <f>D7*Supply!D14</f>
        <v>17122.589571324999</v>
      </c>
      <c r="E12" s="22">
        <f>E7*Supply!E14</f>
        <v>17116.000527355784</v>
      </c>
      <c r="F12" s="22">
        <f>F7*Supply!F14</f>
        <v>17106.415461208257</v>
      </c>
      <c r="G12" s="22">
        <f>G7*Supply!G14</f>
        <v>17093.898775745289</v>
      </c>
      <c r="H12" s="22">
        <f>H7*Supply!H14</f>
        <v>17078.513906770877</v>
      </c>
      <c r="I12" s="22">
        <f>I7*Supply!I14</f>
        <v>17060.323335408189</v>
      </c>
      <c r="J12" s="22">
        <f>J7*Supply!J14</f>
        <v>17039.388600333219</v>
      </c>
      <c r="K12" s="22">
        <f>K7*Supply!K14</f>
        <v>17015.770309865635</v>
      </c>
      <c r="L12" s="22">
        <f>L7*Supply!L14</f>
        <v>16989.528153918447</v>
      </c>
      <c r="M12" s="22">
        <f>M7*Supply!M14</f>
        <v>16960.720915807982</v>
      </c>
      <c r="N12" s="22">
        <f>N7*Supply!N14</f>
        <v>16929.406483925683</v>
      </c>
      <c r="O12" s="22">
        <f>O7*Supply!O14</f>
        <v>16895.641863273395</v>
      </c>
      <c r="P12" s="22">
        <f>P7*Supply!P14</f>
        <v>16859.483186863406</v>
      </c>
      <c r="Q12" s="22">
        <f>Q7*Supply!Q14</f>
        <v>16820.985726984934</v>
      </c>
      <c r="R12" s="22">
        <f>R7*Supply!R14</f>
        <v>16780.203906338476</v>
      </c>
      <c r="S12" s="22">
        <f>S7*Supply!S14</f>
        <v>16737.191309039357</v>
      </c>
      <c r="T12" s="22">
        <f>T7*Supply!T14</f>
        <v>16692.000691492121</v>
      </c>
      <c r="U12" s="22">
        <f>U7*Supply!U14</f>
        <v>16644.683993137001</v>
      </c>
      <c r="V12" s="22">
        <f>V7*Supply!V14</f>
        <v>16595.292347069997</v>
      </c>
      <c r="W12" s="22">
        <f>W7*Supply!W14</f>
        <v>16543.876090537939</v>
      </c>
      <c r="X12" s="22">
        <f>X7*Supply!X14</f>
        <v>16490.484775309815</v>
      </c>
      <c r="Y12" s="22">
        <f>Y7*Supply!Y14</f>
        <v>16435.167177925916</v>
      </c>
      <c r="Z12" s="22">
        <f>Z7*Supply!Z14</f>
        <v>16377.971309825931</v>
      </c>
      <c r="AA12" s="22">
        <f>AA7*Supply!AA14</f>
        <v>16318.944427357555</v>
      </c>
      <c r="AB12" s="22">
        <f>AB7*Supply!AB14</f>
        <v>16258.133041666701</v>
      </c>
      <c r="AC12" s="22">
        <f>AC7*Supply!AC14</f>
        <v>16195.582928470825</v>
      </c>
      <c r="AD12" s="22">
        <f>AD7*Supply!AD14</f>
        <v>16131.33913771657</v>
      </c>
      <c r="AE12" s="22">
        <f>AE7*Supply!AE14</f>
        <v>16065.446003122936</v>
      </c>
      <c r="AF12" s="22">
        <f>AF7*Supply!AF14</f>
        <v>15997.947151611452</v>
      </c>
      <c r="AG12" s="22">
        <f>AG7*Supply!AG14</f>
        <v>15928.885512624334</v>
      </c>
      <c r="AH12" s="22">
        <f>AH7*Supply!AH14</f>
        <v>15858.303327332134</v>
      </c>
    </row>
    <row r="13" spans="1:34" ht="15" customHeight="1" x14ac:dyDescent="0.2">
      <c r="A13" t="s">
        <v>309</v>
      </c>
      <c r="B13" t="s">
        <v>155</v>
      </c>
      <c r="C13" t="s">
        <v>301</v>
      </c>
      <c r="D13">
        <f>Inputs!B45+(Inputs!B46-Inputs!B45)*(D3-2020)/30</f>
        <v>0.8</v>
      </c>
      <c r="E13">
        <f>Inputs!B45+(Inputs!B46-Inputs!B45)*(E3-2020)/30</f>
        <v>0.79500000000000004</v>
      </c>
      <c r="F13">
        <f>Inputs!B45+(Inputs!B46-Inputs!B45)*(F3-2020)/30</f>
        <v>0.79</v>
      </c>
      <c r="G13">
        <f>Inputs!B45+(Inputs!B46-Inputs!B45)*(G3-2020)/30</f>
        <v>0.78500000000000003</v>
      </c>
      <c r="H13">
        <f>Inputs!B45+(Inputs!B46-Inputs!B45)*(H3-2020)/30</f>
        <v>0.78</v>
      </c>
      <c r="I13">
        <f>Inputs!B45+(Inputs!B46-Inputs!B45)*(I3-2020)/30</f>
        <v>0.77500000000000002</v>
      </c>
      <c r="J13">
        <f>Inputs!B45+(Inputs!B46-Inputs!B45)*(J3-2020)/30</f>
        <v>0.77</v>
      </c>
      <c r="K13">
        <f>Inputs!B45+(Inputs!B46-Inputs!B45)*(K3-2020)/30</f>
        <v>0.76500000000000001</v>
      </c>
      <c r="L13">
        <f>Inputs!B45+(Inputs!B46-Inputs!B45)*(L3-2020)/30</f>
        <v>0.76</v>
      </c>
      <c r="M13">
        <f>Inputs!B45+(Inputs!B46-Inputs!B45)*(M3-2020)/30</f>
        <v>0.755</v>
      </c>
      <c r="N13">
        <f>Inputs!B45+(Inputs!B46-Inputs!B45)*(N3-2020)/30</f>
        <v>0.75</v>
      </c>
      <c r="O13">
        <f>Inputs!B45+(Inputs!B46-Inputs!B45)*(O3-2020)/30</f>
        <v>0.745</v>
      </c>
      <c r="P13">
        <f>Inputs!B45+(Inputs!B46-Inputs!B45)*(P3-2020)/30</f>
        <v>0.74</v>
      </c>
      <c r="Q13">
        <f>Inputs!B45+(Inputs!B46-Inputs!B45)*(Q3-2020)/30</f>
        <v>0.7350000000000001</v>
      </c>
      <c r="R13">
        <f>Inputs!B45+(Inputs!B46-Inputs!B45)*(R3-2020)/30</f>
        <v>0.73</v>
      </c>
      <c r="S13">
        <f>Inputs!B45+(Inputs!B46-Inputs!B45)*(S3-2020)/30</f>
        <v>0.72500000000000009</v>
      </c>
      <c r="T13">
        <f>Inputs!B45+(Inputs!B46-Inputs!B45)*(T3-2020)/30</f>
        <v>0.72</v>
      </c>
      <c r="U13">
        <f>Inputs!B45+(Inputs!B46-Inputs!B45)*(U3-2020)/30</f>
        <v>0.71500000000000008</v>
      </c>
      <c r="V13">
        <f>Inputs!B45+(Inputs!B46-Inputs!B45)*(V3-2020)/30</f>
        <v>0.71000000000000008</v>
      </c>
      <c r="W13">
        <f>Inputs!B45+(Inputs!B46-Inputs!B45)*(W3-2020)/30</f>
        <v>0.70500000000000007</v>
      </c>
      <c r="X13">
        <f>Inputs!B45+(Inputs!B46-Inputs!B45)*(X3-2020)/30</f>
        <v>0.70000000000000007</v>
      </c>
      <c r="Y13">
        <f>Inputs!B45+(Inputs!B46-Inputs!B45)*(Y3-2020)/30</f>
        <v>0.69500000000000006</v>
      </c>
      <c r="Z13">
        <f>Inputs!B45+(Inputs!B46-Inputs!B45)*(Z3-2020)/30</f>
        <v>0.69000000000000006</v>
      </c>
      <c r="AA13">
        <f>Inputs!B45+(Inputs!B46-Inputs!B45)*(AA3-2020)/30</f>
        <v>0.68500000000000005</v>
      </c>
      <c r="AB13">
        <f>Inputs!B45+(Inputs!B46-Inputs!B45)*(AB3-2020)/30</f>
        <v>0.68</v>
      </c>
      <c r="AC13">
        <f>Inputs!B45+(Inputs!B46-Inputs!B45)*(AC3-2020)/30</f>
        <v>0.67500000000000004</v>
      </c>
      <c r="AD13">
        <f>Inputs!B45+(Inputs!B46-Inputs!B45)*(AD3-2020)/30</f>
        <v>0.67</v>
      </c>
      <c r="AE13">
        <f>Inputs!B45+(Inputs!B46-Inputs!B45)*(AE3-2020)/30</f>
        <v>0.66500000000000004</v>
      </c>
      <c r="AF13">
        <f>Inputs!B45+(Inputs!B46-Inputs!B45)*(AF3-2020)/30</f>
        <v>0.66</v>
      </c>
      <c r="AG13">
        <f>Inputs!B45+(Inputs!B46-Inputs!B45)*(AG3-2020)/30</f>
        <v>0.65500000000000003</v>
      </c>
      <c r="AH13">
        <f>Inputs!B45+(Inputs!B46-Inputs!B45)*(AH3-2020)/30</f>
        <v>0.65</v>
      </c>
    </row>
    <row r="14" spans="1:34" ht="15" customHeight="1" x14ac:dyDescent="0.2">
      <c r="A14" s="66" t="s">
        <v>327</v>
      </c>
      <c r="B14" s="66" t="s">
        <v>303</v>
      </c>
      <c r="C14" s="66" t="s">
        <v>310</v>
      </c>
      <c r="D14">
        <f>D13*(Supply!D16+Supply!D17)</f>
        <v>122.42713002900001</v>
      </c>
      <c r="E14">
        <f>E13*(Supply!E16+Supply!E17)</f>
        <v>128.0139847379173</v>
      </c>
      <c r="F14">
        <f>F13*(Supply!F16+Supply!F17)</f>
        <v>133.5877653269057</v>
      </c>
      <c r="G14">
        <f>G13*(Supply!G16+Supply!G17)</f>
        <v>139.14572149134025</v>
      </c>
      <c r="H14">
        <f>H13*(Supply!H16+Supply!H17)</f>
        <v>144.68515702386227</v>
      </c>
      <c r="I14">
        <f>I13*(Supply!I16+Supply!I17)</f>
        <v>150.20342914802492</v>
      </c>
      <c r="J14">
        <f>J13*(Supply!J16+Supply!J17)</f>
        <v>155.69794785853455</v>
      </c>
      <c r="K14">
        <f>K13*(Supply!K16+Supply!K17)</f>
        <v>161.16617526803091</v>
      </c>
      <c r="L14">
        <f>L13*(Supply!L16+Supply!L17)</f>
        <v>166.60562496034873</v>
      </c>
      <c r="M14">
        <f>M13*(Supply!M16+Supply!M17)</f>
        <v>172.01386135020456</v>
      </c>
      <c r="N14">
        <f>N13*(Supply!N16+Supply!N17)</f>
        <v>177.38849904925337</v>
      </c>
      <c r="O14">
        <f>O13*(Supply!O16+Supply!O17)</f>
        <v>182.72720223845866</v>
      </c>
      <c r="P14">
        <f>P13*(Supply!P16+Supply!P17)</f>
        <v>188.02768404672167</v>
      </c>
      <c r="Q14">
        <f>Q13*(Supply!Q16+Supply!Q17)</f>
        <v>193.28770593571448</v>
      </c>
      <c r="R14">
        <f>R13*(Supply!R16+Supply!R17)</f>
        <v>198.50507709086335</v>
      </c>
      <c r="S14">
        <f>S13*(Supply!S16+Supply!S17)</f>
        <v>203.67765381842881</v>
      </c>
      <c r="T14">
        <f>T13*(Supply!T16+Supply!T17)</f>
        <v>208.80333894862761</v>
      </c>
      <c r="U14">
        <f>U13*(Supply!U16+Supply!U17)</f>
        <v>213.88008124474641</v>
      </c>
      <c r="V14">
        <f>V13*(Supply!V16+Supply!V17)</f>
        <v>218.90587481819111</v>
      </c>
      <c r="W14">
        <f>W13*(Supply!W16+Supply!W17)</f>
        <v>223.87875854942419</v>
      </c>
      <c r="X14">
        <f>X13*(Supply!X16+Supply!X17)</f>
        <v>228.79681551473331</v>
      </c>
      <c r="Y14">
        <f>Y13*(Supply!Y16+Supply!Y17)</f>
        <v>233.6581724187854</v>
      </c>
      <c r="Z14">
        <f>Z13*(Supply!Z16+Supply!Z17)</f>
        <v>238.46099903291076</v>
      </c>
      <c r="AA14">
        <f>AA13*(Supply!AA16+Supply!AA17)</f>
        <v>243.20350763906961</v>
      </c>
      <c r="AB14">
        <f>AB13*(Supply!AB16+Supply!AB17)</f>
        <v>247.88395247944976</v>
      </c>
      <c r="AC14">
        <f>AC13*(Supply!AC16+Supply!AC17)</f>
        <v>252.50062921164698</v>
      </c>
      <c r="AD14">
        <f>AD13*(Supply!AD16+Supply!AD17)</f>
        <v>257.05187436937769</v>
      </c>
      <c r="AE14">
        <f>AE13*(Supply!AE16+Supply!AE17)</f>
        <v>261.53606482867525</v>
      </c>
      <c r="AF14">
        <f>AF13*(Supply!AF16+Supply!AF17)</f>
        <v>265.95161727952319</v>
      </c>
      <c r="AG14">
        <f>AG13*(Supply!AG16+Supply!AG17)</f>
        <v>270.29698770287399</v>
      </c>
      <c r="AH14">
        <f>AH13*(Supply!AH16+Supply!AH17)</f>
        <v>274.57067085301031</v>
      </c>
    </row>
    <row r="15" spans="1:34" x14ac:dyDescent="0.2">
      <c r="A15" s="23" t="s">
        <v>311</v>
      </c>
      <c r="B15" s="14" t="s">
        <v>303</v>
      </c>
      <c r="C15" s="15" t="s">
        <v>312</v>
      </c>
      <c r="D15" s="24">
        <f>D9+D10+D11+D14</f>
        <v>7784.8184225415007</v>
      </c>
      <c r="E15" s="24">
        <f t="shared" ref="E15:AH15" si="0">E9+E10+E11+E14</f>
        <v>7782.5302185950986</v>
      </c>
      <c r="F15" s="24">
        <f t="shared" si="0"/>
        <v>7779.7955946379107</v>
      </c>
      <c r="G15" s="24">
        <f t="shared" si="0"/>
        <v>7776.6179693008808</v>
      </c>
      <c r="H15" s="24">
        <f>H9+H10+H11+H14</f>
        <v>7773.0007585578778</v>
      </c>
      <c r="I15" s="24">
        <f t="shared" si="0"/>
        <v>7768.9473754781593</v>
      </c>
      <c r="J15" s="24">
        <f t="shared" si="0"/>
        <v>7764.4612299828586</v>
      </c>
      <c r="K15" s="24">
        <f t="shared" si="0"/>
        <v>7759.5457286055034</v>
      </c>
      <c r="L15" s="24">
        <f t="shared" si="0"/>
        <v>7754.2042742564563</v>
      </c>
      <c r="M15" s="24">
        <f t="shared" si="0"/>
        <v>7748.4402659912757</v>
      </c>
      <c r="N15" s="24">
        <f t="shared" si="0"/>
        <v>7742.2570987829422</v>
      </c>
      <c r="O15" s="24">
        <f t="shared" si="0"/>
        <v>7735.658163297906</v>
      </c>
      <c r="P15" s="24">
        <f t="shared" si="0"/>
        <v>7728.6468456758976</v>
      </c>
      <c r="Q15" s="24">
        <f t="shared" si="0"/>
        <v>7721.2265273134872</v>
      </c>
      <c r="R15" s="24">
        <f t="shared" si="0"/>
        <v>7713.4005846513201</v>
      </c>
      <c r="S15" s="24">
        <f>S9+S10+S11+S14</f>
        <v>7705.1723889650048</v>
      </c>
      <c r="T15" s="24">
        <f>T9+T10+T11+T14</f>
        <v>7696.5453061596163</v>
      </c>
      <c r="U15" s="24">
        <f t="shared" si="0"/>
        <v>7687.5226965677448</v>
      </c>
      <c r="V15" s="24">
        <f t="shared" si="0"/>
        <v>7678.1079147510745</v>
      </c>
      <c r="W15" s="24">
        <f t="shared" si="0"/>
        <v>7668.3043093054584</v>
      </c>
      <c r="X15" s="24">
        <f t="shared" si="0"/>
        <v>7658.1152226694094</v>
      </c>
      <c r="Y15" s="24">
        <f t="shared" si="0"/>
        <v>7647.5439909360175</v>
      </c>
      <c r="Z15" s="24">
        <f t="shared" si="0"/>
        <v>7636.593943668212</v>
      </c>
      <c r="AA15" s="24">
        <f t="shared" si="0"/>
        <v>7625.2684037173567</v>
      </c>
      <c r="AB15" s="24">
        <f t="shared" si="0"/>
        <v>7613.5706870451195</v>
      </c>
      <c r="AC15" s="24">
        <f t="shared" si="0"/>
        <v>7601.5041025486071</v>
      </c>
      <c r="AD15" s="24">
        <f t="shared" si="0"/>
        <v>7589.0719518886835</v>
      </c>
      <c r="AE15" s="24">
        <f t="shared" si="0"/>
        <v>7576.2775293214818</v>
      </c>
      <c r="AF15" s="24">
        <f t="shared" si="0"/>
        <v>7563.124121533031</v>
      </c>
      <c r="AG15" s="24">
        <f t="shared" si="0"/>
        <v>7549.6150074769866</v>
      </c>
      <c r="AH15" s="24">
        <f t="shared" si="0"/>
        <v>7535.7534582154285</v>
      </c>
    </row>
    <row r="16" spans="1:34" ht="15" customHeight="1" x14ac:dyDescent="0.2">
      <c r="A16" s="23" t="s">
        <v>311</v>
      </c>
      <c r="B16" s="14" t="s">
        <v>313</v>
      </c>
      <c r="C16" s="15" t="s">
        <v>314</v>
      </c>
      <c r="D16" s="32">
        <f t="shared" ref="D16:AH16" si="1">D15/1000</f>
        <v>7.7848184225415009</v>
      </c>
      <c r="E16" s="32">
        <f t="shared" si="1"/>
        <v>7.7825302185950989</v>
      </c>
      <c r="F16" s="32">
        <f t="shared" si="1"/>
        <v>7.7797955946379105</v>
      </c>
      <c r="G16" s="32">
        <f t="shared" si="1"/>
        <v>7.7766179693008803</v>
      </c>
      <c r="H16" s="32">
        <f t="shared" si="1"/>
        <v>7.7730007585578775</v>
      </c>
      <c r="I16" s="32">
        <f t="shared" si="1"/>
        <v>7.7689473754781595</v>
      </c>
      <c r="J16" s="32">
        <f t="shared" si="1"/>
        <v>7.7644612299828584</v>
      </c>
      <c r="K16" s="32">
        <f t="shared" si="1"/>
        <v>7.7595457286055032</v>
      </c>
      <c r="L16" s="32">
        <f t="shared" si="1"/>
        <v>7.7542042742564563</v>
      </c>
      <c r="M16" s="32">
        <f t="shared" si="1"/>
        <v>7.7484402659912757</v>
      </c>
      <c r="N16" s="32">
        <f t="shared" si="1"/>
        <v>7.7422570987829422</v>
      </c>
      <c r="O16" s="32">
        <f t="shared" si="1"/>
        <v>7.7356581632979058</v>
      </c>
      <c r="P16" s="32">
        <f t="shared" si="1"/>
        <v>7.7286468456758977</v>
      </c>
      <c r="Q16" s="32">
        <f t="shared" si="1"/>
        <v>7.7212265273134868</v>
      </c>
      <c r="R16" s="32">
        <f t="shared" si="1"/>
        <v>7.7134005846513203</v>
      </c>
      <c r="S16" s="32">
        <f t="shared" si="1"/>
        <v>7.7051723889650043</v>
      </c>
      <c r="T16" s="32">
        <f t="shared" si="1"/>
        <v>7.6965453061596163</v>
      </c>
      <c r="U16" s="32">
        <f t="shared" si="1"/>
        <v>7.6875226965677452</v>
      </c>
      <c r="V16" s="32">
        <f t="shared" si="1"/>
        <v>7.6781079147510747</v>
      </c>
      <c r="W16" s="32">
        <f t="shared" si="1"/>
        <v>7.6683043093054586</v>
      </c>
      <c r="X16" s="32">
        <f t="shared" si="1"/>
        <v>7.6581152226694096</v>
      </c>
      <c r="Y16" s="32">
        <f t="shared" si="1"/>
        <v>7.6475439909360174</v>
      </c>
      <c r="Z16" s="32">
        <f t="shared" si="1"/>
        <v>7.6365939436682115</v>
      </c>
      <c r="AA16" s="32">
        <f t="shared" si="1"/>
        <v>7.6252684037173566</v>
      </c>
      <c r="AB16" s="32">
        <f t="shared" si="1"/>
        <v>7.6135706870451196</v>
      </c>
      <c r="AC16" s="32">
        <f t="shared" si="1"/>
        <v>7.6015041025486072</v>
      </c>
      <c r="AD16" s="32">
        <f t="shared" si="1"/>
        <v>7.5890719518886831</v>
      </c>
      <c r="AE16" s="32">
        <f t="shared" si="1"/>
        <v>7.5762775293214819</v>
      </c>
      <c r="AF16" s="32">
        <f t="shared" si="1"/>
        <v>7.5631241215330309</v>
      </c>
      <c r="AG16" s="32">
        <f t="shared" si="1"/>
        <v>7.5496150074769863</v>
      </c>
      <c r="AH16" s="32">
        <f t="shared" si="1"/>
        <v>7.5357534582154289</v>
      </c>
    </row>
    <row r="17" spans="1:34" ht="15" customHeight="1" x14ac:dyDescent="0.2">
      <c r="A17" s="23"/>
      <c r="B17" s="58" t="s">
        <v>322</v>
      </c>
      <c r="C17" s="59" t="s">
        <v>323</v>
      </c>
      <c r="D17" s="32">
        <f>+D15* 0.0036</f>
        <v>28.025346321149403</v>
      </c>
      <c r="E17" s="32">
        <f t="shared" ref="E17:AH17" si="2">+E15* 0.0036</f>
        <v>28.017108786942355</v>
      </c>
      <c r="F17" s="32">
        <f t="shared" si="2"/>
        <v>28.007264140696478</v>
      </c>
      <c r="G17" s="32">
        <f t="shared" si="2"/>
        <v>27.995824689483172</v>
      </c>
      <c r="H17" s="32">
        <f t="shared" si="2"/>
        <v>27.982802730808359</v>
      </c>
      <c r="I17" s="32">
        <f t="shared" si="2"/>
        <v>27.968210551721373</v>
      </c>
      <c r="J17" s="32">
        <f t="shared" si="2"/>
        <v>27.952060427938289</v>
      </c>
      <c r="K17" s="32">
        <f t="shared" si="2"/>
        <v>27.93436462297981</v>
      </c>
      <c r="L17" s="32">
        <f t="shared" si="2"/>
        <v>27.915135387323243</v>
      </c>
      <c r="M17" s="32">
        <f t="shared" si="2"/>
        <v>27.89438495756859</v>
      </c>
      <c r="N17" s="32">
        <f t="shared" si="2"/>
        <v>27.872125555618592</v>
      </c>
      <c r="O17" s="32">
        <f t="shared" si="2"/>
        <v>27.848369387872459</v>
      </c>
      <c r="P17" s="32">
        <f t="shared" si="2"/>
        <v>27.823128644433229</v>
      </c>
      <c r="Q17" s="32">
        <f t="shared" si="2"/>
        <v>27.796415498328553</v>
      </c>
      <c r="R17" s="32">
        <f t="shared" si="2"/>
        <v>27.768242104744751</v>
      </c>
      <c r="S17" s="32">
        <f t="shared" si="2"/>
        <v>27.738620600274018</v>
      </c>
      <c r="T17" s="32">
        <f t="shared" si="2"/>
        <v>27.707563102174618</v>
      </c>
      <c r="U17" s="32">
        <f t="shared" si="2"/>
        <v>27.67508170764388</v>
      </c>
      <c r="V17" s="32">
        <f t="shared" si="2"/>
        <v>27.641188493103868</v>
      </c>
      <c r="W17" s="32">
        <f t="shared" si="2"/>
        <v>27.60589551349965</v>
      </c>
      <c r="X17" s="32">
        <f t="shared" si="2"/>
        <v>27.569214801609874</v>
      </c>
      <c r="Y17" s="32">
        <f t="shared" si="2"/>
        <v>27.531158367369663</v>
      </c>
      <c r="Z17" s="32">
        <f t="shared" si="2"/>
        <v>27.491738197205564</v>
      </c>
      <c r="AA17" s="32">
        <f t="shared" si="2"/>
        <v>27.450966253382482</v>
      </c>
      <c r="AB17" s="32">
        <f t="shared" si="2"/>
        <v>27.408854473362428</v>
      </c>
      <c r="AC17" s="32">
        <f t="shared" si="2"/>
        <v>27.365414769174986</v>
      </c>
      <c r="AD17" s="32">
        <f t="shared" si="2"/>
        <v>27.320659026799259</v>
      </c>
      <c r="AE17" s="32">
        <f t="shared" si="2"/>
        <v>27.274599105557332</v>
      </c>
      <c r="AF17" s="32">
        <f t="shared" si="2"/>
        <v>27.227246837518912</v>
      </c>
      <c r="AG17" s="32">
        <f t="shared" si="2"/>
        <v>27.178614026917153</v>
      </c>
      <c r="AH17" s="32">
        <f t="shared" si="2"/>
        <v>27.128712449575541</v>
      </c>
    </row>
    <row r="18" spans="1:34" ht="15" customHeight="1" x14ac:dyDescent="0.2">
      <c r="A18" s="23"/>
      <c r="B18" s="14"/>
      <c r="C18" s="1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</row>
    <row r="19" spans="1:34" ht="15" customHeight="1" x14ac:dyDescent="0.2">
      <c r="A19" s="63" t="s">
        <v>324</v>
      </c>
      <c r="B19" s="58" t="s">
        <v>322</v>
      </c>
      <c r="C19" s="62" t="s">
        <v>328</v>
      </c>
      <c r="D19" s="64">
        <f>+(D9+D10+D14)* 0.0036</f>
        <v>15.170497668104401</v>
      </c>
      <c r="E19" s="64">
        <f t="shared" ref="E19:AH19" si="3">+(E9+E10+E14)* 0.0036</f>
        <v>15.1283462930565</v>
      </c>
      <c r="F19" s="64">
        <f t="shared" si="3"/>
        <v>15.086763149119758</v>
      </c>
      <c r="G19" s="64">
        <f t="shared" si="3"/>
        <v>15.045732063612462</v>
      </c>
      <c r="H19" s="64">
        <f t="shared" si="3"/>
        <v>15.00523712257224</v>
      </c>
      <c r="I19" s="64">
        <f t="shared" si="3"/>
        <v>14.965262667704668</v>
      </c>
      <c r="J19" s="64">
        <f t="shared" si="3"/>
        <v>14.925793293362332</v>
      </c>
      <c r="K19" s="64">
        <f t="shared" si="3"/>
        <v>14.886813843553981</v>
      </c>
      <c r="L19" s="64">
        <f t="shared" si="3"/>
        <v>14.848309408983555</v>
      </c>
      <c r="M19" s="64">
        <f t="shared" si="3"/>
        <v>14.810265324118784</v>
      </c>
      <c r="N19" s="64">
        <f t="shared" si="3"/>
        <v>14.772667164289111</v>
      </c>
      <c r="O19" s="64">
        <f t="shared" si="3"/>
        <v>14.735500742812677</v>
      </c>
      <c r="P19" s="64">
        <f t="shared" si="3"/>
        <v>14.698752108152071</v>
      </c>
      <c r="Q19" s="64">
        <f t="shared" si="3"/>
        <v>14.662407541098633</v>
      </c>
      <c r="R19" s="64">
        <f t="shared" si="3"/>
        <v>14.626453551985021</v>
      </c>
      <c r="S19" s="64">
        <f t="shared" si="3"/>
        <v>14.590876877925789</v>
      </c>
      <c r="T19" s="64">
        <f t="shared" si="3"/>
        <v>14.555664480085737</v>
      </c>
      <c r="U19" s="64">
        <f t="shared" si="3"/>
        <v>14.520803540975756</v>
      </c>
      <c r="V19" s="64">
        <f t="shared" si="3"/>
        <v>14.486281461775947</v>
      </c>
      <c r="W19" s="64">
        <f t="shared" si="3"/>
        <v>14.45208585968575</v>
      </c>
      <c r="X19" s="64">
        <f t="shared" si="3"/>
        <v>14.418204565300833</v>
      </c>
      <c r="Y19" s="64">
        <f t="shared" si="3"/>
        <v>14.38462562001652</v>
      </c>
      <c r="Z19" s="64">
        <f t="shared" si="3"/>
        <v>14.351337273457478</v>
      </c>
      <c r="AA19" s="64">
        <f t="shared" si="3"/>
        <v>14.318327980933487</v>
      </c>
      <c r="AB19" s="64">
        <f t="shared" si="3"/>
        <v>14.285586400920973</v>
      </c>
      <c r="AC19" s="64">
        <f t="shared" si="3"/>
        <v>14.253101392570159</v>
      </c>
      <c r="AD19" s="64">
        <f t="shared" si="3"/>
        <v>14.220862013237502</v>
      </c>
      <c r="AE19" s="64">
        <f t="shared" si="3"/>
        <v>14.188857516043303</v>
      </c>
      <c r="AF19" s="64">
        <f t="shared" si="3"/>
        <v>14.157077347454138</v>
      </c>
      <c r="AG19" s="64">
        <f t="shared" si="3"/>
        <v>14.125511144889975</v>
      </c>
      <c r="AH19" s="64">
        <f t="shared" si="3"/>
        <v>14.094148734355709</v>
      </c>
    </row>
    <row r="20" spans="1:34" ht="15" customHeight="1" x14ac:dyDescent="0.2">
      <c r="A20" s="63" t="s">
        <v>325</v>
      </c>
      <c r="B20" s="58" t="s">
        <v>322</v>
      </c>
      <c r="C20" s="62" t="s">
        <v>329</v>
      </c>
      <c r="D20" s="64">
        <f>+(D9+D10+D14)* 0.0036</f>
        <v>15.170497668104401</v>
      </c>
      <c r="E20" s="64">
        <f t="shared" ref="E20:H20" si="4">+(E9+E10+E14)* 0.0036</f>
        <v>15.1283462930565</v>
      </c>
      <c r="F20" s="64">
        <f t="shared" si="4"/>
        <v>15.086763149119758</v>
      </c>
      <c r="G20" s="64">
        <f t="shared" si="4"/>
        <v>15.045732063612462</v>
      </c>
      <c r="H20" s="64">
        <f t="shared" si="4"/>
        <v>15.00523712257224</v>
      </c>
      <c r="I20" s="67">
        <f t="shared" ref="I20:AH20" si="5">+(I9+I10+I14+I11)* 0.0036</f>
        <v>27.96821055172137</v>
      </c>
      <c r="J20" s="67">
        <f t="shared" si="5"/>
        <v>27.952060427938289</v>
      </c>
      <c r="K20" s="67">
        <f t="shared" si="5"/>
        <v>27.934364622979814</v>
      </c>
      <c r="L20" s="67">
        <f t="shared" si="5"/>
        <v>27.915135387323247</v>
      </c>
      <c r="M20" s="67">
        <f t="shared" si="5"/>
        <v>27.89438495756859</v>
      </c>
      <c r="N20" s="67">
        <f t="shared" si="5"/>
        <v>27.872125555618592</v>
      </c>
      <c r="O20" s="67">
        <f t="shared" si="5"/>
        <v>27.848369387872459</v>
      </c>
      <c r="P20" s="67">
        <f t="shared" si="5"/>
        <v>27.823128644433229</v>
      </c>
      <c r="Q20" s="67">
        <f t="shared" si="5"/>
        <v>27.796415498328553</v>
      </c>
      <c r="R20" s="67">
        <f t="shared" si="5"/>
        <v>27.768242104744747</v>
      </c>
      <c r="S20" s="67">
        <f t="shared" si="5"/>
        <v>27.738620600274018</v>
      </c>
      <c r="T20" s="67">
        <f t="shared" si="5"/>
        <v>27.707563102174618</v>
      </c>
      <c r="U20" s="67">
        <f t="shared" si="5"/>
        <v>27.67508170764388</v>
      </c>
      <c r="V20" s="67">
        <f t="shared" si="5"/>
        <v>27.641188493103865</v>
      </c>
      <c r="W20" s="67">
        <f t="shared" si="5"/>
        <v>27.60589551349965</v>
      </c>
      <c r="X20" s="67">
        <f t="shared" si="5"/>
        <v>27.569214801609871</v>
      </c>
      <c r="Y20" s="67">
        <f t="shared" si="5"/>
        <v>27.531158367369663</v>
      </c>
      <c r="Z20" s="67">
        <f t="shared" si="5"/>
        <v>27.491738197205567</v>
      </c>
      <c r="AA20" s="67">
        <f t="shared" si="5"/>
        <v>27.450966253382482</v>
      </c>
      <c r="AB20" s="67">
        <f t="shared" si="5"/>
        <v>27.408854473362428</v>
      </c>
      <c r="AC20" s="67">
        <f t="shared" si="5"/>
        <v>27.365414769174986</v>
      </c>
      <c r="AD20" s="67">
        <f t="shared" si="5"/>
        <v>27.320659026799262</v>
      </c>
      <c r="AE20" s="67">
        <f t="shared" si="5"/>
        <v>27.274599105557332</v>
      </c>
      <c r="AF20" s="67">
        <f t="shared" si="5"/>
        <v>27.227246837518916</v>
      </c>
      <c r="AG20" s="67">
        <f t="shared" si="5"/>
        <v>27.178614026917153</v>
      </c>
      <c r="AH20" s="67">
        <f t="shared" si="5"/>
        <v>27.128712449575538</v>
      </c>
    </row>
    <row r="21" spans="1:34" ht="15" customHeight="1" x14ac:dyDescent="0.2">
      <c r="A21" s="63" t="s">
        <v>326</v>
      </c>
      <c r="B21" s="58" t="s">
        <v>322</v>
      </c>
      <c r="C21" s="62" t="s">
        <v>329</v>
      </c>
      <c r="D21" s="64">
        <f>+(D9+D10+D14)* 0.0036</f>
        <v>15.170497668104401</v>
      </c>
      <c r="E21" s="64">
        <f t="shared" ref="E21:H21" si="6">+(E9+E10+E14)* 0.0036</f>
        <v>15.1283462930565</v>
      </c>
      <c r="F21" s="64">
        <f t="shared" si="6"/>
        <v>15.086763149119758</v>
      </c>
      <c r="G21" s="64">
        <f t="shared" si="6"/>
        <v>15.045732063612462</v>
      </c>
      <c r="H21" s="64">
        <f t="shared" si="6"/>
        <v>15.00523712257224</v>
      </c>
      <c r="I21" s="67">
        <f t="shared" ref="I21:AH21" si="7">+(I9+I10+I14+I11)* 0.0036</f>
        <v>27.96821055172137</v>
      </c>
      <c r="J21" s="67">
        <f t="shared" si="7"/>
        <v>27.952060427938289</v>
      </c>
      <c r="K21" s="67">
        <f t="shared" si="7"/>
        <v>27.934364622979814</v>
      </c>
      <c r="L21" s="67">
        <f t="shared" si="7"/>
        <v>27.915135387323247</v>
      </c>
      <c r="M21" s="67">
        <f t="shared" si="7"/>
        <v>27.89438495756859</v>
      </c>
      <c r="N21" s="67">
        <f t="shared" si="7"/>
        <v>27.872125555618592</v>
      </c>
      <c r="O21" s="67">
        <f t="shared" si="7"/>
        <v>27.848369387872459</v>
      </c>
      <c r="P21" s="67">
        <f t="shared" si="7"/>
        <v>27.823128644433229</v>
      </c>
      <c r="Q21" s="67">
        <f t="shared" si="7"/>
        <v>27.796415498328553</v>
      </c>
      <c r="R21" s="67">
        <f t="shared" si="7"/>
        <v>27.768242104744747</v>
      </c>
      <c r="S21" s="67">
        <f t="shared" si="7"/>
        <v>27.738620600274018</v>
      </c>
      <c r="T21" s="67">
        <f t="shared" si="7"/>
        <v>27.707563102174618</v>
      </c>
      <c r="U21" s="67">
        <f t="shared" si="7"/>
        <v>27.67508170764388</v>
      </c>
      <c r="V21" s="67">
        <f t="shared" si="7"/>
        <v>27.641188493103865</v>
      </c>
      <c r="W21" s="67">
        <f t="shared" si="7"/>
        <v>27.60589551349965</v>
      </c>
      <c r="X21" s="67">
        <f t="shared" si="7"/>
        <v>27.569214801609871</v>
      </c>
      <c r="Y21" s="67">
        <f t="shared" si="7"/>
        <v>27.531158367369663</v>
      </c>
      <c r="Z21" s="67">
        <f t="shared" si="7"/>
        <v>27.491738197205567</v>
      </c>
      <c r="AA21" s="67">
        <f t="shared" si="7"/>
        <v>27.450966253382482</v>
      </c>
      <c r="AB21" s="67">
        <f t="shared" si="7"/>
        <v>27.408854473362428</v>
      </c>
      <c r="AC21" s="67">
        <f t="shared" si="7"/>
        <v>27.365414769174986</v>
      </c>
      <c r="AD21" s="67">
        <f t="shared" si="7"/>
        <v>27.320659026799262</v>
      </c>
      <c r="AE21" s="67">
        <f t="shared" si="7"/>
        <v>27.274599105557332</v>
      </c>
      <c r="AF21" s="67">
        <f t="shared" si="7"/>
        <v>27.227246837518916</v>
      </c>
      <c r="AG21" s="67">
        <f t="shared" si="7"/>
        <v>27.178614026917153</v>
      </c>
      <c r="AH21" s="67">
        <f t="shared" si="7"/>
        <v>27.128712449575538</v>
      </c>
    </row>
    <row r="22" spans="1:34" ht="15" customHeight="1" x14ac:dyDescent="0.2"/>
    <row r="23" spans="1:34" ht="15" customHeight="1" x14ac:dyDescent="0.2">
      <c r="A23" s="13" t="s">
        <v>29</v>
      </c>
      <c r="B23" s="14" t="s">
        <v>155</v>
      </c>
      <c r="C23" s="15" t="s">
        <v>315</v>
      </c>
      <c r="D23" s="33">
        <f>D15/Supply!D5</f>
        <v>1.2636198389973459</v>
      </c>
      <c r="E23" s="33">
        <f>E15/Supply!E5</f>
        <v>1.2559269451013408</v>
      </c>
      <c r="F23" s="33">
        <f>F15/Supply!F5</f>
        <v>1.248373621506021</v>
      </c>
      <c r="G23" s="33">
        <f>G15/Supply!G5</f>
        <v>1.2409533046697534</v>
      </c>
      <c r="H23" s="33">
        <f>H15/Supply!H5</f>
        <v>1.2336597245879393</v>
      </c>
      <c r="I23" s="33">
        <f>I15/Supply!I5</f>
        <v>1.2264868874955985</v>
      </c>
      <c r="J23" s="33">
        <f>J15/Supply!J5</f>
        <v>1.219429059788294</v>
      </c>
      <c r="K23" s="33">
        <f>K15/Supply!K5</f>
        <v>1.2021959039676851</v>
      </c>
      <c r="L23" s="33">
        <f>L15/Supply!L5</f>
        <v>1.1854540654861456</v>
      </c>
      <c r="M23" s="33">
        <f>M15/Supply!M5</f>
        <v>1.1691785203636738</v>
      </c>
      <c r="N23" s="33">
        <f>N15/Supply!N5</f>
        <v>1.1533458810685824</v>
      </c>
      <c r="O23" s="33">
        <f>O15/Supply!O5</f>
        <v>1.1379342657995559</v>
      </c>
      <c r="P23" s="33">
        <f>P15/Supply!P5</f>
        <v>1.1229231801192765</v>
      </c>
      <c r="Q23" s="33">
        <f>Q15/Supply!Q5</f>
        <v>1.108293409599215</v>
      </c>
      <c r="R23" s="33">
        <f>R15/Supply!R5</f>
        <v>1.0940269222988892</v>
      </c>
      <c r="S23" s="33">
        <f>S15/Supply!S5</f>
        <v>1.0801067800444484</v>
      </c>
      <c r="T23" s="33">
        <f>T15/Supply!T5</f>
        <v>1.0665170575940981</v>
      </c>
      <c r="U23" s="33">
        <f>U15/Supply!U5</f>
        <v>1.0612029813583117</v>
      </c>
      <c r="V23" s="33">
        <f>V15/Supply!V5</f>
        <v>1.0559352610346351</v>
      </c>
      <c r="W23" s="33">
        <f>W15/Supply!W5</f>
        <v>1.0507111955181461</v>
      </c>
      <c r="X23" s="33">
        <f>X15/Supply!X5</f>
        <v>1.0455281753026946</v>
      </c>
      <c r="Y23" s="33">
        <f>Y15/Supply!Y5</f>
        <v>1.0403836782931815</v>
      </c>
      <c r="Z23" s="33">
        <f>Z15/Supply!Z5</f>
        <v>1.0352752658717201</v>
      </c>
      <c r="AA23" s="33">
        <f>AA15/Supply!AA5</f>
        <v>1.0302005792016524</v>
      </c>
      <c r="AB23" s="33">
        <f>AB15/Supply!AB5</f>
        <v>1.0251573357546178</v>
      </c>
      <c r="AC23" s="33">
        <f>AC15/Supply!AC5</f>
        <v>1.020143326046941</v>
      </c>
      <c r="AD23" s="33">
        <f>AD15/Supply!AD5</f>
        <v>1.0151564105726225</v>
      </c>
      <c r="AE23" s="33">
        <f>AE15/Supply!AE5</f>
        <v>1.0101945169211459</v>
      </c>
      <c r="AF23" s="33">
        <f>AF15/Supply!AF5</f>
        <v>1.0052556370691383</v>
      </c>
      <c r="AG23" s="33">
        <f>AG15/Supply!AG5</f>
        <v>1.0003378248357293</v>
      </c>
      <c r="AH23" s="33">
        <f>AH15/Supply!AH5</f>
        <v>0.99543919349214771</v>
      </c>
    </row>
    <row r="24" spans="1:34" x14ac:dyDescent="0.2">
      <c r="A24" s="13" t="s">
        <v>316</v>
      </c>
      <c r="B24" s="14" t="s">
        <v>317</v>
      </c>
      <c r="C24" s="15" t="s">
        <v>318</v>
      </c>
      <c r="D24" s="17">
        <f>D15*1000000/Demand!D5</f>
        <v>1155.8275068035807</v>
      </c>
      <c r="E24" s="17">
        <f>E15*1000000/Demand!E5</f>
        <v>1141.2247276483224</v>
      </c>
      <c r="F24" s="17">
        <f>F15*1000000/Demand!F5</f>
        <v>1126.9133941750129</v>
      </c>
      <c r="G24" s="17">
        <f>G15*1000000/Demand!G5</f>
        <v>1112.8834630417216</v>
      </c>
      <c r="H24" s="17">
        <f>H15*1000000/Demand!H5</f>
        <v>1099.1253687128851</v>
      </c>
      <c r="I24" s="17">
        <f>I15*1000000/Demand!I5</f>
        <v>1085.6299953226567</v>
      </c>
      <c r="J24" s="17">
        <f>J15*1000000/Demand!J5</f>
        <v>1072.3886505015466</v>
      </c>
      <c r="K24" s="17">
        <f>K15*1000000/Demand!K5</f>
        <v>1059.3930410084067</v>
      </c>
      <c r="L24" s="17">
        <f>L15*1000000/Demand!L5</f>
        <v>1046.6352500241617</v>
      </c>
      <c r="M24" s="17">
        <f>M15*1000000/Demand!M5</f>
        <v>1034.107715976603</v>
      </c>
      <c r="N24" s="17">
        <f>N15*1000000/Demand!N5</f>
        <v>1021.8032127771763</v>
      </c>
      <c r="O24" s="17">
        <f>O15*1000000/Demand!O5</f>
        <v>1009.7148313611532</v>
      </c>
      <c r="P24" s="17">
        <f>P15*1000000/Demand!P5</f>
        <v>997.83596243202487</v>
      </c>
      <c r="Q24" s="17">
        <f>Q15*1000000/Demand!Q5</f>
        <v>986.16028031948861</v>
      </c>
      <c r="R24" s="17">
        <f>R15*1000000/Demand!R5</f>
        <v>974.68172786809873</v>
      </c>
      <c r="S24" s="17">
        <f>S15*1000000/Demand!S5</f>
        <v>963.39450228065004</v>
      </c>
      <c r="T24" s="17">
        <f>T15*1000000/Demand!T5</f>
        <v>952.29304184667831</v>
      </c>
      <c r="U24" s="17">
        <f>U15*1000000/Demand!U5</f>
        <v>941.37201349220527</v>
      </c>
      <c r="V24" s="17">
        <f>V15*1000000/Demand!V5</f>
        <v>930.62630109207487</v>
      </c>
      <c r="W24" s="17">
        <f>W15*1000000/Demand!W5</f>
        <v>920.05099449095826</v>
      </c>
      <c r="X24" s="17">
        <f>X15*1000000/Demand!X5</f>
        <v>909.64137918342442</v>
      </c>
      <c r="Y24" s="17">
        <f>Y15*1000000/Demand!Y5</f>
        <v>899.39292660739761</v>
      </c>
      <c r="Z24" s="17">
        <f>Z15*1000000/Demand!Z5</f>
        <v>889.30128500891044</v>
      </c>
      <c r="AA24" s="17">
        <f>AA15*1000000/Demand!AA5</f>
        <v>879.3622708393226</v>
      </c>
      <c r="AB24" s="17">
        <f>AB15*1000000/Demand!AB5</f>
        <v>869.57186064917016</v>
      </c>
      <c r="AC24" s="17">
        <f>AC15*1000000/Demand!AC5</f>
        <v>859.92618344553421</v>
      </c>
      <c r="AD24" s="17">
        <f>AD15*1000000/Demand!AD5</f>
        <v>850.42151348231789</v>
      </c>
      <c r="AE24" s="17">
        <f>AE15*1000000/Demand!AE5</f>
        <v>841.0542634551133</v>
      </c>
      <c r="AF24" s="17">
        <f>AF15*1000000/Demand!AF5</f>
        <v>831.82097807442892</v>
      </c>
      <c r="AG24" s="17">
        <f>AG15*1000000/Demand!AG5</f>
        <v>822.71832799298193</v>
      </c>
      <c r="AH24" s="17">
        <f>AH15*1000000/Demand!AH5</f>
        <v>813.7431040645215</v>
      </c>
    </row>
    <row r="25" spans="1:34" x14ac:dyDescent="0.2">
      <c r="A25" s="13" t="s">
        <v>319</v>
      </c>
      <c r="B25" s="14" t="s">
        <v>290</v>
      </c>
      <c r="C25" s="15"/>
      <c r="D25" s="29">
        <f t="shared" ref="D25:AH25" si="8">D11/D15</f>
        <v>0.45868652275472693</v>
      </c>
      <c r="E25" s="29">
        <f t="shared" si="8"/>
        <v>0.4600318538182922</v>
      </c>
      <c r="F25" s="29">
        <f t="shared" si="8"/>
        <v>0.46132678031919394</v>
      </c>
      <c r="G25" s="29">
        <f t="shared" si="8"/>
        <v>0.46257228602861988</v>
      </c>
      <c r="H25" s="29">
        <f t="shared" si="8"/>
        <v>0.46376932765023382</v>
      </c>
      <c r="I25" s="29">
        <f t="shared" si="8"/>
        <v>0.46491883561769037</v>
      </c>
      <c r="J25" s="29">
        <f t="shared" si="8"/>
        <v>0.46602171486278376</v>
      </c>
      <c r="K25" s="29">
        <f t="shared" si="8"/>
        <v>0.46707884555542922</v>
      </c>
      <c r="L25" s="29">
        <f t="shared" si="8"/>
        <v>0.46809108381661535</v>
      </c>
      <c r="M25" s="29">
        <f t="shared" si="8"/>
        <v>0.46905926240541429</v>
      </c>
      <c r="N25" s="29">
        <f t="shared" si="8"/>
        <v>0.46998419138108505</v>
      </c>
      <c r="O25" s="29">
        <f t="shared" si="8"/>
        <v>0.47086665874125605</v>
      </c>
      <c r="P25" s="29">
        <f t="shared" si="8"/>
        <v>0.47170743103712914</v>
      </c>
      <c r="Q25" s="29">
        <f t="shared" si="8"/>
        <v>0.47250725396660204</v>
      </c>
      <c r="R25" s="29">
        <f t="shared" si="8"/>
        <v>0.47326685294616455</v>
      </c>
      <c r="S25" s="29">
        <f t="shared" si="8"/>
        <v>0.47398693366238803</v>
      </c>
      <c r="T25" s="29">
        <f t="shared" si="8"/>
        <v>0.47466818260378374</v>
      </c>
      <c r="U25" s="29">
        <f t="shared" si="8"/>
        <v>0.47531126757377928</v>
      </c>
      <c r="V25" s="29">
        <f t="shared" si="8"/>
        <v>0.47591683818551811</v>
      </c>
      <c r="W25" s="29">
        <f t="shared" si="8"/>
        <v>0.47648552633916597</v>
      </c>
      <c r="X25" s="29">
        <f t="shared" si="8"/>
        <v>0.47701794668236613</v>
      </c>
      <c r="Y25" s="29">
        <f t="shared" si="8"/>
        <v>0.47751469705446936</v>
      </c>
      <c r="Z25" s="29">
        <f t="shared" si="8"/>
        <v>0.47797635891512169</v>
      </c>
      <c r="AA25" s="29">
        <f t="shared" si="8"/>
        <v>0.47840349775778135</v>
      </c>
      <c r="AB25" s="29">
        <f t="shared" si="8"/>
        <v>0.4787966635087007</v>
      </c>
      <c r="AC25" s="29">
        <f t="shared" si="8"/>
        <v>0.47915639091189033</v>
      </c>
      <c r="AD25" s="29">
        <f t="shared" si="8"/>
        <v>0.47948319990055754</v>
      </c>
      <c r="AE25" s="29">
        <f t="shared" si="8"/>
        <v>0.47977759595548913</v>
      </c>
      <c r="AF25" s="29">
        <f t="shared" si="8"/>
        <v>0.48004007045083213</v>
      </c>
      <c r="AG25" s="29">
        <f t="shared" si="8"/>
        <v>0.48027110098769743</v>
      </c>
      <c r="AH25" s="29">
        <f t="shared" si="8"/>
        <v>0.48047115171600302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32"/>
  <sheetViews>
    <sheetView showGridLines="0" zoomScale="125" zoomScaleNormal="100" workbookViewId="0">
      <selection activeCell="N34" sqref="N34"/>
    </sheetView>
  </sheetViews>
  <sheetFormatPr baseColWidth="10" defaultColWidth="8.6640625" defaultRowHeight="15" x14ac:dyDescent="0.2"/>
  <cols>
    <col min="1" max="1" width="42" customWidth="1"/>
    <col min="2" max="15" width="14" customWidth="1"/>
  </cols>
  <sheetData>
    <row r="1" spans="1:5" ht="17.25" customHeight="1" x14ac:dyDescent="0.2">
      <c r="A1" s="70" t="s">
        <v>0</v>
      </c>
      <c r="B1" s="69"/>
      <c r="C1" s="69"/>
      <c r="D1" s="69"/>
      <c r="E1" s="69"/>
    </row>
    <row r="3" spans="1:5" ht="15" customHeight="1" x14ac:dyDescent="0.2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</row>
    <row r="4" spans="1:5" ht="15" customHeight="1" x14ac:dyDescent="0.2">
      <c r="A4" s="34" t="s">
        <v>6</v>
      </c>
      <c r="B4" s="35">
        <f>Demand!D5</f>
        <v>6735277</v>
      </c>
      <c r="C4" s="35">
        <f>Demand!AH5</f>
        <v>9260605</v>
      </c>
      <c r="D4" s="36">
        <f t="shared" ref="D4:D25" si="0">IFERROR((C4/B4)^(1/30)-1,"")</f>
        <v>1.0670206380809955E-2</v>
      </c>
      <c r="E4" s="37"/>
    </row>
    <row r="5" spans="1:5" ht="15" customHeight="1" x14ac:dyDescent="0.2">
      <c r="A5" s="34" t="s">
        <v>7</v>
      </c>
      <c r="B5" s="35">
        <f>Demand!D6</f>
        <v>6357</v>
      </c>
      <c r="C5" s="35">
        <f>Demand!AH6</f>
        <v>13334.237100222927</v>
      </c>
      <c r="D5" s="36">
        <f t="shared" si="0"/>
        <v>2.4999999999999911E-2</v>
      </c>
      <c r="E5" s="37"/>
    </row>
    <row r="6" spans="1:5" ht="15" customHeight="1" x14ac:dyDescent="0.2">
      <c r="A6" s="34" t="s">
        <v>8</v>
      </c>
      <c r="B6" s="35">
        <f>Demand!D7</f>
        <v>42816.155889000001</v>
      </c>
      <c r="C6" s="35">
        <f>Demand!AH7</f>
        <v>123483.10276150993</v>
      </c>
      <c r="D6" s="36">
        <f t="shared" si="0"/>
        <v>3.5936961540330215E-2</v>
      </c>
      <c r="E6" s="37"/>
    </row>
    <row r="7" spans="1:5" ht="15" customHeight="1" x14ac:dyDescent="0.2">
      <c r="A7" s="38" t="s">
        <v>9</v>
      </c>
      <c r="B7" s="39">
        <f>Demand!D19</f>
        <v>6160.7282366812005</v>
      </c>
      <c r="C7" s="39">
        <f>Demand!AH19</f>
        <v>7570.2800406912775</v>
      </c>
      <c r="D7" s="40">
        <f t="shared" si="0"/>
        <v>6.8914733138962792E-3</v>
      </c>
      <c r="E7" s="41"/>
    </row>
    <row r="8" spans="1:5" ht="15" customHeight="1" x14ac:dyDescent="0.2">
      <c r="A8" s="34" t="s">
        <v>10</v>
      </c>
      <c r="B8" s="42">
        <f>Demand!D13</f>
        <v>1020.226083575</v>
      </c>
      <c r="C8" s="42">
        <f>Demand!AH13</f>
        <v>1206.9040477055398</v>
      </c>
      <c r="D8" s="36">
        <f t="shared" si="0"/>
        <v>5.6168553489059914E-3</v>
      </c>
      <c r="E8" s="37"/>
    </row>
    <row r="9" spans="1:5" ht="15" customHeight="1" x14ac:dyDescent="0.2">
      <c r="A9" s="34" t="s">
        <v>11</v>
      </c>
      <c r="B9" s="42">
        <f>Demand!D14</f>
        <v>248.33370415619999</v>
      </c>
      <c r="C9" s="42">
        <f>Demand!AH14</f>
        <v>529.77488387502706</v>
      </c>
      <c r="D9" s="36">
        <f t="shared" si="0"/>
        <v>2.5577591924926812E-2</v>
      </c>
      <c r="E9" s="37"/>
    </row>
    <row r="10" spans="1:5" ht="15" customHeight="1" x14ac:dyDescent="0.2">
      <c r="A10" s="34" t="s">
        <v>12</v>
      </c>
      <c r="B10" s="42">
        <f>Demand!D15</f>
        <v>4892.1684489500003</v>
      </c>
      <c r="C10" s="42">
        <f>Demand!AH15</f>
        <v>5286.1011091107111</v>
      </c>
      <c r="D10" s="36">
        <f t="shared" si="0"/>
        <v>2.5848447297633914E-3</v>
      </c>
      <c r="E10" s="37"/>
    </row>
    <row r="11" spans="1:5" ht="15" customHeight="1" x14ac:dyDescent="0.2">
      <c r="A11" s="43" t="s">
        <v>13</v>
      </c>
      <c r="B11" s="44">
        <f>Demand!D17</f>
        <v>0</v>
      </c>
      <c r="C11" s="44">
        <f>Demand!AH17</f>
        <v>547.5</v>
      </c>
      <c r="D11" s="45" t="str">
        <f t="shared" si="0"/>
        <v/>
      </c>
      <c r="E11" s="46" t="s">
        <v>14</v>
      </c>
    </row>
    <row r="12" spans="1:5" ht="15" customHeight="1" x14ac:dyDescent="0.2">
      <c r="A12" s="34" t="s">
        <v>15</v>
      </c>
      <c r="B12" s="42">
        <f>Supply!D8</f>
        <v>3500</v>
      </c>
      <c r="C12" s="42">
        <f>Supply!AH8</f>
        <v>2224.1033245597232</v>
      </c>
      <c r="D12" s="36">
        <f t="shared" si="0"/>
        <v>-1.5000000000000013E-2</v>
      </c>
      <c r="E12" s="37"/>
    </row>
    <row r="13" spans="1:5" ht="15" customHeight="1" x14ac:dyDescent="0.2">
      <c r="A13" s="34" t="s">
        <v>16</v>
      </c>
      <c r="B13" s="42">
        <f>Supply!D9</f>
        <v>912</v>
      </c>
      <c r="C13" s="42">
        <f>Supply!AH9</f>
        <v>497.48169927678225</v>
      </c>
      <c r="D13" s="36">
        <f t="shared" si="0"/>
        <v>-2.0000000000000018E-2</v>
      </c>
      <c r="E13" s="37" t="s">
        <v>17</v>
      </c>
    </row>
    <row r="14" spans="1:5" ht="15" customHeight="1" x14ac:dyDescent="0.2">
      <c r="A14" s="47" t="s">
        <v>18</v>
      </c>
      <c r="B14" s="48">
        <f>Supply!D12</f>
        <v>1020.226083575</v>
      </c>
      <c r="C14" s="48">
        <f>Supply!AH12</f>
        <v>1206.9040477055398</v>
      </c>
      <c r="D14" s="49">
        <f t="shared" si="0"/>
        <v>5.6168553489059914E-3</v>
      </c>
      <c r="E14" s="37" t="s">
        <v>19</v>
      </c>
    </row>
    <row r="15" spans="1:5" ht="15" customHeight="1" x14ac:dyDescent="0.2">
      <c r="A15" s="43" t="s">
        <v>20</v>
      </c>
      <c r="B15" s="44">
        <f>Supply!D14</f>
        <v>4892.1684489500003</v>
      </c>
      <c r="C15" s="44">
        <f>Supply!AH14</f>
        <v>5286.1011091107111</v>
      </c>
      <c r="D15" s="45">
        <f t="shared" si="0"/>
        <v>2.5848447297633914E-3</v>
      </c>
      <c r="E15" s="46"/>
    </row>
    <row r="16" spans="1:5" ht="15" customHeight="1" x14ac:dyDescent="0.2">
      <c r="A16" s="43" t="s">
        <v>21</v>
      </c>
      <c r="B16" s="50">
        <f>Supply!D15</f>
        <v>153.03391253625</v>
      </c>
      <c r="C16" s="50">
        <f>Supply!AH15</f>
        <v>422.41641669693894</v>
      </c>
      <c r="D16" s="45">
        <f t="shared" si="0"/>
        <v>3.4423639594770128E-2</v>
      </c>
      <c r="E16" s="46" t="s">
        <v>22</v>
      </c>
    </row>
    <row r="17" spans="1:5" ht="15" customHeight="1" x14ac:dyDescent="0.2">
      <c r="A17" s="34" t="s">
        <v>23</v>
      </c>
      <c r="B17" s="35">
        <f>Energy!D9</f>
        <v>2450</v>
      </c>
      <c r="C17" s="35">
        <f>Energy!AH9</f>
        <v>2433.5163404630703</v>
      </c>
      <c r="D17" s="36">
        <f t="shared" si="0"/>
        <v>-2.2500000000014175E-4</v>
      </c>
      <c r="E17" s="37"/>
    </row>
    <row r="18" spans="1:5" ht="15" customHeight="1" x14ac:dyDescent="0.2">
      <c r="A18" s="34" t="s">
        <v>24</v>
      </c>
      <c r="B18" s="35">
        <f>Energy!D10</f>
        <v>1641.6000000000001</v>
      </c>
      <c r="C18" s="35">
        <f>Energy!AH10</f>
        <v>1206.9543037827277</v>
      </c>
      <c r="D18" s="36">
        <f t="shared" si="0"/>
        <v>-1.0199999999999987E-2</v>
      </c>
      <c r="E18" s="37"/>
    </row>
    <row r="19" spans="1:5" ht="15" customHeight="1" x14ac:dyDescent="0.2">
      <c r="A19" s="34" t="s">
        <v>25</v>
      </c>
      <c r="B19" s="35">
        <f>Energy!D11</f>
        <v>3570.7912925124997</v>
      </c>
      <c r="C19" s="35">
        <f>Energy!AH11</f>
        <v>3620.7121431166197</v>
      </c>
      <c r="D19" s="36">
        <f t="shared" si="0"/>
        <v>4.6289074465022395E-4</v>
      </c>
      <c r="E19" s="37"/>
    </row>
    <row r="20" spans="1:5" ht="15" customHeight="1" x14ac:dyDescent="0.2">
      <c r="A20" s="43" t="s">
        <v>26</v>
      </c>
      <c r="B20" s="50">
        <f>Energy!D12</f>
        <v>17122.589571324999</v>
      </c>
      <c r="C20" s="50">
        <f>Energy!AH12</f>
        <v>15858.303327332134</v>
      </c>
      <c r="D20" s="45">
        <f t="shared" si="0"/>
        <v>-2.5535802827206799E-3</v>
      </c>
      <c r="E20" s="46"/>
    </row>
    <row r="21" spans="1:5" ht="15" customHeight="1" x14ac:dyDescent="0.2">
      <c r="A21" s="38" t="s">
        <v>27</v>
      </c>
      <c r="B21" s="51">
        <f>Energy!D13</f>
        <v>0.8</v>
      </c>
      <c r="C21" s="51">
        <f>Energy!AH13</f>
        <v>0.65</v>
      </c>
      <c r="D21" s="40">
        <f t="shared" si="0"/>
        <v>-6.8974150431899695E-3</v>
      </c>
      <c r="E21" s="41"/>
    </row>
    <row r="22" spans="1:5" ht="15" customHeight="1" x14ac:dyDescent="0.2">
      <c r="A22" s="38" t="s">
        <v>28</v>
      </c>
      <c r="B22" s="52">
        <f>Energy!D14</f>
        <v>122.42713002900001</v>
      </c>
      <c r="C22" s="52">
        <f>Energy!AH14</f>
        <v>274.57067085301031</v>
      </c>
      <c r="D22" s="40">
        <f t="shared" si="0"/>
        <v>2.7288790421997833E-2</v>
      </c>
      <c r="E22" s="41"/>
    </row>
    <row r="23" spans="1:5" ht="15" customHeight="1" x14ac:dyDescent="0.2">
      <c r="A23" s="34" t="s">
        <v>29</v>
      </c>
      <c r="B23" s="53">
        <f>Energy!D16</f>
        <v>7.7848184225415009</v>
      </c>
      <c r="C23" s="53">
        <f>Energy!AH16</f>
        <v>7.5357534582154289</v>
      </c>
      <c r="D23" s="36">
        <f t="shared" si="0"/>
        <v>-1.0833014536950625E-3</v>
      </c>
      <c r="E23" s="37"/>
    </row>
    <row r="24" spans="1:5" ht="15" customHeight="1" x14ac:dyDescent="0.2">
      <c r="A24" s="34" t="s">
        <v>30</v>
      </c>
      <c r="B24" s="35">
        <f>Energy!D22</f>
        <v>0</v>
      </c>
      <c r="C24" s="35">
        <f>Energy!AH22</f>
        <v>0</v>
      </c>
      <c r="D24" s="36" t="str">
        <f t="shared" si="0"/>
        <v/>
      </c>
      <c r="E24" s="37"/>
    </row>
    <row r="25" spans="1:5" ht="15" customHeight="1" x14ac:dyDescent="0.2">
      <c r="A25" s="34" t="s">
        <v>31</v>
      </c>
      <c r="B25" s="54">
        <f>Energy!D23</f>
        <v>1.2636198389973459</v>
      </c>
      <c r="C25" s="54">
        <f>Energy!AH23</f>
        <v>0.99543919349214771</v>
      </c>
      <c r="D25" s="36">
        <f t="shared" si="0"/>
        <v>-7.9201929691039563E-3</v>
      </c>
      <c r="E25" s="37"/>
    </row>
    <row r="27" spans="1:5" x14ac:dyDescent="0.2">
      <c r="A27" t="s">
        <v>32</v>
      </c>
      <c r="B27">
        <f>Supply!D15</f>
        <v>153.03391253625</v>
      </c>
      <c r="C27">
        <f>Supply!AH15</f>
        <v>422.41641669693894</v>
      </c>
    </row>
    <row r="28" spans="1:5" x14ac:dyDescent="0.2">
      <c r="A28" t="s">
        <v>33</v>
      </c>
      <c r="B28">
        <f>Supply!D16</f>
        <v>0</v>
      </c>
      <c r="C28">
        <f>Supply!AH16</f>
        <v>126.72492500908167</v>
      </c>
    </row>
    <row r="29" spans="1:5" x14ac:dyDescent="0.2">
      <c r="A29" t="s">
        <v>34</v>
      </c>
      <c r="B29">
        <f>Supply!D17</f>
        <v>153.03391253625</v>
      </c>
      <c r="C29">
        <f>Supply!AH17</f>
        <v>295.69149168785725</v>
      </c>
    </row>
    <row r="30" spans="1:5" x14ac:dyDescent="0.2">
      <c r="A30" t="s">
        <v>35</v>
      </c>
      <c r="B30">
        <f>Energy!D14</f>
        <v>122.42713002900001</v>
      </c>
      <c r="C30">
        <f>Energy!AH14</f>
        <v>274.57067085301031</v>
      </c>
    </row>
    <row r="32" spans="1:5" x14ac:dyDescent="0.2">
      <c r="B32" t="s">
        <v>36</v>
      </c>
    </row>
    <row r="33" spans="2:6" x14ac:dyDescent="0.2">
      <c r="B33" t="s">
        <v>37</v>
      </c>
    </row>
    <row r="34" spans="2:6" x14ac:dyDescent="0.2">
      <c r="B34" t="s">
        <v>38</v>
      </c>
      <c r="C34" t="s">
        <v>39</v>
      </c>
      <c r="D34" t="s">
        <v>40</v>
      </c>
      <c r="E34" t="s">
        <v>41</v>
      </c>
      <c r="F34" t="s">
        <v>42</v>
      </c>
    </row>
    <row r="35" spans="2:6" x14ac:dyDescent="0.2">
      <c r="B35">
        <v>2020</v>
      </c>
      <c r="C35">
        <f>Demand!D13</f>
        <v>1020.226083575</v>
      </c>
      <c r="D35">
        <f>Demand!D14</f>
        <v>248.33370415619999</v>
      </c>
      <c r="E35">
        <f>Demand!D15</f>
        <v>4892.1684489500003</v>
      </c>
      <c r="F35">
        <f>Demand!D17</f>
        <v>0</v>
      </c>
    </row>
    <row r="36" spans="2:6" x14ac:dyDescent="0.2">
      <c r="B36">
        <v>2030</v>
      </c>
      <c r="C36">
        <f>Demand!N13</f>
        <v>1091.6215326107899</v>
      </c>
      <c r="D36">
        <f>Demand!N14</f>
        <v>323.42317034111193</v>
      </c>
      <c r="E36">
        <f>Demand!N15</f>
        <v>5078.8219451777049</v>
      </c>
      <c r="F36">
        <f>Demand!N17</f>
        <v>219</v>
      </c>
    </row>
    <row r="37" spans="2:6" x14ac:dyDescent="0.2">
      <c r="B37">
        <v>2040</v>
      </c>
      <c r="C37">
        <f>Demand!X13</f>
        <v>1153.5973891499157</v>
      </c>
      <c r="D37">
        <f>Demand!X14</f>
        <v>416.01893048208217</v>
      </c>
      <c r="E37">
        <f>Demand!X15</f>
        <v>5207.5215079925729</v>
      </c>
      <c r="F37">
        <f>Demand!X17</f>
        <v>547.5</v>
      </c>
    </row>
    <row r="38" spans="2:6" ht="17" x14ac:dyDescent="0.2">
      <c r="B38" s="56" t="s">
        <v>43</v>
      </c>
      <c r="C38">
        <f>Demand!AH13</f>
        <v>1206.9040477055398</v>
      </c>
      <c r="D38">
        <f>Demand!AH14</f>
        <v>529.77488387502706</v>
      </c>
      <c r="E38">
        <f>Demand!AH15</f>
        <v>5286.1011091107111</v>
      </c>
      <c r="F38">
        <f>Demand!AH17</f>
        <v>547.5</v>
      </c>
    </row>
    <row r="39" spans="2:6" ht="208" x14ac:dyDescent="0.2">
      <c r="B39" s="57" t="s">
        <v>44</v>
      </c>
    </row>
    <row r="59" spans="2:6" x14ac:dyDescent="0.2">
      <c r="B59" t="s">
        <v>45</v>
      </c>
    </row>
    <row r="60" spans="2:6" x14ac:dyDescent="0.2">
      <c r="B60" t="s">
        <v>38</v>
      </c>
      <c r="C60" t="s">
        <v>39</v>
      </c>
      <c r="D60" t="s">
        <v>40</v>
      </c>
      <c r="E60" t="s">
        <v>41</v>
      </c>
      <c r="F60" t="s">
        <v>42</v>
      </c>
    </row>
    <row r="61" spans="2:6" x14ac:dyDescent="0.2">
      <c r="B61">
        <v>2020</v>
      </c>
      <c r="C61">
        <f>Demand!D13</f>
        <v>1020.226083575</v>
      </c>
      <c r="D61">
        <f>Demand!D14</f>
        <v>248.33370415619999</v>
      </c>
      <c r="E61">
        <f>Demand!D15</f>
        <v>4892.1684489500003</v>
      </c>
      <c r="F61">
        <f>Demand!D17</f>
        <v>0</v>
      </c>
    </row>
    <row r="62" spans="2:6" x14ac:dyDescent="0.2">
      <c r="B62">
        <v>2021</v>
      </c>
      <c r="C62">
        <f>Demand!E13</f>
        <v>1027.8120011073249</v>
      </c>
      <c r="D62">
        <f>Demand!E14</f>
        <v>255.14608417068769</v>
      </c>
      <c r="E62">
        <f>Demand!E15</f>
        <v>4913.68436192032</v>
      </c>
      <c r="F62">
        <f>Demand!E17</f>
        <v>0</v>
      </c>
    </row>
    <row r="63" spans="2:6" x14ac:dyDescent="0.2">
      <c r="B63">
        <v>2022</v>
      </c>
      <c r="C63">
        <f>Demand!F13</f>
        <v>1035.2965538122373</v>
      </c>
      <c r="D63">
        <f>Demand!F14</f>
        <v>262.1054012940923</v>
      </c>
      <c r="E63">
        <f>Demand!F15</f>
        <v>4934.5429215023814</v>
      </c>
      <c r="F63">
        <f>Demand!F17</f>
        <v>0</v>
      </c>
    </row>
    <row r="64" spans="2:6" x14ac:dyDescent="0.2">
      <c r="B64">
        <v>2023</v>
      </c>
      <c r="C64">
        <f>Demand!G13</f>
        <v>1042.6805656900731</v>
      </c>
      <c r="D64">
        <f>Demand!G14</f>
        <v>269.2145080526999</v>
      </c>
      <c r="E64">
        <f>Demand!G15</f>
        <v>4954.7532683319678</v>
      </c>
      <c r="F64">
        <f>Demand!G17</f>
        <v>0</v>
      </c>
    </row>
    <row r="65" spans="2:6" x14ac:dyDescent="0.2">
      <c r="B65">
        <v>2024</v>
      </c>
      <c r="C65">
        <f>Demand!H13</f>
        <v>1049.9648550352849</v>
      </c>
      <c r="D65">
        <f>Demand!H14</f>
        <v>276.47630915431745</v>
      </c>
      <c r="E65">
        <f>Demand!H15</f>
        <v>4974.3244388653047</v>
      </c>
      <c r="F65">
        <f>Demand!H17</f>
        <v>0</v>
      </c>
    </row>
    <row r="66" spans="2:6" x14ac:dyDescent="0.2">
      <c r="B66">
        <v>2025</v>
      </c>
      <c r="C66">
        <f>Demand!I13</f>
        <v>1057.1502344729026</v>
      </c>
      <c r="D66">
        <f>Demand!I14</f>
        <v>283.8937624070245</v>
      </c>
      <c r="E66">
        <f>Demand!I15</f>
        <v>4993.2653664609334</v>
      </c>
      <c r="F66">
        <f>Demand!I17</f>
        <v>0</v>
      </c>
    </row>
    <row r="67" spans="2:6" x14ac:dyDescent="0.2">
      <c r="B67">
        <v>2026</v>
      </c>
      <c r="C67">
        <f>Demand!J13</f>
        <v>1064.2375109947679</v>
      </c>
      <c r="D67">
        <f>Demand!J14</f>
        <v>291.46987965367595</v>
      </c>
      <c r="E67">
        <f>Demand!J15</f>
        <v>5011.5848824509467</v>
      </c>
      <c r="F67">
        <f>Demand!J17</f>
        <v>0</v>
      </c>
    </row>
    <row r="68" spans="2:6" x14ac:dyDescent="0.2">
      <c r="B68">
        <v>2027</v>
      </c>
      <c r="C68">
        <f>Demand!K13</f>
        <v>1071.2274859955528</v>
      </c>
      <c r="D68">
        <f>Demand!K14</f>
        <v>299.20772772241997</v>
      </c>
      <c r="E68">
        <f>Demand!K15</f>
        <v>5029.2917172016651</v>
      </c>
      <c r="F68">
        <f>Demand!K17</f>
        <v>54.75</v>
      </c>
    </row>
    <row r="69" spans="2:6" x14ac:dyDescent="0.2">
      <c r="B69">
        <v>2028</v>
      </c>
      <c r="C69">
        <f>Demand!L13</f>
        <v>1078.1209553085553</v>
      </c>
      <c r="D69">
        <f>Demand!L14</f>
        <v>307.11042939349977</v>
      </c>
      <c r="E69">
        <f>Demand!L15</f>
        <v>5046.3945011638953</v>
      </c>
      <c r="F69">
        <f>Demand!L17</f>
        <v>109.5</v>
      </c>
    </row>
    <row r="70" spans="2:6" x14ac:dyDescent="0.2">
      <c r="B70">
        <v>2029</v>
      </c>
      <c r="C70">
        <f>Demand!M13</f>
        <v>1084.9187092412776</v>
      </c>
      <c r="D70">
        <f>Demand!M14</f>
        <v>315.18116438261393</v>
      </c>
      <c r="E70">
        <f>Demand!M15</f>
        <v>5062.9017659128303</v>
      </c>
      <c r="F70">
        <f>Demand!M17</f>
        <v>164.25</v>
      </c>
    </row>
    <row r="71" spans="2:6" x14ac:dyDescent="0.2">
      <c r="B71">
        <v>2030</v>
      </c>
      <c r="C71">
        <f>Demand!N13</f>
        <v>1091.6215326107899</v>
      </c>
      <c r="D71">
        <f>Demand!N14</f>
        <v>323.42317034111193</v>
      </c>
      <c r="E71">
        <f>Demand!N15</f>
        <v>5078.8219451777049</v>
      </c>
      <c r="F71">
        <f>Demand!N17</f>
        <v>219</v>
      </c>
    </row>
    <row r="72" spans="2:6" x14ac:dyDescent="0.2">
      <c r="B72">
        <v>2031</v>
      </c>
      <c r="C72">
        <f>Demand!O13</f>
        <v>1098.2302047788762</v>
      </c>
      <c r="D72">
        <f>Demand!O14</f>
        <v>331.83974387330966</v>
      </c>
      <c r="E72">
        <f>Demand!O15</f>
        <v>5094.1633758613252</v>
      </c>
      <c r="F72">
        <f>Demand!O17</f>
        <v>273.75</v>
      </c>
    </row>
    <row r="73" spans="2:6" x14ac:dyDescent="0.2">
      <c r="B73">
        <v>2032</v>
      </c>
      <c r="C73">
        <f>Demand!P13</f>
        <v>1104.7454996869665</v>
      </c>
      <c r="D73">
        <f>Demand!P14</f>
        <v>340.43424157120984</v>
      </c>
      <c r="E73">
        <f>Demand!P15</f>
        <v>5108.934299049517</v>
      </c>
      <c r="F73">
        <f>Demand!P17</f>
        <v>328.5</v>
      </c>
    </row>
    <row r="74" spans="2:6" x14ac:dyDescent="0.2">
      <c r="B74">
        <v>2033</v>
      </c>
      <c r="C74">
        <f>Demand!Q13</f>
        <v>1111.1681858908564</v>
      </c>
      <c r="D74">
        <f>Demand!Q14</f>
        <v>349.2100810669217</v>
      </c>
      <c r="E74">
        <f>Demand!Q15</f>
        <v>5123.1428610106404</v>
      </c>
      <c r="F74">
        <f>Demand!Q17</f>
        <v>383.25</v>
      </c>
    </row>
    <row r="75" spans="2:6" x14ac:dyDescent="0.2">
      <c r="B75">
        <v>2034</v>
      </c>
      <c r="C75">
        <f>Demand!R13</f>
        <v>1117.4990265952151</v>
      </c>
      <c r="D75">
        <f>Demand!R14</f>
        <v>358.17074210307521</v>
      </c>
      <c r="E75">
        <f>Demand!R15</f>
        <v>5136.7971141852477</v>
      </c>
      <c r="F75">
        <f>Demand!R17</f>
        <v>438</v>
      </c>
    </row>
    <row r="76" spans="2:6" x14ac:dyDescent="0.2">
      <c r="B76">
        <v>2035</v>
      </c>
      <c r="C76">
        <f>Demand!S13</f>
        <v>1123.7387796878829</v>
      </c>
      <c r="D76">
        <f>Demand!S14</f>
        <v>367.31976762153312</v>
      </c>
      <c r="E76">
        <f>Demand!S15</f>
        <v>5149.9050181659559</v>
      </c>
      <c r="F76">
        <f>Demand!S17</f>
        <v>492.75</v>
      </c>
    </row>
    <row r="77" spans="2:6" x14ac:dyDescent="0.2">
      <c r="B77">
        <v>2036</v>
      </c>
      <c r="C77">
        <f>Demand!T13</f>
        <v>1129.8881977739591</v>
      </c>
      <c r="D77">
        <f>Demand!T14</f>
        <v>376.6607648707066</v>
      </c>
      <c r="E77">
        <f>Demand!T15</f>
        <v>5162.4744406676664</v>
      </c>
      <c r="F77">
        <f>Demand!T17</f>
        <v>547.5</v>
      </c>
    </row>
    <row r="78" spans="2:6" x14ac:dyDescent="0.2">
      <c r="B78">
        <v>2037</v>
      </c>
      <c r="C78">
        <f>Demand!U13</f>
        <v>1135.9480282096827</v>
      </c>
      <c r="D78">
        <f>Demand!U14</f>
        <v>386.19740653178769</v>
      </c>
      <c r="E78">
        <f>Demand!U15</f>
        <v>5174.5131584881865</v>
      </c>
      <c r="F78">
        <f>Demand!U17</f>
        <v>547.5</v>
      </c>
    </row>
    <row r="79" spans="2:6" x14ac:dyDescent="0.2">
      <c r="B79">
        <v>2038</v>
      </c>
      <c r="C79">
        <f>Demand!V13</f>
        <v>1141.919013136104</v>
      </c>
      <c r="D79">
        <f>Demand!V14</f>
        <v>395.93343186421356</v>
      </c>
      <c r="E79">
        <f>Demand!V15</f>
        <v>5186.0288584593736</v>
      </c>
      <c r="F79">
        <f>Demand!V17</f>
        <v>547.5</v>
      </c>
    </row>
    <row r="80" spans="2:6" x14ac:dyDescent="0.2">
      <c r="B80">
        <v>2039</v>
      </c>
      <c r="C80">
        <f>Demand!W13</f>
        <v>1147.8018895125567</v>
      </c>
      <c r="D80">
        <f>Demand!W14</f>
        <v>405.87264787068727</v>
      </c>
      <c r="E80">
        <f>Demand!W15</f>
        <v>5197.0291383888807</v>
      </c>
      <c r="F80">
        <f>Demand!W17</f>
        <v>547.5</v>
      </c>
    </row>
    <row r="81" spans="2:6" x14ac:dyDescent="0.2">
      <c r="B81">
        <v>2040</v>
      </c>
      <c r="C81">
        <f>Demand!X13</f>
        <v>1153.5973891499157</v>
      </c>
      <c r="D81">
        <f>Demand!X14</f>
        <v>416.01893048208217</v>
      </c>
      <c r="E81">
        <f>Demand!X15</f>
        <v>5207.5215079925729</v>
      </c>
      <c r="F81">
        <f>Demand!X17</f>
        <v>547.5</v>
      </c>
    </row>
    <row r="82" spans="2:6" x14ac:dyDescent="0.2">
      <c r="B82">
        <v>2041</v>
      </c>
      <c r="C82">
        <f>Demand!Y13</f>
        <v>1159.3062387436635</v>
      </c>
      <c r="D82">
        <f>Demand!Y14</f>
        <v>426.37622576256069</v>
      </c>
      <c r="E82">
        <f>Demand!Y15</f>
        <v>5217.513389817751</v>
      </c>
      <c r="F82">
        <f>Demand!Y17</f>
        <v>547.5</v>
      </c>
    </row>
    <row r="83" spans="2:6" x14ac:dyDescent="0.2">
      <c r="B83">
        <v>2042</v>
      </c>
      <c r="C83">
        <f>Demand!Z13</f>
        <v>1164.9291599067453</v>
      </c>
      <c r="D83">
        <f>Demand!Z14</f>
        <v>436.94855113525023</v>
      </c>
      <c r="E83">
        <f>Demand!Z15</f>
        <v>5227.0121201572119</v>
      </c>
      <c r="F83">
        <f>Demand!Z17</f>
        <v>547.5</v>
      </c>
    </row>
    <row r="84" spans="2:6" x14ac:dyDescent="0.2">
      <c r="B84">
        <v>2043</v>
      </c>
      <c r="C84">
        <f>Demand!AA13</f>
        <v>1170.4668692022281</v>
      </c>
      <c r="D84">
        <f>Demand!AA14</f>
        <v>447.73999662881698</v>
      </c>
      <c r="E84">
        <f>Demand!AA15</f>
        <v>5236.0249499542961</v>
      </c>
      <c r="F84">
        <f>Demand!AA17</f>
        <v>547.5</v>
      </c>
    </row>
    <row r="85" spans="2:6" x14ac:dyDescent="0.2">
      <c r="B85">
        <v>2044</v>
      </c>
      <c r="C85">
        <f>Demand!AB13</f>
        <v>1175.9200781757579</v>
      </c>
      <c r="D85">
        <f>Demand!AB14</f>
        <v>458.75472614528729</v>
      </c>
      <c r="E85">
        <f>Demand!AB15</f>
        <v>5244.5590456989357</v>
      </c>
      <c r="F85">
        <f>Demand!AB17</f>
        <v>547.5</v>
      </c>
    </row>
    <row r="86" spans="2:6" x14ac:dyDescent="0.2">
      <c r="B86">
        <v>2045</v>
      </c>
      <c r="C86">
        <f>Demand!AC13</f>
        <v>1181.2894933878222</v>
      </c>
      <c r="D86">
        <f>Demand!AC14</f>
        <v>469.99697874947691</v>
      </c>
      <c r="E86">
        <f>Demand!AC15</f>
        <v>5252.6214903148621</v>
      </c>
      <c r="F86">
        <f>Demand!AC17</f>
        <v>547.5</v>
      </c>
    </row>
    <row r="87" spans="2:6" x14ac:dyDescent="0.2">
      <c r="B87">
        <v>2046</v>
      </c>
      <c r="C87">
        <f>Demand!AD13</f>
        <v>1186.5758164458118</v>
      </c>
      <c r="D87">
        <f>Demand!AD14</f>
        <v>481.47106998038328</v>
      </c>
      <c r="E87">
        <f>Demand!AD15</f>
        <v>5260.2192840380121</v>
      </c>
      <c r="F87">
        <f>Demand!AD17</f>
        <v>547.5</v>
      </c>
    </row>
    <row r="88" spans="2:6" x14ac:dyDescent="0.2">
      <c r="B88">
        <v>2047</v>
      </c>
      <c r="C88">
        <f>Demand!AE13</f>
        <v>1191.7797440358863</v>
      </c>
      <c r="D88">
        <f>Demand!AE14</f>
        <v>493.18139318491217</v>
      </c>
      <c r="E88">
        <f>Demand!AE15</f>
        <v>5267.3593452862087</v>
      </c>
      <c r="F88">
        <f>Demand!AE17</f>
        <v>547.5</v>
      </c>
    </row>
    <row r="89" spans="2:6" x14ac:dyDescent="0.2">
      <c r="B89">
        <v>2048</v>
      </c>
      <c r="C89">
        <f>Demand!AF13</f>
        <v>1196.9019679546498</v>
      </c>
      <c r="D89">
        <f>Demand!AF14</f>
        <v>505.13242087431206</v>
      </c>
      <c r="E89">
        <f>Demand!AF15</f>
        <v>5274.0485115202591</v>
      </c>
      <c r="F89">
        <f>Demand!AF17</f>
        <v>547.5</v>
      </c>
    </row>
    <row r="90" spans="2:6" x14ac:dyDescent="0.2">
      <c r="B90">
        <v>2049</v>
      </c>
      <c r="C90">
        <f>Demand!AG13</f>
        <v>1201.9431751406241</v>
      </c>
      <c r="D90">
        <f>Demand!AG14</f>
        <v>517.32870610369434</v>
      </c>
      <c r="E90">
        <f>Demand!AG15</f>
        <v>5280.2935400964643</v>
      </c>
      <c r="F90">
        <f>Demand!AG17</f>
        <v>547.5</v>
      </c>
    </row>
    <row r="91" spans="2:6" x14ac:dyDescent="0.2">
      <c r="B91">
        <v>2050</v>
      </c>
      <c r="C91">
        <f>Demand!AH13</f>
        <v>1206.9040477055398</v>
      </c>
      <c r="D91">
        <f>Demand!AH14</f>
        <v>529.77488387502706</v>
      </c>
      <c r="E91">
        <f>Demand!AH15</f>
        <v>5286.1011091107111</v>
      </c>
      <c r="F91">
        <f>Demand!AH17</f>
        <v>547.5</v>
      </c>
    </row>
    <row r="120" spans="2:15" x14ac:dyDescent="0.2">
      <c r="B120" t="s">
        <v>46</v>
      </c>
      <c r="J120" t="s">
        <v>47</v>
      </c>
    </row>
    <row r="121" spans="2:15" x14ac:dyDescent="0.2">
      <c r="B121" t="s">
        <v>38</v>
      </c>
      <c r="C121" t="s">
        <v>48</v>
      </c>
      <c r="D121" t="s">
        <v>49</v>
      </c>
      <c r="E121" t="s">
        <v>50</v>
      </c>
      <c r="F121" t="s">
        <v>51</v>
      </c>
      <c r="J121" t="s">
        <v>38</v>
      </c>
      <c r="K121" t="s">
        <v>48</v>
      </c>
      <c r="L121" t="s">
        <v>49</v>
      </c>
      <c r="M121" t="s">
        <v>50</v>
      </c>
      <c r="N121" t="s">
        <v>51</v>
      </c>
      <c r="O121" t="s">
        <v>52</v>
      </c>
    </row>
    <row r="122" spans="2:15" x14ac:dyDescent="0.2">
      <c r="B122">
        <v>2020</v>
      </c>
      <c r="C122">
        <f>Supply!D8</f>
        <v>3500</v>
      </c>
      <c r="D122">
        <f>Supply!D9</f>
        <v>912</v>
      </c>
      <c r="E122">
        <f>Supply!D29</f>
        <v>1595.6943241449503</v>
      </c>
      <c r="F122">
        <f>Supply!D34</f>
        <v>153.03391253625</v>
      </c>
      <c r="J122">
        <v>2020</v>
      </c>
      <c r="K122">
        <f>Energy!D9</f>
        <v>2450</v>
      </c>
      <c r="L122">
        <f>Energy!D10</f>
        <v>1641.6000000000001</v>
      </c>
      <c r="M122">
        <f>Energy!D11</f>
        <v>3570.7912925124997</v>
      </c>
      <c r="N122">
        <f>Energy!D14</f>
        <v>122.42713002900001</v>
      </c>
      <c r="O122">
        <f>Energy!D15</f>
        <v>7784.8184225415007</v>
      </c>
    </row>
    <row r="123" spans="2:15" x14ac:dyDescent="0.2">
      <c r="B123">
        <v>2021</v>
      </c>
      <c r="C123">
        <f>Supply!E8</f>
        <v>3447.5</v>
      </c>
      <c r="D123">
        <f>Supply!E9</f>
        <v>893.76</v>
      </c>
      <c r="E123">
        <f>Supply!E29</f>
        <v>1694.3585670248515</v>
      </c>
      <c r="F123">
        <f>Supply!E34</f>
        <v>161.02388017348088</v>
      </c>
      <c r="J123">
        <v>2021</v>
      </c>
      <c r="K123">
        <f>Energy!E9</f>
        <v>2449.4487499999996</v>
      </c>
      <c r="L123">
        <f>Energy!E10</f>
        <v>1624.8556800000001</v>
      </c>
      <c r="M123">
        <f>Energy!E11</f>
        <v>3580.2118038571821</v>
      </c>
      <c r="N123">
        <f>Energy!E14</f>
        <v>128.0139847379173</v>
      </c>
      <c r="O123">
        <f>Energy!E15</f>
        <v>7782.5302185950986</v>
      </c>
    </row>
    <row r="124" spans="2:15" x14ac:dyDescent="0.2">
      <c r="B124">
        <v>2022</v>
      </c>
      <c r="C124">
        <f>Supply!F8</f>
        <v>3395.7874999999999</v>
      </c>
      <c r="D124">
        <f>Supply!F9</f>
        <v>875.88479999999993</v>
      </c>
      <c r="E124">
        <f>Supply!F29</f>
        <v>1791.1741394860464</v>
      </c>
      <c r="F124">
        <f>Supply!F34</f>
        <v>169.09843712266542</v>
      </c>
      <c r="J124">
        <v>2022</v>
      </c>
      <c r="K124">
        <f>Energy!F9</f>
        <v>2448.8976240312491</v>
      </c>
      <c r="L124">
        <f>Energy!F10</f>
        <v>1608.282152064</v>
      </c>
      <c r="M124">
        <f>Energy!F11</f>
        <v>3589.0280532157562</v>
      </c>
      <c r="N124">
        <f>Energy!F14</f>
        <v>133.5877653269057</v>
      </c>
      <c r="O124">
        <f>Energy!F15</f>
        <v>7779.7955946379107</v>
      </c>
    </row>
    <row r="125" spans="2:15" x14ac:dyDescent="0.2">
      <c r="B125">
        <v>2023</v>
      </c>
      <c r="C125">
        <f>Supply!G8</f>
        <v>3344.8506875000003</v>
      </c>
      <c r="D125">
        <f>Supply!G9</f>
        <v>858.36710399999993</v>
      </c>
      <c r="E125">
        <f>Supply!G29</f>
        <v>1886.174854407428</v>
      </c>
      <c r="F125">
        <f>Supply!G34</f>
        <v>177.25569616731241</v>
      </c>
      <c r="J125">
        <v>2023</v>
      </c>
      <c r="K125">
        <f>Energy!G9</f>
        <v>2448.346622065842</v>
      </c>
      <c r="L125">
        <f>Energy!G10</f>
        <v>1591.8776741129468</v>
      </c>
      <c r="M125">
        <f>Energy!G11</f>
        <v>3597.2479516307521</v>
      </c>
      <c r="N125">
        <f>Energy!G14</f>
        <v>139.14572149134025</v>
      </c>
      <c r="O125">
        <f>Energy!G15</f>
        <v>7776.6179693008808</v>
      </c>
    </row>
    <row r="126" spans="2:15" x14ac:dyDescent="0.2">
      <c r="B126">
        <v>2024</v>
      </c>
      <c r="C126">
        <f>Supply!H8</f>
        <v>3294.6779271874998</v>
      </c>
      <c r="D126">
        <f>Supply!H9</f>
        <v>841.1997619199999</v>
      </c>
      <c r="E126">
        <f>Supply!H29</f>
        <v>1979.3941228911738</v>
      </c>
      <c r="F126">
        <f>Supply!H34</f>
        <v>185.49379105623368</v>
      </c>
      <c r="J126">
        <v>2024</v>
      </c>
      <c r="K126">
        <f>Energy!H9</f>
        <v>2447.7957440758764</v>
      </c>
      <c r="L126">
        <f>Energy!H10</f>
        <v>1575.640521836995</v>
      </c>
      <c r="M126">
        <f>Energy!H11</f>
        <v>3604.8793356211445</v>
      </c>
      <c r="N126">
        <f>Energy!H14</f>
        <v>144.68515702386227</v>
      </c>
      <c r="O126">
        <f>Energy!H15</f>
        <v>7773.0007585578778</v>
      </c>
    </row>
    <row r="127" spans="2:15" x14ac:dyDescent="0.2">
      <c r="B127">
        <v>2025</v>
      </c>
      <c r="C127">
        <f>Supply!I8</f>
        <v>3245.2577582796876</v>
      </c>
      <c r="D127">
        <f>Supply!I9</f>
        <v>824.37576668159988</v>
      </c>
      <c r="E127">
        <f>Supply!I29</f>
        <v>2070.8649620595402</v>
      </c>
      <c r="F127">
        <f>Supply!I34</f>
        <v>193.81087632003215</v>
      </c>
      <c r="J127">
        <v>2025</v>
      </c>
      <c r="K127">
        <f>Energy!I9</f>
        <v>2447.2449900334591</v>
      </c>
      <c r="L127">
        <f>Energy!I10</f>
        <v>1559.5689885142574</v>
      </c>
      <c r="M127">
        <f>Energy!I11</f>
        <v>3611.9299677824174</v>
      </c>
      <c r="N127">
        <f>Energy!I14</f>
        <v>150.20342914802492</v>
      </c>
      <c r="O127">
        <f>Energy!I15</f>
        <v>7768.9473754781593</v>
      </c>
    </row>
    <row r="128" spans="2:15" x14ac:dyDescent="0.2">
      <c r="B128">
        <v>2026</v>
      </c>
      <c r="C128">
        <f>Supply!J8</f>
        <v>3196.5788919054921</v>
      </c>
      <c r="D128">
        <f>Supply!J9</f>
        <v>807.88825134796787</v>
      </c>
      <c r="E128">
        <f>Supply!J29</f>
        <v>2160.6200027569244</v>
      </c>
      <c r="F128">
        <f>Supply!J34</f>
        <v>202.20512708900591</v>
      </c>
      <c r="J128">
        <v>2026</v>
      </c>
      <c r="K128">
        <f>Energy!J9</f>
        <v>2446.6943599107012</v>
      </c>
      <c r="L128">
        <f>Energy!J10</f>
        <v>1543.6613848314123</v>
      </c>
      <c r="M128">
        <f>Energy!J11</f>
        <v>3618.4075373822111</v>
      </c>
      <c r="N128">
        <f>Energy!J14</f>
        <v>155.69794785853455</v>
      </c>
      <c r="O128">
        <f>Energy!J15</f>
        <v>7764.4612299828586</v>
      </c>
    </row>
    <row r="129" spans="2:15" x14ac:dyDescent="0.2">
      <c r="B129">
        <v>2027</v>
      </c>
      <c r="C129">
        <f>Supply!K8</f>
        <v>3148.6302085269099</v>
      </c>
      <c r="D129">
        <f>Supply!K9</f>
        <v>791.73048632100847</v>
      </c>
      <c r="E129">
        <f>Supply!K29</f>
        <v>2303.4414971592614</v>
      </c>
      <c r="F129">
        <f>Supply!K34</f>
        <v>210.67473891245871</v>
      </c>
      <c r="J129">
        <v>2027</v>
      </c>
      <c r="K129">
        <f>Energy!K9</f>
        <v>2446.1438536797214</v>
      </c>
      <c r="L129">
        <f>Energy!K10</f>
        <v>1527.9160387061313</v>
      </c>
      <c r="M129">
        <f>Energy!K11</f>
        <v>3624.3196609516203</v>
      </c>
      <c r="N129">
        <f>Energy!K14</f>
        <v>161.16617526803091</v>
      </c>
      <c r="O129">
        <f>Energy!K15</f>
        <v>7759.5457286055034</v>
      </c>
    </row>
    <row r="130" spans="2:15" x14ac:dyDescent="0.2">
      <c r="B130">
        <v>2028</v>
      </c>
      <c r="C130">
        <f>Supply!L8</f>
        <v>3101.4007553990064</v>
      </c>
      <c r="D130">
        <f>Supply!L9</f>
        <v>775.89587659458823</v>
      </c>
      <c r="E130">
        <f>Supply!L29</f>
        <v>2444.6113262929493</v>
      </c>
      <c r="F130">
        <f>Supply!L34</f>
        <v>219.21792757940622</v>
      </c>
      <c r="J130">
        <v>2028</v>
      </c>
      <c r="K130">
        <f>Energy!L9</f>
        <v>2445.593471312643</v>
      </c>
      <c r="L130">
        <f>Energy!L10</f>
        <v>1512.3312951113292</v>
      </c>
      <c r="M130">
        <f>Energy!L11</f>
        <v>3629.6738828721359</v>
      </c>
      <c r="N130">
        <f>Energy!L14</f>
        <v>166.60562496034873</v>
      </c>
      <c r="O130">
        <f>Energy!L15</f>
        <v>7754.2042742564563</v>
      </c>
    </row>
    <row r="131" spans="2:15" x14ac:dyDescent="0.2">
      <c r="B131">
        <v>2029</v>
      </c>
      <c r="C131">
        <f>Supply!M8</f>
        <v>3054.879744068021</v>
      </c>
      <c r="D131">
        <f>Supply!M9</f>
        <v>760.3779590626965</v>
      </c>
      <c r="E131">
        <f>Supply!M29</f>
        <v>2584.1610074653358</v>
      </c>
      <c r="F131">
        <f>Supply!M34</f>
        <v>227.8329289406683</v>
      </c>
      <c r="J131">
        <v>2029</v>
      </c>
      <c r="K131">
        <f>Energy!M9</f>
        <v>2445.043212781597</v>
      </c>
      <c r="L131">
        <f>Energy!M10</f>
        <v>1496.9055159011939</v>
      </c>
      <c r="M131">
        <f>Energy!M11</f>
        <v>3634.4776759582801</v>
      </c>
      <c r="N131">
        <f>Energy!M14</f>
        <v>172.01386135020456</v>
      </c>
      <c r="O131">
        <f>Energy!M15</f>
        <v>7748.4402659912757</v>
      </c>
    </row>
    <row r="132" spans="2:15" x14ac:dyDescent="0.2">
      <c r="B132">
        <v>2030</v>
      </c>
      <c r="C132">
        <f>Supply!N8</f>
        <v>3009.056547907001</v>
      </c>
      <c r="D132">
        <f>Supply!N9</f>
        <v>745.17039988144245</v>
      </c>
      <c r="E132">
        <f>Supply!N29</f>
        <v>2722.1217016088258</v>
      </c>
      <c r="F132">
        <f>Supply!N34</f>
        <v>236.51799873233784</v>
      </c>
      <c r="J132">
        <v>2030</v>
      </c>
      <c r="K132">
        <f>Energy!N9</f>
        <v>2444.493078058721</v>
      </c>
      <c r="L132">
        <f>Energy!N10</f>
        <v>1481.6370796390015</v>
      </c>
      <c r="M132">
        <f>Energy!N11</f>
        <v>3638.7384420359667</v>
      </c>
      <c r="N132">
        <f>Energy!N14</f>
        <v>177.38849904925337</v>
      </c>
      <c r="O132">
        <f>Energy!N15</f>
        <v>7742.2570987829422</v>
      </c>
    </row>
    <row r="133" spans="2:15" x14ac:dyDescent="0.2">
      <c r="B133">
        <v>2031</v>
      </c>
      <c r="C133">
        <f>Supply!O8</f>
        <v>2963.9206996883959</v>
      </c>
      <c r="D133">
        <f>Supply!O9</f>
        <v>730.2669918838136</v>
      </c>
      <c r="E133">
        <f>Supply!O29</f>
        <v>2858.5242205406857</v>
      </c>
      <c r="F133">
        <f>Supply!O34</f>
        <v>245.27141240061565</v>
      </c>
      <c r="J133">
        <v>2031</v>
      </c>
      <c r="K133">
        <f>Energy!O9</f>
        <v>2443.9430671161576</v>
      </c>
      <c r="L133">
        <f>Energy!O10</f>
        <v>1466.5243814266832</v>
      </c>
      <c r="M133">
        <f>Energy!O11</f>
        <v>3642.4635125166064</v>
      </c>
      <c r="N133">
        <f>Energy!O14</f>
        <v>182.72720223845866</v>
      </c>
      <c r="O133">
        <f>Energy!O15</f>
        <v>7735.658163297906</v>
      </c>
    </row>
    <row r="134" spans="2:15" x14ac:dyDescent="0.2">
      <c r="B134">
        <v>2032</v>
      </c>
      <c r="C134">
        <f>Supply!P8</f>
        <v>2919.46188919307</v>
      </c>
      <c r="D134">
        <f>Supply!P9</f>
        <v>715.66165204613731</v>
      </c>
      <c r="E134">
        <f>Supply!P29</f>
        <v>2993.3990341404842</v>
      </c>
      <c r="F134">
        <f>Supply!P34</f>
        <v>254.09146492800227</v>
      </c>
      <c r="J134">
        <v>2032</v>
      </c>
      <c r="K134">
        <f>Energy!P9</f>
        <v>2443.3931799260563</v>
      </c>
      <c r="L134">
        <f>Energy!P10</f>
        <v>1451.5658327361309</v>
      </c>
      <c r="M134">
        <f>Energy!P11</f>
        <v>3645.6601489669893</v>
      </c>
      <c r="N134">
        <f>Energy!P14</f>
        <v>188.02768404672167</v>
      </c>
      <c r="O134">
        <f>Energy!P15</f>
        <v>7728.6468456758976</v>
      </c>
    </row>
    <row r="135" spans="2:15" x14ac:dyDescent="0.2">
      <c r="B135">
        <v>2033</v>
      </c>
      <c r="C135">
        <f>Supply!Q8</f>
        <v>2875.6699608551739</v>
      </c>
      <c r="D135">
        <f>Supply!Q9</f>
        <v>701.34841900521451</v>
      </c>
      <c r="E135">
        <f>Supply!Q29</f>
        <v>3126.7762774471939</v>
      </c>
      <c r="F135">
        <f>Supply!Q34</f>
        <v>262.97647066083601</v>
      </c>
      <c r="J135">
        <v>2033</v>
      </c>
      <c r="K135">
        <f>Energy!Q9</f>
        <v>2442.8434164605728</v>
      </c>
      <c r="L135">
        <f>Energy!Q10</f>
        <v>1436.7598612422223</v>
      </c>
      <c r="M135">
        <f>Energy!Q11</f>
        <v>3648.3355436749785</v>
      </c>
      <c r="N135">
        <f>Energy!Q14</f>
        <v>193.28770593571448</v>
      </c>
      <c r="O135">
        <f>Energy!Q15</f>
        <v>7721.2265273134872</v>
      </c>
    </row>
    <row r="136" spans="2:15" x14ac:dyDescent="0.2">
      <c r="B136">
        <v>2034</v>
      </c>
      <c r="C136">
        <f>Supply!R8</f>
        <v>2832.5349114423466</v>
      </c>
      <c r="D136">
        <f>Supply!R9</f>
        <v>687.32145062511029</v>
      </c>
      <c r="E136">
        <f>Supply!R29</f>
        <v>3258.6857576779116</v>
      </c>
      <c r="F136">
        <f>Supply!R34</f>
        <v>271.924763138169</v>
      </c>
      <c r="J136">
        <v>2034</v>
      </c>
      <c r="K136">
        <f>Energy!R9</f>
        <v>2442.2937766918685</v>
      </c>
      <c r="L136">
        <f>Energy!R10</f>
        <v>1422.1049106575522</v>
      </c>
      <c r="M136">
        <f>Energy!R11</f>
        <v>3650.4968202110358</v>
      </c>
      <c r="N136">
        <f>Energy!R14</f>
        <v>198.50507709086335</v>
      </c>
      <c r="O136">
        <f>Energy!R15</f>
        <v>7713.4005846513201</v>
      </c>
    </row>
    <row r="137" spans="2:15" x14ac:dyDescent="0.2">
      <c r="B137">
        <v>2035</v>
      </c>
      <c r="C137">
        <f>Supply!S8</f>
        <v>2790.0468877707108</v>
      </c>
      <c r="D137">
        <f>Supply!S9</f>
        <v>673.575021612608</v>
      </c>
      <c r="E137">
        <f>Supply!S29</f>
        <v>3389.1569611700825</v>
      </c>
      <c r="F137">
        <f>Supply!S34</f>
        <v>280.93469492197073</v>
      </c>
      <c r="J137">
        <v>2035</v>
      </c>
      <c r="K137">
        <f>Energy!S9</f>
        <v>2441.7442605921119</v>
      </c>
      <c r="L137">
        <f>Energy!S10</f>
        <v>1407.5994405688446</v>
      </c>
      <c r="M137">
        <f>Energy!S11</f>
        <v>3652.1510339856195</v>
      </c>
      <c r="N137">
        <f>Energy!S14</f>
        <v>203.67765381842881</v>
      </c>
      <c r="O137">
        <f>Energy!S15</f>
        <v>7705.1723889650048</v>
      </c>
    </row>
    <row r="138" spans="2:15" x14ac:dyDescent="0.2">
      <c r="B138">
        <v>2036</v>
      </c>
      <c r="C138">
        <f>Supply!T8</f>
        <v>2748.1961844541502</v>
      </c>
      <c r="D138">
        <f>Supply!T9</f>
        <v>660.10352118035587</v>
      </c>
      <c r="E138">
        <f>Supply!T29</f>
        <v>3518.2190602491764</v>
      </c>
      <c r="F138">
        <f>Supply!T34</f>
        <v>290.00463742864946</v>
      </c>
      <c r="J138">
        <v>2036</v>
      </c>
      <c r="K138">
        <f>Energy!T9</f>
        <v>2441.1948681334784</v>
      </c>
      <c r="L138">
        <f>Energy!T10</f>
        <v>1393.2419262750429</v>
      </c>
      <c r="M138">
        <f>Energy!T11</f>
        <v>3653.3051728024675</v>
      </c>
      <c r="N138">
        <f>Energy!T14</f>
        <v>208.80333894862761</v>
      </c>
      <c r="O138">
        <f>Energy!T15</f>
        <v>7696.5453061596163</v>
      </c>
    </row>
    <row r="139" spans="2:15" x14ac:dyDescent="0.2">
      <c r="B139">
        <v>2037</v>
      </c>
      <c r="C139">
        <f>Supply!U8</f>
        <v>2706.973241687338</v>
      </c>
      <c r="D139">
        <f>Supply!U9</f>
        <v>646.90145075674877</v>
      </c>
      <c r="E139">
        <f>Supply!U29</f>
        <v>3591.1509200236869</v>
      </c>
      <c r="F139">
        <f>Supply!U34</f>
        <v>299.13298076188306</v>
      </c>
      <c r="J139">
        <v>2037</v>
      </c>
      <c r="K139">
        <f>Energy!U9</f>
        <v>2440.6455992881483</v>
      </c>
      <c r="L139">
        <f>Energy!U10</f>
        <v>1379.0308586270376</v>
      </c>
      <c r="M139">
        <f>Energy!U11</f>
        <v>3653.9661574078127</v>
      </c>
      <c r="N139">
        <f>Energy!U14</f>
        <v>213.88008124474641</v>
      </c>
      <c r="O139">
        <f>Energy!U15</f>
        <v>7687.5226965677448</v>
      </c>
    </row>
    <row r="140" spans="2:15" x14ac:dyDescent="0.2">
      <c r="B140">
        <v>2038</v>
      </c>
      <c r="C140">
        <f>Supply!V8</f>
        <v>2666.3686430620278</v>
      </c>
      <c r="D140">
        <f>Supply!V9</f>
        <v>633.96342174161373</v>
      </c>
      <c r="E140">
        <f>Supply!V29</f>
        <v>3662.7311051093011</v>
      </c>
      <c r="F140">
        <f>Supply!V34</f>
        <v>308.31813354674802</v>
      </c>
      <c r="J140">
        <v>2038</v>
      </c>
      <c r="K140">
        <f>Energy!V9</f>
        <v>2440.096454028308</v>
      </c>
      <c r="L140">
        <f>Energy!V10</f>
        <v>1364.9647438690417</v>
      </c>
      <c r="M140">
        <f>Energy!V11</f>
        <v>3654.1408420355328</v>
      </c>
      <c r="N140">
        <f>Energy!V14</f>
        <v>218.90587481819111</v>
      </c>
      <c r="O140">
        <f>Energy!V15</f>
        <v>7678.1079147510745</v>
      </c>
    </row>
    <row r="141" spans="2:15" x14ac:dyDescent="0.2">
      <c r="B141">
        <v>2039</v>
      </c>
      <c r="C141">
        <f>Supply!W8</f>
        <v>2626.3731134160976</v>
      </c>
      <c r="D141">
        <f>Supply!W9</f>
        <v>621.28415330678149</v>
      </c>
      <c r="E141">
        <f>Supply!W29</f>
        <v>3732.9878862841051</v>
      </c>
      <c r="F141">
        <f>Supply!W34</f>
        <v>317.55852276514065</v>
      </c>
      <c r="J141">
        <v>2039</v>
      </c>
      <c r="K141">
        <f>Energy!W9</f>
        <v>2439.5474323261515</v>
      </c>
      <c r="L141">
        <f>Energy!W10</f>
        <v>1351.0421034815772</v>
      </c>
      <c r="M141">
        <f>Energy!W11</f>
        <v>3653.836014948306</v>
      </c>
      <c r="N141">
        <f>Energy!W14</f>
        <v>223.87875854942419</v>
      </c>
      <c r="O141">
        <f>Energy!W15</f>
        <v>7668.3043093054584</v>
      </c>
    </row>
    <row r="142" spans="2:15" x14ac:dyDescent="0.2">
      <c r="B142">
        <v>2040</v>
      </c>
      <c r="C142">
        <f>Supply!X8</f>
        <v>2586.9775167148564</v>
      </c>
      <c r="D142">
        <f>Supply!X9</f>
        <v>608.85847024064583</v>
      </c>
      <c r="E142">
        <f>Supply!X29</f>
        <v>3801.9492470765913</v>
      </c>
      <c r="F142">
        <f>Supply!X34</f>
        <v>326.85259359247613</v>
      </c>
      <c r="J142">
        <v>2040</v>
      </c>
      <c r="K142">
        <f>Energy!X9</f>
        <v>2438.9985341538777</v>
      </c>
      <c r="L142">
        <f>Energy!X10</f>
        <v>1337.2614740260653</v>
      </c>
      <c r="M142">
        <f>Energy!X11</f>
        <v>3653.0583989747329</v>
      </c>
      <c r="N142">
        <f>Energy!X14</f>
        <v>228.79681551473331</v>
      </c>
      <c r="O142">
        <f>Energy!X15</f>
        <v>7658.1152226694094</v>
      </c>
    </row>
    <row r="143" spans="2:15" x14ac:dyDescent="0.2">
      <c r="B143">
        <v>2041</v>
      </c>
      <c r="C143">
        <f>Supply!Y8</f>
        <v>2548.1728539641335</v>
      </c>
      <c r="D143">
        <f>Supply!Y9</f>
        <v>596.68130083583287</v>
      </c>
      <c r="E143">
        <f>Supply!Y29</f>
        <v>3869.6428902883463</v>
      </c>
      <c r="F143">
        <f>Supply!Y34</f>
        <v>336.1988092356624</v>
      </c>
      <c r="J143">
        <v>2041</v>
      </c>
      <c r="K143">
        <f>Energy!Y9</f>
        <v>2438.449759483693</v>
      </c>
      <c r="L143">
        <f>Energy!Y10</f>
        <v>1323.621406990999</v>
      </c>
      <c r="M143">
        <f>Energy!Y11</f>
        <v>3651.8146520425398</v>
      </c>
      <c r="N143">
        <f>Energy!Y14</f>
        <v>233.6581724187854</v>
      </c>
      <c r="O143">
        <f>Energy!Y15</f>
        <v>7647.5439909360175</v>
      </c>
    </row>
    <row r="144" spans="2:15" x14ac:dyDescent="0.2">
      <c r="B144">
        <v>2042</v>
      </c>
      <c r="C144">
        <f>Supply!Z8</f>
        <v>2509.9502611546714</v>
      </c>
      <c r="D144">
        <f>Supply!Z9</f>
        <v>584.74767481911624</v>
      </c>
      <c r="E144">
        <f>Supply!Z29</f>
        <v>3936.0962444530855</v>
      </c>
      <c r="F144">
        <f>Supply!Z34</f>
        <v>345.59565077233441</v>
      </c>
      <c r="J144">
        <v>2042</v>
      </c>
      <c r="K144">
        <f>Energy!Z9</f>
        <v>2437.9011082878083</v>
      </c>
      <c r="L144">
        <f>Energy!Z10</f>
        <v>1310.1204686396914</v>
      </c>
      <c r="M144">
        <f>Energy!Z11</f>
        <v>3650.1113677078019</v>
      </c>
      <c r="N144">
        <f>Energy!Z14</f>
        <v>238.46099903291076</v>
      </c>
      <c r="O144">
        <f>Energy!Z15</f>
        <v>7636.593943668212</v>
      </c>
    </row>
    <row r="145" spans="2:15" x14ac:dyDescent="0.2">
      <c r="B145">
        <v>2043</v>
      </c>
      <c r="C145">
        <f>Supply!AA8</f>
        <v>2472.3010072373513</v>
      </c>
      <c r="D145">
        <f>Supply!AA9</f>
        <v>573.05272132273387</v>
      </c>
      <c r="E145">
        <f>Supply!AA29</f>
        <v>4001.336470233914</v>
      </c>
      <c r="F145">
        <f>Supply!AA34</f>
        <v>355.04161699134249</v>
      </c>
      <c r="J145">
        <v>2043</v>
      </c>
      <c r="K145">
        <f>Energy!AA9</f>
        <v>2437.3525805384438</v>
      </c>
      <c r="L145">
        <f>Energy!AA10</f>
        <v>1296.757239859566</v>
      </c>
      <c r="M145">
        <f>Energy!AA11</f>
        <v>3647.9550756802773</v>
      </c>
      <c r="N145">
        <f>Energy!AA14</f>
        <v>243.20350763906961</v>
      </c>
      <c r="O145">
        <f>Energy!AA15</f>
        <v>7625.2684037173567</v>
      </c>
    </row>
    <row r="146" spans="2:15" x14ac:dyDescent="0.2">
      <c r="B146">
        <v>2044</v>
      </c>
      <c r="C146">
        <f>Supply!AB8</f>
        <v>2435.2164921287908</v>
      </c>
      <c r="D146">
        <f>Supply!AB9</f>
        <v>561.59166689627921</v>
      </c>
      <c r="E146">
        <f>Supply!AB29</f>
        <v>4065.3904667604256</v>
      </c>
      <c r="F146">
        <f>Supply!AB34</f>
        <v>364.53522423448493</v>
      </c>
      <c r="J146">
        <v>2044</v>
      </c>
      <c r="K146">
        <f>Energy!AB9</f>
        <v>2436.8041762078219</v>
      </c>
      <c r="L146">
        <f>Energy!AB10</f>
        <v>1283.5303160129988</v>
      </c>
      <c r="M146">
        <f>Energy!AB11</f>
        <v>3645.3522423448494</v>
      </c>
      <c r="N146">
        <f>Energy!AB14</f>
        <v>247.88395247944976</v>
      </c>
      <c r="O146">
        <f>Energy!AB15</f>
        <v>7613.5706870451195</v>
      </c>
    </row>
    <row r="147" spans="2:15" x14ac:dyDescent="0.2">
      <c r="B147">
        <v>2045</v>
      </c>
      <c r="C147">
        <f>Supply!AC8</f>
        <v>2398.6882447468593</v>
      </c>
      <c r="D147">
        <f>Supply!AC9</f>
        <v>550.35983355835356</v>
      </c>
      <c r="E147">
        <f>Supply!AC29</f>
        <v>4128.2848779074711</v>
      </c>
      <c r="F147">
        <f>Supply!AC34</f>
        <v>374.07500623947698</v>
      </c>
      <c r="J147">
        <v>2045</v>
      </c>
      <c r="K147">
        <f>Energy!AC9</f>
        <v>2436.2558952681752</v>
      </c>
      <c r="L147">
        <f>Energy!AC10</f>
        <v>1270.4383067896663</v>
      </c>
      <c r="M147">
        <f>Energy!AC11</f>
        <v>3642.3092712791185</v>
      </c>
      <c r="N147">
        <f>Energy!AC14</f>
        <v>252.50062921164698</v>
      </c>
      <c r="O147">
        <f>Energy!AC15</f>
        <v>7601.5041025486071</v>
      </c>
    </row>
    <row r="148" spans="2:15" x14ac:dyDescent="0.2">
      <c r="B148">
        <v>2046</v>
      </c>
      <c r="C148">
        <f>Supply!AD8</f>
        <v>2362.707921075656</v>
      </c>
      <c r="D148">
        <f>Supply!AD9</f>
        <v>539.35263688718646</v>
      </c>
      <c r="E148">
        <f>Supply!AD29</f>
        <v>4190.0460985172194</v>
      </c>
      <c r="F148">
        <f>Supply!AD34</f>
        <v>383.6595139841458</v>
      </c>
      <c r="J148">
        <v>2046</v>
      </c>
      <c r="K148">
        <f>Energy!AD9</f>
        <v>2435.7077376917391</v>
      </c>
      <c r="L148">
        <f>Energy!AD10</f>
        <v>1257.4798360604116</v>
      </c>
      <c r="M148">
        <f>Energy!AD11</f>
        <v>3638.8325037671561</v>
      </c>
      <c r="N148">
        <f>Energy!AD14</f>
        <v>257.05187436937769</v>
      </c>
      <c r="O148">
        <f>Energy!AD15</f>
        <v>7589.0719518886835</v>
      </c>
    </row>
    <row r="149" spans="2:15" x14ac:dyDescent="0.2">
      <c r="B149">
        <v>2047</v>
      </c>
      <c r="C149">
        <f>Supply!AE8</f>
        <v>2327.2673022595213</v>
      </c>
      <c r="D149">
        <f>Supply!AE9</f>
        <v>528.56558414944266</v>
      </c>
      <c r="E149">
        <f>Supply!AE29</f>
        <v>4250.7002805662014</v>
      </c>
      <c r="F149">
        <f>Supply!AE34</f>
        <v>393.28731553184247</v>
      </c>
      <c r="J149">
        <v>2047</v>
      </c>
      <c r="K149">
        <f>Energy!AE9</f>
        <v>2435.1597034507586</v>
      </c>
      <c r="L149">
        <f>Energy!AE10</f>
        <v>1244.6535417325947</v>
      </c>
      <c r="M149">
        <f>Energy!AE11</f>
        <v>3634.9282193094532</v>
      </c>
      <c r="N149">
        <f>Energy!AE14</f>
        <v>261.53606482867525</v>
      </c>
      <c r="O149">
        <f>Energy!AE15</f>
        <v>7576.2775293214818</v>
      </c>
    </row>
    <row r="150" spans="2:15" x14ac:dyDescent="0.2">
      <c r="B150">
        <v>2048</v>
      </c>
      <c r="C150">
        <f>Supply!AF8</f>
        <v>2292.3582927256284</v>
      </c>
      <c r="D150">
        <f>Supply!AF9</f>
        <v>517.99427246645382</v>
      </c>
      <c r="E150">
        <f>Supply!AF29</f>
        <v>4310.2733392790733</v>
      </c>
      <c r="F150">
        <f>Supply!AF34</f>
        <v>402.95699587806541</v>
      </c>
      <c r="J150">
        <v>2048</v>
      </c>
      <c r="K150">
        <f>Energy!AF9</f>
        <v>2434.6117925174813</v>
      </c>
      <c r="L150">
        <f>Energy!AF10</f>
        <v>1231.9580756069226</v>
      </c>
      <c r="M150">
        <f>Energy!AF11</f>
        <v>3630.6026361291042</v>
      </c>
      <c r="N150">
        <f>Energy!AF14</f>
        <v>265.95161727952319</v>
      </c>
      <c r="O150">
        <f>Energy!AF15</f>
        <v>7563.124121533031</v>
      </c>
    </row>
    <row r="151" spans="2:15" x14ac:dyDescent="0.2">
      <c r="B151">
        <v>2049</v>
      </c>
      <c r="C151">
        <f>Supply!AG8</f>
        <v>2257.972918334744</v>
      </c>
      <c r="D151">
        <f>Supply!AG9</f>
        <v>507.63438701712477</v>
      </c>
      <c r="E151">
        <f>Supply!AG29</f>
        <v>4368.7909591906327</v>
      </c>
      <c r="F151">
        <f>Supply!AG34</f>
        <v>412.66715679828093</v>
      </c>
      <c r="J151">
        <v>2049</v>
      </c>
      <c r="K151">
        <f>Energy!AG9</f>
        <v>2434.0640048641649</v>
      </c>
      <c r="L151">
        <f>Energy!AG10</f>
        <v>1219.3921032357321</v>
      </c>
      <c r="M151">
        <f>Energy!AG11</f>
        <v>3625.8619116742161</v>
      </c>
      <c r="N151">
        <f>Energy!AG14</f>
        <v>270.29698770287399</v>
      </c>
      <c r="O151">
        <f>Energy!AG15</f>
        <v>7549.6150074769866</v>
      </c>
    </row>
    <row r="152" spans="2:15" x14ac:dyDescent="0.2">
      <c r="B152">
        <v>2050</v>
      </c>
      <c r="C152">
        <f>Supply!AH8</f>
        <v>2224.1033245597232</v>
      </c>
      <c r="D152">
        <f>Supply!AH9</f>
        <v>497.48169927678225</v>
      </c>
      <c r="E152">
        <f>Supply!AH29</f>
        <v>4426.2786001578343</v>
      </c>
      <c r="F152">
        <f>Supply!AH34</f>
        <v>422.41641669693894</v>
      </c>
      <c r="J152">
        <v>2050</v>
      </c>
      <c r="K152">
        <f>Energy!AH9</f>
        <v>2433.5163404630703</v>
      </c>
      <c r="L152">
        <f>Energy!AH10</f>
        <v>1206.9543037827277</v>
      </c>
      <c r="M152">
        <f>Energy!AH11</f>
        <v>3620.7121431166197</v>
      </c>
      <c r="N152">
        <f>Energy!AH14</f>
        <v>274.57067085301031</v>
      </c>
      <c r="O152">
        <f>Energy!AH15</f>
        <v>7535.7534582154285</v>
      </c>
    </row>
    <row r="200" spans="2:6" x14ac:dyDescent="0.2">
      <c r="B200" t="s">
        <v>53</v>
      </c>
    </row>
    <row r="201" spans="2:6" x14ac:dyDescent="0.2">
      <c r="B201" t="s">
        <v>38</v>
      </c>
      <c r="C201" t="s">
        <v>39</v>
      </c>
      <c r="D201" t="s">
        <v>40</v>
      </c>
      <c r="E201" t="s">
        <v>41</v>
      </c>
      <c r="F201" t="s">
        <v>42</v>
      </c>
    </row>
    <row r="202" spans="2:6" x14ac:dyDescent="0.2">
      <c r="B202">
        <v>2020</v>
      </c>
      <c r="C202">
        <f>Demand!D13</f>
        <v>1020.226083575</v>
      </c>
      <c r="D202">
        <f>Demand!D14</f>
        <v>248.33370415619999</v>
      </c>
      <c r="E202">
        <f>Demand!D15</f>
        <v>4892.1684489500003</v>
      </c>
      <c r="F202">
        <f>Demand!D17</f>
        <v>0</v>
      </c>
    </row>
    <row r="203" spans="2:6" x14ac:dyDescent="0.2">
      <c r="B203">
        <v>2021</v>
      </c>
      <c r="C203">
        <f>Demand!E13</f>
        <v>1027.8120011073249</v>
      </c>
      <c r="D203">
        <f>Demand!E14</f>
        <v>255.14608417068769</v>
      </c>
      <c r="E203">
        <f>Demand!E15</f>
        <v>4913.68436192032</v>
      </c>
      <c r="F203">
        <f>Demand!E17</f>
        <v>0</v>
      </c>
    </row>
    <row r="204" spans="2:6" x14ac:dyDescent="0.2">
      <c r="B204">
        <v>2022</v>
      </c>
      <c r="C204">
        <f>Demand!F13</f>
        <v>1035.2965538122373</v>
      </c>
      <c r="D204">
        <f>Demand!F14</f>
        <v>262.1054012940923</v>
      </c>
      <c r="E204">
        <f>Demand!F15</f>
        <v>4934.5429215023814</v>
      </c>
      <c r="F204">
        <f>Demand!F17</f>
        <v>0</v>
      </c>
    </row>
    <row r="205" spans="2:6" x14ac:dyDescent="0.2">
      <c r="B205">
        <v>2023</v>
      </c>
      <c r="C205">
        <f>Demand!G13</f>
        <v>1042.6805656900731</v>
      </c>
      <c r="D205">
        <f>Demand!G14</f>
        <v>269.2145080526999</v>
      </c>
      <c r="E205">
        <f>Demand!G15</f>
        <v>4954.7532683319678</v>
      </c>
      <c r="F205">
        <f>Demand!G17</f>
        <v>0</v>
      </c>
    </row>
    <row r="206" spans="2:6" x14ac:dyDescent="0.2">
      <c r="B206">
        <v>2024</v>
      </c>
      <c r="C206">
        <f>Demand!H13</f>
        <v>1049.9648550352849</v>
      </c>
      <c r="D206">
        <f>Demand!H14</f>
        <v>276.47630915431745</v>
      </c>
      <c r="E206">
        <f>Demand!H15</f>
        <v>4974.3244388653047</v>
      </c>
      <c r="F206">
        <f>Demand!H17</f>
        <v>0</v>
      </c>
    </row>
    <row r="207" spans="2:6" x14ac:dyDescent="0.2">
      <c r="B207">
        <v>2025</v>
      </c>
      <c r="C207">
        <f>Demand!I13</f>
        <v>1057.1502344729026</v>
      </c>
      <c r="D207">
        <f>Demand!I14</f>
        <v>283.8937624070245</v>
      </c>
      <c r="E207">
        <f>Demand!I15</f>
        <v>4993.2653664609334</v>
      </c>
      <c r="F207">
        <f>Demand!I17</f>
        <v>0</v>
      </c>
    </row>
    <row r="208" spans="2:6" x14ac:dyDescent="0.2">
      <c r="B208">
        <v>2026</v>
      </c>
      <c r="C208">
        <f>Demand!J13</f>
        <v>1064.2375109947679</v>
      </c>
      <c r="D208">
        <f>Demand!J14</f>
        <v>291.46987965367595</v>
      </c>
      <c r="E208">
        <f>Demand!J15</f>
        <v>5011.5848824509467</v>
      </c>
      <c r="F208">
        <f>Demand!J17</f>
        <v>0</v>
      </c>
    </row>
    <row r="209" spans="2:6" x14ac:dyDescent="0.2">
      <c r="B209">
        <v>2027</v>
      </c>
      <c r="C209">
        <f>Demand!K13</f>
        <v>1071.2274859955528</v>
      </c>
      <c r="D209">
        <f>Demand!K14</f>
        <v>299.20772772241997</v>
      </c>
      <c r="E209">
        <f>Demand!K15</f>
        <v>5029.2917172016651</v>
      </c>
      <c r="F209">
        <f>Demand!K17</f>
        <v>54.75</v>
      </c>
    </row>
    <row r="210" spans="2:6" x14ac:dyDescent="0.2">
      <c r="B210">
        <v>2028</v>
      </c>
      <c r="C210">
        <f>Demand!L13</f>
        <v>1078.1209553085553</v>
      </c>
      <c r="D210">
        <f>Demand!L14</f>
        <v>307.11042939349977</v>
      </c>
      <c r="E210">
        <f>Demand!L15</f>
        <v>5046.3945011638953</v>
      </c>
      <c r="F210">
        <f>Demand!L17</f>
        <v>109.5</v>
      </c>
    </row>
    <row r="211" spans="2:6" x14ac:dyDescent="0.2">
      <c r="B211">
        <v>2029</v>
      </c>
      <c r="C211">
        <f>Demand!M13</f>
        <v>1084.9187092412776</v>
      </c>
      <c r="D211">
        <f>Demand!M14</f>
        <v>315.18116438261393</v>
      </c>
      <c r="E211">
        <f>Demand!M15</f>
        <v>5062.9017659128303</v>
      </c>
      <c r="F211">
        <f>Demand!M17</f>
        <v>164.25</v>
      </c>
    </row>
    <row r="212" spans="2:6" x14ac:dyDescent="0.2">
      <c r="B212">
        <v>2030</v>
      </c>
      <c r="C212">
        <f>Demand!N13</f>
        <v>1091.6215326107899</v>
      </c>
      <c r="D212">
        <f>Demand!N14</f>
        <v>323.42317034111193</v>
      </c>
      <c r="E212">
        <f>Demand!N15</f>
        <v>5078.8219451777049</v>
      </c>
      <c r="F212">
        <f>Demand!N17</f>
        <v>219</v>
      </c>
    </row>
    <row r="213" spans="2:6" x14ac:dyDescent="0.2">
      <c r="B213">
        <v>2031</v>
      </c>
      <c r="C213">
        <f>Demand!O13</f>
        <v>1098.2302047788762</v>
      </c>
      <c r="D213">
        <f>Demand!O14</f>
        <v>331.83974387330966</v>
      </c>
      <c r="E213">
        <f>Demand!O15</f>
        <v>5094.1633758613252</v>
      </c>
      <c r="F213">
        <f>Demand!O17</f>
        <v>273.75</v>
      </c>
    </row>
    <row r="214" spans="2:6" x14ac:dyDescent="0.2">
      <c r="B214">
        <v>2032</v>
      </c>
      <c r="C214">
        <f>Demand!P13</f>
        <v>1104.7454996869665</v>
      </c>
      <c r="D214">
        <f>Demand!P14</f>
        <v>340.43424157120984</v>
      </c>
      <c r="E214">
        <f>Demand!P15</f>
        <v>5108.934299049517</v>
      </c>
      <c r="F214">
        <f>Demand!P17</f>
        <v>328.5</v>
      </c>
    </row>
    <row r="215" spans="2:6" x14ac:dyDescent="0.2">
      <c r="B215">
        <v>2033</v>
      </c>
      <c r="C215">
        <f>Demand!Q13</f>
        <v>1111.1681858908564</v>
      </c>
      <c r="D215">
        <f>Demand!Q14</f>
        <v>349.2100810669217</v>
      </c>
      <c r="E215">
        <f>Demand!Q15</f>
        <v>5123.1428610106404</v>
      </c>
      <c r="F215">
        <f>Demand!Q17</f>
        <v>383.25</v>
      </c>
    </row>
    <row r="216" spans="2:6" x14ac:dyDescent="0.2">
      <c r="B216">
        <v>2034</v>
      </c>
      <c r="C216">
        <f>Demand!R13</f>
        <v>1117.4990265952151</v>
      </c>
      <c r="D216">
        <f>Demand!R14</f>
        <v>358.17074210307521</v>
      </c>
      <c r="E216">
        <f>Demand!R15</f>
        <v>5136.7971141852477</v>
      </c>
      <c r="F216">
        <f>Demand!R17</f>
        <v>438</v>
      </c>
    </row>
    <row r="217" spans="2:6" x14ac:dyDescent="0.2">
      <c r="B217">
        <v>2035</v>
      </c>
      <c r="C217">
        <f>Demand!S13</f>
        <v>1123.7387796878829</v>
      </c>
      <c r="D217">
        <f>Demand!S14</f>
        <v>367.31976762153312</v>
      </c>
      <c r="E217">
        <f>Demand!S15</f>
        <v>5149.9050181659559</v>
      </c>
      <c r="F217">
        <f>Demand!S17</f>
        <v>492.75</v>
      </c>
    </row>
    <row r="218" spans="2:6" x14ac:dyDescent="0.2">
      <c r="B218">
        <v>2036</v>
      </c>
      <c r="C218">
        <f>Demand!T13</f>
        <v>1129.8881977739591</v>
      </c>
      <c r="D218">
        <f>Demand!T14</f>
        <v>376.6607648707066</v>
      </c>
      <c r="E218">
        <f>Demand!T15</f>
        <v>5162.4744406676664</v>
      </c>
      <c r="F218">
        <f>Demand!T17</f>
        <v>547.5</v>
      </c>
    </row>
    <row r="219" spans="2:6" x14ac:dyDescent="0.2">
      <c r="B219">
        <v>2037</v>
      </c>
      <c r="C219">
        <f>Demand!U13</f>
        <v>1135.9480282096827</v>
      </c>
      <c r="D219">
        <f>Demand!U14</f>
        <v>386.19740653178769</v>
      </c>
      <c r="E219">
        <f>Demand!U15</f>
        <v>5174.5131584881865</v>
      </c>
      <c r="F219">
        <f>Demand!U17</f>
        <v>547.5</v>
      </c>
    </row>
    <row r="220" spans="2:6" x14ac:dyDescent="0.2">
      <c r="B220">
        <v>2038</v>
      </c>
      <c r="C220">
        <f>Demand!V13</f>
        <v>1141.919013136104</v>
      </c>
      <c r="D220">
        <f>Demand!V14</f>
        <v>395.93343186421356</v>
      </c>
      <c r="E220">
        <f>Demand!V15</f>
        <v>5186.0288584593736</v>
      </c>
      <c r="F220">
        <f>Demand!V17</f>
        <v>547.5</v>
      </c>
    </row>
    <row r="221" spans="2:6" x14ac:dyDescent="0.2">
      <c r="B221">
        <v>2039</v>
      </c>
      <c r="C221">
        <f>Demand!W13</f>
        <v>1147.8018895125567</v>
      </c>
      <c r="D221">
        <f>Demand!W14</f>
        <v>405.87264787068727</v>
      </c>
      <c r="E221">
        <f>Demand!W15</f>
        <v>5197.0291383888807</v>
      </c>
      <c r="F221">
        <f>Demand!W17</f>
        <v>547.5</v>
      </c>
    </row>
    <row r="222" spans="2:6" x14ac:dyDescent="0.2">
      <c r="B222">
        <v>2040</v>
      </c>
      <c r="C222">
        <f>Demand!X13</f>
        <v>1153.5973891499157</v>
      </c>
      <c r="D222">
        <f>Demand!X14</f>
        <v>416.01893048208217</v>
      </c>
      <c r="E222">
        <f>Demand!X15</f>
        <v>5207.5215079925729</v>
      </c>
      <c r="F222">
        <f>Demand!X17</f>
        <v>547.5</v>
      </c>
    </row>
    <row r="223" spans="2:6" x14ac:dyDescent="0.2">
      <c r="B223">
        <v>2041</v>
      </c>
      <c r="C223">
        <f>Demand!Y13</f>
        <v>1159.3062387436635</v>
      </c>
      <c r="D223">
        <f>Demand!Y14</f>
        <v>426.37622576256069</v>
      </c>
      <c r="E223">
        <f>Demand!Y15</f>
        <v>5217.513389817751</v>
      </c>
      <c r="F223">
        <f>Demand!Y17</f>
        <v>547.5</v>
      </c>
    </row>
    <row r="224" spans="2:6" x14ac:dyDescent="0.2">
      <c r="B224">
        <v>2042</v>
      </c>
      <c r="C224">
        <f>Demand!Z13</f>
        <v>1164.9291599067453</v>
      </c>
      <c r="D224">
        <f>Demand!Z14</f>
        <v>436.94855113525023</v>
      </c>
      <c r="E224">
        <f>Demand!Z15</f>
        <v>5227.0121201572119</v>
      </c>
      <c r="F224">
        <f>Demand!Z17</f>
        <v>547.5</v>
      </c>
    </row>
    <row r="225" spans="2:6" x14ac:dyDescent="0.2">
      <c r="B225">
        <v>2043</v>
      </c>
      <c r="C225">
        <f>Demand!AA13</f>
        <v>1170.4668692022281</v>
      </c>
      <c r="D225">
        <f>Demand!AA14</f>
        <v>447.73999662881698</v>
      </c>
      <c r="E225">
        <f>Demand!AA15</f>
        <v>5236.0249499542961</v>
      </c>
      <c r="F225">
        <f>Demand!AA17</f>
        <v>547.5</v>
      </c>
    </row>
    <row r="226" spans="2:6" x14ac:dyDescent="0.2">
      <c r="B226">
        <v>2044</v>
      </c>
      <c r="C226">
        <f>Demand!AB13</f>
        <v>1175.9200781757579</v>
      </c>
      <c r="D226">
        <f>Demand!AB14</f>
        <v>458.75472614528729</v>
      </c>
      <c r="E226">
        <f>Demand!AB15</f>
        <v>5244.5590456989357</v>
      </c>
      <c r="F226">
        <f>Demand!AB17</f>
        <v>547.5</v>
      </c>
    </row>
    <row r="227" spans="2:6" x14ac:dyDescent="0.2">
      <c r="B227">
        <v>2045</v>
      </c>
      <c r="C227">
        <f>Demand!AC13</f>
        <v>1181.2894933878222</v>
      </c>
      <c r="D227">
        <f>Demand!AC14</f>
        <v>469.99697874947691</v>
      </c>
      <c r="E227">
        <f>Demand!AC15</f>
        <v>5252.6214903148621</v>
      </c>
      <c r="F227">
        <f>Demand!AC17</f>
        <v>547.5</v>
      </c>
    </row>
    <row r="228" spans="2:6" x14ac:dyDescent="0.2">
      <c r="B228">
        <v>2046</v>
      </c>
      <c r="C228">
        <f>Demand!AD13</f>
        <v>1186.5758164458118</v>
      </c>
      <c r="D228">
        <f>Demand!AD14</f>
        <v>481.47106998038328</v>
      </c>
      <c r="E228">
        <f>Demand!AD15</f>
        <v>5260.2192840380121</v>
      </c>
      <c r="F228">
        <f>Demand!AD17</f>
        <v>547.5</v>
      </c>
    </row>
    <row r="229" spans="2:6" x14ac:dyDescent="0.2">
      <c r="B229">
        <v>2047</v>
      </c>
      <c r="C229">
        <f>Demand!AE13</f>
        <v>1191.7797440358863</v>
      </c>
      <c r="D229">
        <f>Demand!AE14</f>
        <v>493.18139318491217</v>
      </c>
      <c r="E229">
        <f>Demand!AE15</f>
        <v>5267.3593452862087</v>
      </c>
      <c r="F229">
        <f>Demand!AE17</f>
        <v>547.5</v>
      </c>
    </row>
    <row r="230" spans="2:6" x14ac:dyDescent="0.2">
      <c r="B230">
        <v>2048</v>
      </c>
      <c r="C230">
        <f>Demand!AF13</f>
        <v>1196.9019679546498</v>
      </c>
      <c r="D230">
        <f>Demand!AF14</f>
        <v>505.13242087431206</v>
      </c>
      <c r="E230">
        <f>Demand!AF15</f>
        <v>5274.0485115202591</v>
      </c>
      <c r="F230">
        <f>Demand!AF17</f>
        <v>547.5</v>
      </c>
    </row>
    <row r="231" spans="2:6" x14ac:dyDescent="0.2">
      <c r="B231">
        <v>2049</v>
      </c>
      <c r="C231">
        <f>Demand!AG13</f>
        <v>1201.9431751406241</v>
      </c>
      <c r="D231">
        <f>Demand!AG14</f>
        <v>517.32870610369434</v>
      </c>
      <c r="E231">
        <f>Demand!AG15</f>
        <v>5280.2935400964643</v>
      </c>
      <c r="F231">
        <f>Demand!AG17</f>
        <v>547.5</v>
      </c>
    </row>
    <row r="232" spans="2:6" x14ac:dyDescent="0.2">
      <c r="B232">
        <v>2050</v>
      </c>
      <c r="C232">
        <f>Demand!AH13</f>
        <v>1206.9040477055398</v>
      </c>
      <c r="D232">
        <f>Demand!AH14</f>
        <v>529.77488387502706</v>
      </c>
      <c r="E232">
        <f>Demand!AH15</f>
        <v>5286.1011091107111</v>
      </c>
      <c r="F232">
        <f>Demand!AH17</f>
        <v>547.5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Inputs</vt:lpstr>
      <vt:lpstr>Demand</vt:lpstr>
      <vt:lpstr>Supply</vt:lpstr>
      <vt:lpstr>Energy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Fabian Fuentes Rivas</cp:lastModifiedBy>
  <cp:revision>2</cp:revision>
  <dcterms:created xsi:type="dcterms:W3CDTF">2026-04-20T15:57:50Z</dcterms:created>
  <dcterms:modified xsi:type="dcterms:W3CDTF">2026-04-22T01:12:32Z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9608d83-f952-409d-b7c5-456515bbbf5a_Enabled">
    <vt:lpwstr>true</vt:lpwstr>
  </property>
  <property fmtid="{D5CDD505-2E9C-101B-9397-08002B2CF9AE}" pid="3" name="MSIP_Label_89608d83-f952-409d-b7c5-456515bbbf5a_SetDate">
    <vt:lpwstr>2026-04-20T16:10:11Z</vt:lpwstr>
  </property>
  <property fmtid="{D5CDD505-2E9C-101B-9397-08002B2CF9AE}" pid="4" name="MSIP_Label_89608d83-f952-409d-b7c5-456515bbbf5a_Method">
    <vt:lpwstr>Privileged</vt:lpwstr>
  </property>
  <property fmtid="{D5CDD505-2E9C-101B-9397-08002B2CF9AE}" pid="5" name="MSIP_Label_89608d83-f952-409d-b7c5-456515bbbf5a_Name">
    <vt:lpwstr>Public</vt:lpwstr>
  </property>
  <property fmtid="{D5CDD505-2E9C-101B-9397-08002B2CF9AE}" pid="6" name="MSIP_Label_89608d83-f952-409d-b7c5-456515bbbf5a_SiteId">
    <vt:lpwstr>31a2fec0-266b-4c67-b56e-2796d8f59c36</vt:lpwstr>
  </property>
  <property fmtid="{D5CDD505-2E9C-101B-9397-08002B2CF9AE}" pid="7" name="MSIP_Label_89608d83-f952-409d-b7c5-456515bbbf5a_ActionId">
    <vt:lpwstr>4d6f16af-bfdc-4f2f-a097-e0e701932e36</vt:lpwstr>
  </property>
  <property fmtid="{D5CDD505-2E9C-101B-9397-08002B2CF9AE}" pid="8" name="MSIP_Label_89608d83-f952-409d-b7c5-456515bbbf5a_ContentBits">
    <vt:lpwstr>0</vt:lpwstr>
  </property>
  <property fmtid="{D5CDD505-2E9C-101B-9397-08002B2CF9AE}" pid="9" name="MSIP_Label_89608d83-f952-409d-b7c5-456515bbbf5a_Tag">
    <vt:lpwstr>50, 0, 1, 1</vt:lpwstr>
  </property>
</Properties>
</file>