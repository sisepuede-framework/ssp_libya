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8223e8c81818e4a8/Edmundo-ITESM/3.Proyectos/51. WB Decarbonization Project/Lybia_CaseStudy/Deliverable/data_share_2026_05_05/"/>
    </mc:Choice>
  </mc:AlternateContent>
  <xr:revisionPtr revIDLastSave="0" documentId="8_{F7DF8058-3A44-0742-A825-4C4AEC1D1CA0}" xr6:coauthVersionLast="47" xr6:coauthVersionMax="47" xr10:uidLastSave="{00000000-0000-0000-0000-000000000000}"/>
  <bookViews>
    <workbookView xWindow="5560" yWindow="500" windowWidth="31560" windowHeight="18600" tabRatio="500" activeTab="5" xr2:uid="{00000000-000D-0000-FFFF-FFFF00000000}"/>
  </bookViews>
  <sheets>
    <sheet name="README" sheetId="1" r:id="rId1"/>
    <sheet name="Inputs" sheetId="2" r:id="rId2"/>
    <sheet name="Demand" sheetId="3" r:id="rId3"/>
    <sheet name="Supply" sheetId="4" r:id="rId4"/>
    <sheet name="Energy" sheetId="5" r:id="rId5"/>
    <sheet name="Investment" sheetId="6" r:id="rId6"/>
    <sheet name="Summar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9" i="6" l="1"/>
  <c r="G139" i="6"/>
  <c r="F139" i="6"/>
  <c r="E139" i="6"/>
  <c r="D139" i="6"/>
  <c r="H138" i="6"/>
  <c r="G138" i="6"/>
  <c r="F138" i="6"/>
  <c r="E138" i="6"/>
  <c r="D138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H124" i="6"/>
  <c r="G124" i="6"/>
  <c r="F124" i="6"/>
  <c r="E124" i="6"/>
  <c r="D124" i="6"/>
  <c r="H123" i="6"/>
  <c r="G123" i="6"/>
  <c r="F123" i="6"/>
  <c r="E123" i="6"/>
  <c r="D123" i="6"/>
  <c r="H117" i="6"/>
  <c r="G117" i="6"/>
  <c r="F117" i="6"/>
  <c r="E117" i="6"/>
  <c r="D117" i="6"/>
  <c r="H115" i="6"/>
  <c r="G115" i="6"/>
  <c r="F115" i="6"/>
  <c r="E115" i="6"/>
  <c r="D115" i="6"/>
  <c r="H109" i="6"/>
  <c r="G109" i="6"/>
  <c r="F109" i="6"/>
  <c r="E109" i="6"/>
  <c r="D109" i="6"/>
  <c r="H108" i="6"/>
  <c r="G108" i="6"/>
  <c r="F108" i="6"/>
  <c r="E108" i="6"/>
  <c r="D108" i="6"/>
  <c r="H102" i="6"/>
  <c r="G102" i="6"/>
  <c r="F102" i="6"/>
  <c r="E102" i="6"/>
  <c r="D102" i="6"/>
  <c r="H101" i="6"/>
  <c r="G101" i="6"/>
  <c r="F101" i="6"/>
  <c r="E101" i="6"/>
  <c r="D101" i="6"/>
  <c r="H95" i="6"/>
  <c r="G95" i="6"/>
  <c r="F95" i="6"/>
  <c r="E95" i="6"/>
  <c r="D95" i="6"/>
  <c r="H94" i="6"/>
  <c r="G94" i="6"/>
  <c r="F94" i="6"/>
  <c r="E94" i="6"/>
  <c r="D94" i="6"/>
  <c r="H75" i="6"/>
  <c r="G75" i="6"/>
  <c r="F75" i="6"/>
  <c r="E75" i="6"/>
  <c r="D75" i="6"/>
  <c r="H73" i="6"/>
  <c r="G73" i="6"/>
  <c r="F73" i="6"/>
  <c r="E73" i="6"/>
  <c r="D73" i="6"/>
  <c r="H67" i="6"/>
  <c r="G67" i="6"/>
  <c r="F67" i="6"/>
  <c r="E67" i="6"/>
  <c r="D67" i="6"/>
  <c r="H66" i="6"/>
  <c r="G66" i="6"/>
  <c r="F66" i="6"/>
  <c r="E66" i="6"/>
  <c r="D66" i="6"/>
  <c r="H60" i="6"/>
  <c r="G60" i="6"/>
  <c r="F60" i="6"/>
  <c r="E60" i="6"/>
  <c r="D60" i="6"/>
  <c r="H59" i="6"/>
  <c r="G59" i="6"/>
  <c r="F59" i="6"/>
  <c r="E59" i="6"/>
  <c r="D59" i="6"/>
  <c r="H53" i="6"/>
  <c r="G53" i="6"/>
  <c r="F53" i="6"/>
  <c r="E53" i="6"/>
  <c r="D53" i="6"/>
  <c r="H52" i="6"/>
  <c r="G52" i="6"/>
  <c r="F52" i="6"/>
  <c r="E52" i="6"/>
  <c r="D52" i="6"/>
  <c r="H46" i="6"/>
  <c r="G46" i="6"/>
  <c r="F46" i="6"/>
  <c r="E46" i="6"/>
  <c r="D46" i="6"/>
  <c r="H45" i="6"/>
  <c r="G45" i="6"/>
  <c r="F45" i="6"/>
  <c r="E45" i="6"/>
  <c r="D45" i="6"/>
  <c r="B35" i="6"/>
  <c r="C34" i="6"/>
  <c r="C33" i="6"/>
  <c r="C32" i="6"/>
  <c r="C31" i="6"/>
  <c r="C30" i="6"/>
  <c r="C29" i="6"/>
  <c r="C28" i="6"/>
  <c r="C27" i="6"/>
  <c r="C26" i="6"/>
  <c r="C25" i="6"/>
  <c r="C24" i="6"/>
  <c r="C23" i="6"/>
  <c r="D31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F5" i="5"/>
  <c r="Y5" i="5"/>
  <c r="X5" i="5"/>
  <c r="W5" i="5"/>
  <c r="V5" i="5"/>
  <c r="U5" i="5"/>
  <c r="H5" i="5"/>
  <c r="AH17" i="3"/>
  <c r="AA17" i="3"/>
  <c r="Z17" i="3"/>
  <c r="Y17" i="3"/>
  <c r="X17" i="3"/>
  <c r="W17" i="3"/>
  <c r="V17" i="3"/>
  <c r="O17" i="3"/>
  <c r="N17" i="3"/>
  <c r="M17" i="3"/>
  <c r="L17" i="3"/>
  <c r="K17" i="3"/>
  <c r="J17" i="3"/>
  <c r="AH16" i="3"/>
  <c r="AG16" i="3"/>
  <c r="AG17" i="3" s="1"/>
  <c r="AF16" i="3"/>
  <c r="AF17" i="3" s="1"/>
  <c r="AE16" i="3"/>
  <c r="AE17" i="3" s="1"/>
  <c r="AD16" i="3"/>
  <c r="AD17" i="3" s="1"/>
  <c r="AC16" i="3"/>
  <c r="AC17" i="3" s="1"/>
  <c r="AB16" i="3"/>
  <c r="AB17" i="3" s="1"/>
  <c r="AA16" i="3"/>
  <c r="Z16" i="3"/>
  <c r="Y16" i="3"/>
  <c r="X16" i="3"/>
  <c r="W16" i="3"/>
  <c r="V16" i="3"/>
  <c r="U16" i="3"/>
  <c r="U17" i="3" s="1"/>
  <c r="T16" i="3"/>
  <c r="T17" i="3" s="1"/>
  <c r="S16" i="3"/>
  <c r="S17" i="3" s="1"/>
  <c r="R16" i="3"/>
  <c r="R17" i="3" s="1"/>
  <c r="Q16" i="3"/>
  <c r="Q17" i="3" s="1"/>
  <c r="P16" i="3"/>
  <c r="P17" i="3" s="1"/>
  <c r="O16" i="3"/>
  <c r="N16" i="3"/>
  <c r="M16" i="3"/>
  <c r="L16" i="3"/>
  <c r="K16" i="3"/>
  <c r="J16" i="3"/>
  <c r="I16" i="3"/>
  <c r="I17" i="3" s="1"/>
  <c r="H16" i="3"/>
  <c r="H17" i="3" s="1"/>
  <c r="G16" i="3"/>
  <c r="G17" i="3" s="1"/>
  <c r="F16" i="3"/>
  <c r="F17" i="3" s="1"/>
  <c r="E16" i="3"/>
  <c r="E17" i="3" s="1"/>
  <c r="D16" i="3"/>
  <c r="D17" i="3" s="1"/>
  <c r="AC15" i="3"/>
  <c r="AB15" i="3"/>
  <c r="AA15" i="3"/>
  <c r="Z15" i="3"/>
  <c r="Y15" i="3"/>
  <c r="Q15" i="3"/>
  <c r="P15" i="3"/>
  <c r="O15" i="3"/>
  <c r="N15" i="3"/>
  <c r="M15" i="3"/>
  <c r="L15" i="3"/>
  <c r="E15" i="3"/>
  <c r="D15" i="3"/>
  <c r="AD13" i="3"/>
  <c r="AC13" i="3"/>
  <c r="AB13" i="3"/>
  <c r="AA13" i="3"/>
  <c r="Z13" i="3"/>
  <c r="R13" i="3"/>
  <c r="Q13" i="3"/>
  <c r="P13" i="3"/>
  <c r="O13" i="3"/>
  <c r="F13" i="3"/>
  <c r="E13" i="3"/>
  <c r="D13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N13" i="3" s="1"/>
  <c r="M9" i="3"/>
  <c r="L9" i="3"/>
  <c r="K9" i="3"/>
  <c r="J9" i="3"/>
  <c r="I9" i="3"/>
  <c r="H9" i="3"/>
  <c r="G9" i="3"/>
  <c r="F9" i="3"/>
  <c r="E9" i="3"/>
  <c r="D9" i="3"/>
  <c r="AE7" i="3"/>
  <c r="AE14" i="3" s="1"/>
  <c r="AD7" i="3"/>
  <c r="AD14" i="3" s="1"/>
  <c r="AC7" i="3"/>
  <c r="AC14" i="3" s="1"/>
  <c r="W7" i="3"/>
  <c r="W14" i="3" s="1"/>
  <c r="F7" i="3"/>
  <c r="F14" i="3" s="1"/>
  <c r="E7" i="3"/>
  <c r="E14" i="3" s="1"/>
  <c r="AH6" i="3"/>
  <c r="C5" i="7" s="1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R7" i="3" s="1"/>
  <c r="R14" i="3" s="1"/>
  <c r="Q6" i="3"/>
  <c r="Q7" i="3" s="1"/>
  <c r="P6" i="3"/>
  <c r="O6" i="3"/>
  <c r="N6" i="3"/>
  <c r="M6" i="3"/>
  <c r="L6" i="3"/>
  <c r="K6" i="3"/>
  <c r="J6" i="3"/>
  <c r="I6" i="3"/>
  <c r="H6" i="3"/>
  <c r="G6" i="3"/>
  <c r="F6" i="3"/>
  <c r="E6" i="3"/>
  <c r="D6" i="3"/>
  <c r="B5" i="7" s="1"/>
  <c r="AH5" i="3"/>
  <c r="AG5" i="3"/>
  <c r="AF5" i="3"/>
  <c r="AE5" i="3"/>
  <c r="AD5" i="3"/>
  <c r="AD15" i="3" s="1"/>
  <c r="AC5" i="3"/>
  <c r="AB5" i="3"/>
  <c r="AA5" i="3"/>
  <c r="Z5" i="3"/>
  <c r="Y5" i="3"/>
  <c r="X5" i="3"/>
  <c r="W5" i="3"/>
  <c r="V5" i="3"/>
  <c r="U5" i="3"/>
  <c r="T5" i="3"/>
  <c r="S5" i="3"/>
  <c r="R5" i="3"/>
  <c r="R15" i="3" s="1"/>
  <c r="Q5" i="3"/>
  <c r="P5" i="3"/>
  <c r="O5" i="3"/>
  <c r="N5" i="3"/>
  <c r="M5" i="3"/>
  <c r="L5" i="3"/>
  <c r="K5" i="3"/>
  <c r="J5" i="3"/>
  <c r="I5" i="3"/>
  <c r="H5" i="3"/>
  <c r="G5" i="3"/>
  <c r="F5" i="3"/>
  <c r="F15" i="3" s="1"/>
  <c r="E5" i="3"/>
  <c r="D5" i="3"/>
  <c r="B4" i="7" s="1"/>
  <c r="B42" i="2"/>
  <c r="G37" i="2"/>
  <c r="I37" i="2" s="1"/>
  <c r="K37" i="2" s="1"/>
  <c r="B26" i="2"/>
  <c r="AG5" i="5" s="1"/>
  <c r="AB44" i="4"/>
  <c r="AD43" i="4"/>
  <c r="AC43" i="4"/>
  <c r="AB43" i="4"/>
  <c r="R43" i="4"/>
  <c r="Q43" i="4"/>
  <c r="F43" i="4"/>
  <c r="E43" i="4"/>
  <c r="D4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O27" i="4"/>
  <c r="F19" i="4"/>
  <c r="F18" i="4"/>
  <c r="O16" i="4"/>
  <c r="F16" i="4"/>
  <c r="D16" i="4"/>
  <c r="AD15" i="4"/>
  <c r="AC15" i="4"/>
  <c r="AB15" i="4"/>
  <c r="AA15" i="4"/>
  <c r="Z15" i="4"/>
  <c r="Z16" i="4" s="1"/>
  <c r="R15" i="4"/>
  <c r="O15" i="4"/>
  <c r="F15" i="4"/>
  <c r="E15" i="4"/>
  <c r="D15" i="4"/>
  <c r="B27" i="7" s="1"/>
  <c r="AD14" i="4"/>
  <c r="AC14" i="4"/>
  <c r="AB14" i="4"/>
  <c r="AA14" i="4"/>
  <c r="Z14" i="4"/>
  <c r="Y14" i="4"/>
  <c r="R14" i="4"/>
  <c r="Q14" i="4"/>
  <c r="P14" i="4"/>
  <c r="O14" i="4"/>
  <c r="N14" i="4"/>
  <c r="F14" i="4"/>
  <c r="E14" i="4"/>
  <c r="D14" i="4"/>
  <c r="W13" i="4"/>
  <c r="R13" i="4"/>
  <c r="F13" i="4"/>
  <c r="E13" i="4"/>
  <c r="AD12" i="4"/>
  <c r="AC12" i="4"/>
  <c r="AB12" i="4"/>
  <c r="AA12" i="4"/>
  <c r="R12" i="4"/>
  <c r="Q12" i="4"/>
  <c r="P12" i="4"/>
  <c r="O12" i="4"/>
  <c r="F12" i="4"/>
  <c r="E12" i="4"/>
  <c r="D12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Z10" i="4"/>
  <c r="Y10" i="4"/>
  <c r="Q10" i="4"/>
  <c r="P10" i="4"/>
  <c r="O10" i="4"/>
  <c r="N10" i="4"/>
  <c r="M10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H8" i="4"/>
  <c r="AG8" i="4"/>
  <c r="AF8" i="4"/>
  <c r="AE8" i="4"/>
  <c r="AD8" i="4"/>
  <c r="AC8" i="4"/>
  <c r="AB8" i="4"/>
  <c r="AA8" i="4"/>
  <c r="AA10" i="4" s="1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H6" i="4"/>
  <c r="AG6" i="4"/>
  <c r="AF6" i="4"/>
  <c r="AE6" i="4"/>
  <c r="AD6" i="4"/>
  <c r="AC6" i="4"/>
  <c r="AB6" i="4"/>
  <c r="AB55" i="4" s="1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E16" i="4" s="1"/>
  <c r="D6" i="4"/>
  <c r="D44" i="4" s="1"/>
  <c r="D54" i="6" l="1"/>
  <c r="H68" i="6"/>
  <c r="D76" i="6"/>
  <c r="G96" i="6"/>
  <c r="D96" i="6"/>
  <c r="G80" i="6"/>
  <c r="D68" i="6"/>
  <c r="D110" i="6"/>
  <c r="H54" i="6"/>
  <c r="H81" i="6"/>
  <c r="E130" i="6"/>
  <c r="D125" i="6"/>
  <c r="F130" i="6"/>
  <c r="G130" i="6"/>
  <c r="E125" i="6"/>
  <c r="D118" i="6"/>
  <c r="F125" i="6"/>
  <c r="H96" i="6"/>
  <c r="E118" i="6"/>
  <c r="G125" i="6"/>
  <c r="D61" i="6"/>
  <c r="E110" i="6"/>
  <c r="F118" i="6"/>
  <c r="G61" i="6"/>
  <c r="E54" i="6"/>
  <c r="F54" i="6"/>
  <c r="H61" i="6"/>
  <c r="G54" i="6"/>
  <c r="H76" i="6"/>
  <c r="F110" i="6"/>
  <c r="F129" i="6"/>
  <c r="F131" i="6" s="1"/>
  <c r="E103" i="6"/>
  <c r="G110" i="6"/>
  <c r="H118" i="6"/>
  <c r="F68" i="6"/>
  <c r="G76" i="6"/>
  <c r="F103" i="6"/>
  <c r="H110" i="6"/>
  <c r="E76" i="6"/>
  <c r="G118" i="6"/>
  <c r="E61" i="6"/>
  <c r="G68" i="6"/>
  <c r="G103" i="6"/>
  <c r="H125" i="6"/>
  <c r="F61" i="6"/>
  <c r="C35" i="6"/>
  <c r="D80" i="6"/>
  <c r="D84" i="6" s="1"/>
  <c r="E80" i="6"/>
  <c r="D129" i="6"/>
  <c r="D133" i="6" s="1"/>
  <c r="F80" i="6"/>
  <c r="E129" i="6"/>
  <c r="H80" i="6"/>
  <c r="E68" i="6"/>
  <c r="H103" i="6"/>
  <c r="F81" i="6"/>
  <c r="F76" i="6"/>
  <c r="H130" i="6"/>
  <c r="G81" i="6"/>
  <c r="H47" i="6"/>
  <c r="E17" i="4"/>
  <c r="E34" i="4" s="1"/>
  <c r="AA18" i="4"/>
  <c r="AA19" i="4" s="1"/>
  <c r="AA46" i="4"/>
  <c r="G156" i="7"/>
  <c r="G125" i="7"/>
  <c r="G168" i="7"/>
  <c r="G137" i="7"/>
  <c r="G149" i="7"/>
  <c r="G180" i="7"/>
  <c r="F7" i="4"/>
  <c r="G157" i="7"/>
  <c r="G126" i="7"/>
  <c r="G169" i="7"/>
  <c r="G138" i="7"/>
  <c r="G181" i="7"/>
  <c r="G150" i="7"/>
  <c r="F17" i="4"/>
  <c r="F27" i="4"/>
  <c r="G128" i="7"/>
  <c r="G159" i="7"/>
  <c r="G140" i="7"/>
  <c r="G171" i="7"/>
  <c r="G183" i="7"/>
  <c r="G152" i="7"/>
  <c r="AB45" i="4"/>
  <c r="AB59" i="4" s="1"/>
  <c r="D227" i="7"/>
  <c r="D258" i="7" s="1"/>
  <c r="C367" i="7"/>
  <c r="D86" i="7"/>
  <c r="AC13" i="4"/>
  <c r="AC44" i="4"/>
  <c r="C368" i="7"/>
  <c r="D228" i="7"/>
  <c r="D259" i="7" s="1"/>
  <c r="D87" i="7"/>
  <c r="AD13" i="4"/>
  <c r="B352" i="7"/>
  <c r="C71" i="7"/>
  <c r="C212" i="7"/>
  <c r="C36" i="7"/>
  <c r="N12" i="4"/>
  <c r="N43" i="4"/>
  <c r="N15" i="4"/>
  <c r="AC19" i="3"/>
  <c r="AC5" i="4" s="1"/>
  <c r="C369" i="7"/>
  <c r="D229" i="7"/>
  <c r="D260" i="7" s="1"/>
  <c r="D88" i="7"/>
  <c r="AE13" i="4"/>
  <c r="AD19" i="3"/>
  <c r="AD5" i="4" s="1"/>
  <c r="G139" i="7"/>
  <c r="G170" i="7"/>
  <c r="AB46" i="4"/>
  <c r="AB47" i="4" s="1"/>
  <c r="AB18" i="4"/>
  <c r="C276" i="7"/>
  <c r="C311" i="7"/>
  <c r="AC46" i="4"/>
  <c r="AC18" i="4"/>
  <c r="D45" i="4"/>
  <c r="B272" i="7"/>
  <c r="B307" i="7"/>
  <c r="B12" i="7"/>
  <c r="B284" i="7"/>
  <c r="B319" i="7"/>
  <c r="B296" i="7"/>
  <c r="B331" i="7"/>
  <c r="C312" i="7"/>
  <c r="C277" i="7"/>
  <c r="C324" i="7"/>
  <c r="C289" i="7"/>
  <c r="C336" i="7"/>
  <c r="C301" i="7"/>
  <c r="AB10" i="4"/>
  <c r="G158" i="7"/>
  <c r="G127" i="7"/>
  <c r="B295" i="7"/>
  <c r="B330" i="7"/>
  <c r="B308" i="7"/>
  <c r="B273" i="7"/>
  <c r="E18" i="4"/>
  <c r="B285" i="7"/>
  <c r="B320" i="7"/>
  <c r="B332" i="7"/>
  <c r="B297" i="7"/>
  <c r="C313" i="7"/>
  <c r="C278" i="7"/>
  <c r="C290" i="7"/>
  <c r="C325" i="7"/>
  <c r="C337" i="7"/>
  <c r="C302" i="7"/>
  <c r="C13" i="7"/>
  <c r="AC10" i="4"/>
  <c r="B274" i="7"/>
  <c r="B309" i="7"/>
  <c r="F10" i="4"/>
  <c r="B286" i="7"/>
  <c r="B321" i="7"/>
  <c r="R18" i="4"/>
  <c r="R10" i="4"/>
  <c r="B298" i="7"/>
  <c r="B333" i="7"/>
  <c r="AD10" i="4"/>
  <c r="C279" i="7"/>
  <c r="C314" i="7"/>
  <c r="C291" i="7"/>
  <c r="C326" i="7"/>
  <c r="D10" i="4"/>
  <c r="AC16" i="4"/>
  <c r="Z17" i="4"/>
  <c r="AC19" i="4"/>
  <c r="AC45" i="4"/>
  <c r="D351" i="7"/>
  <c r="E70" i="7"/>
  <c r="E211" i="7"/>
  <c r="E242" i="7" s="1"/>
  <c r="M14" i="4"/>
  <c r="AC55" i="4"/>
  <c r="Q44" i="4"/>
  <c r="B318" i="7"/>
  <c r="B283" i="7"/>
  <c r="C300" i="7"/>
  <c r="C335" i="7"/>
  <c r="B310" i="7"/>
  <c r="B275" i="7"/>
  <c r="G10" i="4"/>
  <c r="B322" i="7"/>
  <c r="B287" i="7"/>
  <c r="S10" i="4"/>
  <c r="B334" i="7"/>
  <c r="B299" i="7"/>
  <c r="AE10" i="4"/>
  <c r="C280" i="7"/>
  <c r="C315" i="7"/>
  <c r="L10" i="4"/>
  <c r="C327" i="7"/>
  <c r="C292" i="7"/>
  <c r="X10" i="4"/>
  <c r="E10" i="4"/>
  <c r="O46" i="4"/>
  <c r="O18" i="4"/>
  <c r="O47" i="4"/>
  <c r="D7" i="4"/>
  <c r="AB58" i="4"/>
  <c r="AB121" i="6" s="1"/>
  <c r="AD16" i="4"/>
  <c r="AD27" i="4"/>
  <c r="F34" i="4"/>
  <c r="AD44" i="4"/>
  <c r="AD45" i="4" s="1"/>
  <c r="E27" i="4"/>
  <c r="C288" i="7"/>
  <c r="C323" i="7"/>
  <c r="R16" i="4"/>
  <c r="Z27" i="4"/>
  <c r="AF10" i="4"/>
  <c r="G155" i="7"/>
  <c r="G124" i="7"/>
  <c r="G136" i="7"/>
  <c r="G167" i="7"/>
  <c r="G148" i="7"/>
  <c r="G179" i="7"/>
  <c r="P46" i="4"/>
  <c r="P18" i="4"/>
  <c r="E7" i="4"/>
  <c r="AC58" i="4"/>
  <c r="AC121" i="6" s="1"/>
  <c r="B28" i="7"/>
  <c r="D34" i="4"/>
  <c r="D17" i="4"/>
  <c r="B29" i="7" s="1"/>
  <c r="F21" i="4"/>
  <c r="E44" i="4"/>
  <c r="AA47" i="4"/>
  <c r="B311" i="7"/>
  <c r="B276" i="7"/>
  <c r="C281" i="7"/>
  <c r="C316" i="7"/>
  <c r="D46" i="4"/>
  <c r="B317" i="7"/>
  <c r="B282" i="7"/>
  <c r="B329" i="7"/>
  <c r="B294" i="7"/>
  <c r="C275" i="7"/>
  <c r="C310" i="7"/>
  <c r="C322" i="7"/>
  <c r="C287" i="7"/>
  <c r="C299" i="7"/>
  <c r="C334" i="7"/>
  <c r="G123" i="7"/>
  <c r="G154" i="7"/>
  <c r="G135" i="7"/>
  <c r="G166" i="7"/>
  <c r="G178" i="7"/>
  <c r="G147" i="7"/>
  <c r="AB16" i="4"/>
  <c r="D216" i="7"/>
  <c r="D247" i="7" s="1"/>
  <c r="C356" i="7"/>
  <c r="D75" i="7"/>
  <c r="D221" i="7"/>
  <c r="D252" i="7" s="1"/>
  <c r="C361" i="7"/>
  <c r="D80" i="7"/>
  <c r="E210" i="7"/>
  <c r="E241" i="7" s="1"/>
  <c r="D350" i="7"/>
  <c r="E69" i="7"/>
  <c r="L14" i="4"/>
  <c r="E343" i="7"/>
  <c r="F62" i="7"/>
  <c r="F203" i="7"/>
  <c r="F215" i="7"/>
  <c r="E355" i="7"/>
  <c r="F74" i="7"/>
  <c r="E367" i="7"/>
  <c r="F86" i="7"/>
  <c r="F227" i="7"/>
  <c r="E360" i="7"/>
  <c r="F79" i="7"/>
  <c r="F220" i="7"/>
  <c r="E204" i="7"/>
  <c r="E235" i="7" s="1"/>
  <c r="D344" i="7"/>
  <c r="E63" i="7"/>
  <c r="E216" i="7"/>
  <c r="E247" i="7" s="1"/>
  <c r="D356" i="7"/>
  <c r="E75" i="7"/>
  <c r="E228" i="7"/>
  <c r="E259" i="7" s="1"/>
  <c r="D368" i="7"/>
  <c r="E87" i="7"/>
  <c r="D203" i="7"/>
  <c r="D234" i="7" s="1"/>
  <c r="C343" i="7"/>
  <c r="D62" i="7"/>
  <c r="B354" i="7"/>
  <c r="C73" i="7"/>
  <c r="C214" i="7"/>
  <c r="P43" i="4"/>
  <c r="G15" i="3"/>
  <c r="G13" i="3"/>
  <c r="S15" i="3"/>
  <c r="S7" i="3"/>
  <c r="S14" i="3" s="1"/>
  <c r="AE15" i="3"/>
  <c r="AE13" i="3"/>
  <c r="C344" i="7"/>
  <c r="D63" i="7"/>
  <c r="D204" i="7"/>
  <c r="D235" i="7" s="1"/>
  <c r="B355" i="7"/>
  <c r="C74" i="7"/>
  <c r="C215" i="7"/>
  <c r="Q15" i="4"/>
  <c r="D14" i="5"/>
  <c r="C293" i="7"/>
  <c r="C328" i="7"/>
  <c r="AD46" i="4"/>
  <c r="B277" i="7"/>
  <c r="B312" i="7"/>
  <c r="B289" i="7"/>
  <c r="B324" i="7"/>
  <c r="B301" i="7"/>
  <c r="B336" i="7"/>
  <c r="C317" i="7"/>
  <c r="C282" i="7"/>
  <c r="C329" i="7"/>
  <c r="C294" i="7"/>
  <c r="G130" i="7"/>
  <c r="G161" i="7"/>
  <c r="G142" i="7"/>
  <c r="G173" i="7"/>
  <c r="E46" i="4"/>
  <c r="E49" i="4" s="1"/>
  <c r="R46" i="4"/>
  <c r="O17" i="4"/>
  <c r="O14" i="5" s="1"/>
  <c r="N133" i="7" s="1"/>
  <c r="D27" i="4"/>
  <c r="R44" i="4"/>
  <c r="H15" i="3"/>
  <c r="H13" i="3"/>
  <c r="T15" i="3"/>
  <c r="T13" i="3"/>
  <c r="T7" i="3"/>
  <c r="T14" i="3" s="1"/>
  <c r="AF15" i="3"/>
  <c r="AF13" i="3"/>
  <c r="AF7" i="3"/>
  <c r="AF14" i="3" s="1"/>
  <c r="G7" i="3"/>
  <c r="G14" i="3" s="1"/>
  <c r="C216" i="7"/>
  <c r="B356" i="7"/>
  <c r="C75" i="7"/>
  <c r="R19" i="3"/>
  <c r="R5" i="4" s="1"/>
  <c r="E224" i="7"/>
  <c r="E255" i="7" s="1"/>
  <c r="D364" i="7"/>
  <c r="E83" i="7"/>
  <c r="F68" i="7"/>
  <c r="E349" i="7"/>
  <c r="F209" i="7"/>
  <c r="E14" i="5"/>
  <c r="N123" i="7" s="1"/>
  <c r="B288" i="7"/>
  <c r="B323" i="7"/>
  <c r="G129" i="7"/>
  <c r="G160" i="7"/>
  <c r="B313" i="7"/>
  <c r="B278" i="7"/>
  <c r="B290" i="7"/>
  <c r="B325" i="7"/>
  <c r="B337" i="7"/>
  <c r="C12" i="7"/>
  <c r="D12" i="7" s="1"/>
  <c r="B302" i="7"/>
  <c r="C283" i="7"/>
  <c r="C318" i="7"/>
  <c r="C330" i="7"/>
  <c r="C295" i="7"/>
  <c r="H10" i="4"/>
  <c r="T10" i="4"/>
  <c r="G162" i="7"/>
  <c r="G131" i="7"/>
  <c r="G174" i="7"/>
  <c r="G143" i="7"/>
  <c r="F46" i="4"/>
  <c r="F49" i="4" s="1"/>
  <c r="F20" i="4"/>
  <c r="P15" i="4"/>
  <c r="R47" i="4"/>
  <c r="D55" i="4"/>
  <c r="I15" i="3"/>
  <c r="I13" i="3"/>
  <c r="U15" i="3"/>
  <c r="U13" i="3"/>
  <c r="AG15" i="3"/>
  <c r="AG13" i="3"/>
  <c r="AG7" i="3"/>
  <c r="AG14" i="3" s="1"/>
  <c r="H7" i="3"/>
  <c r="H14" i="3" s="1"/>
  <c r="S13" i="3"/>
  <c r="E84" i="7"/>
  <c r="D365" i="7"/>
  <c r="E225" i="7"/>
  <c r="E256" i="7" s="1"/>
  <c r="E350" i="7"/>
  <c r="F210" i="7"/>
  <c r="F69" i="7"/>
  <c r="E19" i="3"/>
  <c r="E5" i="4" s="1"/>
  <c r="B335" i="7"/>
  <c r="B300" i="7"/>
  <c r="G141" i="7"/>
  <c r="G172" i="7"/>
  <c r="B279" i="7"/>
  <c r="B314" i="7"/>
  <c r="B291" i="7"/>
  <c r="B326" i="7"/>
  <c r="C272" i="7"/>
  <c r="C307" i="7"/>
  <c r="B13" i="7"/>
  <c r="C284" i="7"/>
  <c r="C319" i="7"/>
  <c r="C296" i="7"/>
  <c r="C331" i="7"/>
  <c r="I10" i="4"/>
  <c r="U10" i="4"/>
  <c r="AG10" i="4"/>
  <c r="G163" i="7"/>
  <c r="G132" i="7"/>
  <c r="G175" i="7"/>
  <c r="G144" i="7"/>
  <c r="J15" i="3"/>
  <c r="J13" i="3"/>
  <c r="J7" i="3"/>
  <c r="J14" i="3" s="1"/>
  <c r="V15" i="3"/>
  <c r="V13" i="3"/>
  <c r="C4" i="7"/>
  <c r="D4" i="7" s="1"/>
  <c r="AH15" i="3"/>
  <c r="AH13" i="3"/>
  <c r="AH7" i="3"/>
  <c r="I7" i="3"/>
  <c r="I14" i="3" s="1"/>
  <c r="B364" i="7"/>
  <c r="C224" i="7"/>
  <c r="C83" i="7"/>
  <c r="Z12" i="4"/>
  <c r="Z43" i="4"/>
  <c r="D366" i="7"/>
  <c r="E226" i="7"/>
  <c r="E257" i="7" s="1"/>
  <c r="E85" i="7"/>
  <c r="E351" i="7"/>
  <c r="F70" i="7"/>
  <c r="F211" i="7"/>
  <c r="F19" i="3"/>
  <c r="F5" i="4" s="1"/>
  <c r="B280" i="7"/>
  <c r="B315" i="7"/>
  <c r="B327" i="7"/>
  <c r="B292" i="7"/>
  <c r="C308" i="7"/>
  <c r="C273" i="7"/>
  <c r="C285" i="7"/>
  <c r="C320" i="7"/>
  <c r="C332" i="7"/>
  <c r="C297" i="7"/>
  <c r="J10" i="4"/>
  <c r="V10" i="4"/>
  <c r="AH10" i="4"/>
  <c r="G164" i="7"/>
  <c r="G133" i="7"/>
  <c r="G176" i="7"/>
  <c r="G145" i="7"/>
  <c r="R21" i="4"/>
  <c r="D47" i="4"/>
  <c r="U7" i="3"/>
  <c r="U14" i="3" s="1"/>
  <c r="B365" i="7"/>
  <c r="C84" i="7"/>
  <c r="C225" i="7"/>
  <c r="AA43" i="4"/>
  <c r="D342" i="7"/>
  <c r="E202" i="7"/>
  <c r="E233" i="7" s="1"/>
  <c r="E35" i="7"/>
  <c r="E61" i="7"/>
  <c r="B10" i="7"/>
  <c r="E227" i="7"/>
  <c r="E258" i="7" s="1"/>
  <c r="D367" i="7"/>
  <c r="E86" i="7"/>
  <c r="E352" i="7"/>
  <c r="F212" i="7"/>
  <c r="F36" i="7"/>
  <c r="F71" i="7"/>
  <c r="Q46" i="4"/>
  <c r="B281" i="7"/>
  <c r="B316" i="7"/>
  <c r="B293" i="7"/>
  <c r="B328" i="7"/>
  <c r="C274" i="7"/>
  <c r="C309" i="7"/>
  <c r="C286" i="7"/>
  <c r="C321" i="7"/>
  <c r="C298" i="7"/>
  <c r="C333" i="7"/>
  <c r="K10" i="4"/>
  <c r="W10" i="4"/>
  <c r="G153" i="7"/>
  <c r="G122" i="7"/>
  <c r="G165" i="7"/>
  <c r="G134" i="7"/>
  <c r="G177" i="7"/>
  <c r="G146" i="7"/>
  <c r="AA16" i="4"/>
  <c r="AA17" i="4" s="1"/>
  <c r="D18" i="4"/>
  <c r="Q18" i="4"/>
  <c r="AD18" i="4"/>
  <c r="F44" i="4"/>
  <c r="F55" i="4" s="1"/>
  <c r="E47" i="4"/>
  <c r="E48" i="4" s="1"/>
  <c r="Q14" i="3"/>
  <c r="V7" i="3"/>
  <c r="V14" i="3" s="1"/>
  <c r="E203" i="7"/>
  <c r="E234" i="7" s="1"/>
  <c r="D343" i="7"/>
  <c r="E62" i="7"/>
  <c r="E342" i="7"/>
  <c r="F202" i="7"/>
  <c r="F35" i="7"/>
  <c r="F61" i="7"/>
  <c r="B11" i="7"/>
  <c r="E354" i="7"/>
  <c r="F73" i="7"/>
  <c r="F214" i="7"/>
  <c r="E366" i="7"/>
  <c r="F226" i="7"/>
  <c r="F85" i="7"/>
  <c r="E353" i="7"/>
  <c r="F213" i="7"/>
  <c r="F72" i="7"/>
  <c r="P7" i="3"/>
  <c r="P14" i="3" s="1"/>
  <c r="P19" i="3" s="1"/>
  <c r="P5" i="4" s="1"/>
  <c r="AB7" i="3"/>
  <c r="AB14" i="3" s="1"/>
  <c r="B353" i="7"/>
  <c r="C213" i="7"/>
  <c r="C72" i="7"/>
  <c r="D363" i="7"/>
  <c r="E82" i="7"/>
  <c r="E223" i="7"/>
  <c r="E254" i="7" s="1"/>
  <c r="E348" i="7"/>
  <c r="F208" i="7"/>
  <c r="F67" i="7"/>
  <c r="E372" i="7"/>
  <c r="F232" i="7"/>
  <c r="F91" i="7"/>
  <c r="F38" i="7"/>
  <c r="C11" i="7"/>
  <c r="T5" i="5"/>
  <c r="D103" i="6"/>
  <c r="D130" i="6"/>
  <c r="K13" i="3"/>
  <c r="K15" i="3"/>
  <c r="W13" i="3"/>
  <c r="W15" i="3"/>
  <c r="B342" i="7"/>
  <c r="C202" i="7"/>
  <c r="C35" i="7"/>
  <c r="B8" i="7"/>
  <c r="C61" i="7"/>
  <c r="B366" i="7"/>
  <c r="C226" i="7"/>
  <c r="C85" i="7"/>
  <c r="E212" i="7"/>
  <c r="E243" i="7" s="1"/>
  <c r="D352" i="7"/>
  <c r="E36" i="7"/>
  <c r="E71" i="7"/>
  <c r="E344" i="7"/>
  <c r="F204" i="7"/>
  <c r="F63" i="7"/>
  <c r="E356" i="7"/>
  <c r="F216" i="7"/>
  <c r="F75" i="7"/>
  <c r="E368" i="7"/>
  <c r="F228" i="7"/>
  <c r="F87" i="7"/>
  <c r="F221" i="7"/>
  <c r="F80" i="7"/>
  <c r="E361" i="7"/>
  <c r="I5" i="5"/>
  <c r="D81" i="6"/>
  <c r="AD5" i="5"/>
  <c r="R5" i="5"/>
  <c r="F5" i="5"/>
  <c r="AC5" i="5"/>
  <c r="Q5" i="5"/>
  <c r="E5" i="5"/>
  <c r="AB5" i="5"/>
  <c r="P5" i="5"/>
  <c r="D5" i="5"/>
  <c r="AA5" i="5"/>
  <c r="O5" i="5"/>
  <c r="Z5" i="5"/>
  <c r="N5" i="5"/>
  <c r="AE5" i="5"/>
  <c r="S5" i="5"/>
  <c r="G5" i="5"/>
  <c r="L13" i="3"/>
  <c r="L7" i="3"/>
  <c r="L14" i="3" s="1"/>
  <c r="X13" i="3"/>
  <c r="X7" i="3"/>
  <c r="X14" i="3" s="1"/>
  <c r="K7" i="3"/>
  <c r="K14" i="3" s="1"/>
  <c r="B343" i="7"/>
  <c r="C203" i="7"/>
  <c r="C62" i="7"/>
  <c r="B367" i="7"/>
  <c r="C227" i="7"/>
  <c r="C86" i="7"/>
  <c r="E213" i="7"/>
  <c r="E244" i="7" s="1"/>
  <c r="D353" i="7"/>
  <c r="E72" i="7"/>
  <c r="E345" i="7"/>
  <c r="F205" i="7"/>
  <c r="F64" i="7"/>
  <c r="E357" i="7"/>
  <c r="F217" i="7"/>
  <c r="F76" i="7"/>
  <c r="E369" i="7"/>
  <c r="F229" i="7"/>
  <c r="F88" i="7"/>
  <c r="E362" i="7"/>
  <c r="F37" i="7"/>
  <c r="F222" i="7"/>
  <c r="F81" i="7"/>
  <c r="J5" i="5"/>
  <c r="AH5" i="5"/>
  <c r="D47" i="6"/>
  <c r="M7" i="3"/>
  <c r="M14" i="3" s="1"/>
  <c r="M13" i="3"/>
  <c r="Y7" i="3"/>
  <c r="Y14" i="3" s="1"/>
  <c r="Y13" i="3"/>
  <c r="B344" i="7"/>
  <c r="C63" i="7"/>
  <c r="C204" i="7"/>
  <c r="B368" i="7"/>
  <c r="C228" i="7"/>
  <c r="C87" i="7"/>
  <c r="D354" i="7"/>
  <c r="E214" i="7"/>
  <c r="E245" i="7" s="1"/>
  <c r="E73" i="7"/>
  <c r="E346" i="7"/>
  <c r="F206" i="7"/>
  <c r="F65" i="7"/>
  <c r="E358" i="7"/>
  <c r="F218" i="7"/>
  <c r="F77" i="7"/>
  <c r="E370" i="7"/>
  <c r="F89" i="7"/>
  <c r="F230" i="7"/>
  <c r="E363" i="7"/>
  <c r="F223" i="7"/>
  <c r="F82" i="7"/>
  <c r="K5" i="5"/>
  <c r="E47" i="6"/>
  <c r="E81" i="6"/>
  <c r="N7" i="3"/>
  <c r="N14" i="3" s="1"/>
  <c r="N19" i="3" s="1"/>
  <c r="N5" i="4" s="1"/>
  <c r="Z7" i="3"/>
  <c r="Z14" i="3" s="1"/>
  <c r="E74" i="7"/>
  <c r="D355" i="7"/>
  <c r="E215" i="7"/>
  <c r="E246" i="7" s="1"/>
  <c r="E347" i="7"/>
  <c r="F207" i="7"/>
  <c r="F66" i="7"/>
  <c r="E359" i="7"/>
  <c r="F219" i="7"/>
  <c r="F78" i="7"/>
  <c r="E371" i="7"/>
  <c r="F231" i="7"/>
  <c r="F90" i="7"/>
  <c r="E364" i="7"/>
  <c r="F224" i="7"/>
  <c r="F83" i="7"/>
  <c r="L5" i="5"/>
  <c r="F47" i="6"/>
  <c r="G151" i="7"/>
  <c r="G182" i="7"/>
  <c r="O43" i="4"/>
  <c r="O7" i="3"/>
  <c r="O14" i="3" s="1"/>
  <c r="AA7" i="3"/>
  <c r="AA14" i="3" s="1"/>
  <c r="AA19" i="3" s="1"/>
  <c r="AA5" i="4" s="1"/>
  <c r="X15" i="3"/>
  <c r="E365" i="7"/>
  <c r="F84" i="7"/>
  <c r="F225" i="7"/>
  <c r="M5" i="5"/>
  <c r="G47" i="6"/>
  <c r="H129" i="6"/>
  <c r="D5" i="7"/>
  <c r="E96" i="6"/>
  <c r="D7" i="3"/>
  <c r="G129" i="6"/>
  <c r="F96" i="6"/>
  <c r="G82" i="6" l="1"/>
  <c r="E131" i="6"/>
  <c r="H82" i="6"/>
  <c r="D131" i="6"/>
  <c r="G131" i="6"/>
  <c r="E82" i="6"/>
  <c r="E84" i="6"/>
  <c r="F84" i="6" s="1"/>
  <c r="G84" i="6" s="1"/>
  <c r="H84" i="6" s="1"/>
  <c r="D82" i="6"/>
  <c r="H131" i="6"/>
  <c r="F82" i="6"/>
  <c r="E133" i="6"/>
  <c r="F133" i="6" s="1"/>
  <c r="G133" i="6" s="1"/>
  <c r="H133" i="6" s="1"/>
  <c r="E50" i="4"/>
  <c r="E51" i="4" s="1"/>
  <c r="F284" i="7"/>
  <c r="F319" i="7"/>
  <c r="AA7" i="4"/>
  <c r="AB48" i="4"/>
  <c r="AA20" i="4"/>
  <c r="AD58" i="4"/>
  <c r="AD121" i="6" s="1"/>
  <c r="F295" i="7"/>
  <c r="F330" i="7"/>
  <c r="F317" i="7"/>
  <c r="F282" i="7"/>
  <c r="P20" i="4"/>
  <c r="E331" i="7"/>
  <c r="AB113" i="6"/>
  <c r="F146" i="7"/>
  <c r="E273" i="7"/>
  <c r="E64" i="6"/>
  <c r="E65" i="6" s="1"/>
  <c r="F154" i="7"/>
  <c r="B351" i="7"/>
  <c r="C211" i="7"/>
  <c r="C70" i="7"/>
  <c r="M19" i="3"/>
  <c r="M5" i="4" s="1"/>
  <c r="M43" i="4"/>
  <c r="M15" i="4"/>
  <c r="M12" i="4"/>
  <c r="C210" i="7"/>
  <c r="B350" i="7"/>
  <c r="C69" i="7"/>
  <c r="L19" i="3"/>
  <c r="L5" i="4" s="1"/>
  <c r="L43" i="4"/>
  <c r="L15" i="4"/>
  <c r="L12" i="4"/>
  <c r="C360" i="7"/>
  <c r="D79" i="7"/>
  <c r="D220" i="7"/>
  <c r="D251" i="7" s="1"/>
  <c r="V13" i="4"/>
  <c r="D219" i="7"/>
  <c r="D250" i="7" s="1"/>
  <c r="C359" i="7"/>
  <c r="D78" i="7"/>
  <c r="U13" i="4"/>
  <c r="F309" i="7"/>
  <c r="F274" i="7"/>
  <c r="C370" i="7"/>
  <c r="D89" i="7"/>
  <c r="D230" i="7"/>
  <c r="D261" i="7" s="1"/>
  <c r="AF13" i="4"/>
  <c r="AD47" i="4"/>
  <c r="P44" i="4"/>
  <c r="P45" i="4"/>
  <c r="AC124" i="6"/>
  <c r="AC122" i="6"/>
  <c r="AC123" i="6" s="1"/>
  <c r="N46" i="4"/>
  <c r="N18" i="4"/>
  <c r="N19" i="4" s="1"/>
  <c r="N47" i="4"/>
  <c r="B6" i="7"/>
  <c r="D14" i="3"/>
  <c r="D224" i="7"/>
  <c r="D255" i="7" s="1"/>
  <c r="C364" i="7"/>
  <c r="D83" i="7"/>
  <c r="Z13" i="4"/>
  <c r="C351" i="7"/>
  <c r="D211" i="7"/>
  <c r="D242" i="7" s="1"/>
  <c r="D70" i="7"/>
  <c r="M13" i="4"/>
  <c r="C257" i="7"/>
  <c r="C366" i="7"/>
  <c r="D85" i="7"/>
  <c r="D226" i="7"/>
  <c r="D257" i="7" s="1"/>
  <c r="AB13" i="4"/>
  <c r="AB19" i="3"/>
  <c r="AB5" i="4" s="1"/>
  <c r="AB64" i="4" s="1"/>
  <c r="D215" i="7"/>
  <c r="D246" i="7" s="1"/>
  <c r="D74" i="7"/>
  <c r="C355" i="7"/>
  <c r="Q13" i="4"/>
  <c r="D207" i="7"/>
  <c r="D238" i="7" s="1"/>
  <c r="C347" i="7"/>
  <c r="D66" i="7"/>
  <c r="I13" i="4"/>
  <c r="B357" i="7"/>
  <c r="C217" i="7"/>
  <c r="C76" i="7"/>
  <c r="S19" i="3"/>
  <c r="S5" i="4" s="1"/>
  <c r="S15" i="4"/>
  <c r="S43" i="4"/>
  <c r="S12" i="4"/>
  <c r="B370" i="7"/>
  <c r="C89" i="7"/>
  <c r="C230" i="7"/>
  <c r="AF15" i="4"/>
  <c r="AF43" i="4"/>
  <c r="AF12" i="4"/>
  <c r="AF19" i="3"/>
  <c r="AF5" i="4" s="1"/>
  <c r="P19" i="4"/>
  <c r="R17" i="4"/>
  <c r="R14" i="5" s="1"/>
  <c r="N136" i="7" s="1"/>
  <c r="AD59" i="4"/>
  <c r="D71" i="6"/>
  <c r="D72" i="6" s="1"/>
  <c r="D8" i="5"/>
  <c r="E19" i="4"/>
  <c r="C6" i="7"/>
  <c r="AH14" i="3"/>
  <c r="E20" i="4"/>
  <c r="C346" i="7"/>
  <c r="D206" i="7"/>
  <c r="D237" i="7" s="1"/>
  <c r="D65" i="7"/>
  <c r="H13" i="4"/>
  <c r="E230" i="7"/>
  <c r="E261" i="7" s="1"/>
  <c r="D370" i="7"/>
  <c r="E89" i="7"/>
  <c r="AF14" i="4"/>
  <c r="R48" i="4"/>
  <c r="R49" i="4"/>
  <c r="C245" i="7"/>
  <c r="E274" i="7"/>
  <c r="F155" i="7"/>
  <c r="F64" i="6"/>
  <c r="F65" i="6" s="1"/>
  <c r="Z7" i="4"/>
  <c r="Z34" i="4"/>
  <c r="D13" i="7"/>
  <c r="F333" i="7"/>
  <c r="F298" i="7"/>
  <c r="AC49" i="4"/>
  <c r="AC52" i="4" s="1"/>
  <c r="AC21" i="4"/>
  <c r="AC50" i="4"/>
  <c r="AC22" i="4"/>
  <c r="D59" i="4"/>
  <c r="C371" i="7"/>
  <c r="D231" i="7"/>
  <c r="D262" i="7" s="1"/>
  <c r="D90" i="7"/>
  <c r="AG13" i="4"/>
  <c r="C358" i="7"/>
  <c r="D218" i="7"/>
  <c r="D249" i="7" s="1"/>
  <c r="D77" i="7"/>
  <c r="T13" i="4"/>
  <c r="E59" i="4"/>
  <c r="E45" i="4"/>
  <c r="Q45" i="4"/>
  <c r="AC17" i="4"/>
  <c r="C243" i="7"/>
  <c r="O7" i="4"/>
  <c r="F71" i="6"/>
  <c r="F72" i="6" s="1"/>
  <c r="F8" i="5"/>
  <c r="F41" i="4"/>
  <c r="B371" i="7"/>
  <c r="C90" i="7"/>
  <c r="C231" i="7"/>
  <c r="AG19" i="3"/>
  <c r="AG5" i="4" s="1"/>
  <c r="AG12" i="4"/>
  <c r="AG43" i="4"/>
  <c r="AG15" i="4"/>
  <c r="P17" i="4"/>
  <c r="P16" i="4"/>
  <c r="B358" i="7"/>
  <c r="C218" i="7"/>
  <c r="C77" i="7"/>
  <c r="T19" i="3"/>
  <c r="T5" i="4" s="1"/>
  <c r="T15" i="4"/>
  <c r="T43" i="4"/>
  <c r="T12" i="4"/>
  <c r="B369" i="7"/>
  <c r="C229" i="7"/>
  <c r="C88" i="7"/>
  <c r="AE15" i="4"/>
  <c r="AE12" i="4"/>
  <c r="AE43" i="4"/>
  <c r="AE19" i="3"/>
  <c r="AE5" i="4" s="1"/>
  <c r="F47" i="4"/>
  <c r="AA48" i="4"/>
  <c r="D372" i="7"/>
  <c r="E232" i="7"/>
  <c r="E263" i="7" s="1"/>
  <c r="E91" i="7"/>
  <c r="E38" i="7"/>
  <c r="C10" i="7"/>
  <c r="D10" i="7" s="1"/>
  <c r="AH14" i="4"/>
  <c r="C259" i="7"/>
  <c r="G259" i="7" s="1"/>
  <c r="G228" i="7"/>
  <c r="F45" i="4"/>
  <c r="F59" i="4" s="1"/>
  <c r="D371" i="7"/>
  <c r="E231" i="7"/>
  <c r="E262" i="7" s="1"/>
  <c r="E90" i="7"/>
  <c r="AG14" i="4"/>
  <c r="E218" i="7"/>
  <c r="E249" i="7" s="1"/>
  <c r="D358" i="7"/>
  <c r="E77" i="7"/>
  <c r="T14" i="4"/>
  <c r="B30" i="7"/>
  <c r="N122" i="7"/>
  <c r="D369" i="7"/>
  <c r="E88" i="7"/>
  <c r="E229" i="7"/>
  <c r="E260" i="7" s="1"/>
  <c r="AE14" i="4"/>
  <c r="E21" i="4"/>
  <c r="E71" i="6"/>
  <c r="E72" i="6" s="1"/>
  <c r="E8" i="5"/>
  <c r="E41" i="4"/>
  <c r="AD34" i="4"/>
  <c r="AD17" i="4"/>
  <c r="D58" i="4"/>
  <c r="R19" i="4"/>
  <c r="F24" i="4"/>
  <c r="C234" i="7"/>
  <c r="G234" i="7" s="1"/>
  <c r="G203" i="7"/>
  <c r="C233" i="7"/>
  <c r="B360" i="7"/>
  <c r="C79" i="7"/>
  <c r="C220" i="7"/>
  <c r="V19" i="3"/>
  <c r="V5" i="4" s="1"/>
  <c r="V43" i="4"/>
  <c r="V12" i="4"/>
  <c r="V15" i="4"/>
  <c r="F273" i="7"/>
  <c r="F308" i="7"/>
  <c r="B359" i="7"/>
  <c r="C219" i="7"/>
  <c r="C78" i="7"/>
  <c r="U19" i="3"/>
  <c r="U5" i="4" s="1"/>
  <c r="U43" i="4"/>
  <c r="U12" i="4"/>
  <c r="U15" i="4"/>
  <c r="B346" i="7"/>
  <c r="C206" i="7"/>
  <c r="C65" i="7"/>
  <c r="H19" i="3"/>
  <c r="H5" i="4" s="1"/>
  <c r="H12" i="4"/>
  <c r="H15" i="4"/>
  <c r="H43" i="4"/>
  <c r="C357" i="7"/>
  <c r="D217" i="7"/>
  <c r="D248" i="7" s="1"/>
  <c r="D76" i="7"/>
  <c r="S13" i="4"/>
  <c r="AB34" i="4"/>
  <c r="AB17" i="4"/>
  <c r="AB27" i="4"/>
  <c r="D48" i="4"/>
  <c r="F22" i="4"/>
  <c r="AD49" i="4"/>
  <c r="AD21" i="4"/>
  <c r="AD50" i="4"/>
  <c r="AD51" i="4" s="1"/>
  <c r="AD22" i="4"/>
  <c r="AD23" i="4" s="1"/>
  <c r="E222" i="7"/>
  <c r="E253" i="7" s="1"/>
  <c r="D362" i="7"/>
  <c r="E81" i="7"/>
  <c r="E37" i="7"/>
  <c r="X14" i="4"/>
  <c r="C235" i="7"/>
  <c r="G235" i="7" s="1"/>
  <c r="G204" i="7"/>
  <c r="AD19" i="4"/>
  <c r="Z44" i="4"/>
  <c r="D360" i="7"/>
  <c r="E220" i="7"/>
  <c r="E251" i="7" s="1"/>
  <c r="E79" i="7"/>
  <c r="V14" i="4"/>
  <c r="E219" i="7"/>
  <c r="E250" i="7" s="1"/>
  <c r="D359" i="7"/>
  <c r="E78" i="7"/>
  <c r="U14" i="4"/>
  <c r="F321" i="7"/>
  <c r="F286" i="7"/>
  <c r="E206" i="7"/>
  <c r="E237" i="7" s="1"/>
  <c r="D346" i="7"/>
  <c r="E65" i="7"/>
  <c r="H14" i="4"/>
  <c r="D357" i="7"/>
  <c r="E76" i="7"/>
  <c r="E217" i="7"/>
  <c r="E248" i="7" s="1"/>
  <c r="S14" i="4"/>
  <c r="F153" i="7"/>
  <c r="E272" i="7"/>
  <c r="D64" i="6"/>
  <c r="D65" i="6" s="1"/>
  <c r="E24" i="4"/>
  <c r="Z14" i="5"/>
  <c r="N144" i="7" s="1"/>
  <c r="F14" i="5"/>
  <c r="N124" i="7" s="1"/>
  <c r="C352" i="7"/>
  <c r="D212" i="7"/>
  <c r="D243" i="7" s="1"/>
  <c r="D36" i="7"/>
  <c r="D71" i="7"/>
  <c r="N13" i="4"/>
  <c r="C258" i="7"/>
  <c r="G258" i="7" s="1"/>
  <c r="G227" i="7"/>
  <c r="B372" i="7"/>
  <c r="C232" i="7"/>
  <c r="C38" i="7"/>
  <c r="C8" i="7"/>
  <c r="D8" i="7" s="1"/>
  <c r="C91" i="7"/>
  <c r="AH19" i="3"/>
  <c r="AH12" i="4"/>
  <c r="AH43" i="4"/>
  <c r="AH15" i="4"/>
  <c r="D225" i="7"/>
  <c r="D256" i="7" s="1"/>
  <c r="C365" i="7"/>
  <c r="D84" i="7"/>
  <c r="AA13" i="4"/>
  <c r="D209" i="7"/>
  <c r="D240" i="7" s="1"/>
  <c r="D68" i="7"/>
  <c r="C349" i="7"/>
  <c r="K13" i="4"/>
  <c r="E221" i="7"/>
  <c r="E252" i="7" s="1"/>
  <c r="E80" i="7"/>
  <c r="D361" i="7"/>
  <c r="W14" i="4"/>
  <c r="Q19" i="4"/>
  <c r="AA44" i="4"/>
  <c r="Z18" i="4"/>
  <c r="Z46" i="4"/>
  <c r="C348" i="7"/>
  <c r="D208" i="7"/>
  <c r="D239" i="7" s="1"/>
  <c r="D67" i="7"/>
  <c r="J13" i="4"/>
  <c r="B347" i="7"/>
  <c r="C207" i="7"/>
  <c r="C66" i="7"/>
  <c r="I19" i="3"/>
  <c r="I5" i="4" s="1"/>
  <c r="I12" i="4"/>
  <c r="I15" i="4"/>
  <c r="I43" i="4"/>
  <c r="Q19" i="3"/>
  <c r="Q5" i="4" s="1"/>
  <c r="B345" i="7"/>
  <c r="C205" i="7"/>
  <c r="C64" i="7"/>
  <c r="G15" i="4"/>
  <c r="G19" i="3"/>
  <c r="G5" i="4" s="1"/>
  <c r="G12" i="4"/>
  <c r="G43" i="4"/>
  <c r="AB124" i="6"/>
  <c r="AB122" i="6"/>
  <c r="AB123" i="6" s="1"/>
  <c r="F48" i="4"/>
  <c r="AC27" i="4"/>
  <c r="C354" i="7"/>
  <c r="D73" i="7"/>
  <c r="D214" i="7"/>
  <c r="D245" i="7" s="1"/>
  <c r="P13" i="4"/>
  <c r="D213" i="7"/>
  <c r="D244" i="7" s="1"/>
  <c r="C353" i="7"/>
  <c r="D72" i="7"/>
  <c r="O13" i="4"/>
  <c r="O19" i="3"/>
  <c r="O5" i="4" s="1"/>
  <c r="D81" i="7"/>
  <c r="D222" i="7"/>
  <c r="D253" i="7" s="1"/>
  <c r="D37" i="7"/>
  <c r="C362" i="7"/>
  <c r="X13" i="4"/>
  <c r="B361" i="7"/>
  <c r="C221" i="7"/>
  <c r="C80" i="7"/>
  <c r="W19" i="3"/>
  <c r="W5" i="4" s="1"/>
  <c r="W43" i="4"/>
  <c r="W12" i="4"/>
  <c r="W15" i="4"/>
  <c r="D19" i="4"/>
  <c r="G225" i="7"/>
  <c r="C256" i="7"/>
  <c r="G256" i="7" s="1"/>
  <c r="Z19" i="3"/>
  <c r="Z5" i="4" s="1"/>
  <c r="B348" i="7"/>
  <c r="C208" i="7"/>
  <c r="C67" i="7"/>
  <c r="J19" i="3"/>
  <c r="J5" i="4" s="1"/>
  <c r="J12" i="4"/>
  <c r="J15" i="4"/>
  <c r="J43" i="4"/>
  <c r="E207" i="7"/>
  <c r="E238" i="7" s="1"/>
  <c r="E66" i="7"/>
  <c r="D347" i="7"/>
  <c r="I14" i="4"/>
  <c r="Q47" i="4"/>
  <c r="Q48" i="4" s="1"/>
  <c r="Q16" i="4"/>
  <c r="D345" i="7"/>
  <c r="E64" i="7"/>
  <c r="E205" i="7"/>
  <c r="E236" i="7" s="1"/>
  <c r="G14" i="4"/>
  <c r="O19" i="4"/>
  <c r="O20" i="4" s="1"/>
  <c r="F297" i="7"/>
  <c r="F332" i="7"/>
  <c r="AD55" i="4"/>
  <c r="C81" i="7"/>
  <c r="B362" i="7"/>
  <c r="C222" i="7"/>
  <c r="C37" i="7"/>
  <c r="X19" i="3"/>
  <c r="X5" i="4" s="1"/>
  <c r="X12" i="4"/>
  <c r="X43" i="4"/>
  <c r="X15" i="4"/>
  <c r="AA27" i="4"/>
  <c r="AA34" i="4"/>
  <c r="D348" i="7"/>
  <c r="E208" i="7"/>
  <c r="E239" i="7" s="1"/>
  <c r="E67" i="7"/>
  <c r="J14" i="4"/>
  <c r="C247" i="7"/>
  <c r="G247" i="7" s="1"/>
  <c r="G216" i="7"/>
  <c r="R59" i="4"/>
  <c r="R45" i="4"/>
  <c r="G215" i="7"/>
  <c r="C246" i="7"/>
  <c r="G246" i="7" s="1"/>
  <c r="AA14" i="5"/>
  <c r="N145" i="7" s="1"/>
  <c r="E55" i="4"/>
  <c r="Q55" i="4"/>
  <c r="AC20" i="4"/>
  <c r="N16" i="4"/>
  <c r="N17" i="4"/>
  <c r="AC59" i="4"/>
  <c r="O34" i="4"/>
  <c r="R27" i="4"/>
  <c r="Q20" i="4"/>
  <c r="O44" i="4"/>
  <c r="B363" i="7"/>
  <c r="C223" i="7"/>
  <c r="C82" i="7"/>
  <c r="Y19" i="3"/>
  <c r="Y5" i="4" s="1"/>
  <c r="Y43" i="4"/>
  <c r="Y15" i="4"/>
  <c r="Y12" i="4"/>
  <c r="E68" i="7"/>
  <c r="D349" i="7"/>
  <c r="E209" i="7"/>
  <c r="E240" i="7" s="1"/>
  <c r="K14" i="4"/>
  <c r="C363" i="7"/>
  <c r="D223" i="7"/>
  <c r="D254" i="7" s="1"/>
  <c r="D82" i="7"/>
  <c r="Y13" i="4"/>
  <c r="D210" i="7"/>
  <c r="D241" i="7" s="1"/>
  <c r="C350" i="7"/>
  <c r="D69" i="7"/>
  <c r="L13" i="4"/>
  <c r="B349" i="7"/>
  <c r="C68" i="7"/>
  <c r="C209" i="7"/>
  <c r="K19" i="3"/>
  <c r="K5" i="4" s="1"/>
  <c r="K15" i="4"/>
  <c r="K12" i="4"/>
  <c r="K43" i="4"/>
  <c r="D11" i="7"/>
  <c r="C244" i="7"/>
  <c r="G244" i="7" s="1"/>
  <c r="C255" i="7"/>
  <c r="G255" i="7" s="1"/>
  <c r="G224" i="7"/>
  <c r="C345" i="7"/>
  <c r="D205" i="7"/>
  <c r="D236" i="7" s="1"/>
  <c r="D64" i="7"/>
  <c r="G13" i="4"/>
  <c r="P47" i="4"/>
  <c r="R55" i="4"/>
  <c r="O48" i="4"/>
  <c r="AB19" i="4"/>
  <c r="AC47" i="4"/>
  <c r="N44" i="4"/>
  <c r="AC125" i="6" l="1"/>
  <c r="E309" i="7"/>
  <c r="F113" i="6"/>
  <c r="F114" i="6" s="1"/>
  <c r="F124" i="7"/>
  <c r="F64" i="4"/>
  <c r="AC53" i="4"/>
  <c r="AC65" i="4" s="1"/>
  <c r="E57" i="4"/>
  <c r="W16" i="4"/>
  <c r="W17" i="4"/>
  <c r="AB125" i="6"/>
  <c r="I17" i="4"/>
  <c r="I16" i="4"/>
  <c r="C237" i="7"/>
  <c r="G237" i="7" s="1"/>
  <c r="G206" i="7"/>
  <c r="C250" i="7"/>
  <c r="G250" i="7" s="1"/>
  <c r="G219" i="7"/>
  <c r="D121" i="6"/>
  <c r="D122" i="6" s="1"/>
  <c r="E22" i="4"/>
  <c r="G212" i="7"/>
  <c r="F315" i="7"/>
  <c r="F280" i="7"/>
  <c r="AB24" i="4"/>
  <c r="AB25" i="4" s="1"/>
  <c r="AB7" i="4"/>
  <c r="AB14" i="5"/>
  <c r="N146" i="7" s="1"/>
  <c r="AD7" i="4"/>
  <c r="AD24" i="4"/>
  <c r="AD25" i="4"/>
  <c r="AD50" i="6" s="1"/>
  <c r="P34" i="4"/>
  <c r="P27" i="4"/>
  <c r="P14" i="5"/>
  <c r="N134" i="7" s="1"/>
  <c r="E53" i="4"/>
  <c r="E58" i="4"/>
  <c r="E121" i="6" s="1"/>
  <c r="E122" i="6" s="1"/>
  <c r="E52" i="4"/>
  <c r="Q51" i="4"/>
  <c r="Q57" i="4" s="1"/>
  <c r="Q21" i="4"/>
  <c r="Q50" i="4"/>
  <c r="Q23" i="4"/>
  <c r="Q22" i="4"/>
  <c r="Q49" i="4"/>
  <c r="N20" i="4"/>
  <c r="I46" i="4"/>
  <c r="I18" i="4"/>
  <c r="Z59" i="4"/>
  <c r="Z55" i="4"/>
  <c r="E298" i="7"/>
  <c r="F179" i="7"/>
  <c r="AD64" i="6"/>
  <c r="F58" i="4"/>
  <c r="F121" i="6" s="1"/>
  <c r="F122" i="6" s="1"/>
  <c r="P7" i="4"/>
  <c r="E308" i="7"/>
  <c r="F123" i="7"/>
  <c r="E64" i="4"/>
  <c r="E113" i="6"/>
  <c r="E114" i="6" s="1"/>
  <c r="C372" i="7"/>
  <c r="D232" i="7"/>
  <c r="D263" i="7" s="1"/>
  <c r="D91" i="7"/>
  <c r="D38" i="7"/>
  <c r="C9" i="7"/>
  <c r="AH13" i="4"/>
  <c r="S46" i="4"/>
  <c r="S47" i="4"/>
  <c r="S48" i="4" s="1"/>
  <c r="S18" i="4"/>
  <c r="AA8" i="5"/>
  <c r="AA71" i="6"/>
  <c r="AA41" i="4"/>
  <c r="F177" i="7"/>
  <c r="E296" i="7"/>
  <c r="AB64" i="6"/>
  <c r="Y19" i="4"/>
  <c r="Y18" i="4"/>
  <c r="Y46" i="4"/>
  <c r="E283" i="7"/>
  <c r="F164" i="7"/>
  <c r="O64" i="6"/>
  <c r="F326" i="7"/>
  <c r="F291" i="7"/>
  <c r="F283" i="7"/>
  <c r="F318" i="7"/>
  <c r="G46" i="4"/>
  <c r="G47" i="4"/>
  <c r="G18" i="4"/>
  <c r="AH46" i="4"/>
  <c r="AH19" i="4"/>
  <c r="AH20" i="4" s="1"/>
  <c r="AH18" i="4"/>
  <c r="Z45" i="4"/>
  <c r="S49" i="4"/>
  <c r="S50" i="4"/>
  <c r="S51" i="4" s="1"/>
  <c r="AD14" i="5"/>
  <c r="N148" i="7" s="1"/>
  <c r="F23" i="4"/>
  <c r="AG16" i="4"/>
  <c r="D6" i="7"/>
  <c r="S44" i="4"/>
  <c r="S45" i="4"/>
  <c r="S58" i="4" s="1"/>
  <c r="S121" i="6" s="1"/>
  <c r="G210" i="7"/>
  <c r="C241" i="7"/>
  <c r="G241" i="7" s="1"/>
  <c r="D179" i="7"/>
  <c r="AG44" i="4"/>
  <c r="AG45" i="4" s="1"/>
  <c r="E307" i="7"/>
  <c r="F122" i="7"/>
  <c r="D113" i="6"/>
  <c r="D114" i="6" s="1"/>
  <c r="F300" i="7"/>
  <c r="F335" i="7"/>
  <c r="S16" i="4"/>
  <c r="V21" i="4"/>
  <c r="M19" i="4"/>
  <c r="M46" i="4"/>
  <c r="M18" i="4"/>
  <c r="M20" i="4" s="1"/>
  <c r="M47" i="4"/>
  <c r="M48" i="4"/>
  <c r="AB37" i="4"/>
  <c r="Y16" i="4"/>
  <c r="Y17" i="4"/>
  <c r="F147" i="7"/>
  <c r="E332" i="7"/>
  <c r="AC113" i="6"/>
  <c r="AC64" i="4"/>
  <c r="J44" i="4"/>
  <c r="J45" i="4"/>
  <c r="O22" i="4"/>
  <c r="O49" i="4"/>
  <c r="O21" i="4"/>
  <c r="F275" i="7"/>
  <c r="F310" i="7"/>
  <c r="C238" i="7"/>
  <c r="G238" i="7" s="1"/>
  <c r="G207" i="7"/>
  <c r="AA59" i="4"/>
  <c r="AA55" i="4"/>
  <c r="K49" i="4"/>
  <c r="C7" i="7"/>
  <c r="AH5" i="4"/>
  <c r="G213" i="7"/>
  <c r="Y45" i="4"/>
  <c r="Y44" i="4"/>
  <c r="N7" i="4"/>
  <c r="N24" i="4" s="1"/>
  <c r="N25" i="4" s="1"/>
  <c r="J16" i="4"/>
  <c r="J17" i="4"/>
  <c r="J7" i="4" s="1"/>
  <c r="C252" i="7"/>
  <c r="G252" i="7" s="1"/>
  <c r="G221" i="7"/>
  <c r="G16" i="4"/>
  <c r="AA45" i="4"/>
  <c r="V16" i="4"/>
  <c r="V17" i="4"/>
  <c r="P123" i="7"/>
  <c r="AG47" i="4"/>
  <c r="AG19" i="4"/>
  <c r="AG20" i="4" s="1"/>
  <c r="AG46" i="4"/>
  <c r="AG48" i="4" s="1"/>
  <c r="AG18" i="4"/>
  <c r="F175" i="7"/>
  <c r="E294" i="7"/>
  <c r="Z64" i="6"/>
  <c r="P122" i="7"/>
  <c r="AF18" i="4"/>
  <c r="AF46" i="4"/>
  <c r="AF47" i="4"/>
  <c r="AF48" i="4"/>
  <c r="F322" i="7"/>
  <c r="F287" i="7"/>
  <c r="F331" i="7"/>
  <c r="F296" i="7"/>
  <c r="M16" i="4"/>
  <c r="M17" i="4"/>
  <c r="AB114" i="6"/>
  <c r="AB115" i="6" s="1"/>
  <c r="AB117" i="6"/>
  <c r="F312" i="7"/>
  <c r="F277" i="7"/>
  <c r="AH44" i="4"/>
  <c r="AH45" i="4"/>
  <c r="F293" i="7"/>
  <c r="F328" i="7"/>
  <c r="N34" i="4"/>
  <c r="N27" i="4"/>
  <c r="N14" i="5"/>
  <c r="N132" i="7" s="1"/>
  <c r="R58" i="4"/>
  <c r="R53" i="4" s="1"/>
  <c r="R52" i="4"/>
  <c r="X16" i="4"/>
  <c r="X17" i="4"/>
  <c r="J19" i="4"/>
  <c r="J46" i="4"/>
  <c r="J18" i="4"/>
  <c r="J20" i="4"/>
  <c r="J21" i="4"/>
  <c r="J49" i="4"/>
  <c r="J22" i="4"/>
  <c r="J23" i="4"/>
  <c r="U7" i="4"/>
  <c r="V18" i="4"/>
  <c r="V46" i="4"/>
  <c r="V49" i="4" s="1"/>
  <c r="F28" i="4"/>
  <c r="AH58" i="4"/>
  <c r="F299" i="7"/>
  <c r="F334" i="7"/>
  <c r="T18" i="4"/>
  <c r="T46" i="4"/>
  <c r="F336" i="7"/>
  <c r="F301" i="7"/>
  <c r="Z8" i="5"/>
  <c r="Z71" i="6"/>
  <c r="Z41" i="4"/>
  <c r="Z24" i="4"/>
  <c r="AF44" i="4"/>
  <c r="AF45" i="4"/>
  <c r="AB22" i="4"/>
  <c r="AB50" i="6" s="1"/>
  <c r="AB49" i="4"/>
  <c r="AB51" i="4" s="1"/>
  <c r="AB57" i="4" s="1"/>
  <c r="AB21" i="4"/>
  <c r="AB50" i="4"/>
  <c r="Z22" i="4"/>
  <c r="Z49" i="4"/>
  <c r="Z21" i="4"/>
  <c r="Z23" i="4"/>
  <c r="N48" i="4"/>
  <c r="M45" i="4"/>
  <c r="M44" i="4"/>
  <c r="U17" i="4"/>
  <c r="U16" i="4"/>
  <c r="V44" i="4"/>
  <c r="AE44" i="4"/>
  <c r="AE45" i="4"/>
  <c r="T44" i="4"/>
  <c r="T45" i="4"/>
  <c r="C262" i="7"/>
  <c r="G262" i="7" s="1"/>
  <c r="G231" i="7"/>
  <c r="AC7" i="4"/>
  <c r="AG49" i="4"/>
  <c r="AG21" i="4"/>
  <c r="AG50" i="4"/>
  <c r="AG51" i="4"/>
  <c r="E333" i="7"/>
  <c r="F148" i="7"/>
  <c r="AD113" i="6"/>
  <c r="AD64" i="4"/>
  <c r="AF17" i="4"/>
  <c r="AF16" i="4"/>
  <c r="C248" i="7"/>
  <c r="G248" i="7" s="1"/>
  <c r="G217" i="7"/>
  <c r="F281" i="7"/>
  <c r="F316" i="7"/>
  <c r="AD124" i="6"/>
  <c r="AD122" i="6"/>
  <c r="AD123" i="6" s="1"/>
  <c r="F25" i="4"/>
  <c r="F39" i="4" s="1"/>
  <c r="K47" i="4"/>
  <c r="K46" i="4"/>
  <c r="K48" i="4"/>
  <c r="K18" i="4"/>
  <c r="C254" i="7"/>
  <c r="G254" i="7" s="1"/>
  <c r="G223" i="7"/>
  <c r="X46" i="4"/>
  <c r="X18" i="4"/>
  <c r="P22" i="4"/>
  <c r="P21" i="4"/>
  <c r="P49" i="4"/>
  <c r="F290" i="7"/>
  <c r="F325" i="7"/>
  <c r="R20" i="4"/>
  <c r="AE46" i="4"/>
  <c r="AE47" i="4"/>
  <c r="AE48" i="4"/>
  <c r="AE18" i="4"/>
  <c r="AE19" i="4" s="1"/>
  <c r="T16" i="4"/>
  <c r="P124" i="7"/>
  <c r="AC34" i="4"/>
  <c r="G214" i="7"/>
  <c r="C261" i="7"/>
  <c r="G261" i="7" s="1"/>
  <c r="G230" i="7"/>
  <c r="R22" i="4"/>
  <c r="AD52" i="4"/>
  <c r="AB20" i="4"/>
  <c r="Q30" i="4"/>
  <c r="E166" i="7" s="1"/>
  <c r="W47" i="4"/>
  <c r="W19" i="4"/>
  <c r="W18" i="4"/>
  <c r="W46" i="4"/>
  <c r="K44" i="4"/>
  <c r="Y49" i="4"/>
  <c r="Y21" i="4"/>
  <c r="Y22" i="4" s="1"/>
  <c r="Y23" i="4" s="1"/>
  <c r="G205" i="7"/>
  <c r="C236" i="7"/>
  <c r="G236" i="7" s="1"/>
  <c r="S53" i="4"/>
  <c r="S52" i="4"/>
  <c r="S65" i="4" s="1"/>
  <c r="H44" i="4"/>
  <c r="H45" i="4" s="1"/>
  <c r="H58" i="4" s="1"/>
  <c r="H121" i="6" s="1"/>
  <c r="H122" i="6" s="1"/>
  <c r="N55" i="4"/>
  <c r="P48" i="4"/>
  <c r="C263" i="7"/>
  <c r="G263" i="7" s="1"/>
  <c r="G232" i="7"/>
  <c r="N45" i="4"/>
  <c r="AD20" i="4"/>
  <c r="K16" i="4"/>
  <c r="K17" i="4" s="1"/>
  <c r="F292" i="7"/>
  <c r="F327" i="7"/>
  <c r="Q14" i="5"/>
  <c r="N135" i="7" s="1"/>
  <c r="Q27" i="4"/>
  <c r="Q29" i="4" s="1"/>
  <c r="G208" i="7"/>
  <c r="C239" i="7"/>
  <c r="G239" i="7" s="1"/>
  <c r="F285" i="7"/>
  <c r="F320" i="7"/>
  <c r="AA22" i="4"/>
  <c r="AA49" i="4"/>
  <c r="AA21" i="4"/>
  <c r="H18" i="4"/>
  <c r="H46" i="4"/>
  <c r="U44" i="4"/>
  <c r="U45" i="4"/>
  <c r="U58" i="4" s="1"/>
  <c r="U121" i="6" s="1"/>
  <c r="C251" i="7"/>
  <c r="G251" i="7" s="1"/>
  <c r="G220" i="7"/>
  <c r="AE7" i="4"/>
  <c r="AE17" i="4"/>
  <c r="AE16" i="4"/>
  <c r="F288" i="7"/>
  <c r="F323" i="7"/>
  <c r="Q58" i="4"/>
  <c r="Q52" i="4" s="1"/>
  <c r="AC23" i="4"/>
  <c r="G245" i="7"/>
  <c r="R7" i="4"/>
  <c r="R24" i="4"/>
  <c r="I49" i="4"/>
  <c r="I21" i="4"/>
  <c r="P58" i="4"/>
  <c r="P121" i="6" s="1"/>
  <c r="L19" i="4"/>
  <c r="L46" i="4"/>
  <c r="L18" i="4"/>
  <c r="L21" i="4" s="1"/>
  <c r="C242" i="7"/>
  <c r="G242" i="7" s="1"/>
  <c r="G211" i="7"/>
  <c r="N50" i="4"/>
  <c r="N22" i="4"/>
  <c r="N21" i="4"/>
  <c r="N23" i="4" s="1"/>
  <c r="N49" i="4"/>
  <c r="E321" i="7"/>
  <c r="R113" i="6"/>
  <c r="F136" i="7"/>
  <c r="R64" i="4"/>
  <c r="X44" i="4"/>
  <c r="F278" i="7"/>
  <c r="F313" i="7"/>
  <c r="D20" i="4"/>
  <c r="X49" i="4"/>
  <c r="X21" i="4"/>
  <c r="Q17" i="4"/>
  <c r="AC14" i="5"/>
  <c r="N147" i="7" s="1"/>
  <c r="V7" i="4"/>
  <c r="F276" i="7"/>
  <c r="F311" i="7"/>
  <c r="F289" i="7"/>
  <c r="F324" i="7"/>
  <c r="O71" i="6"/>
  <c r="O41" i="4"/>
  <c r="O8" i="5"/>
  <c r="Q59" i="4"/>
  <c r="R50" i="4"/>
  <c r="R51" i="4" s="1"/>
  <c r="R57" i="4" s="1"/>
  <c r="R34" i="4"/>
  <c r="G226" i="7"/>
  <c r="P59" i="4"/>
  <c r="P55" i="4"/>
  <c r="L16" i="4"/>
  <c r="L17" i="4"/>
  <c r="F50" i="4"/>
  <c r="C27" i="7"/>
  <c r="AH16" i="4"/>
  <c r="AH17" i="4" s="1"/>
  <c r="E295" i="7"/>
  <c r="F176" i="7"/>
  <c r="AA64" i="6"/>
  <c r="W44" i="4"/>
  <c r="G44" i="4"/>
  <c r="G45" i="4"/>
  <c r="G58" i="4" s="1"/>
  <c r="G121" i="6" s="1"/>
  <c r="G122" i="6" s="1"/>
  <c r="Z19" i="4"/>
  <c r="H16" i="4"/>
  <c r="U47" i="4"/>
  <c r="U20" i="4"/>
  <c r="U19" i="4"/>
  <c r="U46" i="4"/>
  <c r="U49" i="4" s="1"/>
  <c r="U18" i="4"/>
  <c r="U21" i="4" s="1"/>
  <c r="U24" i="4" s="1"/>
  <c r="D147" i="7"/>
  <c r="AC99" i="6"/>
  <c r="AC62" i="4"/>
  <c r="AC48" i="4"/>
  <c r="G49" i="4"/>
  <c r="G51" i="4" s="1"/>
  <c r="G50" i="4"/>
  <c r="G21" i="4"/>
  <c r="F314" i="7"/>
  <c r="F279" i="7"/>
  <c r="O55" i="4"/>
  <c r="J58" i="4"/>
  <c r="J121" i="6" s="1"/>
  <c r="AC56" i="4"/>
  <c r="C240" i="7"/>
  <c r="G240" i="7" s="1"/>
  <c r="G209" i="7"/>
  <c r="O45" i="4"/>
  <c r="O59" i="4" s="1"/>
  <c r="C253" i="7"/>
  <c r="G253" i="7" s="1"/>
  <c r="G222" i="7"/>
  <c r="F294" i="7"/>
  <c r="F329" i="7"/>
  <c r="I44" i="4"/>
  <c r="I45" i="4"/>
  <c r="Z47" i="4"/>
  <c r="W7" i="4"/>
  <c r="G229" i="7"/>
  <c r="C260" i="7"/>
  <c r="G260" i="7" s="1"/>
  <c r="C249" i="7"/>
  <c r="G249" i="7" s="1"/>
  <c r="G218" i="7"/>
  <c r="G243" i="7"/>
  <c r="AC51" i="4"/>
  <c r="G257" i="7"/>
  <c r="C342" i="7"/>
  <c r="D61" i="7"/>
  <c r="D202" i="7"/>
  <c r="D35" i="7"/>
  <c r="B9" i="7"/>
  <c r="D13" i="4"/>
  <c r="D19" i="3"/>
  <c r="AD48" i="4"/>
  <c r="L44" i="4"/>
  <c r="AB118" i="6" l="1"/>
  <c r="AB53" i="6"/>
  <c r="AB51" i="6"/>
  <c r="AB52" i="6" s="1"/>
  <c r="AB54" i="6" s="1"/>
  <c r="C29" i="7"/>
  <c r="AH7" i="4"/>
  <c r="D321" i="7"/>
  <c r="E136" i="7"/>
  <c r="R92" i="6"/>
  <c r="R63" i="4"/>
  <c r="D331" i="7"/>
  <c r="E146" i="7"/>
  <c r="AB92" i="6"/>
  <c r="AB63" i="4"/>
  <c r="D285" i="7"/>
  <c r="Q38" i="4"/>
  <c r="Q11" i="5"/>
  <c r="Q31" i="4"/>
  <c r="AD30" i="4"/>
  <c r="E179" i="7" s="1"/>
  <c r="AD29" i="4"/>
  <c r="K19" i="4"/>
  <c r="T49" i="4"/>
  <c r="U71" i="6"/>
  <c r="U8" i="5"/>
  <c r="U41" i="4"/>
  <c r="M7" i="4"/>
  <c r="J71" i="6"/>
  <c r="J8" i="5"/>
  <c r="J41" i="4"/>
  <c r="J25" i="4"/>
  <c r="C159" i="7" s="1"/>
  <c r="J24" i="4"/>
  <c r="AG58" i="4"/>
  <c r="Z25" i="4"/>
  <c r="Z39" i="4" s="1"/>
  <c r="Z9" i="5" s="1"/>
  <c r="T21" i="4"/>
  <c r="U52" i="4"/>
  <c r="E330" i="7"/>
  <c r="F145" i="7"/>
  <c r="AA113" i="6"/>
  <c r="AA64" i="4"/>
  <c r="U51" i="4"/>
  <c r="U50" i="4"/>
  <c r="X55" i="4"/>
  <c r="N58" i="4"/>
  <c r="N121" i="6" s="1"/>
  <c r="N59" i="4"/>
  <c r="E320" i="7"/>
  <c r="F135" i="7"/>
  <c r="Q64" i="4"/>
  <c r="Q113" i="6"/>
  <c r="X45" i="4"/>
  <c r="X7" i="4"/>
  <c r="AF19" i="4"/>
  <c r="AF21" i="4"/>
  <c r="C28" i="7"/>
  <c r="AH34" i="4"/>
  <c r="AH14" i="5"/>
  <c r="AH27" i="4"/>
  <c r="U122" i="6"/>
  <c r="U123" i="6" s="1"/>
  <c r="U124" i="6"/>
  <c r="T14" i="5"/>
  <c r="N138" i="7" s="1"/>
  <c r="T27" i="4"/>
  <c r="T17" i="4"/>
  <c r="P50" i="4"/>
  <c r="X34" i="4"/>
  <c r="X14" i="5"/>
  <c r="N142" i="7" s="1"/>
  <c r="X27" i="4"/>
  <c r="N39" i="4"/>
  <c r="D320" i="7"/>
  <c r="E135" i="7"/>
  <c r="Q92" i="6"/>
  <c r="Q63" i="4"/>
  <c r="L22" i="4"/>
  <c r="L50" i="6" s="1"/>
  <c r="L55" i="4"/>
  <c r="L45" i="4"/>
  <c r="Z48" i="4"/>
  <c r="Q25" i="4"/>
  <c r="Q24" i="4"/>
  <c r="Q7" i="4"/>
  <c r="Q39" i="4" s="1"/>
  <c r="L49" i="4"/>
  <c r="L47" i="4"/>
  <c r="R71" i="6"/>
  <c r="R8" i="5"/>
  <c r="R41" i="4"/>
  <c r="R25" i="4"/>
  <c r="AD61" i="4"/>
  <c r="AD65" i="4"/>
  <c r="AD60" i="4" s="1"/>
  <c r="AD66" i="4" s="1"/>
  <c r="AD53" i="4"/>
  <c r="AD106" i="6"/>
  <c r="C148" i="7"/>
  <c r="AE20" i="4"/>
  <c r="P24" i="4"/>
  <c r="P23" i="4"/>
  <c r="T58" i="4"/>
  <c r="T121" i="6" s="1"/>
  <c r="T52" i="4"/>
  <c r="S124" i="6"/>
  <c r="S122" i="6"/>
  <c r="S123" i="6" s="1"/>
  <c r="R117" i="6"/>
  <c r="R114" i="6"/>
  <c r="R115" i="6" s="1"/>
  <c r="D161" i="7"/>
  <c r="L20" i="4"/>
  <c r="H48" i="4"/>
  <c r="H47" i="4"/>
  <c r="Z50" i="4"/>
  <c r="Z51" i="4" s="1"/>
  <c r="C136" i="7"/>
  <c r="H216" i="7" s="1"/>
  <c r="R106" i="6"/>
  <c r="E286" i="7"/>
  <c r="F167" i="7"/>
  <c r="R64" i="6"/>
  <c r="D233" i="7"/>
  <c r="G233" i="7" s="1"/>
  <c r="G202" i="7"/>
  <c r="U23" i="4"/>
  <c r="U30" i="4" s="1"/>
  <c r="E170" i="7" s="1"/>
  <c r="U22" i="4"/>
  <c r="D170" i="7" s="1"/>
  <c r="H27" i="4"/>
  <c r="AH121" i="6"/>
  <c r="R121" i="6"/>
  <c r="R65" i="4"/>
  <c r="R61" i="4" s="1"/>
  <c r="AF7" i="4"/>
  <c r="Y52" i="4"/>
  <c r="Y58" i="4"/>
  <c r="Y121" i="6" s="1"/>
  <c r="V71" i="6"/>
  <c r="V8" i="5"/>
  <c r="V41" i="4"/>
  <c r="R62" i="4"/>
  <c r="R56" i="4"/>
  <c r="D136" i="7"/>
  <c r="R99" i="6"/>
  <c r="I52" i="4"/>
  <c r="I58" i="4"/>
  <c r="I121" i="6" s="1"/>
  <c r="J124" i="6"/>
  <c r="J122" i="6"/>
  <c r="J123" i="6" s="1"/>
  <c r="E318" i="7"/>
  <c r="F133" i="7"/>
  <c r="O113" i="6"/>
  <c r="O64" i="4"/>
  <c r="H17" i="4"/>
  <c r="L39" i="4"/>
  <c r="L24" i="4"/>
  <c r="L7" i="4"/>
  <c r="L25" i="4"/>
  <c r="L37" i="4" s="1"/>
  <c r="V24" i="4"/>
  <c r="R60" i="4"/>
  <c r="R66" i="4" s="1"/>
  <c r="J52" i="4"/>
  <c r="D175" i="7"/>
  <c r="Z50" i="6"/>
  <c r="Z20" i="4"/>
  <c r="Z28" i="4" s="1"/>
  <c r="N51" i="4"/>
  <c r="N57" i="4" s="1"/>
  <c r="P52" i="4"/>
  <c r="H19" i="4"/>
  <c r="H21" i="4"/>
  <c r="Q34" i="4"/>
  <c r="K55" i="4"/>
  <c r="AE49" i="4"/>
  <c r="X47" i="4"/>
  <c r="X48" i="4" s="1"/>
  <c r="AE59" i="4"/>
  <c r="AE55" i="4"/>
  <c r="V14" i="5"/>
  <c r="N140" i="7" s="1"/>
  <c r="V34" i="4"/>
  <c r="V27" i="4"/>
  <c r="O51" i="4"/>
  <c r="O57" i="4" s="1"/>
  <c r="AG34" i="4"/>
  <c r="AG27" i="4"/>
  <c r="AG17" i="4"/>
  <c r="AC106" i="6"/>
  <c r="AC61" i="4"/>
  <c r="C147" i="7"/>
  <c r="H49" i="4"/>
  <c r="AE58" i="4"/>
  <c r="B7" i="7"/>
  <c r="D5" i="4"/>
  <c r="AC57" i="4"/>
  <c r="AC60" i="4" s="1"/>
  <c r="AC66" i="4" s="1"/>
  <c r="D29" i="4"/>
  <c r="K45" i="4"/>
  <c r="V55" i="4"/>
  <c r="V45" i="4"/>
  <c r="AA58" i="4"/>
  <c r="AA121" i="6" s="1"/>
  <c r="AA52" i="4"/>
  <c r="O50" i="4"/>
  <c r="Q53" i="4"/>
  <c r="AA24" i="4"/>
  <c r="W49" i="4"/>
  <c r="W48" i="4"/>
  <c r="R30" i="4"/>
  <c r="E167" i="7" s="1"/>
  <c r="AG22" i="4"/>
  <c r="O72" i="6"/>
  <c r="O73" i="6" s="1"/>
  <c r="O75" i="6"/>
  <c r="D22" i="4"/>
  <c r="D50" i="4"/>
  <c r="D21" i="4"/>
  <c r="D23" i="4"/>
  <c r="D30" i="4" s="1"/>
  <c r="E153" i="7" s="1"/>
  <c r="D49" i="4"/>
  <c r="W59" i="4"/>
  <c r="W55" i="4"/>
  <c r="W45" i="4"/>
  <c r="N9" i="5"/>
  <c r="K132" i="7" s="1"/>
  <c r="N57" i="6"/>
  <c r="N36" i="4"/>
  <c r="N28" i="4"/>
  <c r="I50" i="4"/>
  <c r="I51" i="4" s="1"/>
  <c r="AE71" i="6"/>
  <c r="AE8" i="5"/>
  <c r="AE41" i="4"/>
  <c r="AA23" i="4"/>
  <c r="AG23" i="4"/>
  <c r="AG29" i="4" s="1"/>
  <c r="U25" i="4"/>
  <c r="C170" i="7" s="1"/>
  <c r="AB10" i="5"/>
  <c r="L146" i="7" s="1"/>
  <c r="AB23" i="4"/>
  <c r="AB30" i="4" s="1"/>
  <c r="D177" i="7"/>
  <c r="T19" i="4"/>
  <c r="K50" i="4"/>
  <c r="K51" i="4" s="1"/>
  <c r="AD53" i="6"/>
  <c r="AD51" i="6"/>
  <c r="AD52" i="6" s="1"/>
  <c r="AD54" i="6" s="1"/>
  <c r="D163" i="7"/>
  <c r="N50" i="6"/>
  <c r="N37" i="4"/>
  <c r="N10" i="5"/>
  <c r="L132" i="7" s="1"/>
  <c r="Q121" i="6"/>
  <c r="Q65" i="4"/>
  <c r="Q106" i="6" s="1"/>
  <c r="K7" i="4"/>
  <c r="AF58" i="4"/>
  <c r="AF52" i="4" s="1"/>
  <c r="T47" i="4"/>
  <c r="K21" i="4"/>
  <c r="AA72" i="6"/>
  <c r="AA73" i="6" s="1"/>
  <c r="AA75" i="6"/>
  <c r="Q60" i="4"/>
  <c r="Q66" i="4" s="1"/>
  <c r="Q61" i="4"/>
  <c r="C135" i="7"/>
  <c r="E99" i="6"/>
  <c r="E100" i="6" s="1"/>
  <c r="E62" i="4"/>
  <c r="D123" i="7"/>
  <c r="D139" i="7"/>
  <c r="U99" i="6"/>
  <c r="U62" i="4"/>
  <c r="F178" i="7"/>
  <c r="E297" i="7"/>
  <c r="AC64" i="6"/>
  <c r="T59" i="4"/>
  <c r="T55" i="4"/>
  <c r="AF59" i="4"/>
  <c r="AF55" i="4"/>
  <c r="G52" i="4"/>
  <c r="G53" i="4" s="1"/>
  <c r="Y59" i="4"/>
  <c r="Y55" i="4"/>
  <c r="P145" i="7"/>
  <c r="E65" i="4"/>
  <c r="E60" i="4" s="1"/>
  <c r="E66" i="4" s="1"/>
  <c r="I34" i="4"/>
  <c r="I14" i="5"/>
  <c r="N127" i="7" s="1"/>
  <c r="I27" i="4"/>
  <c r="F30" i="4"/>
  <c r="F29" i="4"/>
  <c r="AH47" i="4"/>
  <c r="AH48" i="4" s="1"/>
  <c r="F37" i="4"/>
  <c r="G27" i="4"/>
  <c r="J59" i="4"/>
  <c r="J55" i="4"/>
  <c r="D137" i="7"/>
  <c r="S99" i="6"/>
  <c r="S62" i="4"/>
  <c r="F144" i="7"/>
  <c r="E329" i="7"/>
  <c r="Z113" i="6"/>
  <c r="Z64" i="4"/>
  <c r="F50" i="6"/>
  <c r="F51" i="6" s="1"/>
  <c r="M34" i="4"/>
  <c r="M27" i="4"/>
  <c r="M14" i="5"/>
  <c r="N131" i="7" s="1"/>
  <c r="G17" i="4"/>
  <c r="G34" i="4" s="1"/>
  <c r="S59" i="4"/>
  <c r="S55" i="4"/>
  <c r="S56" i="4" s="1"/>
  <c r="S21" i="4"/>
  <c r="O67" i="6"/>
  <c r="O65" i="6"/>
  <c r="O66" i="6" s="1"/>
  <c r="C137" i="7"/>
  <c r="S106" i="6"/>
  <c r="S61" i="4"/>
  <c r="P71" i="6"/>
  <c r="P41" i="4"/>
  <c r="P8" i="5"/>
  <c r="F165" i="7"/>
  <c r="E284" i="7"/>
  <c r="P64" i="6"/>
  <c r="D155" i="7"/>
  <c r="D308" i="7"/>
  <c r="E123" i="7"/>
  <c r="E92" i="6"/>
  <c r="E93" i="6" s="1"/>
  <c r="E63" i="4"/>
  <c r="C179" i="7"/>
  <c r="H259" i="7" s="1"/>
  <c r="AC114" i="6"/>
  <c r="AC115" i="6" s="1"/>
  <c r="AC117" i="6"/>
  <c r="AG59" i="4"/>
  <c r="AG55" i="4"/>
  <c r="AG57" i="4" s="1"/>
  <c r="F10" i="5"/>
  <c r="L124" i="7" s="1"/>
  <c r="W34" i="4"/>
  <c r="W14" i="5"/>
  <c r="N141" i="7" s="1"/>
  <c r="W27" i="4"/>
  <c r="P133" i="7"/>
  <c r="R23" i="4"/>
  <c r="R29" i="4" s="1"/>
  <c r="R37" i="4"/>
  <c r="Z72" i="6"/>
  <c r="Z73" i="6" s="1"/>
  <c r="Z75" i="6"/>
  <c r="U53" i="4"/>
  <c r="U65" i="4" s="1"/>
  <c r="J30" i="4"/>
  <c r="E159" i="7" s="1"/>
  <c r="Z65" i="6"/>
  <c r="Z66" i="6" s="1"/>
  <c r="Z68" i="6" s="1"/>
  <c r="Z67" i="6"/>
  <c r="F302" i="7"/>
  <c r="F337" i="7"/>
  <c r="AH21" i="4"/>
  <c r="AH22" i="4" s="1"/>
  <c r="AH49" i="4"/>
  <c r="AH52" i="4" s="1"/>
  <c r="AH50" i="4"/>
  <c r="AH51" i="4"/>
  <c r="I59" i="4"/>
  <c r="I55" i="4"/>
  <c r="AC102" i="6"/>
  <c r="AC100" i="6"/>
  <c r="AC101" i="6" s="1"/>
  <c r="G59" i="4"/>
  <c r="G55" i="4"/>
  <c r="F51" i="4"/>
  <c r="F57" i="4" s="1"/>
  <c r="P122" i="6"/>
  <c r="P123" i="6" s="1"/>
  <c r="P124" i="6"/>
  <c r="U59" i="4"/>
  <c r="U55" i="4"/>
  <c r="AA50" i="4"/>
  <c r="D167" i="7"/>
  <c r="AF34" i="4"/>
  <c r="AF14" i="5"/>
  <c r="N150" i="7" s="1"/>
  <c r="AF27" i="4"/>
  <c r="U14" i="5"/>
  <c r="N139" i="7" s="1"/>
  <c r="U34" i="4"/>
  <c r="U27" i="4"/>
  <c r="P144" i="7"/>
  <c r="D7" i="7"/>
  <c r="G19" i="4"/>
  <c r="M21" i="4"/>
  <c r="M24" i="4" s="1"/>
  <c r="D9" i="7"/>
  <c r="AD57" i="6"/>
  <c r="AD35" i="4"/>
  <c r="AD40" i="4" s="1"/>
  <c r="AD9" i="5"/>
  <c r="K148" i="7" s="1"/>
  <c r="F163" i="7"/>
  <c r="E282" i="7"/>
  <c r="N64" i="6"/>
  <c r="S14" i="5"/>
  <c r="N137" i="7" s="1"/>
  <c r="S34" i="4"/>
  <c r="S27" i="4"/>
  <c r="G48" i="4"/>
  <c r="G57" i="4" s="1"/>
  <c r="Y20" i="4"/>
  <c r="F52" i="4"/>
  <c r="I19" i="4"/>
  <c r="AD71" i="6"/>
  <c r="AD8" i="5"/>
  <c r="AD41" i="4"/>
  <c r="W71" i="6"/>
  <c r="W41" i="4"/>
  <c r="W8" i="5"/>
  <c r="O58" i="4"/>
  <c r="O121" i="6" s="1"/>
  <c r="L34" i="4"/>
  <c r="L14" i="5"/>
  <c r="N130" i="7" s="1"/>
  <c r="L27" i="4"/>
  <c r="W21" i="4"/>
  <c r="F35" i="4"/>
  <c r="F40" i="4" s="1"/>
  <c r="F9" i="5"/>
  <c r="F36" i="4"/>
  <c r="AC71" i="6"/>
  <c r="AC8" i="5"/>
  <c r="AC41" i="4"/>
  <c r="J10" i="5"/>
  <c r="L128" i="7" s="1"/>
  <c r="J50" i="6"/>
  <c r="J37" i="4"/>
  <c r="J34" i="4"/>
  <c r="J14" i="5"/>
  <c r="N128" i="7" s="1"/>
  <c r="J27" i="4"/>
  <c r="J29" i="4" s="1"/>
  <c r="Y7" i="4"/>
  <c r="Y24" i="4"/>
  <c r="S17" i="4"/>
  <c r="AD10" i="5"/>
  <c r="L148" i="7" s="1"/>
  <c r="Z58" i="4"/>
  <c r="Z121" i="6" s="1"/>
  <c r="AB67" i="6"/>
  <c r="AB65" i="6"/>
  <c r="AB66" i="6" s="1"/>
  <c r="I48" i="4"/>
  <c r="AD39" i="4"/>
  <c r="AD28" i="4" s="1"/>
  <c r="E25" i="4"/>
  <c r="AC29" i="4"/>
  <c r="AE34" i="4"/>
  <c r="AE14" i="5"/>
  <c r="N149" i="7" s="1"/>
  <c r="AE27" i="4"/>
  <c r="W20" i="4"/>
  <c r="X19" i="4"/>
  <c r="X22" i="4" s="1"/>
  <c r="X23" i="4" s="1"/>
  <c r="AD125" i="6"/>
  <c r="AD117" i="6"/>
  <c r="AD114" i="6"/>
  <c r="AD115" i="6" s="1"/>
  <c r="AC24" i="4"/>
  <c r="AC25" i="4" s="1"/>
  <c r="M59" i="4"/>
  <c r="M55" i="4"/>
  <c r="AB57" i="6"/>
  <c r="V19" i="4"/>
  <c r="AH59" i="4"/>
  <c r="AH55" i="4"/>
  <c r="O24" i="4"/>
  <c r="Y34" i="4"/>
  <c r="Y14" i="5"/>
  <c r="N143" i="7" s="1"/>
  <c r="Y27" i="4"/>
  <c r="AD37" i="4"/>
  <c r="M49" i="4"/>
  <c r="I47" i="4"/>
  <c r="E23" i="4"/>
  <c r="I7" i="4"/>
  <c r="AD57" i="4"/>
  <c r="AD56" i="4"/>
  <c r="W24" i="4"/>
  <c r="U48" i="4"/>
  <c r="U57" i="4" s="1"/>
  <c r="AA67" i="6"/>
  <c r="AA65" i="6"/>
  <c r="AA66" i="6" s="1"/>
  <c r="E319" i="7"/>
  <c r="P113" i="6"/>
  <c r="F134" i="7"/>
  <c r="P64" i="4"/>
  <c r="AC30" i="4"/>
  <c r="E178" i="7" s="1"/>
  <c r="L57" i="6"/>
  <c r="L36" i="4"/>
  <c r="L9" i="5"/>
  <c r="K130" i="7" s="1"/>
  <c r="K34" i="4"/>
  <c r="K27" i="4"/>
  <c r="K14" i="5"/>
  <c r="N129" i="7" s="1"/>
  <c r="H59" i="4"/>
  <c r="H55" i="4"/>
  <c r="AE21" i="4"/>
  <c r="M58" i="4"/>
  <c r="M121" i="6" s="1"/>
  <c r="AB52" i="4"/>
  <c r="V47" i="4"/>
  <c r="V50" i="4" s="1"/>
  <c r="V51" i="4" s="1"/>
  <c r="J47" i="4"/>
  <c r="AF49" i="4"/>
  <c r="N71" i="6"/>
  <c r="N41" i="4"/>
  <c r="N8" i="5"/>
  <c r="O23" i="4"/>
  <c r="E106" i="6"/>
  <c r="E107" i="6" s="1"/>
  <c r="E61" i="4"/>
  <c r="C123" i="7"/>
  <c r="H203" i="7" s="1"/>
  <c r="AB71" i="6"/>
  <c r="AB8" i="5"/>
  <c r="AB41" i="4"/>
  <c r="F57" i="6"/>
  <c r="F58" i="6" s="1"/>
  <c r="Y47" i="4"/>
  <c r="S19" i="4"/>
  <c r="S20" i="4" s="1"/>
  <c r="AD65" i="6"/>
  <c r="AD66" i="6" s="1"/>
  <c r="AD67" i="6"/>
  <c r="N30" i="4"/>
  <c r="E163" i="7" s="1"/>
  <c r="N29" i="4"/>
  <c r="N35" i="4" s="1"/>
  <c r="N40" i="4" s="1"/>
  <c r="AB39" i="4"/>
  <c r="O68" i="6" l="1"/>
  <c r="S125" i="6"/>
  <c r="AD118" i="6"/>
  <c r="AD68" i="6"/>
  <c r="AC118" i="6"/>
  <c r="U125" i="6"/>
  <c r="AC103" i="6"/>
  <c r="O76" i="6"/>
  <c r="AA68" i="6"/>
  <c r="R118" i="6"/>
  <c r="E151" i="7"/>
  <c r="D336" i="7"/>
  <c r="AG63" i="4"/>
  <c r="AG92" i="6"/>
  <c r="F156" i="7"/>
  <c r="E275" i="7"/>
  <c r="G64" i="6"/>
  <c r="G65" i="6" s="1"/>
  <c r="E177" i="7"/>
  <c r="C177" i="7"/>
  <c r="H257" i="7" s="1"/>
  <c r="D317" i="7"/>
  <c r="E132" i="7"/>
  <c r="N92" i="6"/>
  <c r="N63" i="4"/>
  <c r="C139" i="7"/>
  <c r="U106" i="6"/>
  <c r="U61" i="4"/>
  <c r="U60" i="4"/>
  <c r="U66" i="4" s="1"/>
  <c r="G99" i="6"/>
  <c r="G100" i="6" s="1"/>
  <c r="D125" i="7"/>
  <c r="G62" i="4"/>
  <c r="L53" i="6"/>
  <c r="L51" i="6"/>
  <c r="L52" i="6" s="1"/>
  <c r="D301" i="7"/>
  <c r="AG38" i="4"/>
  <c r="AG11" i="5"/>
  <c r="S30" i="4"/>
  <c r="E168" i="7" s="1"/>
  <c r="AH57" i="4"/>
  <c r="K144" i="7"/>
  <c r="D286" i="7"/>
  <c r="R38" i="4"/>
  <c r="R31" i="4"/>
  <c r="R11" i="5"/>
  <c r="AH53" i="4"/>
  <c r="AH65" i="4" s="1"/>
  <c r="C178" i="7"/>
  <c r="H258" i="7" s="1"/>
  <c r="AC50" i="6"/>
  <c r="D178" i="7"/>
  <c r="AC37" i="4"/>
  <c r="AC10" i="5"/>
  <c r="L147" i="7" s="1"/>
  <c r="K57" i="4"/>
  <c r="Q28" i="4"/>
  <c r="Q109" i="6"/>
  <c r="Q107" i="6"/>
  <c r="Q108" i="6" s="1"/>
  <c r="F65" i="4"/>
  <c r="D278" i="7"/>
  <c r="J31" i="4"/>
  <c r="J38" i="4"/>
  <c r="J11" i="5"/>
  <c r="AH23" i="4"/>
  <c r="Q35" i="4"/>
  <c r="Q40" i="4" s="1"/>
  <c r="Q9" i="5"/>
  <c r="K135" i="7" s="1"/>
  <c r="Q36" i="4"/>
  <c r="J50" i="4"/>
  <c r="J51" i="4" s="1"/>
  <c r="D324" i="7"/>
  <c r="E139" i="7"/>
  <c r="U92" i="6"/>
  <c r="U63" i="4"/>
  <c r="AB36" i="4"/>
  <c r="F180" i="7"/>
  <c r="E299" i="7"/>
  <c r="AE64" i="6"/>
  <c r="I24" i="4"/>
  <c r="I25" i="4" s="1"/>
  <c r="E291" i="7"/>
  <c r="F172" i="7"/>
  <c r="W64" i="6"/>
  <c r="S23" i="4"/>
  <c r="S29" i="4" s="1"/>
  <c r="S22" i="4"/>
  <c r="Z114" i="6"/>
  <c r="Z115" i="6" s="1"/>
  <c r="Z117" i="6"/>
  <c r="G14" i="5"/>
  <c r="N125" i="7" s="1"/>
  <c r="K71" i="6"/>
  <c r="K8" i="5"/>
  <c r="K41" i="4"/>
  <c r="D52" i="4"/>
  <c r="AA25" i="4"/>
  <c r="AA39" i="4" s="1"/>
  <c r="F182" i="7"/>
  <c r="E301" i="7"/>
  <c r="AG64" i="6"/>
  <c r="Z53" i="6"/>
  <c r="Z51" i="6"/>
  <c r="Z52" i="6" s="1"/>
  <c r="I53" i="4"/>
  <c r="R109" i="6"/>
  <c r="R107" i="6"/>
  <c r="R108" i="6" s="1"/>
  <c r="P29" i="4"/>
  <c r="P30" i="4"/>
  <c r="E165" i="7" s="1"/>
  <c r="R75" i="6"/>
  <c r="R72" i="6"/>
  <c r="R73" i="6" s="1"/>
  <c r="K20" i="4"/>
  <c r="U39" i="4"/>
  <c r="U28" i="4" s="1"/>
  <c r="AB60" i="6"/>
  <c r="AB58" i="6"/>
  <c r="AB59" i="6" s="1"/>
  <c r="D297" i="7"/>
  <c r="AC11" i="5"/>
  <c r="AC38" i="4"/>
  <c r="AC31" i="4"/>
  <c r="V58" i="4"/>
  <c r="V121" i="6" s="1"/>
  <c r="V52" i="4"/>
  <c r="AE121" i="6"/>
  <c r="E133" i="7"/>
  <c r="D318" i="7"/>
  <c r="O92" i="6"/>
  <c r="O63" i="4"/>
  <c r="H7" i="4"/>
  <c r="H34" i="4"/>
  <c r="P39" i="4"/>
  <c r="P36" i="4" s="1"/>
  <c r="P25" i="4"/>
  <c r="D166" i="7"/>
  <c r="C166" i="7"/>
  <c r="Q37" i="4"/>
  <c r="Q10" i="5"/>
  <c r="L135" i="7" s="1"/>
  <c r="E292" i="7"/>
  <c r="F173" i="7"/>
  <c r="X64" i="6"/>
  <c r="AB28" i="4"/>
  <c r="U29" i="4"/>
  <c r="E317" i="7"/>
  <c r="F132" i="7"/>
  <c r="N113" i="6"/>
  <c r="N64" i="4"/>
  <c r="S57" i="4"/>
  <c r="O30" i="4"/>
  <c r="E164" i="7" s="1"/>
  <c r="O29" i="4"/>
  <c r="O52" i="4"/>
  <c r="P148" i="7"/>
  <c r="D309" i="7"/>
  <c r="E124" i="7"/>
  <c r="F92" i="6"/>
  <c r="F93" i="6" s="1"/>
  <c r="F63" i="4"/>
  <c r="Z76" i="6"/>
  <c r="E322" i="7"/>
  <c r="S113" i="6"/>
  <c r="F137" i="7"/>
  <c r="S64" i="4"/>
  <c r="Q122" i="6"/>
  <c r="Q123" i="6" s="1"/>
  <c r="Q124" i="6"/>
  <c r="D51" i="4"/>
  <c r="D57" i="4" s="1"/>
  <c r="R102" i="6"/>
  <c r="R100" i="6"/>
  <c r="R101" i="6" s="1"/>
  <c r="AB29" i="4"/>
  <c r="AB35" i="4" s="1"/>
  <c r="AB40" i="4" s="1"/>
  <c r="X58" i="4"/>
  <c r="X121" i="6" s="1"/>
  <c r="AG121" i="6"/>
  <c r="AG53" i="4"/>
  <c r="AG65" i="4" s="1"/>
  <c r="AG52" i="4"/>
  <c r="AB95" i="6"/>
  <c r="AB93" i="6"/>
  <c r="AB94" i="6" s="1"/>
  <c r="AE23" i="4"/>
  <c r="AE29" i="4" s="1"/>
  <c r="AE22" i="4"/>
  <c r="U56" i="4"/>
  <c r="F149" i="7"/>
  <c r="AE113" i="6"/>
  <c r="E334" i="7"/>
  <c r="AE64" i="4"/>
  <c r="H14" i="5"/>
  <c r="N126" i="7" s="1"/>
  <c r="AD109" i="6"/>
  <c r="AD107" i="6"/>
  <c r="AD108" i="6" s="1"/>
  <c r="L50" i="4"/>
  <c r="L51" i="4"/>
  <c r="J53" i="4"/>
  <c r="D128" i="7" s="1"/>
  <c r="P132" i="7"/>
  <c r="D333" i="7"/>
  <c r="E148" i="7"/>
  <c r="AD92" i="6"/>
  <c r="AD63" i="4"/>
  <c r="E316" i="7"/>
  <c r="F131" i="7"/>
  <c r="M113" i="6"/>
  <c r="M64" i="4"/>
  <c r="D159" i="7"/>
  <c r="AD72" i="6"/>
  <c r="AD73" i="6" s="1"/>
  <c r="AD75" i="6"/>
  <c r="AD36" i="4"/>
  <c r="Q57" i="6"/>
  <c r="S109" i="6"/>
  <c r="S107" i="6"/>
  <c r="S108" i="6" s="1"/>
  <c r="Z36" i="4"/>
  <c r="C163" i="7"/>
  <c r="H243" i="7" s="1"/>
  <c r="D24" i="4"/>
  <c r="V59" i="4"/>
  <c r="AE52" i="4"/>
  <c r="K24" i="4"/>
  <c r="O114" i="6"/>
  <c r="O115" i="6" s="1"/>
  <c r="O117" i="6"/>
  <c r="AF71" i="6"/>
  <c r="AF8" i="5"/>
  <c r="AF41" i="4"/>
  <c r="AD62" i="4"/>
  <c r="D148" i="7"/>
  <c r="H228" i="7" s="1"/>
  <c r="AD99" i="6"/>
  <c r="L48" i="4"/>
  <c r="Z57" i="4"/>
  <c r="Z57" i="6"/>
  <c r="Q114" i="6"/>
  <c r="Q115" i="6" s="1"/>
  <c r="Q117" i="6"/>
  <c r="N52" i="4"/>
  <c r="V48" i="4"/>
  <c r="V57" i="4" s="1"/>
  <c r="I22" i="4"/>
  <c r="I23" i="4" s="1"/>
  <c r="I20" i="4"/>
  <c r="N65" i="6"/>
  <c r="N66" i="6" s="1"/>
  <c r="N67" i="6"/>
  <c r="E310" i="7"/>
  <c r="G113" i="6"/>
  <c r="G114" i="6" s="1"/>
  <c r="F125" i="7"/>
  <c r="G64" i="4"/>
  <c r="AF121" i="6"/>
  <c r="N58" i="6"/>
  <c r="N59" i="6" s="1"/>
  <c r="N60" i="6"/>
  <c r="K58" i="4"/>
  <c r="K121" i="6" s="1"/>
  <c r="H50" i="4"/>
  <c r="P53" i="4"/>
  <c r="P99" i="6" s="1"/>
  <c r="L23" i="4"/>
  <c r="L28" i="4" s="1"/>
  <c r="N122" i="6"/>
  <c r="N123" i="6" s="1"/>
  <c r="N124" i="6"/>
  <c r="AA114" i="6"/>
  <c r="AA115" i="6" s="1"/>
  <c r="AA117" i="6"/>
  <c r="J39" i="4"/>
  <c r="J9" i="5" s="1"/>
  <c r="P139" i="7"/>
  <c r="AH71" i="6"/>
  <c r="AH8" i="5"/>
  <c r="AH41" i="4"/>
  <c r="G65" i="4"/>
  <c r="U102" i="6"/>
  <c r="U100" i="6"/>
  <c r="U101" i="6" s="1"/>
  <c r="AC28" i="4"/>
  <c r="R124" i="6"/>
  <c r="R122" i="6"/>
  <c r="R123" i="6" s="1"/>
  <c r="P57" i="6"/>
  <c r="U75" i="6"/>
  <c r="U72" i="6"/>
  <c r="U73" i="6" s="1"/>
  <c r="Q32" i="4"/>
  <c r="Q12" i="5"/>
  <c r="H52" i="4"/>
  <c r="AH24" i="4"/>
  <c r="S102" i="6"/>
  <c r="S100" i="6"/>
  <c r="S101" i="6" s="1"/>
  <c r="E29" i="4"/>
  <c r="E30" i="4"/>
  <c r="E154" i="7" s="1"/>
  <c r="D152" i="7"/>
  <c r="AH62" i="4"/>
  <c r="AH99" i="6"/>
  <c r="N53" i="6"/>
  <c r="N51" i="6"/>
  <c r="N52" i="6" s="1"/>
  <c r="W50" i="4"/>
  <c r="W51" i="4"/>
  <c r="W57" i="4" s="1"/>
  <c r="Q62" i="4"/>
  <c r="D135" i="7"/>
  <c r="H215" i="7" s="1"/>
  <c r="Q99" i="6"/>
  <c r="K59" i="4"/>
  <c r="V22" i="4"/>
  <c r="V23" i="4" s="1"/>
  <c r="X8" i="5"/>
  <c r="X71" i="6"/>
  <c r="X41" i="4"/>
  <c r="T50" i="4"/>
  <c r="T51" i="4" s="1"/>
  <c r="T56" i="4" s="1"/>
  <c r="M135" i="7"/>
  <c r="AD60" i="6"/>
  <c r="AD58" i="6"/>
  <c r="AD59" i="6" s="1"/>
  <c r="O122" i="6"/>
  <c r="O123" i="6" s="1"/>
  <c r="O124" i="6"/>
  <c r="Z124" i="6"/>
  <c r="Z122" i="6"/>
  <c r="Z123" i="6" s="1"/>
  <c r="Y8" i="5"/>
  <c r="Y71" i="6"/>
  <c r="Y41" i="4"/>
  <c r="P147" i="7"/>
  <c r="P141" i="7"/>
  <c r="Y30" i="4"/>
  <c r="E174" i="7" s="1"/>
  <c r="Y29" i="4"/>
  <c r="M22" i="4"/>
  <c r="M23" i="4" s="1"/>
  <c r="J28" i="4"/>
  <c r="AB65" i="4"/>
  <c r="AB53" i="4"/>
  <c r="AB56" i="4" s="1"/>
  <c r="D127" i="7"/>
  <c r="I99" i="6"/>
  <c r="I62" i="4"/>
  <c r="E293" i="7"/>
  <c r="F174" i="7"/>
  <c r="Y64" i="6"/>
  <c r="F152" i="7"/>
  <c r="E337" i="7"/>
  <c r="AH113" i="6"/>
  <c r="AH64" i="4"/>
  <c r="Z52" i="4"/>
  <c r="Y25" i="4"/>
  <c r="AC75" i="6"/>
  <c r="AC72" i="6"/>
  <c r="AC73" i="6" s="1"/>
  <c r="D310" i="7"/>
  <c r="E125" i="7"/>
  <c r="G92" i="6"/>
  <c r="G93" i="6" s="1"/>
  <c r="G63" i="4"/>
  <c r="J56" i="4"/>
  <c r="G20" i="4"/>
  <c r="G22" i="4"/>
  <c r="G23" i="4" s="1"/>
  <c r="F170" i="7"/>
  <c r="H250" i="7" s="1"/>
  <c r="E289" i="7"/>
  <c r="U64" i="6"/>
  <c r="AA51" i="4"/>
  <c r="E336" i="7"/>
  <c r="F151" i="7"/>
  <c r="AG113" i="6"/>
  <c r="AG64" i="4"/>
  <c r="E281" i="7"/>
  <c r="F162" i="7"/>
  <c r="M64" i="6"/>
  <c r="D274" i="7"/>
  <c r="F38" i="4"/>
  <c r="F31" i="4"/>
  <c r="F44" i="6"/>
  <c r="F11" i="5"/>
  <c r="E335" i="7"/>
  <c r="F150" i="7"/>
  <c r="AF113" i="6"/>
  <c r="AF64" i="4"/>
  <c r="Q50" i="6"/>
  <c r="W58" i="4"/>
  <c r="W121" i="6" s="1"/>
  <c r="E290" i="7"/>
  <c r="F171" i="7"/>
  <c r="V64" i="6"/>
  <c r="E285" i="7"/>
  <c r="F166" i="7"/>
  <c r="Q64" i="6"/>
  <c r="J125" i="6"/>
  <c r="AH124" i="6"/>
  <c r="AH122" i="6"/>
  <c r="AH123" i="6" s="1"/>
  <c r="R67" i="6"/>
  <c r="R65" i="6"/>
  <c r="R66" i="6" s="1"/>
  <c r="AE30" i="4"/>
  <c r="E180" i="7" s="1"/>
  <c r="Q95" i="6"/>
  <c r="Q93" i="6"/>
  <c r="Q94" i="6" s="1"/>
  <c r="P128" i="7"/>
  <c r="J51" i="6"/>
  <c r="J52" i="6" s="1"/>
  <c r="J53" i="6"/>
  <c r="N72" i="6"/>
  <c r="N73" i="6" s="1"/>
  <c r="N75" i="6"/>
  <c r="F60" i="4"/>
  <c r="F66" i="4" s="1"/>
  <c r="C124" i="7"/>
  <c r="F106" i="6"/>
  <c r="F107" i="6" s="1"/>
  <c r="F61" i="4"/>
  <c r="F53" i="4"/>
  <c r="AC109" i="6"/>
  <c r="AC107" i="6"/>
  <c r="AC108" i="6" s="1"/>
  <c r="H23" i="4"/>
  <c r="H22" i="4"/>
  <c r="P140" i="7"/>
  <c r="L58" i="4"/>
  <c r="L121" i="6" s="1"/>
  <c r="D134" i="7"/>
  <c r="P62" i="4"/>
  <c r="P51" i="4"/>
  <c r="AG37" i="4"/>
  <c r="X24" i="4"/>
  <c r="U37" i="4"/>
  <c r="T20" i="4"/>
  <c r="J75" i="6"/>
  <c r="J72" i="6"/>
  <c r="J73" i="6" s="1"/>
  <c r="Q46" i="6"/>
  <c r="Q44" i="6"/>
  <c r="Q45" i="6" s="1"/>
  <c r="AF20" i="4"/>
  <c r="M122" i="6"/>
  <c r="M123" i="6" s="1"/>
  <c r="M124" i="6"/>
  <c r="E311" i="7"/>
  <c r="F126" i="7"/>
  <c r="H64" i="4"/>
  <c r="H113" i="6"/>
  <c r="H114" i="6" s="1"/>
  <c r="M50" i="4"/>
  <c r="M51" i="4"/>
  <c r="M57" i="4" s="1"/>
  <c r="J48" i="4"/>
  <c r="J57" i="4" s="1"/>
  <c r="X20" i="4"/>
  <c r="E280" i="7"/>
  <c r="F161" i="7"/>
  <c r="L64" i="6"/>
  <c r="W75" i="6"/>
  <c r="W72" i="6"/>
  <c r="W73" i="6" s="1"/>
  <c r="K124" i="7"/>
  <c r="F15" i="5"/>
  <c r="F20" i="5"/>
  <c r="F21" i="5"/>
  <c r="F168" i="7"/>
  <c r="E287" i="7"/>
  <c r="S64" i="6"/>
  <c r="F139" i="7"/>
  <c r="E324" i="7"/>
  <c r="U113" i="6"/>
  <c r="U64" i="4"/>
  <c r="P67" i="6"/>
  <c r="P65" i="6"/>
  <c r="P66" i="6" s="1"/>
  <c r="P134" i="7"/>
  <c r="E323" i="7"/>
  <c r="F138" i="7"/>
  <c r="T64" i="4"/>
  <c r="T113" i="6"/>
  <c r="AA76" i="6"/>
  <c r="E326" i="7"/>
  <c r="F141" i="7"/>
  <c r="W113" i="6"/>
  <c r="W64" i="4"/>
  <c r="D332" i="7"/>
  <c r="E147" i="7"/>
  <c r="H227" i="7" s="1"/>
  <c r="AC92" i="6"/>
  <c r="AC63" i="4"/>
  <c r="AG7" i="4"/>
  <c r="AG24" i="4"/>
  <c r="AG25" i="4"/>
  <c r="AG10" i="5" s="1"/>
  <c r="L151" i="7" s="1"/>
  <c r="AG39" i="4"/>
  <c r="H20" i="4"/>
  <c r="Z30" i="4"/>
  <c r="Z29" i="4"/>
  <c r="V75" i="6"/>
  <c r="V72" i="6"/>
  <c r="V73" i="6" s="1"/>
  <c r="R50" i="6"/>
  <c r="R10" i="5"/>
  <c r="L136" i="7" s="1"/>
  <c r="R39" i="4"/>
  <c r="T7" i="4"/>
  <c r="T24" i="4" s="1"/>
  <c r="N152" i="7"/>
  <c r="C30" i="7"/>
  <c r="AG50" i="6"/>
  <c r="U10" i="5"/>
  <c r="L139" i="7" s="1"/>
  <c r="X59" i="4"/>
  <c r="T23" i="4"/>
  <c r="T22" i="4"/>
  <c r="K39" i="4"/>
  <c r="I71" i="6"/>
  <c r="I8" i="5"/>
  <c r="I41" i="4"/>
  <c r="G7" i="4"/>
  <c r="E56" i="4"/>
  <c r="F128" i="7"/>
  <c r="E313" i="7"/>
  <c r="J113" i="6"/>
  <c r="J64" i="4"/>
  <c r="E155" i="7"/>
  <c r="C155" i="7"/>
  <c r="E328" i="7"/>
  <c r="F143" i="7"/>
  <c r="Y113" i="6"/>
  <c r="Y64" i="4"/>
  <c r="AA30" i="4"/>
  <c r="E176" i="7" s="1"/>
  <c r="AA29" i="4"/>
  <c r="D272" i="7"/>
  <c r="B14" i="7"/>
  <c r="D44" i="6"/>
  <c r="D11" i="5"/>
  <c r="D38" i="4"/>
  <c r="D31" i="4"/>
  <c r="X50" i="4"/>
  <c r="X51" i="4" s="1"/>
  <c r="X57" i="4" s="1"/>
  <c r="D282" i="7"/>
  <c r="N11" i="5"/>
  <c r="N20" i="5" s="1"/>
  <c r="N31" i="4"/>
  <c r="N38" i="4"/>
  <c r="P146" i="7"/>
  <c r="M52" i="4"/>
  <c r="AB75" i="6"/>
  <c r="AB72" i="6"/>
  <c r="AB73" i="6" s="1"/>
  <c r="G60" i="4"/>
  <c r="G66" i="4" s="1"/>
  <c r="AB9" i="5"/>
  <c r="K146" i="7" s="1"/>
  <c r="I57" i="4"/>
  <c r="E278" i="7"/>
  <c r="F159" i="7"/>
  <c r="H239" i="7" s="1"/>
  <c r="J64" i="6"/>
  <c r="J106" i="6"/>
  <c r="F127" i="7"/>
  <c r="E312" i="7"/>
  <c r="I113" i="6"/>
  <c r="I64" i="4"/>
  <c r="C167" i="7"/>
  <c r="H247" i="7" s="1"/>
  <c r="K22" i="4"/>
  <c r="D160" i="7" s="1"/>
  <c r="K23" i="4"/>
  <c r="P149" i="7"/>
  <c r="T48" i="4"/>
  <c r="AA53" i="4"/>
  <c r="AA65" i="4" s="1"/>
  <c r="J65" i="4"/>
  <c r="AE51" i="4"/>
  <c r="AE57" i="4" s="1"/>
  <c r="AE50" i="4"/>
  <c r="Z10" i="5"/>
  <c r="L144" i="7" s="1"/>
  <c r="L71" i="6"/>
  <c r="L41" i="4"/>
  <c r="L8" i="5"/>
  <c r="I65" i="4"/>
  <c r="I106" i="6" s="1"/>
  <c r="L10" i="5"/>
  <c r="L130" i="7" s="1"/>
  <c r="T53" i="4"/>
  <c r="T65" i="4" s="1"/>
  <c r="T106" i="6" s="1"/>
  <c r="L59" i="4"/>
  <c r="E302" i="7"/>
  <c r="F183" i="7"/>
  <c r="AH64" i="6"/>
  <c r="AF24" i="4"/>
  <c r="U50" i="6"/>
  <c r="D298" i="7"/>
  <c r="AD38" i="4"/>
  <c r="AD31" i="4"/>
  <c r="AD11" i="5"/>
  <c r="AD20" i="5" s="1"/>
  <c r="V25" i="4"/>
  <c r="V39" i="4" s="1"/>
  <c r="AG30" i="4"/>
  <c r="E182" i="7" s="1"/>
  <c r="W25" i="4"/>
  <c r="W39" i="4" s="1"/>
  <c r="L58" i="6"/>
  <c r="L59" i="6" s="1"/>
  <c r="L60" i="6"/>
  <c r="AC57" i="6"/>
  <c r="AC35" i="4"/>
  <c r="AC40" i="4" s="1"/>
  <c r="AC9" i="5"/>
  <c r="K147" i="7" s="1"/>
  <c r="AC39" i="4"/>
  <c r="AC36" i="4" s="1"/>
  <c r="P114" i="6"/>
  <c r="P115" i="6" s="1"/>
  <c r="P117" i="6"/>
  <c r="E50" i="6"/>
  <c r="E51" i="6" s="1"/>
  <c r="E39" i="4"/>
  <c r="E28" i="4" s="1"/>
  <c r="E37" i="4"/>
  <c r="E10" i="5"/>
  <c r="L123" i="7" s="1"/>
  <c r="D154" i="7"/>
  <c r="Y48" i="4"/>
  <c r="D171" i="7"/>
  <c r="V50" i="6"/>
  <c r="V37" i="4"/>
  <c r="V10" i="5"/>
  <c r="L140" i="7" s="1"/>
  <c r="V20" i="4"/>
  <c r="V28" i="4" s="1"/>
  <c r="AF50" i="4"/>
  <c r="E279" i="7"/>
  <c r="F160" i="7"/>
  <c r="K64" i="6"/>
  <c r="G56" i="4"/>
  <c r="O25" i="4"/>
  <c r="O39" i="4"/>
  <c r="AB68" i="6"/>
  <c r="S7" i="4"/>
  <c r="W23" i="4"/>
  <c r="W30" i="4" s="1"/>
  <c r="E172" i="7" s="1"/>
  <c r="W22" i="4"/>
  <c r="Q56" i="4"/>
  <c r="E300" i="7"/>
  <c r="F181" i="7"/>
  <c r="AF64" i="6"/>
  <c r="P125" i="6"/>
  <c r="P75" i="6"/>
  <c r="P72" i="6"/>
  <c r="P73" i="6" s="1"/>
  <c r="F158" i="7"/>
  <c r="E277" i="7"/>
  <c r="I64" i="6"/>
  <c r="AC65" i="6"/>
  <c r="AC66" i="6" s="1"/>
  <c r="AC67" i="6"/>
  <c r="K25" i="4"/>
  <c r="AE72" i="6"/>
  <c r="AE73" i="6" s="1"/>
  <c r="AE75" i="6"/>
  <c r="AA124" i="6"/>
  <c r="AA122" i="6"/>
  <c r="AA123" i="6" s="1"/>
  <c r="F307" i="7"/>
  <c r="F272" i="7"/>
  <c r="D41" i="4"/>
  <c r="D64" i="4"/>
  <c r="AG14" i="5"/>
  <c r="N151" i="7" s="1"/>
  <c r="Z37" i="4"/>
  <c r="I122" i="6"/>
  <c r="I123" i="6" s="1"/>
  <c r="I124" i="6"/>
  <c r="Y122" i="6"/>
  <c r="Y123" i="6" s="1"/>
  <c r="Y124" i="6"/>
  <c r="Y50" i="4"/>
  <c r="Y51" i="4" s="1"/>
  <c r="T124" i="6"/>
  <c r="T122" i="6"/>
  <c r="T123" i="6" s="1"/>
  <c r="P136" i="7"/>
  <c r="Q71" i="6"/>
  <c r="Q8" i="5"/>
  <c r="Q41" i="4"/>
  <c r="AE24" i="4"/>
  <c r="T34" i="4"/>
  <c r="AF22" i="4"/>
  <c r="M71" i="6"/>
  <c r="M41" i="4"/>
  <c r="M8" i="5"/>
  <c r="C138" i="7"/>
  <c r="R95" i="6"/>
  <c r="R93" i="6"/>
  <c r="R94" i="6" s="1"/>
  <c r="R110" i="6" l="1"/>
  <c r="N54" i="6"/>
  <c r="Z125" i="6"/>
  <c r="AC110" i="6"/>
  <c r="AD110" i="6"/>
  <c r="AH125" i="6"/>
  <c r="AC76" i="6"/>
  <c r="AD61" i="6"/>
  <c r="V76" i="6"/>
  <c r="W76" i="6"/>
  <c r="S103" i="6"/>
  <c r="U103" i="6"/>
  <c r="S110" i="6"/>
  <c r="U76" i="6"/>
  <c r="O125" i="6"/>
  <c r="N68" i="6"/>
  <c r="Q110" i="6"/>
  <c r="AA125" i="6"/>
  <c r="R125" i="6"/>
  <c r="P68" i="6"/>
  <c r="Q125" i="6"/>
  <c r="O118" i="6"/>
  <c r="J76" i="6"/>
  <c r="Q118" i="6"/>
  <c r="R130" i="6"/>
  <c r="T125" i="6"/>
  <c r="M29" i="4"/>
  <c r="M30" i="4"/>
  <c r="E162" i="7" s="1"/>
  <c r="AH61" i="4"/>
  <c r="AH60" i="4"/>
  <c r="AH66" i="4" s="1"/>
  <c r="C152" i="7"/>
  <c r="AH56" i="4"/>
  <c r="AH106" i="6"/>
  <c r="P100" i="6"/>
  <c r="P101" i="6" s="1"/>
  <c r="P102" i="6"/>
  <c r="D287" i="7"/>
  <c r="S38" i="4"/>
  <c r="S31" i="4"/>
  <c r="S11" i="5"/>
  <c r="D326" i="7"/>
  <c r="E141" i="7"/>
  <c r="W92" i="6"/>
  <c r="W63" i="4"/>
  <c r="AA57" i="6"/>
  <c r="AA35" i="4"/>
  <c r="AA40" i="4" s="1"/>
  <c r="AA36" i="4"/>
  <c r="AA9" i="5"/>
  <c r="D299" i="7"/>
  <c r="AE38" i="4"/>
  <c r="AE31" i="4"/>
  <c r="AE11" i="5"/>
  <c r="W35" i="4"/>
  <c r="W40" i="4" s="1"/>
  <c r="W9" i="5"/>
  <c r="W36" i="4"/>
  <c r="W57" i="6"/>
  <c r="AA106" i="6"/>
  <c r="AA61" i="4"/>
  <c r="C145" i="7"/>
  <c r="K128" i="7"/>
  <c r="J21" i="5"/>
  <c r="J15" i="5"/>
  <c r="J20" i="5"/>
  <c r="V9" i="5"/>
  <c r="V57" i="6"/>
  <c r="V36" i="4"/>
  <c r="T109" i="6"/>
  <c r="T107" i="6"/>
  <c r="T108" i="6" s="1"/>
  <c r="T25" i="4"/>
  <c r="T50" i="6" s="1"/>
  <c r="I50" i="6"/>
  <c r="I10" i="5"/>
  <c r="L127" i="7" s="1"/>
  <c r="I37" i="4"/>
  <c r="I39" i="4"/>
  <c r="I28" i="4" s="1"/>
  <c r="I109" i="6"/>
  <c r="I107" i="6"/>
  <c r="I108" i="6" s="1"/>
  <c r="D327" i="7"/>
  <c r="E142" i="7"/>
  <c r="X63" i="4"/>
  <c r="X92" i="6"/>
  <c r="K67" i="6"/>
  <c r="K65" i="6"/>
  <c r="K66" i="6" s="1"/>
  <c r="P130" i="7"/>
  <c r="AC68" i="6"/>
  <c r="V51" i="6"/>
  <c r="V52" i="6" s="1"/>
  <c r="V53" i="6"/>
  <c r="J67" i="6"/>
  <c r="J65" i="6"/>
  <c r="J66" i="6" s="1"/>
  <c r="E175" i="7"/>
  <c r="C175" i="7"/>
  <c r="H255" i="7" s="1"/>
  <c r="AC95" i="6"/>
  <c r="AC130" i="6" s="1"/>
  <c r="AC93" i="6"/>
  <c r="AC94" i="6" s="1"/>
  <c r="AC15" i="5"/>
  <c r="X75" i="6"/>
  <c r="X72" i="6"/>
  <c r="X73" i="6" s="1"/>
  <c r="AH75" i="6"/>
  <c r="AH72" i="6"/>
  <c r="AH73" i="6" s="1"/>
  <c r="K124" i="6"/>
  <c r="K122" i="6"/>
  <c r="K123" i="6" s="1"/>
  <c r="P150" i="7"/>
  <c r="D25" i="4"/>
  <c r="AD76" i="6"/>
  <c r="N15" i="5"/>
  <c r="AG122" i="6"/>
  <c r="AG123" i="6" s="1"/>
  <c r="AG124" i="6"/>
  <c r="T62" i="4"/>
  <c r="H24" i="4"/>
  <c r="H25" i="4" s="1"/>
  <c r="V53" i="4"/>
  <c r="V65" i="4" s="1"/>
  <c r="AC46" i="6"/>
  <c r="AC44" i="6"/>
  <c r="AC45" i="6" s="1"/>
  <c r="W67" i="6"/>
  <c r="W65" i="6"/>
  <c r="W66" i="6" s="1"/>
  <c r="R46" i="6"/>
  <c r="R44" i="6"/>
  <c r="R45" i="6" s="1"/>
  <c r="N93" i="6"/>
  <c r="N94" i="6" s="1"/>
  <c r="N95" i="6"/>
  <c r="AF25" i="4"/>
  <c r="C181" i="7" s="1"/>
  <c r="I67" i="6"/>
  <c r="I65" i="6"/>
  <c r="I66" i="6" s="1"/>
  <c r="D172" i="7"/>
  <c r="W10" i="5"/>
  <c r="L141" i="7" s="1"/>
  <c r="W50" i="6"/>
  <c r="W37" i="4"/>
  <c r="C172" i="7"/>
  <c r="W28" i="4"/>
  <c r="U53" i="6"/>
  <c r="U51" i="6"/>
  <c r="U52" i="6" s="1"/>
  <c r="L75" i="6"/>
  <c r="L72" i="6"/>
  <c r="L73" i="6" s="1"/>
  <c r="M122" i="7"/>
  <c r="B19" i="7"/>
  <c r="H235" i="7"/>
  <c r="P127" i="7"/>
  <c r="H29" i="4"/>
  <c r="H30" i="4"/>
  <c r="E157" i="7" s="1"/>
  <c r="S67" i="6"/>
  <c r="S65" i="6"/>
  <c r="S66" i="6" s="1"/>
  <c r="X25" i="4"/>
  <c r="M124" i="7"/>
  <c r="F25" i="5"/>
  <c r="AA57" i="4"/>
  <c r="AA60" i="4" s="1"/>
  <c r="AA66" i="4" s="1"/>
  <c r="AA56" i="4"/>
  <c r="AH117" i="6"/>
  <c r="AH114" i="6"/>
  <c r="AH115" i="6" s="1"/>
  <c r="AC20" i="5"/>
  <c r="P142" i="7"/>
  <c r="P35" i="4"/>
  <c r="P40" i="4" s="1"/>
  <c r="C132" i="7"/>
  <c r="N60" i="4"/>
  <c r="N66" i="4" s="1"/>
  <c r="N61" i="4"/>
  <c r="N53" i="4"/>
  <c r="N65" i="4"/>
  <c r="N106" i="6" s="1"/>
  <c r="AF75" i="6"/>
  <c r="AF72" i="6"/>
  <c r="AF73" i="6" s="1"/>
  <c r="N21" i="5"/>
  <c r="X52" i="4"/>
  <c r="T99" i="6"/>
  <c r="D322" i="7"/>
  <c r="E137" i="7"/>
  <c r="H217" i="7" s="1"/>
  <c r="S92" i="6"/>
  <c r="S63" i="4"/>
  <c r="S60" i="4"/>
  <c r="S66" i="4" s="1"/>
  <c r="H246" i="7"/>
  <c r="V124" i="6"/>
  <c r="V122" i="6"/>
  <c r="V123" i="6" s="1"/>
  <c r="AA28" i="4"/>
  <c r="L54" i="6"/>
  <c r="AA62" i="4"/>
  <c r="C182" i="7"/>
  <c r="Q102" i="6"/>
  <c r="Q130" i="6" s="1"/>
  <c r="Q100" i="6"/>
  <c r="Q101" i="6" s="1"/>
  <c r="D138" i="7"/>
  <c r="H71" i="6"/>
  <c r="H72" i="6" s="1"/>
  <c r="H8" i="5"/>
  <c r="H41" i="4"/>
  <c r="AB61" i="6"/>
  <c r="Z54" i="6"/>
  <c r="I56" i="4"/>
  <c r="AC53" i="6"/>
  <c r="AC51" i="6"/>
  <c r="AC52" i="6" s="1"/>
  <c r="C154" i="7"/>
  <c r="H234" i="7" s="1"/>
  <c r="Y57" i="4"/>
  <c r="AC60" i="6"/>
  <c r="AC58" i="6"/>
  <c r="AC59" i="6" s="1"/>
  <c r="AF39" i="4"/>
  <c r="AF57" i="6" s="1"/>
  <c r="I75" i="6"/>
  <c r="I72" i="6"/>
  <c r="I73" i="6" s="1"/>
  <c r="AF23" i="4"/>
  <c r="AH67" i="6"/>
  <c r="AH65" i="6"/>
  <c r="AH66" i="6" s="1"/>
  <c r="D312" i="7"/>
  <c r="E127" i="7"/>
  <c r="I92" i="6"/>
  <c r="I63" i="4"/>
  <c r="X30" i="4"/>
  <c r="E173" i="7" s="1"/>
  <c r="X29" i="4"/>
  <c r="P57" i="4"/>
  <c r="Q96" i="6"/>
  <c r="Q67" i="6"/>
  <c r="Q65" i="6"/>
  <c r="Q66" i="6" s="1"/>
  <c r="W52" i="4"/>
  <c r="F32" i="4"/>
  <c r="F12" i="5"/>
  <c r="F19" i="5" s="1"/>
  <c r="AA99" i="6"/>
  <c r="AE117" i="6"/>
  <c r="AE114" i="6"/>
  <c r="AE115" i="6" s="1"/>
  <c r="AD21" i="5"/>
  <c r="N114" i="6"/>
  <c r="N115" i="6" s="1"/>
  <c r="N117" i="6"/>
  <c r="J99" i="6"/>
  <c r="D337" i="7"/>
  <c r="E152" i="7"/>
  <c r="AH92" i="6"/>
  <c r="AH63" i="4"/>
  <c r="R129" i="6"/>
  <c r="R96" i="6"/>
  <c r="E288" i="7"/>
  <c r="F169" i="7"/>
  <c r="T64" i="6"/>
  <c r="P76" i="6"/>
  <c r="S24" i="4"/>
  <c r="AF51" i="4"/>
  <c r="AF57" i="4" s="1"/>
  <c r="L61" i="6"/>
  <c r="D149" i="7"/>
  <c r="AE62" i="4"/>
  <c r="J117" i="6"/>
  <c r="J114" i="6"/>
  <c r="J115" i="6" s="1"/>
  <c r="T61" i="4"/>
  <c r="W114" i="6"/>
  <c r="W115" i="6" s="1"/>
  <c r="W117" i="6"/>
  <c r="M125" i="6"/>
  <c r="N76" i="6"/>
  <c r="D145" i="7"/>
  <c r="Y65" i="6"/>
  <c r="Y66" i="6" s="1"/>
  <c r="Y67" i="6"/>
  <c r="D293" i="7"/>
  <c r="Y11" i="5"/>
  <c r="Y31" i="4"/>
  <c r="Y38" i="4"/>
  <c r="P65" i="4"/>
  <c r="P56" i="4" s="1"/>
  <c r="Z60" i="6"/>
  <c r="Z58" i="6"/>
  <c r="Z59" i="6" s="1"/>
  <c r="K35" i="4"/>
  <c r="K40" i="4" s="1"/>
  <c r="K36" i="4"/>
  <c r="K9" i="5"/>
  <c r="K129" i="7" s="1"/>
  <c r="M117" i="6"/>
  <c r="M114" i="6"/>
  <c r="M115" i="6" s="1"/>
  <c r="X122" i="6"/>
  <c r="X123" i="6" s="1"/>
  <c r="X124" i="6"/>
  <c r="AD15" i="5"/>
  <c r="U35" i="4"/>
  <c r="U40" i="4" s="1"/>
  <c r="U36" i="4"/>
  <c r="U9" i="5"/>
  <c r="U57" i="6"/>
  <c r="R76" i="6"/>
  <c r="AG67" i="6"/>
  <c r="AG65" i="6"/>
  <c r="AG66" i="6" s="1"/>
  <c r="P129" i="7"/>
  <c r="I9" i="5"/>
  <c r="K127" i="7" s="1"/>
  <c r="I57" i="6"/>
  <c r="I36" i="4"/>
  <c r="I35" i="4"/>
  <c r="I40" i="4" s="1"/>
  <c r="J62" i="4"/>
  <c r="AF29" i="4"/>
  <c r="AF30" i="4"/>
  <c r="E181" i="7" s="1"/>
  <c r="W124" i="6"/>
  <c r="W122" i="6"/>
  <c r="W123" i="6" s="1"/>
  <c r="U67" i="6"/>
  <c r="U65" i="6"/>
  <c r="U66" i="6" s="1"/>
  <c r="Y72" i="6"/>
  <c r="Y73" i="6" s="1"/>
  <c r="Y75" i="6"/>
  <c r="D273" i="7"/>
  <c r="E44" i="6"/>
  <c r="E11" i="5"/>
  <c r="E38" i="4"/>
  <c r="E31" i="4"/>
  <c r="P58" i="6"/>
  <c r="P59" i="6" s="1"/>
  <c r="P60" i="6"/>
  <c r="I29" i="4"/>
  <c r="I30" i="4"/>
  <c r="E158" i="7" s="1"/>
  <c r="E144" i="7"/>
  <c r="D329" i="7"/>
  <c r="Z92" i="6"/>
  <c r="Z63" i="4"/>
  <c r="AE53" i="4"/>
  <c r="AE99" i="6" s="1"/>
  <c r="S117" i="6"/>
  <c r="S114" i="6"/>
  <c r="S115" i="6" s="1"/>
  <c r="C160" i="7"/>
  <c r="H240" i="7" s="1"/>
  <c r="K75" i="6"/>
  <c r="K72" i="6"/>
  <c r="K73" i="6" s="1"/>
  <c r="D295" i="7"/>
  <c r="AA11" i="5"/>
  <c r="AA31" i="4"/>
  <c r="AA38" i="4"/>
  <c r="T71" i="6"/>
  <c r="T8" i="5"/>
  <c r="T41" i="4"/>
  <c r="Y125" i="6"/>
  <c r="W29" i="4"/>
  <c r="E9" i="5"/>
  <c r="E35" i="4"/>
  <c r="E40" i="4" s="1"/>
  <c r="E57" i="6"/>
  <c r="E58" i="6" s="1"/>
  <c r="E36" i="4"/>
  <c r="AD32" i="4"/>
  <c r="AD12" i="5"/>
  <c r="AD19" i="5" s="1"/>
  <c r="F130" i="7"/>
  <c r="E315" i="7"/>
  <c r="L113" i="6"/>
  <c r="L64" i="4"/>
  <c r="J60" i="4"/>
  <c r="J66" i="4" s="1"/>
  <c r="J61" i="4"/>
  <c r="N32" i="4"/>
  <c r="N12" i="5"/>
  <c r="R57" i="6"/>
  <c r="R36" i="4"/>
  <c r="R9" i="5"/>
  <c r="R28" i="4"/>
  <c r="R35" i="4"/>
  <c r="R40" i="4" s="1"/>
  <c r="Q47" i="6"/>
  <c r="J54" i="6"/>
  <c r="V67" i="6"/>
  <c r="V65" i="6"/>
  <c r="V66" i="6" s="1"/>
  <c r="W53" i="4"/>
  <c r="W65" i="4" s="1"/>
  <c r="M65" i="6"/>
  <c r="M66" i="6" s="1"/>
  <c r="M67" i="6"/>
  <c r="P143" i="7"/>
  <c r="P9" i="5"/>
  <c r="D141" i="7"/>
  <c r="W62" i="4"/>
  <c r="J57" i="6"/>
  <c r="J36" i="4"/>
  <c r="J35" i="4"/>
  <c r="J40" i="4" s="1"/>
  <c r="N61" i="6"/>
  <c r="L57" i="4"/>
  <c r="F140" i="7"/>
  <c r="E325" i="7"/>
  <c r="V113" i="6"/>
  <c r="V64" i="4"/>
  <c r="AE50" i="6"/>
  <c r="D180" i="7"/>
  <c r="D296" i="7"/>
  <c r="AB11" i="5"/>
  <c r="AB31" i="4"/>
  <c r="AB38" i="4"/>
  <c r="D289" i="7"/>
  <c r="U38" i="4"/>
  <c r="U31" i="4"/>
  <c r="U11" i="5"/>
  <c r="O93" i="6"/>
  <c r="O94" i="6" s="1"/>
  <c r="O95" i="6"/>
  <c r="T37" i="4"/>
  <c r="K30" i="4"/>
  <c r="E160" i="7" s="1"/>
  <c r="K29" i="4"/>
  <c r="K28" i="4"/>
  <c r="AE67" i="6"/>
  <c r="AE65" i="6"/>
  <c r="AE66" i="6" s="1"/>
  <c r="M128" i="7"/>
  <c r="J25" i="5"/>
  <c r="M151" i="7"/>
  <c r="O124" i="7"/>
  <c r="F17" i="5"/>
  <c r="F24" i="5"/>
  <c r="F23" i="5"/>
  <c r="F16" i="5"/>
  <c r="L122" i="6"/>
  <c r="L123" i="6" s="1"/>
  <c r="L124" i="6"/>
  <c r="Q51" i="6"/>
  <c r="Q52" i="6" s="1"/>
  <c r="Q53" i="6"/>
  <c r="AF53" i="4"/>
  <c r="AF65" i="4" s="1"/>
  <c r="AD102" i="6"/>
  <c r="AD100" i="6"/>
  <c r="AD101" i="6" s="1"/>
  <c r="Q58" i="6"/>
  <c r="Q59" i="6" s="1"/>
  <c r="Q60" i="6"/>
  <c r="R103" i="6"/>
  <c r="O53" i="4"/>
  <c r="D165" i="7"/>
  <c r="P50" i="6"/>
  <c r="P37" i="4"/>
  <c r="P10" i="5"/>
  <c r="L134" i="7" s="1"/>
  <c r="C165" i="7"/>
  <c r="T10" i="5"/>
  <c r="L138" i="7" s="1"/>
  <c r="K37" i="4"/>
  <c r="D284" i="7"/>
  <c r="P38" i="4"/>
  <c r="P11" i="5"/>
  <c r="P31" i="4"/>
  <c r="AG31" i="4"/>
  <c r="J107" i="6"/>
  <c r="J108" i="6" s="1"/>
  <c r="J109" i="6"/>
  <c r="B15" i="7"/>
  <c r="D32" i="4"/>
  <c r="B16" i="7" s="1"/>
  <c r="D12" i="5"/>
  <c r="B20" i="7" s="1"/>
  <c r="AG53" i="6"/>
  <c r="AG51" i="6"/>
  <c r="AG52" i="6" s="1"/>
  <c r="D294" i="7"/>
  <c r="Z31" i="4"/>
  <c r="Z11" i="5"/>
  <c r="Z15" i="5" s="1"/>
  <c r="Z38" i="4"/>
  <c r="Z35" i="4"/>
  <c r="Z40" i="4" s="1"/>
  <c r="T114" i="6"/>
  <c r="T115" i="6" s="1"/>
  <c r="T117" i="6"/>
  <c r="E128" i="7"/>
  <c r="D313" i="7"/>
  <c r="J63" i="4"/>
  <c r="J92" i="6"/>
  <c r="L30" i="4"/>
  <c r="I102" i="6"/>
  <c r="I100" i="6"/>
  <c r="I101" i="6" s="1"/>
  <c r="AA118" i="6"/>
  <c r="AF124" i="6"/>
  <c r="AF122" i="6"/>
  <c r="AF123" i="6" s="1"/>
  <c r="AD95" i="6"/>
  <c r="AD93" i="6"/>
  <c r="AD94" i="6" s="1"/>
  <c r="AB96" i="6"/>
  <c r="D283" i="7"/>
  <c r="O38" i="4"/>
  <c r="O11" i="5"/>
  <c r="O31" i="4"/>
  <c r="X65" i="6"/>
  <c r="X66" i="6" s="1"/>
  <c r="X67" i="6"/>
  <c r="K10" i="5"/>
  <c r="L129" i="7" s="1"/>
  <c r="D176" i="7"/>
  <c r="C176" i="7"/>
  <c r="AA50" i="6"/>
  <c r="AA37" i="4"/>
  <c r="AA10" i="5"/>
  <c r="L145" i="7" s="1"/>
  <c r="M25" i="4"/>
  <c r="M39" i="4" s="1"/>
  <c r="J12" i="5"/>
  <c r="J19" i="5" s="1"/>
  <c r="J32" i="4"/>
  <c r="AG93" i="6"/>
  <c r="AG94" i="6" s="1"/>
  <c r="AG95" i="6"/>
  <c r="T29" i="4"/>
  <c r="T30" i="4"/>
  <c r="E169" i="7" s="1"/>
  <c r="AB106" i="6"/>
  <c r="AB61" i="4"/>
  <c r="C146" i="7"/>
  <c r="AB60" i="4"/>
  <c r="AB66" i="4" s="1"/>
  <c r="S71" i="6"/>
  <c r="S8" i="5"/>
  <c r="S41" i="4"/>
  <c r="P135" i="7"/>
  <c r="Q20" i="5"/>
  <c r="Q15" i="5"/>
  <c r="Q19" i="5"/>
  <c r="Q21" i="5"/>
  <c r="AF67" i="6"/>
  <c r="AF65" i="6"/>
  <c r="AF66" i="6" s="1"/>
  <c r="I117" i="6"/>
  <c r="I114" i="6"/>
  <c r="I115" i="6" s="1"/>
  <c r="M132" i="7"/>
  <c r="N25" i="5"/>
  <c r="P131" i="7"/>
  <c r="Q75" i="6"/>
  <c r="Q72" i="6"/>
  <c r="Q73" i="6" s="1"/>
  <c r="I125" i="6"/>
  <c r="O9" i="5"/>
  <c r="O36" i="4"/>
  <c r="O57" i="6"/>
  <c r="O35" i="4"/>
  <c r="O40" i="4" s="1"/>
  <c r="V29" i="4"/>
  <c r="V35" i="4" s="1"/>
  <c r="V40" i="4" s="1"/>
  <c r="V30" i="4"/>
  <c r="E171" i="7" s="1"/>
  <c r="G71" i="6"/>
  <c r="G72" i="6" s="1"/>
  <c r="G8" i="5"/>
  <c r="G41" i="4"/>
  <c r="E327" i="7"/>
  <c r="F142" i="7"/>
  <c r="X113" i="6"/>
  <c r="X64" i="4"/>
  <c r="R53" i="6"/>
  <c r="R51" i="6"/>
  <c r="R52" i="6" s="1"/>
  <c r="AE76" i="6"/>
  <c r="D164" i="7"/>
  <c r="O50" i="6"/>
  <c r="O37" i="4"/>
  <c r="O10" i="5"/>
  <c r="L133" i="7" s="1"/>
  <c r="C164" i="7"/>
  <c r="H244" i="7" s="1"/>
  <c r="C171" i="7"/>
  <c r="H251" i="7" s="1"/>
  <c r="P118" i="6"/>
  <c r="O28" i="4"/>
  <c r="T57" i="4"/>
  <c r="T60" i="4" s="1"/>
  <c r="T66" i="4" s="1"/>
  <c r="AB76" i="6"/>
  <c r="AG36" i="4"/>
  <c r="AG57" i="6"/>
  <c r="AG35" i="4"/>
  <c r="AG40" i="4" s="1"/>
  <c r="AG28" i="4"/>
  <c r="AG9" i="5"/>
  <c r="K151" i="7" s="1"/>
  <c r="U117" i="6"/>
  <c r="U114" i="6"/>
  <c r="U115" i="6" s="1"/>
  <c r="D316" i="7"/>
  <c r="E131" i="7"/>
  <c r="M92" i="6"/>
  <c r="M63" i="4"/>
  <c r="L52" i="4"/>
  <c r="L29" i="4"/>
  <c r="AH25" i="4"/>
  <c r="G106" i="6"/>
  <c r="G107" i="6" s="1"/>
  <c r="C125" i="7"/>
  <c r="H205" i="7" s="1"/>
  <c r="G61" i="4"/>
  <c r="H51" i="4"/>
  <c r="H57" i="4" s="1"/>
  <c r="D307" i="7"/>
  <c r="E122" i="7"/>
  <c r="D92" i="6"/>
  <c r="D93" i="6" s="1"/>
  <c r="D63" i="4"/>
  <c r="AE65" i="4"/>
  <c r="AE56" i="4" s="1"/>
  <c r="AC32" i="4"/>
  <c r="AC12" i="5"/>
  <c r="AC19" i="5" s="1"/>
  <c r="K50" i="6"/>
  <c r="D65" i="4"/>
  <c r="D53" i="4"/>
  <c r="Z118" i="6"/>
  <c r="AH29" i="4"/>
  <c r="AH30" i="4"/>
  <c r="E183" i="7" s="1"/>
  <c r="J44" i="6"/>
  <c r="J45" i="6" s="1"/>
  <c r="J46" i="6"/>
  <c r="D314" i="7"/>
  <c r="E129" i="7"/>
  <c r="K63" i="4"/>
  <c r="K92" i="6"/>
  <c r="M136" i="7"/>
  <c r="AG44" i="6"/>
  <c r="AG45" i="6" s="1"/>
  <c r="AG46" i="6"/>
  <c r="U109" i="6"/>
  <c r="U107" i="6"/>
  <c r="U108" i="6" s="1"/>
  <c r="L65" i="6"/>
  <c r="L66" i="6" s="1"/>
  <c r="L67" i="6"/>
  <c r="AE25" i="4"/>
  <c r="Z53" i="4"/>
  <c r="M148" i="7"/>
  <c r="AD25" i="5"/>
  <c r="E149" i="7"/>
  <c r="D334" i="7"/>
  <c r="AE92" i="6"/>
  <c r="AE63" i="4"/>
  <c r="AD46" i="6"/>
  <c r="AD81" i="6" s="1"/>
  <c r="AD44" i="6"/>
  <c r="AD45" i="6" s="1"/>
  <c r="M53" i="4"/>
  <c r="M65" i="4" s="1"/>
  <c r="N46" i="6"/>
  <c r="N81" i="6" s="1"/>
  <c r="N44" i="6"/>
  <c r="N45" i="6" s="1"/>
  <c r="M72" i="6"/>
  <c r="M73" i="6" s="1"/>
  <c r="M75" i="6"/>
  <c r="C127" i="7"/>
  <c r="H207" i="7" s="1"/>
  <c r="I61" i="4"/>
  <c r="I60" i="4"/>
  <c r="I66" i="4" s="1"/>
  <c r="M28" i="4"/>
  <c r="Y117" i="6"/>
  <c r="Y114" i="6"/>
  <c r="Y115" i="6" s="1"/>
  <c r="G24" i="4"/>
  <c r="AG71" i="6"/>
  <c r="AG8" i="5"/>
  <c r="AG41" i="4"/>
  <c r="D131" i="7"/>
  <c r="M62" i="4"/>
  <c r="M99" i="6"/>
  <c r="D124" i="7"/>
  <c r="H204" i="7" s="1"/>
  <c r="F62" i="4"/>
  <c r="F99" i="6"/>
  <c r="F100" i="6" s="1"/>
  <c r="F56" i="4"/>
  <c r="R68" i="6"/>
  <c r="AF114" i="6"/>
  <c r="AF115" i="6" s="1"/>
  <c r="AF117" i="6"/>
  <c r="AG117" i="6"/>
  <c r="AG114" i="6"/>
  <c r="AG115" i="6" s="1"/>
  <c r="G29" i="4"/>
  <c r="G30" i="4"/>
  <c r="E156" i="7" s="1"/>
  <c r="Y50" i="6"/>
  <c r="C174" i="7"/>
  <c r="H254" i="7" s="1"/>
  <c r="Y10" i="5"/>
  <c r="L143" i="7" s="1"/>
  <c r="Y39" i="4"/>
  <c r="D174" i="7"/>
  <c r="Y37" i="4"/>
  <c r="AB99" i="6"/>
  <c r="AB62" i="4"/>
  <c r="D146" i="7"/>
  <c r="H53" i="4"/>
  <c r="H62" i="4" s="1"/>
  <c r="N125" i="6"/>
  <c r="K52" i="4"/>
  <c r="D158" i="7"/>
  <c r="P28" i="4"/>
  <c r="C151" i="7"/>
  <c r="AG61" i="4"/>
  <c r="AG106" i="6"/>
  <c r="AG56" i="4"/>
  <c r="AG60" i="4"/>
  <c r="AG66" i="4" s="1"/>
  <c r="Y99" i="6"/>
  <c r="E276" i="7"/>
  <c r="F157" i="7"/>
  <c r="H64" i="6"/>
  <c r="H65" i="6" s="1"/>
  <c r="AE124" i="6"/>
  <c r="AE122" i="6"/>
  <c r="AE123" i="6" s="1"/>
  <c r="D182" i="7"/>
  <c r="K57" i="6"/>
  <c r="R32" i="4"/>
  <c r="R12" i="5"/>
  <c r="H219" i="7"/>
  <c r="AC21" i="5"/>
  <c r="E314" i="7"/>
  <c r="F129" i="7"/>
  <c r="K113" i="6"/>
  <c r="K64" i="4"/>
  <c r="AH100" i="6"/>
  <c r="AH101" i="6" s="1"/>
  <c r="AH102" i="6"/>
  <c r="P152" i="7"/>
  <c r="E140" i="7"/>
  <c r="D325" i="7"/>
  <c r="V92" i="6"/>
  <c r="V63" i="4"/>
  <c r="N19" i="5"/>
  <c r="D151" i="7"/>
  <c r="AG99" i="6"/>
  <c r="AG62" i="4"/>
  <c r="Y53" i="4"/>
  <c r="Y65" i="4" s="1"/>
  <c r="M147" i="7"/>
  <c r="AC25" i="5"/>
  <c r="U93" i="6"/>
  <c r="U94" i="6" s="1"/>
  <c r="U95" i="6"/>
  <c r="C128" i="7"/>
  <c r="H208" i="7" s="1"/>
  <c r="AC54" i="6" l="1"/>
  <c r="AH76" i="6"/>
  <c r="V125" i="6"/>
  <c r="I68" i="6"/>
  <c r="AE125" i="6"/>
  <c r="U54" i="6"/>
  <c r="R131" i="6"/>
  <c r="W125" i="6"/>
  <c r="X76" i="6"/>
  <c r="Q76" i="6"/>
  <c r="AE68" i="6"/>
  <c r="R54" i="6"/>
  <c r="J68" i="6"/>
  <c r="N118" i="6"/>
  <c r="Y68" i="6"/>
  <c r="Q103" i="6"/>
  <c r="AF125" i="6"/>
  <c r="Q80" i="6"/>
  <c r="AD103" i="6"/>
  <c r="AH68" i="6"/>
  <c r="AF76" i="6"/>
  <c r="Q129" i="6"/>
  <c r="Y118" i="6"/>
  <c r="I76" i="6"/>
  <c r="L76" i="6"/>
  <c r="Q81" i="6"/>
  <c r="Q139" i="6" s="1"/>
  <c r="L125" i="6"/>
  <c r="M76" i="6"/>
  <c r="Y76" i="6"/>
  <c r="AG118" i="6"/>
  <c r="AG54" i="6"/>
  <c r="K76" i="6"/>
  <c r="P103" i="6"/>
  <c r="M68" i="6"/>
  <c r="X68" i="6"/>
  <c r="AH103" i="6"/>
  <c r="AF68" i="6"/>
  <c r="V60" i="4"/>
  <c r="V66" i="4" s="1"/>
  <c r="V106" i="6"/>
  <c r="V61" i="4"/>
  <c r="C140" i="7"/>
  <c r="D157" i="7"/>
  <c r="H10" i="5"/>
  <c r="L126" i="7" s="1"/>
  <c r="H50" i="6"/>
  <c r="H51" i="6" s="1"/>
  <c r="C157" i="7"/>
  <c r="H37" i="4"/>
  <c r="AF60" i="6"/>
  <c r="AF58" i="6"/>
  <c r="AF59" i="6" s="1"/>
  <c r="O144" i="7"/>
  <c r="Z24" i="5"/>
  <c r="Z17" i="5"/>
  <c r="Z23" i="5"/>
  <c r="Z16" i="5"/>
  <c r="M61" i="4"/>
  <c r="M60" i="4"/>
  <c r="M66" i="4" s="1"/>
  <c r="C131" i="7"/>
  <c r="H211" i="7" s="1"/>
  <c r="M106" i="6"/>
  <c r="AE102" i="6"/>
  <c r="AE100" i="6"/>
  <c r="AE101" i="6" s="1"/>
  <c r="N109" i="6"/>
  <c r="N107" i="6"/>
  <c r="N108" i="6" s="1"/>
  <c r="V93" i="6"/>
  <c r="V94" i="6" s="1"/>
  <c r="V95" i="6"/>
  <c r="Y53" i="6"/>
  <c r="Y51" i="6"/>
  <c r="Y52" i="6" s="1"/>
  <c r="U118" i="6"/>
  <c r="X114" i="6"/>
  <c r="X115" i="6" s="1"/>
  <c r="X117" i="6"/>
  <c r="S75" i="6"/>
  <c r="S72" i="6"/>
  <c r="S73" i="6" s="1"/>
  <c r="M35" i="4"/>
  <c r="M40" i="4" s="1"/>
  <c r="M9" i="5"/>
  <c r="M57" i="6"/>
  <c r="M36" i="4"/>
  <c r="I103" i="6"/>
  <c r="J110" i="6"/>
  <c r="W56" i="4"/>
  <c r="S118" i="6"/>
  <c r="D277" i="7"/>
  <c r="I38" i="4"/>
  <c r="I31" i="4"/>
  <c r="I11" i="5"/>
  <c r="U68" i="6"/>
  <c r="K139" i="7"/>
  <c r="U15" i="5"/>
  <c r="U20" i="5"/>
  <c r="U21" i="5"/>
  <c r="Z61" i="6"/>
  <c r="M37" i="4"/>
  <c r="D150" i="7"/>
  <c r="AC61" i="6"/>
  <c r="AF10" i="5"/>
  <c r="L150" i="7" s="1"/>
  <c r="D276" i="7"/>
  <c r="H31" i="4"/>
  <c r="H44" i="6"/>
  <c r="H38" i="4"/>
  <c r="H11" i="5"/>
  <c r="K125" i="6"/>
  <c r="C158" i="7"/>
  <c r="H238" i="7" s="1"/>
  <c r="O128" i="7"/>
  <c r="J23" i="5"/>
  <c r="J16" i="5"/>
  <c r="J24" i="5"/>
  <c r="J17" i="5"/>
  <c r="M149" i="7"/>
  <c r="W93" i="6"/>
  <c r="W94" i="6" s="1"/>
  <c r="W95" i="6"/>
  <c r="I60" i="6"/>
  <c r="I58" i="6"/>
  <c r="I59" i="6" s="1"/>
  <c r="D335" i="7"/>
  <c r="E150" i="7"/>
  <c r="AF92" i="6"/>
  <c r="AF63" i="4"/>
  <c r="J100" i="6"/>
  <c r="J101" i="6" s="1"/>
  <c r="J102" i="6"/>
  <c r="M50" i="6"/>
  <c r="D319" i="7"/>
  <c r="P92" i="6"/>
  <c r="E134" i="7"/>
  <c r="P63" i="4"/>
  <c r="AF56" i="4"/>
  <c r="P126" i="7"/>
  <c r="N96" i="6"/>
  <c r="AE12" i="5"/>
  <c r="AE32" i="4"/>
  <c r="D169" i="7"/>
  <c r="M102" i="6"/>
  <c r="M100" i="6"/>
  <c r="M101" i="6" s="1"/>
  <c r="AG47" i="6"/>
  <c r="D280" i="7"/>
  <c r="L31" i="4"/>
  <c r="L38" i="4"/>
  <c r="L11" i="5"/>
  <c r="L35" i="4"/>
  <c r="L40" i="4" s="1"/>
  <c r="H226" i="7"/>
  <c r="Z32" i="4"/>
  <c r="Z12" i="5"/>
  <c r="Z21" i="5"/>
  <c r="D279" i="7"/>
  <c r="K31" i="4"/>
  <c r="K38" i="4"/>
  <c r="K11" i="5"/>
  <c r="M146" i="7"/>
  <c r="AB21" i="5"/>
  <c r="AB20" i="5"/>
  <c r="E130" i="7"/>
  <c r="D315" i="7"/>
  <c r="L92" i="6"/>
  <c r="L63" i="4"/>
  <c r="T75" i="6"/>
  <c r="T72" i="6"/>
  <c r="T73" i="6" s="1"/>
  <c r="AE60" i="4"/>
  <c r="AE66" i="4" s="1"/>
  <c r="P61" i="6"/>
  <c r="P60" i="4"/>
  <c r="P66" i="4" s="1"/>
  <c r="P61" i="4"/>
  <c r="P106" i="6"/>
  <c r="C134" i="7"/>
  <c r="H214" i="7" s="1"/>
  <c r="M56" i="4"/>
  <c r="D162" i="7"/>
  <c r="D292" i="7"/>
  <c r="X38" i="4"/>
  <c r="X31" i="4"/>
  <c r="X11" i="5"/>
  <c r="AF62" i="4"/>
  <c r="Y56" i="4"/>
  <c r="I15" i="5"/>
  <c r="R47" i="6"/>
  <c r="AG125" i="6"/>
  <c r="T110" i="6"/>
  <c r="L114" i="6"/>
  <c r="L115" i="6" s="1"/>
  <c r="L117" i="6"/>
  <c r="H65" i="4"/>
  <c r="D275" i="7"/>
  <c r="G38" i="4"/>
  <c r="G31" i="4"/>
  <c r="G44" i="6"/>
  <c r="G11" i="5"/>
  <c r="D122" i="7"/>
  <c r="D99" i="6"/>
  <c r="D100" i="6" s="1"/>
  <c r="D62" i="4"/>
  <c r="D56" i="4"/>
  <c r="L53" i="4"/>
  <c r="AA53" i="6"/>
  <c r="AA51" i="6"/>
  <c r="AA52" i="6" s="1"/>
  <c r="Z46" i="6"/>
  <c r="Z81" i="6" s="1"/>
  <c r="Z44" i="6"/>
  <c r="Z45" i="6" s="1"/>
  <c r="P32" i="4"/>
  <c r="P12" i="5"/>
  <c r="AB46" i="6"/>
  <c r="AB81" i="6" s="1"/>
  <c r="AB44" i="6"/>
  <c r="AB45" i="6" s="1"/>
  <c r="E32" i="4"/>
  <c r="E12" i="5"/>
  <c r="K15" i="5"/>
  <c r="C169" i="7"/>
  <c r="H249" i="7" s="1"/>
  <c r="D181" i="7"/>
  <c r="H261" i="7" s="1"/>
  <c r="C162" i="7"/>
  <c r="D328" i="7"/>
  <c r="E143" i="7"/>
  <c r="Y92" i="6"/>
  <c r="Y63" i="4"/>
  <c r="I21" i="5"/>
  <c r="O132" i="7"/>
  <c r="N24" i="5"/>
  <c r="N17" i="5"/>
  <c r="N16" i="5"/>
  <c r="N23" i="5"/>
  <c r="AE46" i="6"/>
  <c r="AE44" i="6"/>
  <c r="AE45" i="6" s="1"/>
  <c r="D126" i="7"/>
  <c r="AH107" i="6"/>
  <c r="AH108" i="6" s="1"/>
  <c r="AH109" i="6"/>
  <c r="D144" i="7"/>
  <c r="Z62" i="4"/>
  <c r="Z99" i="6"/>
  <c r="D60" i="4"/>
  <c r="D66" i="4" s="1"/>
  <c r="C122" i="7"/>
  <c r="H202" i="7" s="1"/>
  <c r="D311" i="7"/>
  <c r="E126" i="7"/>
  <c r="H92" i="6"/>
  <c r="H93" i="6" s="1"/>
  <c r="H63" i="4"/>
  <c r="P125" i="7"/>
  <c r="AB107" i="6"/>
  <c r="AB108" i="6" s="1"/>
  <c r="AB109" i="6"/>
  <c r="H256" i="7"/>
  <c r="E161" i="7"/>
  <c r="C161" i="7"/>
  <c r="H241" i="7" s="1"/>
  <c r="M134" i="7"/>
  <c r="AA32" i="4"/>
  <c r="AA12" i="5"/>
  <c r="AA19" i="5" s="1"/>
  <c r="AE106" i="6"/>
  <c r="AF28" i="4"/>
  <c r="K20" i="5"/>
  <c r="O148" i="7"/>
  <c r="AD17" i="5"/>
  <c r="AD24" i="5"/>
  <c r="AD23" i="5"/>
  <c r="AD16" i="5"/>
  <c r="Y12" i="5"/>
  <c r="Y32" i="4"/>
  <c r="W118" i="6"/>
  <c r="T67" i="6"/>
  <c r="T65" i="6"/>
  <c r="T66" i="6" s="1"/>
  <c r="AA102" i="6"/>
  <c r="AA100" i="6"/>
  <c r="AA101" i="6" s="1"/>
  <c r="T39" i="4"/>
  <c r="D132" i="7"/>
  <c r="H212" i="7" s="1"/>
  <c r="N99" i="6"/>
  <c r="N62" i="4"/>
  <c r="N56" i="4"/>
  <c r="H252" i="7"/>
  <c r="W68" i="6"/>
  <c r="V54" i="6"/>
  <c r="K68" i="6"/>
  <c r="I53" i="6"/>
  <c r="I51" i="6"/>
  <c r="I52" i="6" s="1"/>
  <c r="AH39" i="4"/>
  <c r="AH28" i="4" s="1"/>
  <c r="AF60" i="4"/>
  <c r="AF66" i="4" s="1"/>
  <c r="AF106" i="6"/>
  <c r="C150" i="7"/>
  <c r="H230" i="7" s="1"/>
  <c r="AF61" i="4"/>
  <c r="N80" i="6"/>
  <c r="N82" i="6" s="1"/>
  <c r="N47" i="6"/>
  <c r="H99" i="6"/>
  <c r="H100" i="6" s="1"/>
  <c r="AG60" i="6"/>
  <c r="AG58" i="6"/>
  <c r="AG59" i="6" s="1"/>
  <c r="J93" i="6"/>
  <c r="J94" i="6" s="1"/>
  <c r="J95" i="6"/>
  <c r="K136" i="7"/>
  <c r="R19" i="5"/>
  <c r="R21" i="5"/>
  <c r="R20" i="5"/>
  <c r="R15" i="5"/>
  <c r="M145" i="7"/>
  <c r="AA25" i="5"/>
  <c r="C149" i="7"/>
  <c r="H229" i="7" s="1"/>
  <c r="M123" i="7"/>
  <c r="K21" i="5"/>
  <c r="M143" i="7"/>
  <c r="D50" i="6"/>
  <c r="D51" i="6" s="1"/>
  <c r="D37" i="4"/>
  <c r="C153" i="7"/>
  <c r="D10" i="5"/>
  <c r="D153" i="7"/>
  <c r="D28" i="4"/>
  <c r="D106" i="6"/>
  <c r="D107" i="6" s="1"/>
  <c r="V60" i="6"/>
  <c r="V58" i="6"/>
  <c r="V59" i="6" s="1"/>
  <c r="K145" i="7"/>
  <c r="AA21" i="5"/>
  <c r="AA20" i="5"/>
  <c r="AA15" i="5"/>
  <c r="M137" i="7"/>
  <c r="H232" i="7"/>
  <c r="C143" i="7"/>
  <c r="Y106" i="6"/>
  <c r="Y61" i="4"/>
  <c r="Y60" i="4"/>
  <c r="Y66" i="4" s="1"/>
  <c r="K58" i="6"/>
  <c r="K59" i="6" s="1"/>
  <c r="K60" i="6"/>
  <c r="AB102" i="6"/>
  <c r="AB100" i="6"/>
  <c r="AB101" i="6" s="1"/>
  <c r="P151" i="7"/>
  <c r="AG15" i="5"/>
  <c r="AG21" i="5"/>
  <c r="AG20" i="5"/>
  <c r="K93" i="6"/>
  <c r="K94" i="6" s="1"/>
  <c r="K95" i="6"/>
  <c r="K51" i="6"/>
  <c r="K52" i="6" s="1"/>
  <c r="K53" i="6"/>
  <c r="O53" i="6"/>
  <c r="O51" i="6"/>
  <c r="O52" i="6" s="1"/>
  <c r="O135" i="7"/>
  <c r="Q17" i="5"/>
  <c r="Q23" i="5"/>
  <c r="Q16" i="5"/>
  <c r="Q24" i="5"/>
  <c r="Q25" i="5"/>
  <c r="D288" i="7"/>
  <c r="T31" i="4"/>
  <c r="T38" i="4"/>
  <c r="T11" i="5"/>
  <c r="P44" i="6"/>
  <c r="P45" i="6" s="1"/>
  <c r="P46" i="6"/>
  <c r="Q54" i="6"/>
  <c r="O96" i="6"/>
  <c r="C180" i="7"/>
  <c r="H260" i="7" s="1"/>
  <c r="AA46" i="6"/>
  <c r="AA44" i="6"/>
  <c r="AA45" i="6" s="1"/>
  <c r="AE61" i="4"/>
  <c r="D300" i="7"/>
  <c r="AF31" i="4"/>
  <c r="AF38" i="4"/>
  <c r="AF11" i="5"/>
  <c r="X125" i="6"/>
  <c r="Y46" i="6"/>
  <c r="Y44" i="6"/>
  <c r="Y45" i="6" s="1"/>
  <c r="J118" i="6"/>
  <c r="I93" i="6"/>
  <c r="I94" i="6" s="1"/>
  <c r="I95" i="6"/>
  <c r="I130" i="6" s="1"/>
  <c r="S95" i="6"/>
  <c r="S130" i="6" s="1"/>
  <c r="S93" i="6"/>
  <c r="S94" i="6" s="1"/>
  <c r="W51" i="6"/>
  <c r="W52" i="6" s="1"/>
  <c r="W53" i="6"/>
  <c r="AF37" i="4"/>
  <c r="D39" i="4"/>
  <c r="X95" i="6"/>
  <c r="X93" i="6"/>
  <c r="X94" i="6" s="1"/>
  <c r="S46" i="6"/>
  <c r="S44" i="6"/>
  <c r="S45" i="6" s="1"/>
  <c r="D302" i="7"/>
  <c r="C14" i="7"/>
  <c r="D14" i="7" s="1"/>
  <c r="AH38" i="4"/>
  <c r="AH31" i="4"/>
  <c r="AH11" i="5"/>
  <c r="AB32" i="4"/>
  <c r="AB12" i="5"/>
  <c r="AB19" i="5" s="1"/>
  <c r="K134" i="7"/>
  <c r="P15" i="5"/>
  <c r="P20" i="5"/>
  <c r="P21" i="5"/>
  <c r="P19" i="5"/>
  <c r="P138" i="7"/>
  <c r="Y100" i="6"/>
  <c r="Y101" i="6" s="1"/>
  <c r="Y102" i="6"/>
  <c r="AG109" i="6"/>
  <c r="AG107" i="6"/>
  <c r="AG108" i="6" s="1"/>
  <c r="Y62" i="4"/>
  <c r="AG75" i="6"/>
  <c r="AG72" i="6"/>
  <c r="AG73" i="6" s="1"/>
  <c r="M95" i="6"/>
  <c r="M93" i="6"/>
  <c r="M94" i="6" s="1"/>
  <c r="D290" i="7"/>
  <c r="V38" i="4"/>
  <c r="V31" i="4"/>
  <c r="V11" i="5"/>
  <c r="AD129" i="6"/>
  <c r="AD138" i="6" s="1"/>
  <c r="AD96" i="6"/>
  <c r="O62" i="4"/>
  <c r="O56" i="4"/>
  <c r="O99" i="6"/>
  <c r="D133" i="7"/>
  <c r="Z19" i="5"/>
  <c r="M139" i="7"/>
  <c r="U25" i="5"/>
  <c r="AE10" i="5"/>
  <c r="L149" i="7" s="1"/>
  <c r="J60" i="6"/>
  <c r="J81" i="6" s="1"/>
  <c r="J58" i="6"/>
  <c r="J59" i="6" s="1"/>
  <c r="R60" i="6"/>
  <c r="R81" i="6" s="1"/>
  <c r="R139" i="6" s="1"/>
  <c r="R58" i="6"/>
  <c r="R59" i="6" s="1"/>
  <c r="R80" i="6" s="1"/>
  <c r="R138" i="6" s="1"/>
  <c r="M118" i="6"/>
  <c r="AE118" i="6"/>
  <c r="W60" i="4"/>
  <c r="W66" i="4" s="1"/>
  <c r="W61" i="4"/>
  <c r="W106" i="6"/>
  <c r="C141" i="7"/>
  <c r="H221" i="7" s="1"/>
  <c r="AF9" i="5"/>
  <c r="H262" i="7"/>
  <c r="AH118" i="6"/>
  <c r="X39" i="4"/>
  <c r="D173" i="7"/>
  <c r="X37" i="4"/>
  <c r="X50" i="6"/>
  <c r="X10" i="5"/>
  <c r="L142" i="7" s="1"/>
  <c r="C173" i="7"/>
  <c r="H253" i="7" s="1"/>
  <c r="AC47" i="6"/>
  <c r="AC80" i="6"/>
  <c r="O147" i="7"/>
  <c r="AC17" i="5"/>
  <c r="AC24" i="5"/>
  <c r="AC23" i="5"/>
  <c r="AC16" i="5"/>
  <c r="S25" i="4"/>
  <c r="K140" i="7"/>
  <c r="V20" i="5"/>
  <c r="V21" i="5"/>
  <c r="V15" i="5"/>
  <c r="AA109" i="6"/>
  <c r="AA107" i="6"/>
  <c r="AA108" i="6" s="1"/>
  <c r="S32" i="4"/>
  <c r="S12" i="5"/>
  <c r="P53" i="6"/>
  <c r="P51" i="6"/>
  <c r="P52" i="6" s="1"/>
  <c r="H231" i="7"/>
  <c r="AF118" i="6"/>
  <c r="AG102" i="6"/>
  <c r="AG130" i="6" s="1"/>
  <c r="AG100" i="6"/>
  <c r="AG101" i="6" s="1"/>
  <c r="D61" i="4"/>
  <c r="H56" i="4"/>
  <c r="G25" i="4"/>
  <c r="AD80" i="6"/>
  <c r="AD82" i="6" s="1"/>
  <c r="AD47" i="6"/>
  <c r="AE39" i="4"/>
  <c r="AG96" i="6"/>
  <c r="AD130" i="6"/>
  <c r="AD139" i="6" s="1"/>
  <c r="U12" i="5"/>
  <c r="U19" i="5" s="1"/>
  <c r="U32" i="4"/>
  <c r="AE37" i="4"/>
  <c r="Z20" i="5"/>
  <c r="Z93" i="6"/>
  <c r="Z94" i="6" s="1"/>
  <c r="Z95" i="6"/>
  <c r="AG68" i="6"/>
  <c r="Q68" i="6"/>
  <c r="AF35" i="4"/>
  <c r="AF40" i="4" s="1"/>
  <c r="S68" i="6"/>
  <c r="AC81" i="6"/>
  <c r="AC139" i="6" s="1"/>
  <c r="T28" i="4"/>
  <c r="W58" i="6"/>
  <c r="W59" i="6" s="1"/>
  <c r="W60" i="6"/>
  <c r="AA60" i="6"/>
  <c r="AA58" i="6"/>
  <c r="AA59" i="6" s="1"/>
  <c r="AG12" i="5"/>
  <c r="AG19" i="5" s="1"/>
  <c r="AG32" i="4"/>
  <c r="U130" i="6"/>
  <c r="Y9" i="5"/>
  <c r="Y35" i="4"/>
  <c r="Y40" i="4" s="1"/>
  <c r="Y57" i="6"/>
  <c r="Y36" i="4"/>
  <c r="Y28" i="4"/>
  <c r="AH50" i="6"/>
  <c r="D183" i="7"/>
  <c r="AH37" i="4"/>
  <c r="C183" i="7"/>
  <c r="H263" i="7" s="1"/>
  <c r="AH10" i="5"/>
  <c r="O58" i="6"/>
  <c r="O59" i="6" s="1"/>
  <c r="O60" i="6"/>
  <c r="AE53" i="6"/>
  <c r="AE51" i="6"/>
  <c r="AE52" i="6" s="1"/>
  <c r="K123" i="7"/>
  <c r="E20" i="5"/>
  <c r="E15" i="5"/>
  <c r="E21" i="5"/>
  <c r="E19" i="5"/>
  <c r="AF36" i="4"/>
  <c r="K53" i="4"/>
  <c r="V62" i="4"/>
  <c r="D140" i="7"/>
  <c r="V99" i="6"/>
  <c r="V56" i="4"/>
  <c r="AC129" i="6"/>
  <c r="AC96" i="6"/>
  <c r="O65" i="4"/>
  <c r="M144" i="7"/>
  <c r="Z25" i="5"/>
  <c r="U129" i="6"/>
  <c r="U96" i="6"/>
  <c r="L68" i="6"/>
  <c r="I118" i="6"/>
  <c r="O32" i="4"/>
  <c r="O12" i="5"/>
  <c r="T118" i="6"/>
  <c r="H245" i="7"/>
  <c r="Q61" i="6"/>
  <c r="U44" i="6"/>
  <c r="U45" i="6" s="1"/>
  <c r="U46" i="6"/>
  <c r="W99" i="6"/>
  <c r="V68" i="6"/>
  <c r="D291" i="7"/>
  <c r="W38" i="4"/>
  <c r="W31" i="4"/>
  <c r="W11" i="5"/>
  <c r="AH93" i="6"/>
  <c r="AH94" i="6" s="1"/>
  <c r="AH95" i="6"/>
  <c r="AF50" i="6"/>
  <c r="T102" i="6"/>
  <c r="T100" i="6"/>
  <c r="T101" i="6" s="1"/>
  <c r="AB15" i="5"/>
  <c r="H35" i="4"/>
  <c r="H40" i="4" s="1"/>
  <c r="H39" i="4"/>
  <c r="H57" i="6" s="1"/>
  <c r="H58" i="6" s="1"/>
  <c r="H9" i="5"/>
  <c r="K126" i="7" s="1"/>
  <c r="Z65" i="4"/>
  <c r="I110" i="6"/>
  <c r="K141" i="7"/>
  <c r="W21" i="5"/>
  <c r="W20" i="5"/>
  <c r="D281" i="7"/>
  <c r="M11" i="5"/>
  <c r="M31" i="4"/>
  <c r="M38" i="4"/>
  <c r="O44" i="6"/>
  <c r="O45" i="6" s="1"/>
  <c r="O46" i="6"/>
  <c r="K114" i="6"/>
  <c r="K115" i="6" s="1"/>
  <c r="K117" i="6"/>
  <c r="AE95" i="6"/>
  <c r="AE93" i="6"/>
  <c r="AE94" i="6" s="1"/>
  <c r="U110" i="6"/>
  <c r="J47" i="6"/>
  <c r="D323" i="7"/>
  <c r="E138" i="7"/>
  <c r="H218" i="7" s="1"/>
  <c r="T92" i="6"/>
  <c r="T63" i="4"/>
  <c r="K133" i="7"/>
  <c r="O21" i="5"/>
  <c r="O20" i="5"/>
  <c r="O15" i="5"/>
  <c r="O19" i="5"/>
  <c r="P137" i="7"/>
  <c r="M133" i="7"/>
  <c r="V117" i="6"/>
  <c r="V114" i="6"/>
  <c r="V115" i="6" s="1"/>
  <c r="U60" i="6"/>
  <c r="U58" i="6"/>
  <c r="U59" i="6" s="1"/>
  <c r="M10" i="5"/>
  <c r="L131" i="7" s="1"/>
  <c r="AF99" i="6"/>
  <c r="X53" i="4"/>
  <c r="X65" i="4" s="1"/>
  <c r="D330" i="7"/>
  <c r="E145" i="7"/>
  <c r="H225" i="7" s="1"/>
  <c r="AA92" i="6"/>
  <c r="AA63" i="4"/>
  <c r="D143" i="7"/>
  <c r="T53" i="6"/>
  <c r="T51" i="6"/>
  <c r="T52" i="6" s="1"/>
  <c r="AC131" i="6" l="1"/>
  <c r="AC138" i="6"/>
  <c r="Q131" i="6"/>
  <c r="Q138" i="6"/>
  <c r="U138" i="6"/>
  <c r="U139" i="6"/>
  <c r="AA103" i="6"/>
  <c r="AE103" i="6"/>
  <c r="S76" i="6"/>
  <c r="P54" i="6"/>
  <c r="J61" i="6"/>
  <c r="Q82" i="6"/>
  <c r="R82" i="6"/>
  <c r="AG81" i="6"/>
  <c r="AG139" i="6" s="1"/>
  <c r="AA110" i="6"/>
  <c r="AG61" i="6"/>
  <c r="AA61" i="6"/>
  <c r="X118" i="6"/>
  <c r="K61" i="6"/>
  <c r="AG103" i="6"/>
  <c r="J130" i="6"/>
  <c r="J139" i="6" s="1"/>
  <c r="AD131" i="6"/>
  <c r="AH110" i="6"/>
  <c r="U131" i="6"/>
  <c r="V118" i="6"/>
  <c r="AH130" i="6"/>
  <c r="AA81" i="6"/>
  <c r="U61" i="6"/>
  <c r="K118" i="6"/>
  <c r="J103" i="6"/>
  <c r="Y103" i="6"/>
  <c r="AC82" i="6"/>
  <c r="W61" i="6"/>
  <c r="AB130" i="6"/>
  <c r="AB139" i="6" s="1"/>
  <c r="AG76" i="6"/>
  <c r="O54" i="6"/>
  <c r="C142" i="7"/>
  <c r="X106" i="6"/>
  <c r="X60" i="4"/>
  <c r="X66" i="4" s="1"/>
  <c r="X61" i="4"/>
  <c r="S28" i="4"/>
  <c r="O140" i="7"/>
  <c r="V24" i="5"/>
  <c r="V23" i="5"/>
  <c r="V16" i="5"/>
  <c r="V17" i="5"/>
  <c r="M96" i="6"/>
  <c r="AH44" i="6"/>
  <c r="AH45" i="6" s="1"/>
  <c r="AH46" i="6"/>
  <c r="S129" i="6"/>
  <c r="S96" i="6"/>
  <c r="P47" i="6"/>
  <c r="P80" i="6"/>
  <c r="N102" i="6"/>
  <c r="N130" i="6" s="1"/>
  <c r="N139" i="6" s="1"/>
  <c r="N100" i="6"/>
  <c r="N101" i="6" s="1"/>
  <c r="Z47" i="6"/>
  <c r="Z80" i="6"/>
  <c r="Z82" i="6" s="1"/>
  <c r="T76" i="6"/>
  <c r="H15" i="5"/>
  <c r="H25" i="5" s="1"/>
  <c r="M127" i="7"/>
  <c r="I25" i="5"/>
  <c r="I20" i="5"/>
  <c r="M60" i="6"/>
  <c r="M58" i="6"/>
  <c r="M59" i="6" s="1"/>
  <c r="M107" i="6"/>
  <c r="M108" i="6" s="1"/>
  <c r="M129" i="6" s="1"/>
  <c r="M109" i="6"/>
  <c r="M130" i="6" s="1"/>
  <c r="H28" i="4"/>
  <c r="O123" i="7"/>
  <c r="E17" i="5"/>
  <c r="E24" i="5"/>
  <c r="E23" i="5"/>
  <c r="E16" i="5"/>
  <c r="AF12" i="5"/>
  <c r="AF32" i="4"/>
  <c r="M138" i="7"/>
  <c r="O145" i="7"/>
  <c r="AA17" i="5"/>
  <c r="AA24" i="5"/>
  <c r="AA23" i="5"/>
  <c r="AA16" i="5"/>
  <c r="J96" i="6"/>
  <c r="J129" i="6"/>
  <c r="I54" i="6"/>
  <c r="M125" i="7"/>
  <c r="M129" i="7"/>
  <c r="K25" i="5"/>
  <c r="M130" i="7"/>
  <c r="L25" i="5"/>
  <c r="L15" i="5"/>
  <c r="L21" i="5"/>
  <c r="L20" i="5"/>
  <c r="I12" i="5"/>
  <c r="I19" i="5" s="1"/>
  <c r="I32" i="4"/>
  <c r="K131" i="7"/>
  <c r="M21" i="5"/>
  <c r="M20" i="5"/>
  <c r="M15" i="5"/>
  <c r="L152" i="7"/>
  <c r="C18" i="7"/>
  <c r="M12" i="5"/>
  <c r="M19" i="5" s="1"/>
  <c r="M32" i="4"/>
  <c r="AF46" i="6"/>
  <c r="AF44" i="6"/>
  <c r="AF45" i="6" s="1"/>
  <c r="L122" i="7"/>
  <c r="B18" i="7"/>
  <c r="T9" i="5"/>
  <c r="T35" i="4"/>
  <c r="T40" i="4" s="1"/>
  <c r="T36" i="4"/>
  <c r="T57" i="6"/>
  <c r="AB110" i="6"/>
  <c r="Z102" i="6"/>
  <c r="Z100" i="6"/>
  <c r="Z101" i="6" s="1"/>
  <c r="AA54" i="6"/>
  <c r="H237" i="7"/>
  <c r="AF102" i="6"/>
  <c r="AF100" i="6"/>
  <c r="AF101" i="6" s="1"/>
  <c r="J80" i="6"/>
  <c r="J82" i="6" s="1"/>
  <c r="M131" i="7"/>
  <c r="M25" i="5"/>
  <c r="H36" i="4"/>
  <c r="O60" i="4"/>
  <c r="O66" i="4" s="1"/>
  <c r="O61" i="4"/>
  <c r="O106" i="6"/>
  <c r="C133" i="7"/>
  <c r="H213" i="7" s="1"/>
  <c r="AE54" i="6"/>
  <c r="X53" i="6"/>
  <c r="X51" i="6"/>
  <c r="X52" i="6" s="1"/>
  <c r="S47" i="6"/>
  <c r="T46" i="6"/>
  <c r="T44" i="6"/>
  <c r="T45" i="6" s="1"/>
  <c r="K54" i="6"/>
  <c r="H233" i="7"/>
  <c r="K23" i="5"/>
  <c r="K16" i="5"/>
  <c r="O129" i="7"/>
  <c r="K24" i="5"/>
  <c r="K17" i="5"/>
  <c r="G12" i="5"/>
  <c r="G32" i="4"/>
  <c r="O127" i="7"/>
  <c r="I23" i="5"/>
  <c r="I16" i="5"/>
  <c r="I24" i="5"/>
  <c r="I17" i="5"/>
  <c r="K32" i="4"/>
  <c r="K12" i="5"/>
  <c r="K19" i="5" s="1"/>
  <c r="L32" i="4"/>
  <c r="L12" i="5"/>
  <c r="L19" i="5" s="1"/>
  <c r="I44" i="6"/>
  <c r="I45" i="6" s="1"/>
  <c r="I46" i="6"/>
  <c r="I81" i="6" s="1"/>
  <c r="I139" i="6" s="1"/>
  <c r="Z60" i="4"/>
  <c r="Z66" i="4" s="1"/>
  <c r="Z106" i="6"/>
  <c r="Z61" i="4"/>
  <c r="C144" i="7"/>
  <c r="H224" i="7" s="1"/>
  <c r="U80" i="6"/>
  <c r="U47" i="6"/>
  <c r="K62" i="4"/>
  <c r="D129" i="7"/>
  <c r="K99" i="6"/>
  <c r="AA95" i="6"/>
  <c r="AA130" i="6" s="1"/>
  <c r="AA139" i="6" s="1"/>
  <c r="AA93" i="6"/>
  <c r="AA94" i="6" s="1"/>
  <c r="AH96" i="6"/>
  <c r="AH129" i="6"/>
  <c r="O100" i="6"/>
  <c r="O101" i="6" s="1"/>
  <c r="O102" i="6"/>
  <c r="Z96" i="6"/>
  <c r="AE36" i="4"/>
  <c r="AE9" i="5"/>
  <c r="AE35" i="4"/>
  <c r="AE40" i="4" s="1"/>
  <c r="AE57" i="6"/>
  <c r="M46" i="6"/>
  <c r="M44" i="6"/>
  <c r="M45" i="6" s="1"/>
  <c r="M141" i="7"/>
  <c r="AH51" i="6"/>
  <c r="AH52" i="6" s="1"/>
  <c r="AH53" i="6"/>
  <c r="R61" i="6"/>
  <c r="T12" i="5"/>
  <c r="T32" i="4"/>
  <c r="O136" i="7"/>
  <c r="R17" i="5"/>
  <c r="R24" i="5"/>
  <c r="R23" i="5"/>
  <c r="R16" i="5"/>
  <c r="R25" i="5"/>
  <c r="K46" i="6"/>
  <c r="K81" i="6" s="1"/>
  <c r="K44" i="6"/>
  <c r="K45" i="6" s="1"/>
  <c r="L46" i="6"/>
  <c r="L81" i="6" s="1"/>
  <c r="L44" i="6"/>
  <c r="L45" i="6" s="1"/>
  <c r="I61" i="6"/>
  <c r="AE28" i="4"/>
  <c r="X62" i="4"/>
  <c r="X99" i="6"/>
  <c r="D142" i="7"/>
  <c r="AE96" i="6"/>
  <c r="W12" i="5"/>
  <c r="W19" i="5" s="1"/>
  <c r="W32" i="4"/>
  <c r="G10" i="5"/>
  <c r="L125" i="7" s="1"/>
  <c r="D156" i="7"/>
  <c r="G50" i="6"/>
  <c r="G51" i="6" s="1"/>
  <c r="G39" i="4"/>
  <c r="G37" i="4"/>
  <c r="C156" i="7"/>
  <c r="H236" i="7" s="1"/>
  <c r="C168" i="7"/>
  <c r="D168" i="7"/>
  <c r="S10" i="5"/>
  <c r="L137" i="7" s="1"/>
  <c r="S50" i="6"/>
  <c r="S37" i="4"/>
  <c r="AG110" i="6"/>
  <c r="O134" i="7"/>
  <c r="P17" i="5"/>
  <c r="P16" i="5"/>
  <c r="P23" i="5"/>
  <c r="P24" i="5"/>
  <c r="I129" i="6"/>
  <c r="I96" i="6"/>
  <c r="AA47" i="6"/>
  <c r="AA80" i="6"/>
  <c r="K96" i="6"/>
  <c r="Y107" i="6"/>
  <c r="Y108" i="6" s="1"/>
  <c r="Y109" i="6"/>
  <c r="V61" i="6"/>
  <c r="T68" i="6"/>
  <c r="AE107" i="6"/>
  <c r="AE108" i="6" s="1"/>
  <c r="AE109" i="6"/>
  <c r="AE130" i="6" s="1"/>
  <c r="L95" i="6"/>
  <c r="L93" i="6"/>
  <c r="L94" i="6" s="1"/>
  <c r="P95" i="6"/>
  <c r="P93" i="6"/>
  <c r="P94" i="6" s="1"/>
  <c r="V96" i="6"/>
  <c r="O133" i="7"/>
  <c r="O17" i="5"/>
  <c r="O16" i="5"/>
  <c r="O23" i="5"/>
  <c r="O24" i="5"/>
  <c r="Y93" i="6"/>
  <c r="Y94" i="6" s="1"/>
  <c r="Y95" i="6"/>
  <c r="C126" i="7"/>
  <c r="H206" i="7" s="1"/>
  <c r="H106" i="6"/>
  <c r="H107" i="6" s="1"/>
  <c r="H61" i="4"/>
  <c r="H60" i="4"/>
  <c r="H66" i="4" s="1"/>
  <c r="M142" i="7"/>
  <c r="M126" i="7"/>
  <c r="H220" i="7"/>
  <c r="O146" i="7"/>
  <c r="AB17" i="5"/>
  <c r="AB24" i="5"/>
  <c r="AB23" i="5"/>
  <c r="AB16" i="5"/>
  <c r="X57" i="6"/>
  <c r="X36" i="4"/>
  <c r="X35" i="4"/>
  <c r="X40" i="4" s="1"/>
  <c r="X9" i="5"/>
  <c r="X28" i="4"/>
  <c r="X96" i="6"/>
  <c r="H223" i="7"/>
  <c r="T54" i="6"/>
  <c r="W15" i="5"/>
  <c r="W25" i="5" s="1"/>
  <c r="T103" i="6"/>
  <c r="W46" i="6"/>
  <c r="W81" i="6" s="1"/>
  <c r="W44" i="6"/>
  <c r="W45" i="6" s="1"/>
  <c r="V100" i="6"/>
  <c r="V101" i="6" s="1"/>
  <c r="V102" i="6"/>
  <c r="Z56" i="4"/>
  <c r="Y60" i="6"/>
  <c r="Y81" i="6" s="1"/>
  <c r="Y58" i="6"/>
  <c r="Y59" i="6" s="1"/>
  <c r="Y80" i="6" s="1"/>
  <c r="M140" i="7"/>
  <c r="V25" i="5"/>
  <c r="Y47" i="6"/>
  <c r="X12" i="5"/>
  <c r="X32" i="4"/>
  <c r="P109" i="6"/>
  <c r="P107" i="6"/>
  <c r="P108" i="6" s="1"/>
  <c r="AG80" i="6"/>
  <c r="M53" i="6"/>
  <c r="M51" i="6"/>
  <c r="M52" i="6" s="1"/>
  <c r="W96" i="6"/>
  <c r="V32" i="4"/>
  <c r="V12" i="5"/>
  <c r="V19" i="5" s="1"/>
  <c r="D57" i="6"/>
  <c r="D58" i="6" s="1"/>
  <c r="D36" i="4"/>
  <c r="D9" i="5"/>
  <c r="D35" i="4"/>
  <c r="D40" i="4" s="1"/>
  <c r="AG23" i="5"/>
  <c r="O151" i="7"/>
  <c r="AG24" i="5"/>
  <c r="AG16" i="5"/>
  <c r="AG17" i="5"/>
  <c r="AG25" i="5"/>
  <c r="P25" i="5"/>
  <c r="AE47" i="6"/>
  <c r="AB47" i="6"/>
  <c r="AB80" i="6"/>
  <c r="AB82" i="6" s="1"/>
  <c r="D130" i="7"/>
  <c r="L99" i="6"/>
  <c r="L62" i="4"/>
  <c r="L65" i="4"/>
  <c r="L118" i="6"/>
  <c r="M103" i="6"/>
  <c r="O139" i="7"/>
  <c r="U23" i="5"/>
  <c r="U24" i="5"/>
  <c r="U16" i="5"/>
  <c r="U17" i="5"/>
  <c r="Y54" i="6"/>
  <c r="N110" i="6"/>
  <c r="V109" i="6"/>
  <c r="V107" i="6"/>
  <c r="V108" i="6" s="1"/>
  <c r="O81" i="6"/>
  <c r="O61" i="6"/>
  <c r="K143" i="7"/>
  <c r="Y21" i="5"/>
  <c r="Y19" i="5"/>
  <c r="Y20" i="5"/>
  <c r="Y15" i="5"/>
  <c r="K150" i="7"/>
  <c r="AF15" i="5"/>
  <c r="AF19" i="5"/>
  <c r="AF20" i="5"/>
  <c r="AF21" i="5"/>
  <c r="M152" i="7"/>
  <c r="C19" i="7"/>
  <c r="D19" i="7" s="1"/>
  <c r="AF109" i="6"/>
  <c r="AF107" i="6"/>
  <c r="AF108" i="6" s="1"/>
  <c r="S39" i="4"/>
  <c r="X46" i="6"/>
  <c r="X44" i="6"/>
  <c r="X45" i="6" s="1"/>
  <c r="H20" i="5"/>
  <c r="H12" i="5"/>
  <c r="H19" i="5" s="1"/>
  <c r="H32" i="4"/>
  <c r="O25" i="5"/>
  <c r="O80" i="6"/>
  <c r="O47" i="6"/>
  <c r="V44" i="6"/>
  <c r="V45" i="6" s="1"/>
  <c r="V46" i="6"/>
  <c r="V81" i="6" s="1"/>
  <c r="C15" i="7"/>
  <c r="D15" i="7" s="1"/>
  <c r="AH12" i="5"/>
  <c r="C20" i="7" s="1"/>
  <c r="D20" i="7" s="1"/>
  <c r="AH32" i="4"/>
  <c r="C16" i="7" s="1"/>
  <c r="D16" i="7" s="1"/>
  <c r="H242" i="7"/>
  <c r="H21" i="5"/>
  <c r="K56" i="4"/>
  <c r="AF61" i="6"/>
  <c r="W100" i="6"/>
  <c r="W101" i="6" s="1"/>
  <c r="W102" i="6"/>
  <c r="T95" i="6"/>
  <c r="T130" i="6" s="1"/>
  <c r="T93" i="6"/>
  <c r="T94" i="6" s="1"/>
  <c r="AF53" i="6"/>
  <c r="AF51" i="6"/>
  <c r="AF52" i="6" s="1"/>
  <c r="U81" i="6"/>
  <c r="AG129" i="6"/>
  <c r="W107" i="6"/>
  <c r="W108" i="6" s="1"/>
  <c r="W109" i="6"/>
  <c r="W54" i="6"/>
  <c r="M150" i="7"/>
  <c r="AF25" i="5"/>
  <c r="P81" i="6"/>
  <c r="AB103" i="6"/>
  <c r="AB129" i="6"/>
  <c r="E25" i="5"/>
  <c r="AH9" i="5"/>
  <c r="AH57" i="6"/>
  <c r="AH35" i="4"/>
  <c r="AH40" i="4" s="1"/>
  <c r="AH36" i="4"/>
  <c r="AB25" i="5"/>
  <c r="AF95" i="6"/>
  <c r="AF93" i="6"/>
  <c r="AF94" i="6" s="1"/>
  <c r="K65" i="4"/>
  <c r="X56" i="4"/>
  <c r="AB138" i="6" l="1"/>
  <c r="AE139" i="6"/>
  <c r="S131" i="6"/>
  <c r="AG131" i="6"/>
  <c r="AG138" i="6"/>
  <c r="J138" i="6"/>
  <c r="Y130" i="6"/>
  <c r="Y139" i="6" s="1"/>
  <c r="AF103" i="6"/>
  <c r="M54" i="6"/>
  <c r="Y82" i="6"/>
  <c r="AG82" i="6"/>
  <c r="AB131" i="6"/>
  <c r="P130" i="6"/>
  <c r="P139" i="6" s="1"/>
  <c r="AH131" i="6"/>
  <c r="AF130" i="6"/>
  <c r="AF139" i="6" s="1"/>
  <c r="AA82" i="6"/>
  <c r="W129" i="6"/>
  <c r="J131" i="6"/>
  <c r="V129" i="6"/>
  <c r="Y110" i="6"/>
  <c r="P110" i="6"/>
  <c r="V130" i="6"/>
  <c r="V139" i="6" s="1"/>
  <c r="AH54" i="6"/>
  <c r="W130" i="6"/>
  <c r="W139" i="6" s="1"/>
  <c r="V110" i="6"/>
  <c r="T60" i="6"/>
  <c r="T81" i="6" s="1"/>
  <c r="T139" i="6" s="1"/>
  <c r="T58" i="6"/>
  <c r="T59" i="6" s="1"/>
  <c r="K152" i="7"/>
  <c r="C17" i="7"/>
  <c r="AH20" i="5"/>
  <c r="AH19" i="5"/>
  <c r="AH21" i="5"/>
  <c r="AH15" i="5"/>
  <c r="V80" i="6"/>
  <c r="V82" i="6" s="1"/>
  <c r="V47" i="6"/>
  <c r="C129" i="7"/>
  <c r="H209" i="7" s="1"/>
  <c r="K106" i="6"/>
  <c r="K60" i="4"/>
  <c r="K66" i="4" s="1"/>
  <c r="K61" i="4"/>
  <c r="O82" i="6"/>
  <c r="W80" i="6"/>
  <c r="W82" i="6" s="1"/>
  <c r="W47" i="6"/>
  <c r="Y96" i="6"/>
  <c r="Y129" i="6"/>
  <c r="U82" i="6"/>
  <c r="P82" i="6"/>
  <c r="K142" i="7"/>
  <c r="X21" i="5"/>
  <c r="X19" i="5"/>
  <c r="X20" i="5"/>
  <c r="X15" i="5"/>
  <c r="M47" i="6"/>
  <c r="M80" i="6"/>
  <c r="M138" i="6" s="1"/>
  <c r="K138" i="7"/>
  <c r="T19" i="5"/>
  <c r="T20" i="5"/>
  <c r="T21" i="5"/>
  <c r="T15" i="5"/>
  <c r="G57" i="6"/>
  <c r="G58" i="6" s="1"/>
  <c r="G36" i="4"/>
  <c r="G35" i="4"/>
  <c r="G40" i="4" s="1"/>
  <c r="G9" i="5"/>
  <c r="V103" i="6"/>
  <c r="AF54" i="6"/>
  <c r="X58" i="6"/>
  <c r="X59" i="6" s="1"/>
  <c r="X80" i="6" s="1"/>
  <c r="X60" i="6"/>
  <c r="X81" i="6" s="1"/>
  <c r="P129" i="6"/>
  <c r="P138" i="6" s="1"/>
  <c r="P96" i="6"/>
  <c r="L47" i="6"/>
  <c r="L80" i="6"/>
  <c r="L82" i="6" s="1"/>
  <c r="M81" i="6"/>
  <c r="M139" i="6" s="1"/>
  <c r="O103" i="6"/>
  <c r="AF129" i="6"/>
  <c r="AF138" i="6" s="1"/>
  <c r="AF96" i="6"/>
  <c r="L106" i="6"/>
  <c r="L60" i="4"/>
  <c r="L66" i="4" s="1"/>
  <c r="C130" i="7"/>
  <c r="H210" i="7" s="1"/>
  <c r="L56" i="4"/>
  <c r="L61" i="4"/>
  <c r="S53" i="6"/>
  <c r="S51" i="6"/>
  <c r="S52" i="6" s="1"/>
  <c r="Z107" i="6"/>
  <c r="Z108" i="6" s="1"/>
  <c r="Z109" i="6"/>
  <c r="Z130" i="6" s="1"/>
  <c r="Z139" i="6" s="1"/>
  <c r="O109" i="6"/>
  <c r="O130" i="6" s="1"/>
  <c r="O139" i="6" s="1"/>
  <c r="O107" i="6"/>
  <c r="O108" i="6" s="1"/>
  <c r="L96" i="6"/>
  <c r="K80" i="6"/>
  <c r="K82" i="6" s="1"/>
  <c r="K47" i="6"/>
  <c r="D18" i="7"/>
  <c r="O130" i="7"/>
  <c r="L16" i="5"/>
  <c r="L23" i="5"/>
  <c r="L17" i="5"/>
  <c r="L24" i="5"/>
  <c r="O126" i="7"/>
  <c r="H23" i="5"/>
  <c r="H24" i="5"/>
  <c r="H17" i="5"/>
  <c r="H16" i="5"/>
  <c r="AH47" i="6"/>
  <c r="H248" i="7"/>
  <c r="AA129" i="6"/>
  <c r="AA96" i="6"/>
  <c r="M131" i="6"/>
  <c r="O141" i="7"/>
  <c r="W23" i="5"/>
  <c r="W16" i="5"/>
  <c r="W24" i="5"/>
  <c r="W17" i="5"/>
  <c r="X47" i="6"/>
  <c r="O150" i="7"/>
  <c r="AF23" i="5"/>
  <c r="AF24" i="5"/>
  <c r="AF17" i="5"/>
  <c r="AF16" i="5"/>
  <c r="L100" i="6"/>
  <c r="L101" i="6" s="1"/>
  <c r="L102" i="6"/>
  <c r="S36" i="4"/>
  <c r="S57" i="6"/>
  <c r="S35" i="4"/>
  <c r="S40" i="4" s="1"/>
  <c r="S9" i="5"/>
  <c r="O143" i="7"/>
  <c r="Y24" i="5"/>
  <c r="Y23" i="5"/>
  <c r="Y16" i="5"/>
  <c r="Y17" i="5"/>
  <c r="Y25" i="5"/>
  <c r="Y61" i="6"/>
  <c r="AE110" i="6"/>
  <c r="I131" i="6"/>
  <c r="I133" i="6"/>
  <c r="J133" i="6" s="1"/>
  <c r="G28" i="4"/>
  <c r="AE129" i="6"/>
  <c r="Z103" i="6"/>
  <c r="O131" i="7"/>
  <c r="M24" i="5"/>
  <c r="M16" i="5"/>
  <c r="M23" i="5"/>
  <c r="M17" i="5"/>
  <c r="K149" i="7"/>
  <c r="AE19" i="5"/>
  <c r="AE20" i="5"/>
  <c r="AE15" i="5"/>
  <c r="AE21" i="5"/>
  <c r="T47" i="6"/>
  <c r="B17" i="7"/>
  <c r="K122" i="7"/>
  <c r="D20" i="5"/>
  <c r="D15" i="5"/>
  <c r="D19" i="5"/>
  <c r="D30" i="5" s="1"/>
  <c r="D21" i="5"/>
  <c r="K100" i="6"/>
  <c r="K101" i="6" s="1"/>
  <c r="K102" i="6"/>
  <c r="I80" i="6"/>
  <c r="I138" i="6" s="1"/>
  <c r="I47" i="6"/>
  <c r="AF80" i="6"/>
  <c r="AF47" i="6"/>
  <c r="M110" i="6"/>
  <c r="N103" i="6"/>
  <c r="N129" i="6"/>
  <c r="X107" i="6"/>
  <c r="X108" i="6" s="1"/>
  <c r="X109" i="6"/>
  <c r="AE60" i="6"/>
  <c r="AE81" i="6" s="1"/>
  <c r="AE58" i="6"/>
  <c r="AE59" i="6" s="1"/>
  <c r="T129" i="6"/>
  <c r="T96" i="6"/>
  <c r="W110" i="6"/>
  <c r="AH60" i="6"/>
  <c r="AH81" i="6" s="1"/>
  <c r="AH139" i="6" s="1"/>
  <c r="AH58" i="6"/>
  <c r="AH59" i="6" s="1"/>
  <c r="AH80" i="6" s="1"/>
  <c r="AH138" i="6" s="1"/>
  <c r="W103" i="6"/>
  <c r="AF110" i="6"/>
  <c r="X100" i="6"/>
  <c r="X101" i="6" s="1"/>
  <c r="X102" i="6"/>
  <c r="X54" i="6"/>
  <c r="AF81" i="6"/>
  <c r="M61" i="6"/>
  <c r="H222" i="7"/>
  <c r="AA131" i="6" l="1"/>
  <c r="AA138" i="6"/>
  <c r="W138" i="6"/>
  <c r="AE131" i="6"/>
  <c r="N131" i="6"/>
  <c r="N138" i="6"/>
  <c r="T131" i="6"/>
  <c r="T138" i="6"/>
  <c r="Y131" i="6"/>
  <c r="Y138" i="6"/>
  <c r="V138" i="6"/>
  <c r="O110" i="6"/>
  <c r="AF131" i="6"/>
  <c r="P131" i="6"/>
  <c r="X130" i="6"/>
  <c r="X139" i="6" s="1"/>
  <c r="AF82" i="6"/>
  <c r="T61" i="6"/>
  <c r="V131" i="6"/>
  <c r="W131" i="6"/>
  <c r="M82" i="6"/>
  <c r="I82" i="6"/>
  <c r="I84" i="6"/>
  <c r="J84" i="6" s="1"/>
  <c r="K84" i="6" s="1"/>
  <c r="L84" i="6" s="1"/>
  <c r="M84" i="6" s="1"/>
  <c r="N84" i="6" s="1"/>
  <c r="O84" i="6" s="1"/>
  <c r="P84" i="6" s="1"/>
  <c r="Q84" i="6" s="1"/>
  <c r="R84" i="6" s="1"/>
  <c r="AH61" i="6"/>
  <c r="K107" i="6"/>
  <c r="K108" i="6" s="1"/>
  <c r="K109" i="6"/>
  <c r="K130" i="6" s="1"/>
  <c r="K139" i="6" s="1"/>
  <c r="AH82" i="6"/>
  <c r="AE61" i="6"/>
  <c r="AE80" i="6"/>
  <c r="AE82" i="6" s="1"/>
  <c r="T80" i="6"/>
  <c r="T82" i="6" s="1"/>
  <c r="L107" i="6"/>
  <c r="L108" i="6" s="1"/>
  <c r="L109" i="6"/>
  <c r="L130" i="6" s="1"/>
  <c r="L139" i="6" s="1"/>
  <c r="X61" i="6"/>
  <c r="O152" i="7"/>
  <c r="C21" i="7"/>
  <c r="D21" i="7" s="1"/>
  <c r="AH24" i="5"/>
  <c r="C24" i="7" s="1"/>
  <c r="D24" i="7" s="1"/>
  <c r="AH16" i="5"/>
  <c r="C22" i="7" s="1"/>
  <c r="AH23" i="5"/>
  <c r="C23" i="7" s="1"/>
  <c r="AH17" i="5"/>
  <c r="AH25" i="5"/>
  <c r="C25" i="7" s="1"/>
  <c r="X103" i="6"/>
  <c r="X129" i="6"/>
  <c r="X138" i="6" s="1"/>
  <c r="O149" i="7"/>
  <c r="AE17" i="5"/>
  <c r="AE24" i="5"/>
  <c r="AE23" i="5"/>
  <c r="AE16" i="5"/>
  <c r="AE25" i="5"/>
  <c r="X110" i="6"/>
  <c r="O138" i="7"/>
  <c r="T23" i="5"/>
  <c r="T24" i="5"/>
  <c r="T16" i="5"/>
  <c r="T17" i="5"/>
  <c r="T25" i="5"/>
  <c r="O142" i="7"/>
  <c r="X23" i="5"/>
  <c r="X16" i="5"/>
  <c r="X17" i="5"/>
  <c r="X24" i="5"/>
  <c r="X25" i="5"/>
  <c r="Z110" i="6"/>
  <c r="Z129" i="6"/>
  <c r="K103" i="6"/>
  <c r="X82" i="6"/>
  <c r="S60" i="6"/>
  <c r="S81" i="6" s="1"/>
  <c r="S139" i="6" s="1"/>
  <c r="S58" i="6"/>
  <c r="S59" i="6" s="1"/>
  <c r="O122" i="7"/>
  <c r="B21" i="7"/>
  <c r="D17" i="5"/>
  <c r="D24" i="5"/>
  <c r="B24" i="7" s="1"/>
  <c r="D23" i="5"/>
  <c r="B23" i="7" s="1"/>
  <c r="D16" i="5"/>
  <c r="B22" i="7" s="1"/>
  <c r="D25" i="5"/>
  <c r="B25" i="7" s="1"/>
  <c r="S54" i="6"/>
  <c r="O129" i="6"/>
  <c r="D17" i="7"/>
  <c r="K137" i="7"/>
  <c r="S20" i="5"/>
  <c r="S15" i="5"/>
  <c r="S19" i="5"/>
  <c r="S21" i="5"/>
  <c r="L103" i="6"/>
  <c r="K125" i="7"/>
  <c r="G15" i="5"/>
  <c r="G19" i="5"/>
  <c r="G21" i="5"/>
  <c r="G20" i="5"/>
  <c r="AE138" i="6" l="1"/>
  <c r="O131" i="6"/>
  <c r="O138" i="6"/>
  <c r="Z131" i="6"/>
  <c r="Z138" i="6"/>
  <c r="X131" i="6"/>
  <c r="S61" i="6"/>
  <c r="S80" i="6"/>
  <c r="D23" i="7"/>
  <c r="D22" i="7"/>
  <c r="K110" i="6"/>
  <c r="K129" i="6"/>
  <c r="K138" i="6" s="1"/>
  <c r="L110" i="6"/>
  <c r="L129" i="6"/>
  <c r="O137" i="7"/>
  <c r="S24" i="5"/>
  <c r="S23" i="5"/>
  <c r="S17" i="5"/>
  <c r="S16" i="5"/>
  <c r="S25" i="5"/>
  <c r="O125" i="7"/>
  <c r="G24" i="5"/>
  <c r="G23" i="5"/>
  <c r="G17" i="5"/>
  <c r="G16" i="5"/>
  <c r="G25" i="5"/>
  <c r="D25" i="7"/>
  <c r="S82" i="6" l="1"/>
  <c r="S138" i="6"/>
  <c r="L131" i="6"/>
  <c r="L138" i="6"/>
  <c r="S84" i="6"/>
  <c r="T84" i="6" s="1"/>
  <c r="U84" i="6" s="1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AG84" i="6" s="1"/>
  <c r="AH84" i="6" s="1"/>
  <c r="K131" i="6"/>
  <c r="K133" i="6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AG133" i="6" s="1"/>
  <c r="AH133" i="6" s="1"/>
</calcChain>
</file>

<file path=xl/sharedStrings.xml><?xml version="1.0" encoding="utf-8"?>
<sst xmlns="http://schemas.openxmlformats.org/spreadsheetml/2006/main" count="1027" uniqueCount="510">
  <si>
    <t>Libya Water–Energy Nexus Model (2020–2050)</t>
  </si>
  <si>
    <t>Purpose</t>
  </si>
  <si>
    <t>A simple annual-timestep model that translates population, GDP and a 100-million-tree afforestation programme into sector water demand, allocates demand across three supplies (local groundwater, pipeline transfers from southern fossil aquifers via the Great Man-Made River, and seawater desalination), and computes the associated electricity demand.</t>
  </si>
  <si>
    <t>Country context</t>
  </si>
  <si>
    <t>Libya is one of the most water-stressed countries in the world. Agriculture accounts for ~83% of withdrawals, municipal ~12%, industrial ~5% (FAO AQUASTAT via UNICEF 2022). Total renewable water resources are ~105 m³/cap/yr; &gt;90% of supply comes from non-renewable fossil groundwater. The Great Man-Made River (GMMR) conveys water ~1,000–2,000 km from the Nubian Sandstone Aquifer in the south to coastal demand centres. It is modelled here under "pipeline imports" and is assumed to DECLINE over the model horizon — reflecting aquifer drawdown (estimated depletion within ~60 yr per Lonergan / Columbia State of the Planet 2011), infrastructure damage (by 2019, 101 of 479 western wells dismantled, MEI 2024) and stalled Phase III/IV works.</t>
  </si>
  <si>
    <t>Model logic</t>
  </si>
  <si>
    <t>1.  Population: linear interpolation between UN WPP 2024 medium-variant 2020 (6.735M) and 2050 (9.261M).</t>
  </si>
  <si>
    <t>2.  GDP per capita: user-specified CAGR (default 2.5%/yr).</t>
  </si>
  <si>
    <t>3.  Sector demand:</t>
  </si>
  <si>
    <t xml:space="preserve">     • Domestic = L/cap/day × Population × 365 (with efficiency trend)</t>
  </si>
  <si>
    <t xml:space="preserve">     • Industrial = (m³ / $1000 GDP) × Total GDP (with efficiency trend)</t>
  </si>
  <si>
    <t xml:space="preserve">     • Agricultural = L/cap/day × Population × 365 (with efficiency trend)</t>
  </si>
  <si>
    <t xml:space="preserve">     • Afforestation (100M trees) = active-tree count × L/tree/day × 365</t>
  </si>
  <si>
    <t>4.  Supply allocation (priority order):</t>
  </si>
  <si>
    <t xml:space="preserve">     • Local groundwater: exponential decline from 2020 baseline (overdraft, salinization).</t>
  </si>
  <si>
    <t xml:space="preserve">     • GMMR pipeline: exponential decline from actual 2020 delivery (aquifer + infrastructure).</t>
  </si>
  <si>
    <t xml:space="preserve">     • Desalination = max(0, Demand − Groundwater − Pipeline).  Makes up the deficit.</t>
  </si>
  <si>
    <t>5.  Tree-program desalination burden is isolated by running the deficit calc twice, with and without the tree demand, and reporting the difference as 'Incremental desal for tree program'.</t>
  </si>
  <si>
    <t>6.  Energy = Σ (supply volume × specific energy intensity) for each source.</t>
  </si>
  <si>
    <t>Sheets</t>
  </si>
  <si>
    <t xml:space="preserve">  Inputs     — All assumptions (yellow cells). Change these to run scenarios.</t>
  </si>
  <si>
    <t xml:space="preserve">  Demand     — Annual water demand by sector + tree program, driven by Inputs.</t>
  </si>
  <si>
    <t xml:space="preserve">  Supply     — Annual water supply by source; isolates incremental desal for trees.</t>
  </si>
  <si>
    <t xml:space="preserve">  Energy     — Annual electricity demand by source and intensities.</t>
  </si>
  <si>
    <t xml:space="preserve">  Summary    — 2020 vs 2050 headline numbers, tree-program box, and charts.</t>
  </si>
  <si>
    <t>Data sources &amp; citations</t>
  </si>
  <si>
    <t>• UNICEF (Sep 2022). Libya Water Scarcity and Climate Change Analysis. Uses FAO AQUASTAT.</t>
  </si>
  <si>
    <t xml:space="preserve">   https://www.unicef.org/mena/media/19321/file/Libya%20water%20scarcity%20analysis%20and%20recommendations_%20UNICEF%20Sep%202022.pdf</t>
  </si>
  <si>
    <t>• FAO AQUASTAT. Core database — water withdrawals by sector. https://www.fao.org/aquastat/en/databases/maindatabase/</t>
  </si>
  <si>
    <t>• UN DESA. World Population Prospects 2024, medium variant. https://population.un.org/wpp/</t>
  </si>
  <si>
    <t>• World Bank. Libya country data. https://data.worldbank.org/country/libya</t>
  </si>
  <si>
    <t>• IMF. Libya Article IV Staff Report, June 2025. https://www.imf.org/en/countries/lby</t>
  </si>
  <si>
    <t>• Middle East Institute (2024). What's next for Libya's Great Man-Made River Project? https://mei.edu/publication/whats-next-libyas-great-man-made-river-project/</t>
  </si>
  <si>
    <t>• Columbia State of the Planet (2011). Colonel Qaddafi and the Great Man-made River (aquifer depletion ~60 yr, Lonergan). https://news.climate.columbia.edu/2011/04/01/libya/</t>
  </si>
  <si>
    <t>• Brika, B. (2018). Water Resources and Desalination in Libya: A Review. https://www.mdpi.com/2504-3900/2/11/586</t>
  </si>
  <si>
    <t>• Qasem, Mittal &amp; Arafat (2021). Review of SWRO energy consumption, ScienceDirect. https://www.sciencedirect.com/science/article/abs/pii/S030626191931339X</t>
  </si>
  <si>
    <t>• IRENA (2015). Renewable Energy in the Water–Energy–Food Nexus (desalination 3.5–5 kWh/m³).</t>
  </si>
  <si>
    <t>• Becker, Sapkota, Kolusu et al. (2022). Afforesting arid land with renewable electricity and desalination, Nature Sustainability. https://www.nature.com/articles/s41893-022-01056-7</t>
  </si>
  <si>
    <t>• USU Forestry Extension. Drip Irrigation for Trees (arid landscape tree water demand). https://forestry.usu.edu/trees-cities-towns/tree-care/drip-irrigation</t>
  </si>
  <si>
    <t>100-million-tree programme — assumed parameters (editable on Inputs)</t>
  </si>
  <si>
    <t>• Programme start: 2026.  Planting ramp: 10 years (10 M trees/yr), so 100 M trees by 2036.</t>
  </si>
  <si>
    <t>• Water per tree: 15 L/tree/day — approximate average combining establishment (≈20–30 L/d first 3 yrs) and drought-tolerant maintenance (≈5–15 L/d) under sub-surface drip (Becker et al. 2022 assume drip; USU Extension arid mature tree ≈10.9 gal/d ≈ 41 L/d; lower value reflects species selection for Sahara/coastal).</t>
  </si>
  <si>
    <t>• Implication: once fully established, programme demand ≈ 100 M × 15 L × 365 d ≈ 547 M m³/yr (~9% of national water use) and requires an equivalent incremental desalination plant fleet of ~1.5 M m³/day.</t>
  </si>
  <si>
    <t>Caveats</t>
  </si>
  <si>
    <t>• Libya's economy and water sector are highly disrupted by conflict; historical data are noisy.</t>
  </si>
  <si>
    <t>• GMMR actual delivery is already well below design capacity (2.5 vs 6.5 Mm³/day as of 2017–2024).</t>
  </si>
  <si>
    <t>• Local groundwater yield baseline is a residual estimate — treat as editable.</t>
  </si>
  <si>
    <t>• Industrial intensity is derived (AQUASTAT industrial share ÷ World Bank GDP) and very sensitive.</t>
  </si>
  <si>
    <t>• Thermal desalination (MSF/MED), still ~95% of Libya's legacy fleet per Brika (2018), would have higher equivalent electrical intensity (~15–25 kWh/m³). Default 3.5 kWh/m³ assumes new SWRO buildout.</t>
  </si>
  <si>
    <t>• Tree water demand is highly uncertain — depends on species, microclimate, mulching, drip efficiency, whether rainfall (56 mm/yr) is partially counted. Edit the 'Water per tree' assumption accordingly.</t>
  </si>
  <si>
    <t>• All trends are user-editable; the model is intentionally simple.</t>
  </si>
  <si>
    <t>Colour coding (in calculation sheets)</t>
  </si>
  <si>
    <t>• Blue text = hardcoded input number.  Black text = formula.  Green text = cross-sheet link.</t>
  </si>
  <si>
    <t>• Yellow fill = key assumption to review.  Light-blue fill = section header.  Green fill = total/result.</t>
  </si>
  <si>
    <t>• Light-green fill = 100-million-tree programme rows.</t>
  </si>
  <si>
    <t>UPDATE v2: recycled water and sector allocation logic added.</t>
  </si>
  <si>
    <t>Recycled water is derived from a configurable share of domestic demand, then allocated first to trees and then to agriculture. Urban demand is served first by groundwater, then GMMR, then desalination; industrial second by the same order; agriculture then uses recycled water, groundwater, GMMR, and desalination; trees use recycled water then desalination.</t>
  </si>
  <si>
    <t>UPDATE v3: allocation logic made more user-editable through new Inputs rows for recycled-water split and source-priority shares by sector.</t>
  </si>
  <si>
    <t>UPDATE v4 (April 2026): Recalibrated to Libya National Water Security Strategy — Situation Analysis report (MoP/UNDP/Hydroconseil, Aug 2025). Demand intensities calibrated to hit reported 2025 figures (municipal 836, agricultural 6,098, industrial mid-465 Mm³/y). Added Surface water as a new supply source (~60 Mm³/y, declining). Capped desalination at the realistic ceiling implied by the report (70 → 750 Mm³/y by 2050, per Table 18 planned SWRO buildout). Added explicit 'Agriculture from groundwater (overdraft)' row to capture the unsustainable private-well withdrawals the report identifies as up to 5,900 Mm³/y (p.119). GW available baseline raised to 6,000 Mm³/y (was 3,500) to reflect total non-MMR groundwater incl. private wells. Both BAU and Conditional scenarios preserved; all charts and cross-references intact.</t>
  </si>
  <si>
    <t>Libya Water-Energy Model — Inputs &amp; Assumptions</t>
  </si>
  <si>
    <t>Parameter</t>
  </si>
  <si>
    <t>Value</t>
  </si>
  <si>
    <t>Units</t>
  </si>
  <si>
    <t>Source / Note</t>
  </si>
  <si>
    <t>DEMOGRAPHICS &amp; ECONOMY</t>
  </si>
  <si>
    <t>Population 2020</t>
  </si>
  <si>
    <t>persons</t>
  </si>
  <si>
    <t>UN WPP 2024 medium variant</t>
  </si>
  <si>
    <t>*</t>
  </si>
  <si>
    <t>Population 2050</t>
  </si>
  <si>
    <t>Matched to SISEPUEDE</t>
  </si>
  <si>
    <t>GDP per capita 2020</t>
  </si>
  <si>
    <t>USD (current)</t>
  </si>
  <si>
    <t>World Bank WDI 2020 (volatile)</t>
  </si>
  <si>
    <t>GDP per capita CAGR</t>
  </si>
  <si>
    <t>per year</t>
  </si>
  <si>
    <t>WATER DEMAND INTENSITIES</t>
  </si>
  <si>
    <t>Domestic water use 2020</t>
  </si>
  <si>
    <t>L/cap/day</t>
  </si>
  <si>
    <t>Calibrated to report (p.115): municipal demand 836 Mm³/y in 2025</t>
  </si>
  <si>
    <t>Domestic efficiency trend</t>
  </si>
  <si>
    <t>Assumption: leak reduction, metering</t>
  </si>
  <si>
    <t>Industrial water intensity 2020</t>
  </si>
  <si>
    <t>m³ per $1000 GDP</t>
  </si>
  <si>
    <t>Calibrated to report (p.117): industrial demand 273-656 Mm³/y in 2025; midpoint ~465</t>
  </si>
  <si>
    <t>Industrial efficiency trend</t>
  </si>
  <si>
    <t>Assumption: process efficiency</t>
  </si>
  <si>
    <t>Agricultural water use 2020</t>
  </si>
  <si>
    <t>Calibrated to report (p.111, Table 26): agricultural demand 6,098 Mm³/y in 2025</t>
  </si>
  <si>
    <t>Agricultural efficiency trend</t>
  </si>
  <si>
    <t>Assumption: irrigation modernization</t>
  </si>
  <si>
    <t>Surface water decline rate</t>
  </si>
  <si>
    <t>Report p.61-69: rising evap &amp; climate change</t>
  </si>
  <si>
    <t>SUPPLY CAPACITY &amp; TRENDS</t>
  </si>
  <si>
    <t>Local groundwater yield 2020</t>
  </si>
  <si>
    <t>M m³/yr</t>
  </si>
  <si>
    <t>Report p.119: ~5,900 Mm³/y from private wells + GCWW wells; mostly unsustainable. Excl. MMR.</t>
  </si>
  <si>
    <t>Groundwater decline rate</t>
  </si>
  <si>
    <t>Overdraft &amp; coastal salinization</t>
  </si>
  <si>
    <t>GMMR pipeline delivery 2020</t>
  </si>
  <si>
    <t>2.5 Mm³/day × 365 (MEI 2024)</t>
  </si>
  <si>
    <t>Great Man Made River</t>
  </si>
  <si>
    <t>GMMR decline rate</t>
  </si>
  <si>
    <t>Aquifer depletion (Lonergan ~60 yr) + infra decay</t>
  </si>
  <si>
    <t>Surface water 2020</t>
  </si>
  <si>
    <t>Report p.24-25: very limited; few small dams; high evap (1,700-6,000 mm/y)</t>
  </si>
  <si>
    <t>ENERGY INTENSITIES</t>
  </si>
  <si>
    <t>EI local groundwater 2020</t>
  </si>
  <si>
    <t>kWh/m³</t>
  </si>
  <si>
    <t xml:space="preserve">USGS/Denver 1.2-1.8 deep; 0.7 shallow/coastal
We assumed that the majoriry of private-farm groundwater runs on diesel gensets and is not billed through the grid, given that FAO/World Bank water-sector assessments for the countrt, we can assume  that private-farm pumping  is largely unmetered and off-grid (approx 50%). Thus the energy intensity of this is scaled to what it is actually being demanded by the electricity grid. </t>
  </si>
  <si>
    <t>EI groundwater rise rate</t>
  </si>
  <si>
    <t>Water-table drawdown raises lift</t>
  </si>
  <si>
    <t>EI pipeline (GMMR) 2020</t>
  </si>
  <si>
    <t>Deep-well (500 m) + long conveyance; lit. 1.5-2.0</t>
  </si>
  <si>
    <t>Note: check if this should chnage as a function of altitude</t>
  </si>
  <si>
    <t>EI pipeline rise rate</t>
  </si>
  <si>
    <t>Rising lift as Nubian aquifer draws down</t>
  </si>
  <si>
    <t>EI desalination 2020</t>
  </si>
  <si>
    <t>SWRO with ERDs (IRENA; ScienceDirect)</t>
  </si>
  <si>
    <t>EI desalination 2050</t>
  </si>
  <si>
    <t>Efficiency gains toward 2.8 state-of-art</t>
  </si>
  <si>
    <t>Desalination capacity 2020</t>
  </si>
  <si>
    <t>Report p.92: 70-76 Mm³/y in 2010-2013</t>
  </si>
  <si>
    <t>100-MILLION TREE AFFORESTATION PROGRAMME</t>
  </si>
  <si>
    <t>Programme start year</t>
  </si>
  <si>
    <t>year</t>
  </si>
  <si>
    <t>Assumption — edit to shift timeline</t>
  </si>
  <si>
    <t>Planting ramp (years)</t>
  </si>
  <si>
    <t>years</t>
  </si>
  <si>
    <t>Linear planting of target over this period</t>
  </si>
  <si>
    <t>Target trees</t>
  </si>
  <si>
    <t>trees</t>
  </si>
  <si>
    <t>Programme ambition (100 million)</t>
  </si>
  <si>
    <t>Water per tree</t>
  </si>
  <si>
    <t>L/tree/day</t>
  </si>
  <si>
    <t>Drip-irrigated drought-tolerant; Becker et al. 2022; USU ext. ~41 L/d for mature arid shade tree</t>
  </si>
  <si>
    <t>L/day</t>
  </si>
  <si>
    <t>m3/year</t>
  </si>
  <si>
    <t>Mm3/year</t>
  </si>
  <si>
    <t>Desalination capacity 2050</t>
  </si>
  <si>
    <t>Report p.92, Table 18: existing rehab + 14-15 planned SWRO at 2 Mm³/d ≈ 850 max; conservative 750</t>
  </si>
  <si>
    <t>RECYCLED WATER &amp; ALLOCATION</t>
  </si>
  <si>
    <t>Urban wastewater recovery share 2020</t>
  </si>
  <si>
    <t>share of urban water demand met</t>
  </si>
  <si>
    <t>Assumption: recoverable municipal wastewater</t>
  </si>
  <si>
    <t>Urban wastewater recovery share 2050</t>
  </si>
  <si>
    <t>Assumption: better sewerage, treatment, and reuse</t>
  </si>
  <si>
    <t>Recycled water split to trees 2020</t>
  </si>
  <si>
    <t>share of recycled water</t>
  </si>
  <si>
    <t>Allocation priority from recycled water</t>
  </si>
  <si>
    <t>Recycled water split to trees 2050</t>
  </si>
  <si>
    <t>Less tree priority over time as ag reuse scales</t>
  </si>
  <si>
    <t>EI recycled water 2020</t>
  </si>
  <si>
    <t>Assumption: treatment + pumping for non-potable reuse</t>
  </si>
  <si>
    <t>EI recycled water 2050</t>
  </si>
  <si>
    <t>Efficiency improvement assumption</t>
  </si>
  <si>
    <t>EDITABLE ALLOCATION SHARES</t>
  </si>
  <si>
    <t>Editable share; remainder goes to agriculture</t>
  </si>
  <si>
    <t>Urban priority GW share</t>
  </si>
  <si>
    <t>share of urban demand</t>
  </si>
  <si>
    <t>Default strict priority</t>
  </si>
  <si>
    <t>Urban priority GMMR share</t>
  </si>
  <si>
    <t>share of urban residual</t>
  </si>
  <si>
    <t>Industrial priority GW share</t>
  </si>
  <si>
    <t>share of industrial demand</t>
  </si>
  <si>
    <t>Industrial priority GMMR share</t>
  </si>
  <si>
    <t>share of industrial residual</t>
  </si>
  <si>
    <t>Agriculture priority GW share</t>
  </si>
  <si>
    <t>share of ag residual demand</t>
  </si>
  <si>
    <t>Agriculture priority GMMR share</t>
  </si>
  <si>
    <t>share of ag residual after GW</t>
  </si>
  <si>
    <t>ADJUSTMENT FACTORS (v2 — technical review)</t>
  </si>
  <si>
    <t>Groundwater grid-electrified share</t>
  </si>
  <si>
    <t>share (0-1)</t>
  </si>
  <si>
    <t>FAO/WB: ~47% private-farm pumping unmetered/off-grid (diesel). 0.53 is metered share</t>
  </si>
  <si>
    <t>Thermal desal fleet share 2020</t>
  </si>
  <si>
    <t>share</t>
  </si>
  <si>
    <t>README: Libya legacy fleet ~95% thermal (MSF/MED); Fadiel et al. 2025</t>
  </si>
  <si>
    <t>Thermal desal fleet share 2050</t>
  </si>
  <si>
    <t>Assumption: new SWRO turnover dominates by 2050</t>
  </si>
  <si>
    <t>EI thermal desal (electric-equiv)</t>
  </si>
  <si>
    <t>kWh-eq/m³</t>
  </si>
  <si>
    <t>Midpoint of 15-25 kWh-eq/m³ literature range for MSF/MED</t>
  </si>
  <si>
    <t>GWh → PJ conversion factor</t>
  </si>
  <si>
    <t>PJ/GWh</t>
  </si>
  <si>
    <t>3600 × 1e-6 = 3.6e-3. Used in Energy rows 17, 19-21, 32</t>
  </si>
  <si>
    <t>Libya total electricity generation (ref)</t>
  </si>
  <si>
    <t>GWh/yr</t>
  </si>
  <si>
    <t>IEA/OEC ~35 TWh (2021). Reference for Energy cross-check</t>
  </si>
  <si>
    <t>CONDITIONAL SCENARIO — TREATED WASTEWATER</t>
  </si>
  <si>
    <t>Urban wastewater recovery share 2020 — Conditional</t>
  </si>
  <si>
    <t>Same as BAU 2020 (=Inputs!B41); only Conditional 2050 differs</t>
  </si>
  <si>
    <t>Urban wastewater recovery share 2050 — Conditional</t>
  </si>
  <si>
    <t>Recycled water split to trees 2020 — Conditional</t>
  </si>
  <si>
    <t>Recycled water split to trees 2050 — Conditional</t>
  </si>
  <si>
    <t>Water Demand Projections — Libya (2020–2050)</t>
  </si>
  <si>
    <t>Metric</t>
  </si>
  <si>
    <t>Notes</t>
  </si>
  <si>
    <t>Population</t>
  </si>
  <si>
    <t>Linear interp UN WPP 2024 (2020 ↔ 2050)</t>
  </si>
  <si>
    <t>GDP per capita</t>
  </si>
  <si>
    <t>USD</t>
  </si>
  <si>
    <t>GDP_pc_2020 × (1+CAGR)^(year-2020)</t>
  </si>
  <si>
    <t>Total GDP</t>
  </si>
  <si>
    <t>M USD</t>
  </si>
  <si>
    <t>Population × GDP per capita / 1e6</t>
  </si>
  <si>
    <t>Domestic intensity</t>
  </si>
  <si>
    <t>Base × (1+eff)^(year-2020)</t>
  </si>
  <si>
    <t>Industrial intensity</t>
  </si>
  <si>
    <t>m³/$1000 GDP</t>
  </si>
  <si>
    <t>Agricultural intensity</t>
  </si>
  <si>
    <t>Domestic demand</t>
  </si>
  <si>
    <t>Pop × lpcd × 365 / 1e9</t>
  </si>
  <si>
    <t>Industrial demand</t>
  </si>
  <si>
    <t>GDP(M USD) × (m³/$1000) / 1000</t>
  </si>
  <si>
    <t>Agricultural demand</t>
  </si>
  <si>
    <t>Active trees (100 M program)</t>
  </si>
  <si>
    <t>MIN(target, MAX(0, target×(year−start)/ramp))</t>
  </si>
  <si>
    <t>Tree programme demand</t>
  </si>
  <si>
    <t>Active trees × L/tree/day × 365 / 1e9</t>
  </si>
  <si>
    <t>TOTAL water demand</t>
  </si>
  <si>
    <t>Sum of sectors + tree program</t>
  </si>
  <si>
    <t>Water Supply Allocation — Libya (2020–2050)</t>
  </si>
  <si>
    <t>Total water demand</t>
  </si>
  <si>
    <t>link ← Demand row 19</t>
  </si>
  <si>
    <t>Of which tree programme</t>
  </si>
  <si>
    <t>link ← Demand row 17</t>
  </si>
  <si>
    <t>Surface water to agriculture</t>
  </si>
  <si>
    <t>min(SW available, ag residual after recycled)</t>
  </si>
  <si>
    <t>Local groundwater available</t>
  </si>
  <si>
    <t>GW_2020 × (1+decline)^(year-2020)</t>
  </si>
  <si>
    <t>Pipeline (GMMR) available</t>
  </si>
  <si>
    <t>GMMR_2020 × (1+decline)^(year-2020)</t>
  </si>
  <si>
    <t>Groundwater + GMMR + Surface water</t>
  </si>
  <si>
    <t>GW + GMMR + SW</t>
  </si>
  <si>
    <t>Surface water available</t>
  </si>
  <si>
    <t>SW_2020 × (1+decline)^(year-2020)</t>
  </si>
  <si>
    <t>link ← Demand domestic</t>
  </si>
  <si>
    <t>link ← Demand industrial</t>
  </si>
  <si>
    <t>link ← Demand agriculture</t>
  </si>
  <si>
    <t>Recycled water available</t>
  </si>
  <si>
    <t>Urban demand met × recovery share</t>
  </si>
  <si>
    <t>Recycled water to trees</t>
  </si>
  <si>
    <t>Allocated first from recycled water, capped by tree demand</t>
  </si>
  <si>
    <t>Recycled water to agriculture</t>
  </si>
  <si>
    <t>Residual recycled water after trees</t>
  </si>
  <si>
    <t>Urban from groundwater</t>
  </si>
  <si>
    <t>Urban first draw on GW</t>
  </si>
  <si>
    <t>Urban from GMMR</t>
  </si>
  <si>
    <t>Urban then GMMR</t>
  </si>
  <si>
    <t>Urban from desalination</t>
  </si>
  <si>
    <t>Urban residual desal</t>
  </si>
  <si>
    <t>Industrial from groundwater</t>
  </si>
  <si>
    <t>Industrial second draw on GW</t>
  </si>
  <si>
    <t>Industrial from GMMR</t>
  </si>
  <si>
    <t>Industrial then GMMR</t>
  </si>
  <si>
    <t>Industrial from desalination</t>
  </si>
  <si>
    <t>Industrial residual desal</t>
  </si>
  <si>
    <t>Agriculture from groundwater</t>
  </si>
  <si>
    <t>Agriculture draw on GW after recycled</t>
  </si>
  <si>
    <t>Agriculture from GMMR</t>
  </si>
  <si>
    <t>Agriculture then GMMR</t>
  </si>
  <si>
    <t>Agriculture from desalination</t>
  </si>
  <si>
    <t>Agriculture residual desal</t>
  </si>
  <si>
    <t>Trees from desalination</t>
  </si>
  <si>
    <t>Tree residual after recycled</t>
  </si>
  <si>
    <t>CHECK: allocated demand incl recycled</t>
  </si>
  <si>
    <t>Should equal total demand</t>
  </si>
  <si>
    <t>Desalination required (total)</t>
  </si>
  <si>
    <t>MAX(0, Total demand − GW − GMMR)</t>
  </si>
  <si>
    <t>Desalination if NO tree programme</t>
  </si>
  <si>
    <t>MAX(0, (Demand−Tree) − GW − GMMR)</t>
  </si>
  <si>
    <t>Incremental desal for tree programme</t>
  </si>
  <si>
    <t>Row 12 − Row 13</t>
  </si>
  <si>
    <t>→ equivalent SWRO capacity</t>
  </si>
  <si>
    <t>m³/day</t>
  </si>
  <si>
    <t>Row 14 × 1e6 / 365</t>
  </si>
  <si>
    <t>Desalination capacity (max)</t>
  </si>
  <si>
    <t>Linear from 2020 baseline to 2050 max (per report p.92)</t>
  </si>
  <si>
    <t>Recycled water used (total)</t>
  </si>
  <si>
    <t>Recycled water to trees + agriculture</t>
  </si>
  <si>
    <t>Total water supply (incl. recycled)</t>
  </si>
  <si>
    <t>GW + GMMR + desal + recycled</t>
  </si>
  <si>
    <t>Share: Local groundwater</t>
  </si>
  <si>
    <t>%</t>
  </si>
  <si>
    <t>Share: GMMR pipeline</t>
  </si>
  <si>
    <t>Share: Desalination</t>
  </si>
  <si>
    <t>Ag from groundwater (overdraft)</t>
  </si>
  <si>
    <t>Residual ag demand absorbed by unsustainable private wells when desal hits cap</t>
  </si>
  <si>
    <t>CHECK: Supply − Demand</t>
  </si>
  <si>
    <t>Should equal zero</t>
  </si>
  <si>
    <t>Share: Surface water</t>
  </si>
  <si>
    <t>Surface water used / total demand</t>
  </si>
  <si>
    <t>CONDITIONAL SCENARIO — higher treated wastewater recovery</t>
  </si>
  <si>
    <t>Recycled water available (Conditional)</t>
  </si>
  <si>
    <t>Urban demand × Conditional recovery share</t>
  </si>
  <si>
    <t>Recycled water to trees (Conditional)</t>
  </si>
  <si>
    <t>Recycled water to agriculture (Conditional)</t>
  </si>
  <si>
    <t>Urban from groundwater (Conditional)</t>
  </si>
  <si>
    <t>Urban from GMMR (Conditional)</t>
  </si>
  <si>
    <t>Urban from desalination (Conditional)</t>
  </si>
  <si>
    <t>Industrial from groundwater (Conditional)</t>
  </si>
  <si>
    <t>Industrial from GMMR (Conditional)</t>
  </si>
  <si>
    <t>Industrial from desalination (Conditional)</t>
  </si>
  <si>
    <t>Agriculture from groundwater (Conditional)</t>
  </si>
  <si>
    <t>Agriculture from GMMR (Conditional)</t>
  </si>
  <si>
    <t>Agriculture from desalination (Conditional)</t>
  </si>
  <si>
    <t>Trees from desalination (Conditional)</t>
  </si>
  <si>
    <t>CHECK: allocated demand incl recycled (Conditional)</t>
  </si>
  <si>
    <t>Desalination required total (Conditional)</t>
  </si>
  <si>
    <t>Sum of desal allocations under Conditional</t>
  </si>
  <si>
    <t>Surface water to agriculture (Conditional)</t>
  </si>
  <si>
    <t>Recycled water used total (Conditional)</t>
  </si>
  <si>
    <t>Trees + Agriculture from recycled water</t>
  </si>
  <si>
    <t>Total water supply (Conditional)</t>
  </si>
  <si>
    <t>Share: Local groundwater (Conditional)</t>
  </si>
  <si>
    <t>Share: GMMR pipeline (Conditional)</t>
  </si>
  <si>
    <t>Share: Desalination (Conditional)</t>
  </si>
  <si>
    <t>Share: Treated wastewater (Conditional)</t>
  </si>
  <si>
    <t>Ag from groundwater (overdraft, Conditional)</t>
  </si>
  <si>
    <t>Residual ag demand absorbed by private wells when desal hits cap</t>
  </si>
  <si>
    <t>Electricity Demand for Water Supply — Libya (2020–2050)</t>
  </si>
  <si>
    <t>EI local groundwater</t>
  </si>
  <si>
    <t>EI_GW_2020 × (1+rise)^(year-2020)</t>
  </si>
  <si>
    <t>EI pipeline (GMMR)</t>
  </si>
  <si>
    <t>EI_pipe × (1+rise)^(year-2020)</t>
  </si>
  <si>
    <t>EI desalination (SWRO)</t>
  </si>
  <si>
    <t>Linear from EI_2020 to EI_2050</t>
  </si>
  <si>
    <t>Energy: Surface water</t>
  </si>
  <si>
    <t>EI × volume (low)</t>
  </si>
  <si>
    <t>Energy: Local groundwater</t>
  </si>
  <si>
    <t>EI × volume (M m³)</t>
  </si>
  <si>
    <t>Energy: Pipeline (GMMR)</t>
  </si>
  <si>
    <t>EI × volume</t>
  </si>
  <si>
    <t>Energy: Desalination (total) (DESAL)</t>
  </si>
  <si>
    <t xml:space="preserve">  of which: for tree programme</t>
  </si>
  <si>
    <t>EI × incremental desal volume</t>
  </si>
  <si>
    <t>EI recycled water</t>
  </si>
  <si>
    <t>Energy: Recycled water (RW)</t>
  </si>
  <si>
    <t>EI × recycled water volume</t>
  </si>
  <si>
    <t>TOTAL electricity demand</t>
  </si>
  <si>
    <t>GW + GMMR + Desal</t>
  </si>
  <si>
    <t>TWh/yr</t>
  </si>
  <si>
    <t>GWh / 1000</t>
  </si>
  <si>
    <t>PJ/yr</t>
  </si>
  <si>
    <t>GW * × 0.0036 PJ/GWh</t>
  </si>
  <si>
    <t>BAU (no tree programme)</t>
  </si>
  <si>
    <t>GW + GMMR + desal (excl. tree programme) + RW</t>
  </si>
  <si>
    <t>Unconditional (incl. tree programme)</t>
  </si>
  <si>
    <t>GW + GMMR + desal (incl. tree) + RW</t>
  </si>
  <si>
    <t>Conditional (incl. tree programme)</t>
  </si>
  <si>
    <t>System-avg EI (kWh/m³)</t>
  </si>
  <si>
    <t>Total energy (GWh) / Total water (M m³)</t>
  </si>
  <si>
    <t>Electricity per capita</t>
  </si>
  <si>
    <t>kWh/cap/yr</t>
  </si>
  <si>
    <t>Total energy × 1e6 / Population</t>
  </si>
  <si>
    <t>Desalination share of energy</t>
  </si>
  <si>
    <t>Libya Water Sector — Investment Requirements Estimate (2025–2050)</t>
  </si>
  <si>
    <t>KEY MACRO ASSUMPTIONS</t>
  </si>
  <si>
    <t>BAU</t>
  </si>
  <si>
    <t>Conditional</t>
  </si>
  <si>
    <t>USD per LYD</t>
  </si>
  <si>
    <t>USD/LYD</t>
  </si>
  <si>
    <t>Approx mid-2025 official rate. Report (p. 92 fn): 4.142M LYD ≈ 745 MUSD ⇒ ~5.56 LYD/USD</t>
  </si>
  <si>
    <t>Cost escalation factor (Libya)</t>
  </si>
  <si>
    <t>multiplier</t>
  </si>
  <si>
    <t>Construction premium for fragile/conflict context. Edit to test sensitivity.</t>
  </si>
  <si>
    <t>Discount rate</t>
  </si>
  <si>
    <t>Public-infrastructure standard (5-8%). Edit to test NPV sensitivity.</t>
  </si>
  <si>
    <t>Investment horizon — start year</t>
  </si>
  <si>
    <t>First year of investment program.</t>
  </si>
  <si>
    <t>Investment horizon — end year</t>
  </si>
  <si>
    <t>End of model horizon.</t>
  </si>
  <si>
    <t>All values in USD M unless noted</t>
  </si>
  <si>
    <t>UNIT COST FACTORS BY SOURCE</t>
  </si>
  <si>
    <t>Source</t>
  </si>
  <si>
    <t>CAPEX</t>
  </si>
  <si>
    <t>OPEX</t>
  </si>
  <si>
    <t>Useful life</t>
  </si>
  <si>
    <t>Load factor</t>
  </si>
  <si>
    <t>USD per m³/day</t>
  </si>
  <si>
    <t>USD per m³</t>
  </si>
  <si>
    <t>fraction</t>
  </si>
  <si>
    <t>Desalination (SWRO)</t>
  </si>
  <si>
    <t>Intl. benchmark $1,500-2,500/m³/d. Report p. 135: GDC plans 5 new plants 240,000 m³/d for LYD 270M (=$233/m³/d) — likely partial; LYD 1.4B for rehab of 5 existing plants. OPEX: SWRO industry $0.50-0.80/m³.</t>
  </si>
  <si>
    <t>GMMR (groundwater + transfer)</t>
  </si>
  <si>
    <t>Long-distance fossil-water transfer. Report p. 92 footnote: original 1980s GMMR phases ~$745M for 4.142M LYD. Mostly built; investment is rehab/Phase V-VI per p. 134.</t>
  </si>
  <si>
    <t>Local groundwater (wells + dist.)</t>
  </si>
  <si>
    <t>Wellfield + distribution. Report p. 85: 101 of 479 western wells dismantled (rehab need). Mostly private wells already exist — public CAPEX is for regulation, GCWW wellfields, MAR. OPEX: pumping energy + maintenance.</t>
  </si>
  <si>
    <t>Treated wastewater reuse</t>
  </si>
  <si>
    <t>Tertiary treatment + filtration + storage for ag reuse. Report p. 95: WWTP designed for ag (need secondary biological + filtration + disinfection). MENA benchmarks: $1,800-2,500/m³/d CAPEX; $0.50-0.80/m³ OPEX. Report p. 96 Table 19: LYD 3.9B planned for 2020-2025 wastewater projects.</t>
  </si>
  <si>
    <t>Surface water (dams + treatment)</t>
  </si>
  <si>
    <t>Small dams + intake + treatment. Report p. 24-25: limited potential due to evaporation (1,700-6,000 mm/y). Investment mostly rehab of existing small dams.</t>
  </si>
  <si>
    <t>REPORT-CITED INVESTMENT FIGURES (cross-check, 2020-2025 horizon, USD millions)</t>
  </si>
  <si>
    <t>Item</t>
  </si>
  <si>
    <t>LYD millions</t>
  </si>
  <si>
    <t>USD millions</t>
  </si>
  <si>
    <t>Source page</t>
  </si>
  <si>
    <t>Description</t>
  </si>
  <si>
    <t>GDC — rehab of 5 existing desal plants</t>
  </si>
  <si>
    <t>p. 135</t>
  </si>
  <si>
    <t>Derna, Sussa, Abu Traba, Zawya, Zourara</t>
  </si>
  <si>
    <t>GDC — 5 new desal plants (240,000 m³/d)</t>
  </si>
  <si>
    <t>Already under construction</t>
  </si>
  <si>
    <t>GCWW — water plants &amp; networks rehab</t>
  </si>
  <si>
    <t>Existing infrastructure</t>
  </si>
  <si>
    <t>GCWW — wastewater plants &amp; networks rehab</t>
  </si>
  <si>
    <t>Existing WW infrastructure</t>
  </si>
  <si>
    <t>GCWW — supplies &amp; equipment for O&amp;M</t>
  </si>
  <si>
    <t>p. 136</t>
  </si>
  <si>
    <t>Operations support</t>
  </si>
  <si>
    <t>MMRA — 9 new projects</t>
  </si>
  <si>
    <t>Capacity increase wells, tanks, pumps</t>
  </si>
  <si>
    <t>MMRA — 7 existing projects rehab</t>
  </si>
  <si>
    <t>Rehabilitation</t>
  </si>
  <si>
    <t>MMRA — reoperation of 1 project</t>
  </si>
  <si>
    <t>Re-commissioning</t>
  </si>
  <si>
    <t>MoH — 37 new projects</t>
  </si>
  <si>
    <t>Coverage and capacity expansion</t>
  </si>
  <si>
    <t>MoH — 190 existing projects (completion)</t>
  </si>
  <si>
    <t>Completion of started projects</t>
  </si>
  <si>
    <t>MoH — 285 projects on hold</t>
  </si>
  <si>
    <t>Restart of paused projects</t>
  </si>
  <si>
    <t>Total wastewater 2020-2025 (Table 19)</t>
  </si>
  <si>
    <t>p. 96</t>
  </si>
  <si>
    <t>GCWW + HIB combined; planned 2020-2025</t>
  </si>
  <si>
    <t>TOTAL (line items above; some overlap)</t>
  </si>
  <si>
    <t>BOTTOM-UP INVESTMENT CALCULATION — BAU SCENARIO</t>
  </si>
  <si>
    <t>Desalination</t>
  </si>
  <si>
    <t xml:space="preserve">  Volume</t>
  </si>
  <si>
    <t>← Supply sheet</t>
  </si>
  <si>
    <t xml:space="preserve">  Capacity required</t>
  </si>
  <si>
    <t>k m³/day</t>
  </si>
  <si>
    <t>volume × 1000 / 365 / load_factor</t>
  </si>
  <si>
    <t xml:space="preserve">  Annualized CAPEX</t>
  </si>
  <si>
    <t>USD M</t>
  </si>
  <si>
    <t>capacity × unit_capex × CRF × escal</t>
  </si>
  <si>
    <t xml:space="preserve">  (not used — see Annualized)</t>
  </si>
  <si>
    <t>kept blank for backward compatibility</t>
  </si>
  <si>
    <t xml:space="preserve">  OPEX</t>
  </si>
  <si>
    <t>volume × unit_opex × escal</t>
  </si>
  <si>
    <t xml:space="preserve">  Total annual cost</t>
  </si>
  <si>
    <t>New CAPEX + Repl CAPEX + OPEX</t>
  </si>
  <si>
    <t>GMMR</t>
  </si>
  <si>
    <t>Local groundwater</t>
  </si>
  <si>
    <t>Treated wastewater</t>
  </si>
  <si>
    <t>Surface water</t>
  </si>
  <si>
    <t>AGGREGATED INVESTMENT — BAU SCENARIO (USD millions)</t>
  </si>
  <si>
    <t>Total Annualized CAPEX</t>
  </si>
  <si>
    <t>Total OPEX</t>
  </si>
  <si>
    <t>TOTAL annual cost</t>
  </si>
  <si>
    <t>Cumulative annualized CAPEX</t>
  </si>
  <si>
    <t>Year</t>
  </si>
  <si>
    <t>Groundwater</t>
  </si>
  <si>
    <t>Total</t>
  </si>
  <si>
    <t>BOTTOM-UP INVESTMENT CALCULATION — CONDITIONAL SCENARIO</t>
  </si>
  <si>
    <t>← Supply (Conditional rows)</t>
  </si>
  <si>
    <t>AGGREGATED INVESTMENT — CONDITIONAL SCENARIO (USD millions)</t>
  </si>
  <si>
    <t>Libya Water-Energy Model — Summary (2020 vs 2050)</t>
  </si>
  <si>
    <t>2020</t>
  </si>
  <si>
    <t>2050</t>
  </si>
  <si>
    <t>CAGR</t>
  </si>
  <si>
    <t>GDP per capita (USD)</t>
  </si>
  <si>
    <t>Total GDP (M USD)</t>
  </si>
  <si>
    <t>Total water demand (M m³/yr)</t>
  </si>
  <si>
    <t xml:space="preserve">  Domestic demand</t>
  </si>
  <si>
    <t xml:space="preserve">  Industrial demand</t>
  </si>
  <si>
    <t xml:space="preserve">  Agricultural demand</t>
  </si>
  <si>
    <t xml:space="preserve">  Tree programme demand</t>
  </si>
  <si>
    <t>~9% of national water use once fully established (2036+)</t>
  </si>
  <si>
    <t>Local groundwater (M m³/yr)</t>
  </si>
  <si>
    <t>GMMR pipeline (M m³/yr)</t>
  </si>
  <si>
    <t>Now declining at −2%/yr (was +recovery)</t>
  </si>
  <si>
    <t>Desalination required (M m³/yr)</t>
  </si>
  <si>
    <t>Makes up deficit</t>
  </si>
  <si>
    <t xml:space="preserve">  Incremental desal for trees</t>
  </si>
  <si>
    <t xml:space="preserve">  SWRO capacity for trees (m³/day)</t>
  </si>
  <si>
    <t>≈3× Libya's current operational desal fleet (~526 k m³/d, Brika 2018)</t>
  </si>
  <si>
    <t>Electricity: groundwater (GWh)</t>
  </si>
  <si>
    <t>Electricity: GMMR (GWh)</t>
  </si>
  <si>
    <t>Electricity: desalination (GWh)</t>
  </si>
  <si>
    <t xml:space="preserve">  of which: for tree programme (GWh)</t>
  </si>
  <si>
    <t>TOTAL electricity (GWh/yr)</t>
  </si>
  <si>
    <t>TOTAL electricity (TWh/yr)</t>
  </si>
  <si>
    <t>Electricity per capita (kWh/cap/yr)</t>
  </si>
  <si>
    <t>Desal share of energy (%)</t>
  </si>
  <si>
    <t>Recycled water available (M m³/yr)</t>
  </si>
  <si>
    <t>Recycled water to trees (M m³/yr)</t>
  </si>
  <si>
    <t>Recycled water to agriculture (M m³/yr)</t>
  </si>
  <si>
    <t>Electricity: recycled water (GWh)</t>
  </si>
  <si>
    <t xml:space="preserve">chapter 8: table 13. </t>
  </si>
  <si>
    <t>Note: Total demand rises over time; declining GW and GMMR are balanced by higher desalination and recycled water so total supply still matches demand.</t>
  </si>
  <si>
    <t>Sector water demand chart data</t>
  </si>
  <si>
    <t>Domestic</t>
  </si>
  <si>
    <t>Industrial</t>
  </si>
  <si>
    <t>Agriculture</t>
  </si>
  <si>
    <t>Trees</t>
  </si>
  <si>
    <t>Cleaned summary charts</t>
  </si>
  <si>
    <t>Total demand rises over time. Declining groundwater and GMMR are offset by desalination and treated wastewater, so total supply and total electricity demand both rise.</t>
  </si>
  <si>
    <t>Sector water demand full-period data</t>
  </si>
  <si>
    <t>Energy demand data</t>
  </si>
  <si>
    <t>Scenario</t>
  </si>
  <si>
    <t>Demand by sector data</t>
  </si>
  <si>
    <t>Total demand</t>
  </si>
  <si>
    <t>Check</t>
  </si>
  <si>
    <t>Supply mix (BAU) — feeds Supply vs Demand chart</t>
  </si>
  <si>
    <t>Supply mix (Conditional) — feeds Supply vs Demand chart</t>
  </si>
  <si>
    <t>Demand by sector (BAU &amp; Conditional)</t>
  </si>
  <si>
    <t>Trees (Conditional only)</t>
  </si>
  <si>
    <t>MARGINAL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</si>
</sst>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\-??_);_(@_)"/>
    <numFmt numFmtId="165" formatCode="0.0"/>
    <numFmt numFmtId="166" formatCode="#,##0.0"/>
    <numFmt numFmtId="167" formatCode="0.0%"/>
    <numFmt numFmtId="168" formatCode="0.000"/>
    <numFmt numFmtId="169" formatCode="#,##0;\(#,##0\)"/>
    <numFmt numFmtId="170" formatCode="0.00;\(0.00\)"/>
  </numFmts>
  <fonts count="35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  <charset val="1"/>
    </font>
    <font>
      <b/>
      <sz val="13"/>
      <color rgb="FF000000"/>
      <name val="Arial"/>
      <family val="2"/>
      <charset val="1"/>
    </font>
    <font>
      <sz val="11"/>
      <color rgb="FF0563C1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F4E79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i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FF"/>
      <name val="Cambria"/>
      <family val="1"/>
      <charset val="1"/>
    </font>
    <font>
      <sz val="10"/>
      <name val="Arial"/>
      <family val="2"/>
      <charset val="1"/>
    </font>
    <font>
      <sz val="11"/>
      <color rgb="FF0000FF"/>
      <name val="Calibri"/>
      <family val="2"/>
      <charset val="1"/>
    </font>
    <font>
      <b/>
      <sz val="11"/>
      <color rgb="FFC00000"/>
      <name val="Arial"/>
      <family val="2"/>
      <charset val="1"/>
    </font>
    <font>
      <sz val="11"/>
      <name val="Arial"/>
      <family val="2"/>
      <charset val="1"/>
    </font>
    <font>
      <i/>
      <sz val="11"/>
      <color rgb="FF666666"/>
      <name val="Arial"/>
      <family val="2"/>
      <charset val="1"/>
    </font>
    <font>
      <b/>
      <sz val="11"/>
      <name val="Calibri"/>
      <family val="2"/>
      <charset val="1"/>
    </font>
    <font>
      <sz val="11"/>
      <color rgb="FF008000"/>
      <name val="Arial"/>
      <family val="2"/>
      <charset val="1"/>
    </font>
    <font>
      <b/>
      <sz val="11"/>
      <color rgb="FF000000"/>
      <name val="Arial"/>
      <family val="2"/>
      <charset val="1"/>
    </font>
    <font>
      <i/>
      <sz val="11"/>
      <color rgb="FFC00000"/>
      <name val="Cambria"/>
      <family val="1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0061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  <charset val="1"/>
    </font>
    <font>
      <b/>
      <sz val="11"/>
      <color rgb="FF008000"/>
      <name val="Arial"/>
      <family val="2"/>
      <charset val="1"/>
    </font>
    <font>
      <b/>
      <sz val="13"/>
      <name val="Calibri"/>
      <family val="2"/>
      <charset val="1"/>
    </font>
    <font>
      <b/>
      <sz val="11"/>
      <name val="Cambria"/>
      <family val="1"/>
      <charset val="1"/>
    </font>
    <font>
      <sz val="11"/>
      <color rgb="FF006100"/>
      <name val="Cambria"/>
      <family val="1"/>
      <charset val="1"/>
    </font>
    <font>
      <sz val="11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9E1F2"/>
        <bgColor rgb="FFDCE6F2"/>
      </patternFill>
    </fill>
    <fill>
      <patternFill patternType="solid">
        <fgColor rgb="FFFFF2CC"/>
        <bgColor rgb="FFFCE4D6"/>
      </patternFill>
    </fill>
    <fill>
      <patternFill patternType="solid">
        <fgColor rgb="FFFFFF99"/>
        <bgColor rgb="FFFFF2CC"/>
      </patternFill>
    </fill>
    <fill>
      <patternFill patternType="solid">
        <fgColor rgb="FFDDEBF7"/>
        <bgColor rgb="FFDCE6F2"/>
      </patternFill>
    </fill>
    <fill>
      <patternFill patternType="solid">
        <fgColor rgb="FFFFFF00"/>
        <bgColor rgb="FFFFFF99"/>
      </patternFill>
    </fill>
    <fill>
      <patternFill patternType="solid">
        <fgColor rgb="FFE4F6E1"/>
        <bgColor rgb="FFE2EFDA"/>
      </patternFill>
    </fill>
    <fill>
      <patternFill patternType="solid">
        <fgColor rgb="FFE2EFDA"/>
        <bgColor rgb="FFE4F6E1"/>
      </patternFill>
    </fill>
    <fill>
      <patternFill patternType="solid">
        <fgColor theme="3" tint="0.59978026673177287"/>
        <bgColor rgb="FF93A9CE"/>
      </patternFill>
    </fill>
    <fill>
      <patternFill patternType="solid">
        <fgColor rgb="FFFCE4D6"/>
        <bgColor rgb="FFFFF2CC"/>
      </patternFill>
    </fill>
    <fill>
      <patternFill patternType="solid">
        <fgColor theme="3" tint="0.79979857783745845"/>
        <bgColor rgb="FFD9E1F2"/>
      </patternFill>
    </fill>
    <fill>
      <patternFill patternType="solid">
        <fgColor theme="4" tint="0.79979857783745845"/>
        <bgColor rgb="FFD9E1F2"/>
      </patternFill>
    </fill>
    <fill>
      <patternFill patternType="solid">
        <fgColor rgb="FF1F4E78"/>
        <bgColor rgb="FF1F4E79"/>
      </patternFill>
    </fill>
    <fill>
      <patternFill patternType="solid">
        <fgColor rgb="FF2E75B6"/>
        <bgColor rgb="FF4672A8"/>
      </patternFill>
    </fill>
    <fill>
      <patternFill patternType="solid">
        <fgColor rgb="FFC65911"/>
        <bgColor rgb="FFC0504D"/>
      </patternFill>
    </fill>
    <fill>
      <patternFill patternType="solid">
        <fgColor rgb="FFC6EFCE"/>
        <bgColor rgb="FFE2EFD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0" fontId="23" fillId="16" borderId="0" xfId="0" applyFont="1" applyFill="1"/>
    <xf numFmtId="0" fontId="23" fillId="15" borderId="0" xfId="0" applyFont="1" applyFill="1"/>
    <xf numFmtId="0" fontId="22" fillId="0" borderId="0" xfId="0" applyFont="1"/>
    <xf numFmtId="0" fontId="21" fillId="14" borderId="0" xfId="0" applyFont="1" applyFill="1"/>
    <xf numFmtId="0" fontId="6" fillId="3" borderId="0" xfId="0" applyFont="1" applyFill="1" applyAlignment="1">
      <alignment horizontal="left" vertical="center" wrapText="1"/>
    </xf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11" fillId="5" borderId="0" xfId="0" applyFont="1" applyFill="1"/>
    <xf numFmtId="164" fontId="12" fillId="0" borderId="1" xfId="0" applyNumberFormat="1" applyFont="1" applyBorder="1" applyAlignment="1">
      <alignment horizontal="right" vertical="center"/>
    </xf>
    <xf numFmtId="2" fontId="13" fillId="4" borderId="0" xfId="0" applyNumberFormat="1" applyFont="1" applyFill="1"/>
    <xf numFmtId="0" fontId="13" fillId="4" borderId="0" xfId="0" applyFont="1" applyFill="1"/>
    <xf numFmtId="0" fontId="14" fillId="6" borderId="0" xfId="0" applyFont="1" applyFill="1"/>
    <xf numFmtId="0" fontId="15" fillId="0" borderId="0" xfId="0" applyFont="1"/>
    <xf numFmtId="0" fontId="8" fillId="7" borderId="0" xfId="0" applyFont="1" applyFill="1"/>
    <xf numFmtId="0" fontId="16" fillId="0" borderId="0" xfId="0" applyFont="1"/>
    <xf numFmtId="0" fontId="17" fillId="6" borderId="0" xfId="0" applyFont="1" applyFill="1"/>
    <xf numFmtId="0" fontId="17" fillId="0" borderId="0" xfId="0" applyFont="1"/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3" fontId="18" fillId="0" borderId="0" xfId="0" applyNumberFormat="1" applyFont="1"/>
    <xf numFmtId="3" fontId="7" fillId="0" borderId="0" xfId="0" applyNumberFormat="1" applyFont="1"/>
    <xf numFmtId="165" fontId="18" fillId="0" borderId="0" xfId="0" applyNumberFormat="1" applyFont="1"/>
    <xf numFmtId="2" fontId="18" fillId="0" borderId="0" xfId="0" applyNumberFormat="1" applyFont="1"/>
    <xf numFmtId="166" fontId="7" fillId="0" borderId="0" xfId="0" applyNumberFormat="1" applyFont="1"/>
    <xf numFmtId="3" fontId="18" fillId="8" borderId="0" xfId="0" applyNumberFormat="1" applyFont="1" applyFill="1"/>
    <xf numFmtId="166" fontId="7" fillId="8" borderId="0" xfId="0" applyNumberFormat="1" applyFont="1" applyFill="1"/>
    <xf numFmtId="0" fontId="19" fillId="0" borderId="0" xfId="0" applyFont="1"/>
    <xf numFmtId="166" fontId="19" fillId="9" borderId="0" xfId="0" applyNumberFormat="1" applyFont="1" applyFill="1"/>
    <xf numFmtId="166" fontId="18" fillId="0" borderId="0" xfId="0" applyNumberFormat="1" applyFont="1"/>
    <xf numFmtId="166" fontId="18" fillId="8" borderId="0" xfId="0" applyNumberFormat="1" applyFont="1" applyFill="1"/>
    <xf numFmtId="166" fontId="0" fillId="0" borderId="0" xfId="0" applyNumberFormat="1"/>
    <xf numFmtId="166" fontId="7" fillId="10" borderId="0" xfId="0" applyNumberFormat="1" applyFont="1" applyFill="1"/>
    <xf numFmtId="0" fontId="7" fillId="10" borderId="0" xfId="0" applyFont="1" applyFill="1"/>
    <xf numFmtId="0" fontId="9" fillId="10" borderId="0" xfId="0" applyFont="1" applyFill="1"/>
    <xf numFmtId="0" fontId="10" fillId="10" borderId="0" xfId="0" applyFont="1" applyFill="1"/>
    <xf numFmtId="166" fontId="19" fillId="8" borderId="0" xfId="0" applyNumberFormat="1" applyFont="1" applyFill="1"/>
    <xf numFmtId="167" fontId="7" fillId="0" borderId="0" xfId="0" applyNumberFormat="1" applyFont="1"/>
    <xf numFmtId="0" fontId="20" fillId="0" borderId="0" xfId="0" applyFont="1"/>
    <xf numFmtId="166" fontId="20" fillId="10" borderId="0" xfId="0" applyNumberFormat="1" applyFont="1" applyFill="1"/>
    <xf numFmtId="166" fontId="20" fillId="0" borderId="0" xfId="0" applyNumberFormat="1" applyFont="1"/>
    <xf numFmtId="4" fontId="7" fillId="11" borderId="0" xfId="0" applyNumberFormat="1" applyFont="1" applyFill="1"/>
    <xf numFmtId="168" fontId="18" fillId="0" borderId="0" xfId="0" applyNumberFormat="1" applyFont="1"/>
    <xf numFmtId="0" fontId="7" fillId="12" borderId="0" xfId="0" applyFont="1" applyFill="1"/>
    <xf numFmtId="0" fontId="9" fillId="12" borderId="0" xfId="0" applyFont="1" applyFill="1"/>
    <xf numFmtId="0" fontId="10" fillId="12" borderId="0" xfId="0" applyFont="1" applyFill="1"/>
    <xf numFmtId="166" fontId="15" fillId="8" borderId="0" xfId="0" applyNumberFormat="1" applyFont="1" applyFill="1"/>
    <xf numFmtId="0" fontId="0" fillId="13" borderId="0" xfId="0" applyFill="1"/>
    <xf numFmtId="2" fontId="19" fillId="9" borderId="0" xfId="0" applyNumberFormat="1" applyFont="1" applyFill="1"/>
    <xf numFmtId="0" fontId="9" fillId="7" borderId="0" xfId="0" applyFont="1" applyFill="1"/>
    <xf numFmtId="0" fontId="10" fillId="7" borderId="0" xfId="0" applyFont="1" applyFill="1"/>
    <xf numFmtId="2" fontId="19" fillId="0" borderId="0" xfId="0" applyNumberFormat="1" applyFont="1"/>
    <xf numFmtId="0" fontId="19" fillId="12" borderId="0" xfId="0" applyFont="1" applyFill="1"/>
    <xf numFmtId="2" fontId="19" fillId="12" borderId="0" xfId="0" applyNumberFormat="1" applyFont="1" applyFill="1"/>
    <xf numFmtId="2" fontId="0" fillId="0" borderId="0" xfId="0" applyNumberFormat="1"/>
    <xf numFmtId="168" fontId="7" fillId="0" borderId="0" xfId="0" applyNumberFormat="1" applyFont="1"/>
    <xf numFmtId="9" fontId="0" fillId="10" borderId="0" xfId="0" applyNumberFormat="1" applyFill="1"/>
    <xf numFmtId="0" fontId="22" fillId="0" borderId="0" xfId="0" applyFont="1"/>
    <xf numFmtId="0" fontId="24" fillId="6" borderId="0" xfId="0" applyFont="1" applyFill="1"/>
    <xf numFmtId="0" fontId="24" fillId="11" borderId="0" xfId="0" applyFont="1" applyFill="1"/>
    <xf numFmtId="0" fontId="25" fillId="5" borderId="0" xfId="0" applyFont="1" applyFill="1"/>
    <xf numFmtId="3" fontId="24" fillId="0" borderId="0" xfId="0" applyNumberFormat="1" applyFont="1"/>
    <xf numFmtId="169" fontId="24" fillId="0" borderId="0" xfId="0" applyNumberFormat="1" applyFont="1"/>
    <xf numFmtId="2" fontId="24" fillId="0" borderId="0" xfId="0" applyNumberFormat="1" applyFont="1"/>
    <xf numFmtId="170" fontId="24" fillId="0" borderId="0" xfId="0" applyNumberFormat="1" applyFont="1"/>
    <xf numFmtId="0" fontId="22" fillId="0" borderId="0" xfId="0" applyFont="1" applyAlignment="1">
      <alignment horizontal="center"/>
    </xf>
    <xf numFmtId="0" fontId="24" fillId="0" borderId="0" xfId="0" applyFont="1"/>
    <xf numFmtId="3" fontId="25" fillId="5" borderId="0" xfId="0" applyNumberFormat="1" applyFont="1" applyFill="1"/>
    <xf numFmtId="2" fontId="25" fillId="5" borderId="0" xfId="0" applyNumberFormat="1" applyFont="1" applyFill="1"/>
    <xf numFmtId="0" fontId="22" fillId="0" borderId="0" xfId="0" applyFont="1" applyAlignment="1">
      <alignment vertical="top" wrapText="1"/>
    </xf>
    <xf numFmtId="3" fontId="26" fillId="0" borderId="0" xfId="0" applyNumberFormat="1" applyFont="1"/>
    <xf numFmtId="3" fontId="27" fillId="0" borderId="0" xfId="0" applyNumberFormat="1" applyFont="1"/>
    <xf numFmtId="0" fontId="24" fillId="17" borderId="0" xfId="0" applyFont="1" applyFill="1"/>
    <xf numFmtId="3" fontId="24" fillId="17" borderId="0" xfId="0" applyNumberFormat="1" applyFont="1" applyFill="1"/>
    <xf numFmtId="0" fontId="24" fillId="6" borderId="0" xfId="0" applyFont="1" applyFill="1" applyAlignment="1">
      <alignment horizontal="center"/>
    </xf>
    <xf numFmtId="166" fontId="27" fillId="0" borderId="0" xfId="0" applyNumberFormat="1" applyFont="1"/>
    <xf numFmtId="166" fontId="24" fillId="17" borderId="0" xfId="0" applyNumberFormat="1" applyFont="1" applyFill="1"/>
    <xf numFmtId="0" fontId="24" fillId="11" borderId="0" xfId="0" applyFont="1" applyFill="1" applyAlignment="1">
      <alignment horizontal="center"/>
    </xf>
    <xf numFmtId="0" fontId="7" fillId="0" borderId="1" xfId="0" applyFont="1" applyBorder="1"/>
    <xf numFmtId="3" fontId="18" fillId="0" borderId="1" xfId="0" applyNumberFormat="1" applyFont="1" applyBorder="1"/>
    <xf numFmtId="10" fontId="7" fillId="0" borderId="1" xfId="0" applyNumberFormat="1" applyFont="1" applyBorder="1"/>
    <xf numFmtId="0" fontId="28" fillId="0" borderId="1" xfId="0" applyFont="1" applyBorder="1"/>
    <xf numFmtId="0" fontId="19" fillId="9" borderId="1" xfId="0" applyFont="1" applyFill="1" applyBorder="1"/>
    <xf numFmtId="166" fontId="29" fillId="9" borderId="1" xfId="0" applyNumberFormat="1" applyFont="1" applyFill="1" applyBorder="1"/>
    <xf numFmtId="10" fontId="19" fillId="9" borderId="1" xfId="0" applyNumberFormat="1" applyFont="1" applyFill="1" applyBorder="1"/>
    <xf numFmtId="0" fontId="28" fillId="9" borderId="1" xfId="0" applyFont="1" applyFill="1" applyBorder="1"/>
    <xf numFmtId="166" fontId="18" fillId="0" borderId="1" xfId="0" applyNumberFormat="1" applyFont="1" applyBorder="1"/>
    <xf numFmtId="0" fontId="7" fillId="8" borderId="1" xfId="0" applyFont="1" applyFill="1" applyBorder="1"/>
    <xf numFmtId="166" fontId="18" fillId="8" borderId="1" xfId="0" applyNumberFormat="1" applyFont="1" applyFill="1" applyBorder="1"/>
    <xf numFmtId="10" fontId="7" fillId="8" borderId="1" xfId="0" applyNumberFormat="1" applyFont="1" applyFill="1" applyBorder="1"/>
    <xf numFmtId="0" fontId="28" fillId="8" borderId="1" xfId="0" applyFont="1" applyFill="1" applyBorder="1"/>
    <xf numFmtId="0" fontId="19" fillId="0" borderId="1" xfId="0" applyFont="1" applyBorder="1"/>
    <xf numFmtId="166" fontId="29" fillId="0" borderId="1" xfId="0" applyNumberFormat="1" applyFont="1" applyBorder="1"/>
    <xf numFmtId="10" fontId="19" fillId="0" borderId="1" xfId="0" applyNumberFormat="1" applyFont="1" applyBorder="1"/>
    <xf numFmtId="3" fontId="18" fillId="8" borderId="1" xfId="0" applyNumberFormat="1" applyFont="1" applyFill="1" applyBorder="1"/>
    <xf numFmtId="3" fontId="29" fillId="9" borderId="1" xfId="0" applyNumberFormat="1" applyFont="1" applyFill="1" applyBorder="1"/>
    <xf numFmtId="2" fontId="29" fillId="9" borderId="1" xfId="0" applyNumberFormat="1" applyFont="1" applyFill="1" applyBorder="1"/>
    <xf numFmtId="2" fontId="18" fillId="0" borderId="1" xfId="0" applyNumberFormat="1" applyFont="1" applyBorder="1"/>
    <xf numFmtId="167" fontId="18" fillId="0" borderId="1" xfId="0" applyNumberFormat="1" applyFont="1" applyBorder="1"/>
    <xf numFmtId="0" fontId="30" fillId="0" borderId="0" xfId="0" applyFont="1"/>
    <xf numFmtId="0" fontId="0" fillId="0" borderId="0" xfId="0" applyAlignment="1">
      <alignment wrapText="1"/>
    </xf>
    <xf numFmtId="0" fontId="31" fillId="0" borderId="0" xfId="0" applyFont="1"/>
    <xf numFmtId="166" fontId="32" fillId="0" borderId="0" xfId="0" applyNumberFormat="1" applyFont="1"/>
    <xf numFmtId="0" fontId="33" fillId="0" borderId="0" xfId="0" applyFont="1"/>
    <xf numFmtId="0" fontId="3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DCE6F2"/>
      <rgbColor rgb="FF800000"/>
      <rgbColor rgb="FF008000"/>
      <rgbColor rgb="FF000080"/>
      <rgbColor rgb="FFD9E1F2"/>
      <rgbColor rgb="FF800080"/>
      <rgbColor rgb="FF4672A8"/>
      <rgbColor rgb="FFB4B4B4"/>
      <rgbColor rgb="FF666666"/>
      <rgbColor rgb="FF93A9CE"/>
      <rgbColor rgb="FF923C3A"/>
      <rgbColor rgb="FFFFF2CC"/>
      <rgbColor rgb="FFE4F6E1"/>
      <rgbColor rgb="FF660066"/>
      <rgbColor rgb="FFDC853E"/>
      <rgbColor rgb="FF0563C1"/>
      <rgbColor rgb="FFC6D9F1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FF99"/>
      <rgbColor rgb="FF8DB4E3"/>
      <rgbColor rgb="FFD09493"/>
      <rgbColor rgb="FFD9D9D9"/>
      <rgbColor rgb="FFE0BDBC"/>
      <rgbColor rgb="FF2E75B6"/>
      <rgbColor rgb="FF4BACC6"/>
      <rgbColor rgb="FF9BBB59"/>
      <rgbColor rgb="FFFCE4D6"/>
      <rgbColor rgb="FFF79646"/>
      <rgbColor rgb="FFC65911"/>
      <rgbColor rgb="FF8064A2"/>
      <rgbColor rgb="FFB3B3B3"/>
      <rgbColor rgb="FF1F4E78"/>
      <rgbColor rgb="FF4F81BD"/>
      <rgbColor rgb="FF006100"/>
      <rgbColor rgb="FF333300"/>
      <rgbColor rgb="FFC0504D"/>
      <rgbColor rgb="FFAB4744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MX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X" sz="1800" b="1" strike="noStrike" spc="-1">
                <a:solidFill>
                  <a:srgbClr val="000000"/>
                </a:solidFill>
                <a:latin typeface="Calibri"/>
              </a:rPr>
              <a:t>Electricity Demand for Water Supply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Energy!$A$19:$C$19</c:f>
              <c:strCache>
                <c:ptCount val="3"/>
                <c:pt idx="0">
                  <c:v>BAU (no tree programme)</c:v>
                </c:pt>
                <c:pt idx="1">
                  <c:v>PJ/yr</c:v>
                </c:pt>
                <c:pt idx="2">
                  <c:v>GW + GMMR + desal (excl. tree programme) + RW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0-1071-E74B-A926-1619CF80B814}"/>
              </c:ext>
            </c:extLst>
          </c:dPt>
          <c:dLbls>
            <c:dLbl>
              <c:idx val="3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71-E74B-A926-1619CF80B8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Energy!$D$19:$AH$19</c:f>
              <c:numCache>
                <c:formatCode>0.00</c:formatCode>
                <c:ptCount val="31"/>
                <c:pt idx="0">
                  <c:v>13.610757718130193</c:v>
                </c:pt>
                <c:pt idx="1">
                  <c:v>13.800547682053207</c:v>
                </c:pt>
                <c:pt idx="2">
                  <c:v>13.994775462582732</c:v>
                </c:pt>
                <c:pt idx="3">
                  <c:v>14.1935090468145</c:v>
                </c:pt>
                <c:pt idx="4">
                  <c:v>14.396818713596335</c:v>
                </c:pt>
                <c:pt idx="5">
                  <c:v>14.604777110025021</c:v>
                </c:pt>
                <c:pt idx="6">
                  <c:v>14.817459330824017</c:v>
                </c:pt>
                <c:pt idx="7">
                  <c:v>15.043536240808765</c:v>
                </c:pt>
                <c:pt idx="8">
                  <c:v>15.266457907747206</c:v>
                </c:pt>
                <c:pt idx="9">
                  <c:v>15.494351140367252</c:v>
                </c:pt>
                <c:pt idx="10">
                  <c:v>15.727301050865744</c:v>
                </c:pt>
                <c:pt idx="11">
                  <c:v>15.965395616080659</c:v>
                </c:pt>
                <c:pt idx="12">
                  <c:v>16.208725775850699</c:v>
                </c:pt>
                <c:pt idx="13">
                  <c:v>16.457385535073445</c:v>
                </c:pt>
                <c:pt idx="14">
                  <c:v>16.711472069598678</c:v>
                </c:pt>
                <c:pt idx="15">
                  <c:v>16.971085836098446</c:v>
                </c:pt>
                <c:pt idx="16">
                  <c:v>17.236330686060665</c:v>
                </c:pt>
                <c:pt idx="17">
                  <c:v>17.507313984058403</c:v>
                </c:pt>
                <c:pt idx="18">
                  <c:v>17.784146730452694</c:v>
                </c:pt>
                <c:pt idx="19">
                  <c:v>18.066943688692291</c:v>
                </c:pt>
                <c:pt idx="20">
                  <c:v>18.355823517380006</c:v>
                </c:pt>
                <c:pt idx="21">
                  <c:v>18.650908907281231</c:v>
                </c:pt>
                <c:pt idx="22">
                  <c:v>18.952326723457045</c:v>
                </c:pt>
                <c:pt idx="23">
                  <c:v>19.26020815271043</c:v>
                </c:pt>
                <c:pt idx="24">
                  <c:v>19.574688856541638</c:v>
                </c:pt>
                <c:pt idx="25">
                  <c:v>19.895909129815397</c:v>
                </c:pt>
                <c:pt idx="26">
                  <c:v>20.224014065350453</c:v>
                </c:pt>
                <c:pt idx="27">
                  <c:v>20.55915372464926</c:v>
                </c:pt>
                <c:pt idx="28">
                  <c:v>20.90148331499401</c:v>
                </c:pt>
                <c:pt idx="29">
                  <c:v>21.251163373143051</c:v>
                </c:pt>
                <c:pt idx="30">
                  <c:v>21.608359955870529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1-E74B-A926-1619CF80B814}"/>
            </c:ext>
          </c:extLst>
        </c:ser>
        <c:ser>
          <c:idx val="1"/>
          <c:order val="1"/>
          <c:tx>
            <c:strRef>
              <c:f>Energy!$A$20:$C$20</c:f>
              <c:strCache>
                <c:ptCount val="3"/>
                <c:pt idx="0">
                  <c:v>Unconditional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Energy!$D$20:$AH$20</c:f>
              <c:numCache>
                <c:formatCode>0.00</c:formatCode>
                <c:ptCount val="31"/>
                <c:pt idx="0">
                  <c:v>13.610757718130193</c:v>
                </c:pt>
                <c:pt idx="1">
                  <c:v>13.800547682053207</c:v>
                </c:pt>
                <c:pt idx="2">
                  <c:v>13.994775462582732</c:v>
                </c:pt>
                <c:pt idx="3">
                  <c:v>14.1935090468145</c:v>
                </c:pt>
                <c:pt idx="4">
                  <c:v>14.396818713596335</c:v>
                </c:pt>
                <c:pt idx="5">
                  <c:v>14.604777110025021</c:v>
                </c:pt>
                <c:pt idx="6">
                  <c:v>14.817459330824017</c:v>
                </c:pt>
                <c:pt idx="7">
                  <c:v>15.635544758500204</c:v>
                </c:pt>
                <c:pt idx="8">
                  <c:v>16.515470507707274</c:v>
                </c:pt>
                <c:pt idx="9">
                  <c:v>17.393899449746105</c:v>
                </c:pt>
                <c:pt idx="10">
                  <c:v>18.270920591178317</c:v>
                </c:pt>
                <c:pt idx="11">
                  <c:v>19.146625600936868</c:v>
                </c:pt>
                <c:pt idx="12">
                  <c:v>20.021108912652217</c:v>
                </c:pt>
                <c:pt idx="13">
                  <c:v>20.894467830623327</c:v>
                </c:pt>
                <c:pt idx="14">
                  <c:v>21.766802639570642</c:v>
                </c:pt>
                <c:pt idx="15">
                  <c:v>22.63821671831321</c:v>
                </c:pt>
                <c:pt idx="16">
                  <c:v>23.508816657517347</c:v>
                </c:pt>
                <c:pt idx="17">
                  <c:v>23.744707381669507</c:v>
                </c:pt>
                <c:pt idx="18">
                  <c:v>23.98657727543188</c:v>
                </c:pt>
                <c:pt idx="19">
                  <c:v>24.234543314544585</c:v>
                </c:pt>
                <c:pt idx="20">
                  <c:v>24.488726201444699</c:v>
                </c:pt>
                <c:pt idx="21">
                  <c:v>24.749250505778342</c:v>
                </c:pt>
                <c:pt idx="22">
                  <c:v>25.016244809988638</c:v>
                </c:pt>
                <c:pt idx="23">
                  <c:v>25.289841860168735</c:v>
                </c:pt>
                <c:pt idx="24">
                  <c:v>25.570178722376419</c:v>
                </c:pt>
                <c:pt idx="25">
                  <c:v>25.857396944613509</c:v>
                </c:pt>
                <c:pt idx="26">
                  <c:v>26.151642724681139</c:v>
                </c:pt>
                <c:pt idx="27">
                  <c:v>26.453067084129188</c:v>
                </c:pt>
                <c:pt idx="28">
                  <c:v>26.761826048526586</c:v>
                </c:pt>
                <c:pt idx="29">
                  <c:v>27.078080834287082</c:v>
                </c:pt>
                <c:pt idx="30">
                  <c:v>27.401998042293794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1-E74B-A926-1619CF80B814}"/>
            </c:ext>
          </c:extLst>
        </c:ser>
        <c:ser>
          <c:idx val="2"/>
          <c:order val="2"/>
          <c:tx>
            <c:strRef>
              <c:f>Energy!$A$21:$C$21</c:f>
              <c:strCache>
                <c:ptCount val="3"/>
                <c:pt idx="0">
                  <c:v>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ysDot"/>
              <a:round/>
            </a:ln>
          </c:spPr>
          <c:marker>
            <c:symbol val="none"/>
          </c:marker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3-1071-E74B-A926-1619CF80B814}"/>
              </c:ext>
            </c:extLst>
          </c:dPt>
          <c:dLbls>
            <c:dLbl>
              <c:idx val="3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71-E74B-A926-1619CF80B8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Energy!$D$21:$AH$21</c:f>
              <c:numCache>
                <c:formatCode>0.00</c:formatCode>
                <c:ptCount val="31"/>
                <c:pt idx="0">
                  <c:v>13.610757718130193</c:v>
                </c:pt>
                <c:pt idx="1">
                  <c:v>13.800547682053207</c:v>
                </c:pt>
                <c:pt idx="2">
                  <c:v>13.994775462582732</c:v>
                </c:pt>
                <c:pt idx="3">
                  <c:v>14.1935090468145</c:v>
                </c:pt>
                <c:pt idx="4">
                  <c:v>14.396818713596335</c:v>
                </c:pt>
                <c:pt idx="5">
                  <c:v>14.604777110025021</c:v>
                </c:pt>
                <c:pt idx="6">
                  <c:v>14.817459330824017</c:v>
                </c:pt>
                <c:pt idx="7">
                  <c:v>15.635544758500204</c:v>
                </c:pt>
                <c:pt idx="8">
                  <c:v>16.515470507707274</c:v>
                </c:pt>
                <c:pt idx="9">
                  <c:v>17.393899449746105</c:v>
                </c:pt>
                <c:pt idx="10">
                  <c:v>18.270920591178317</c:v>
                </c:pt>
                <c:pt idx="11">
                  <c:v>19.146625600936868</c:v>
                </c:pt>
                <c:pt idx="12">
                  <c:v>20.021108912652217</c:v>
                </c:pt>
                <c:pt idx="13">
                  <c:v>20.894467830623327</c:v>
                </c:pt>
                <c:pt idx="14">
                  <c:v>21.766802639570642</c:v>
                </c:pt>
                <c:pt idx="15">
                  <c:v>22.63821671831321</c:v>
                </c:pt>
                <c:pt idx="16">
                  <c:v>23.508816657517347</c:v>
                </c:pt>
                <c:pt idx="17">
                  <c:v>23.744707381669507</c:v>
                </c:pt>
                <c:pt idx="18">
                  <c:v>23.98657727543188</c:v>
                </c:pt>
                <c:pt idx="19">
                  <c:v>24.234543314544585</c:v>
                </c:pt>
                <c:pt idx="20">
                  <c:v>24.488726201444699</c:v>
                </c:pt>
                <c:pt idx="21">
                  <c:v>24.749250505778342</c:v>
                </c:pt>
                <c:pt idx="22">
                  <c:v>25.016244809988638</c:v>
                </c:pt>
                <c:pt idx="23">
                  <c:v>25.289841860168735</c:v>
                </c:pt>
                <c:pt idx="24">
                  <c:v>25.570178722376419</c:v>
                </c:pt>
                <c:pt idx="25">
                  <c:v>25.857396944613509</c:v>
                </c:pt>
                <c:pt idx="26">
                  <c:v>26.151642724681139</c:v>
                </c:pt>
                <c:pt idx="27">
                  <c:v>26.453067084129188</c:v>
                </c:pt>
                <c:pt idx="28">
                  <c:v>26.761826048526586</c:v>
                </c:pt>
                <c:pt idx="29">
                  <c:v>27.078080834287082</c:v>
                </c:pt>
                <c:pt idx="30">
                  <c:v>27.401998042293794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71-E74B-A926-1619CF80B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445995"/>
        <c:axId val="88077870"/>
      </c:lineChart>
      <c:catAx>
        <c:axId val="17445995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88077870"/>
        <c:crosses val="autoZero"/>
        <c:auto val="1"/>
        <c:lblAlgn val="ctr"/>
        <c:lblOffset val="100"/>
        <c:noMultiLvlLbl val="0"/>
      </c:catAx>
      <c:valAx>
        <c:axId val="880778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Petejoules (PJ)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174459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Supply vs Demand (M m³/yr) -Conditional-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6059.6921628399505</c:v>
                </c:pt>
                <c:pt idx="1">
                  <c:v>6156.0564450984248</c:v>
                </c:pt>
                <c:pt idx="2">
                  <c:v>6250.7089606716991</c:v>
                </c:pt>
                <c:pt idx="3">
                  <c:v>6343.689292880953</c:v>
                </c:pt>
                <c:pt idx="4">
                  <c:v>6435.0368317661923</c:v>
                </c:pt>
                <c:pt idx="5">
                  <c:v>6524.7907837975736</c:v>
                </c:pt>
                <c:pt idx="6">
                  <c:v>6612.9901815949561</c:v>
                </c:pt>
                <c:pt idx="7">
                  <c:v>6739.6984046017715</c:v>
                </c:pt>
                <c:pt idx="8">
                  <c:v>6830.7888039146947</c:v>
                </c:pt>
                <c:pt idx="9">
                  <c:v>6920.6224940027096</c:v>
                </c:pt>
                <c:pt idx="10">
                  <c:v>7009.2378937268386</c:v>
                </c:pt>
                <c:pt idx="11">
                  <c:v>7096.6732670272604</c:v>
                </c:pt>
                <c:pt idx="12">
                  <c:v>7182.9667332657464</c:v>
                </c:pt>
                <c:pt idx="13">
                  <c:v>7268.1562775932571</c:v>
                </c:pt>
                <c:pt idx="14">
                  <c:v>7352.2797613460125</c:v>
                </c:pt>
                <c:pt idx="15">
                  <c:v>7435.3749324734181</c:v>
                </c:pt>
                <c:pt idx="16">
                  <c:v>7517.4794360012529</c:v>
                </c:pt>
                <c:pt idx="17">
                  <c:v>7598.6308245335194</c:v>
                </c:pt>
                <c:pt idx="18">
                  <c:v>7678.866568796373</c:v>
                </c:pt>
                <c:pt idx="19">
                  <c:v>7758.2240682276388</c:v>
                </c:pt>
                <c:pt idx="20">
                  <c:v>7836.7406616153439</c:v>
                </c:pt>
                <c:pt idx="21">
                  <c:v>7914.4536377888144</c:v>
                </c:pt>
                <c:pt idx="22">
                  <c:v>7991.4002463658671</c:v>
                </c:pt>
                <c:pt idx="23">
                  <c:v>8067.6177085596555</c:v>
                </c:pt>
                <c:pt idx="24">
                  <c:v>8143.1432280487788</c:v>
                </c:pt>
                <c:pt idx="25">
                  <c:v>8218.0140019142891</c:v>
                </c:pt>
                <c:pt idx="26">
                  <c:v>8292.2672316472472</c:v>
                </c:pt>
                <c:pt idx="27">
                  <c:v>8365.9401342305337</c:v>
                </c:pt>
                <c:pt idx="28">
                  <c:v>8439.0699532986546</c:v>
                </c:pt>
                <c:pt idx="29">
                  <c:v>8511.6939703793068</c:v>
                </c:pt>
                <c:pt idx="30">
                  <c:v>8583.8495162205127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1-254A-975A-826E72172D6B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1-254A-975A-826E72172D6B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14.725489057137942</c:v>
                </c:pt>
                <c:pt idx="8">
                  <c:v>63.591830201647646</c:v>
                </c:pt>
                <c:pt idx="9">
                  <c:v>112.27647848127944</c:v>
                </c:pt>
                <c:pt idx="10">
                  <c:v>160.77944972615859</c:v>
                </c:pt>
                <c:pt idx="11">
                  <c:v>209.10078967058243</c:v>
                </c:pt>
                <c:pt idx="12">
                  <c:v>257.24057344708592</c:v>
                </c:pt>
                <c:pt idx="13">
                  <c:v>305.19890508624633</c:v>
                </c:pt>
                <c:pt idx="14">
                  <c:v>352.97591702217233</c:v>
                </c:pt>
                <c:pt idx="15">
                  <c:v>400.571769603625</c:v>
                </c:pt>
                <c:pt idx="16">
                  <c:v>447.98665061071688</c:v>
                </c:pt>
                <c:pt idx="17">
                  <c:v>440.47077477713759</c:v>
                </c:pt>
                <c:pt idx="18">
                  <c:v>432.77438331785265</c:v>
                </c:pt>
                <c:pt idx="19">
                  <c:v>424.89774346222532</c:v>
                </c:pt>
                <c:pt idx="20">
                  <c:v>416.84114799250932</c:v>
                </c:pt>
                <c:pt idx="21">
                  <c:v>408.60491478766164</c:v>
                </c:pt>
                <c:pt idx="22">
                  <c:v>400.18938637242582</c:v>
                </c:pt>
                <c:pt idx="23">
                  <c:v>391.59492947163466</c:v>
                </c:pt>
                <c:pt idx="24">
                  <c:v>382.82193456968452</c:v>
                </c:pt>
                <c:pt idx="25">
                  <c:v>373.8708154751302</c:v>
                </c:pt>
                <c:pt idx="26">
                  <c:v>364.74200889035319</c:v>
                </c:pt>
                <c:pt idx="27">
                  <c:v>355.43597398625434</c:v>
                </c:pt>
                <c:pt idx="28">
                  <c:v>345.9531919819234</c:v>
                </c:pt>
                <c:pt idx="29">
                  <c:v>336.29416572923748</c:v>
                </c:pt>
                <c:pt idx="30">
                  <c:v>326.45941930234289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11-254A-975A-826E72172D6B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7.8422197749500002</c:v>
                </c:pt>
                <c:pt idx="1">
                  <c:v>16.95714505383653</c:v>
                </c:pt>
                <c:pt idx="2">
                  <c:v>26.30922124360092</c:v>
                </c:pt>
                <c:pt idx="3">
                  <c:v>35.894206480906618</c:v>
                </c:pt>
                <c:pt idx="4">
                  <c:v>45.707903604683125</c:v>
                </c:pt>
                <c:pt idx="5">
                  <c:v>55.746159774087921</c:v>
                </c:pt>
                <c:pt idx="6">
                  <c:v>66.004866089376534</c:v>
                </c:pt>
                <c:pt idx="7">
                  <c:v>76.479957215659979</c:v>
                </c:pt>
                <c:pt idx="8">
                  <c:v>87.1674110095298</c:v>
                </c:pt>
                <c:pt idx="9">
                  <c:v>98.063248148529368</c:v>
                </c:pt>
                <c:pt idx="10">
                  <c:v>109.16353176345264</c:v>
                </c:pt>
                <c:pt idx="11">
                  <c:v>120.4643670734489</c:v>
                </c:pt>
                <c:pt idx="12">
                  <c:v>131.96190102391498</c:v>
                </c:pt>
                <c:pt idx="13">
                  <c:v>143.65232192715405</c:v>
                </c:pt>
                <c:pt idx="14">
                  <c:v>155.53185910578233</c:v>
                </c:pt>
                <c:pt idx="15">
                  <c:v>167.59678253886366</c:v>
                </c:pt>
                <c:pt idx="16">
                  <c:v>179.84340251075258</c:v>
                </c:pt>
                <c:pt idx="17">
                  <c:v>192.26806926262711</c:v>
                </c:pt>
                <c:pt idx="18">
                  <c:v>204.86717264669176</c:v>
                </c:pt>
                <c:pt idx="19">
                  <c:v>217.63714178303201</c:v>
                </c:pt>
                <c:pt idx="20">
                  <c:v>230.57444471910122</c:v>
                </c:pt>
                <c:pt idx="21">
                  <c:v>243.67558809182165</c:v>
                </c:pt>
                <c:pt idx="22">
                  <c:v>256.93711679228062</c:v>
                </c:pt>
                <c:pt idx="23">
                  <c:v>270.35561363300349</c:v>
                </c:pt>
                <c:pt idx="24">
                  <c:v>283.92769901778536</c:v>
                </c:pt>
                <c:pt idx="25">
                  <c:v>297.65003061406253</c:v>
                </c:pt>
                <c:pt idx="26">
                  <c:v>311.51930302780704</c:v>
                </c:pt>
                <c:pt idx="27">
                  <c:v>325.53224748092481</c:v>
                </c:pt>
                <c:pt idx="28">
                  <c:v>339.68563149114044</c:v>
                </c:pt>
                <c:pt idx="29">
                  <c:v>353.97625855435058</c:v>
                </c:pt>
                <c:pt idx="30">
                  <c:v>368.40096782942845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11-254A-975A-826E72172D6B}"/>
            </c:ext>
          </c:extLst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Summary!$G$122:$G$152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58.805999999999997</c:v>
                </c:pt>
                <c:pt idx="3">
                  <c:v>58.217939999999992</c:v>
                </c:pt>
                <c:pt idx="4">
                  <c:v>57.635760599999998</c:v>
                </c:pt>
                <c:pt idx="5">
                  <c:v>57.059402993999996</c:v>
                </c:pt>
                <c:pt idx="6">
                  <c:v>56.488808964059992</c:v>
                </c:pt>
                <c:pt idx="7">
                  <c:v>55.923920874419395</c:v>
                </c:pt>
                <c:pt idx="8">
                  <c:v>55.364681665675199</c:v>
                </c:pt>
                <c:pt idx="9">
                  <c:v>54.811034849018441</c:v>
                </c:pt>
                <c:pt idx="10">
                  <c:v>54.262924500528257</c:v>
                </c:pt>
                <c:pt idx="11">
                  <c:v>53.720295255522977</c:v>
                </c:pt>
                <c:pt idx="12">
                  <c:v>53.183092302967751</c:v>
                </c:pt>
                <c:pt idx="13">
                  <c:v>52.651261379938063</c:v>
                </c:pt>
                <c:pt idx="14">
                  <c:v>52.124748766138687</c:v>
                </c:pt>
                <c:pt idx="15">
                  <c:v>51.603501278477296</c:v>
                </c:pt>
                <c:pt idx="16">
                  <c:v>51.087466265692527</c:v>
                </c:pt>
                <c:pt idx="17">
                  <c:v>50.576591603035595</c:v>
                </c:pt>
                <c:pt idx="18">
                  <c:v>50.07082568700524</c:v>
                </c:pt>
                <c:pt idx="19">
                  <c:v>49.570117430135184</c:v>
                </c:pt>
                <c:pt idx="20">
                  <c:v>49.074416255833839</c:v>
                </c:pt>
                <c:pt idx="21">
                  <c:v>48.583672093275496</c:v>
                </c:pt>
                <c:pt idx="22">
                  <c:v>48.097835372342736</c:v>
                </c:pt>
                <c:pt idx="23">
                  <c:v>47.616857018619314</c:v>
                </c:pt>
                <c:pt idx="24">
                  <c:v>47.140688448433117</c:v>
                </c:pt>
                <c:pt idx="25">
                  <c:v>46.669281563948786</c:v>
                </c:pt>
                <c:pt idx="26">
                  <c:v>46.202588748309296</c:v>
                </c:pt>
                <c:pt idx="27">
                  <c:v>45.740562860826209</c:v>
                </c:pt>
                <c:pt idx="28">
                  <c:v>45.283157232217938</c:v>
                </c:pt>
                <c:pt idx="29">
                  <c:v>44.830325659895756</c:v>
                </c:pt>
                <c:pt idx="30">
                  <c:v>44.382022403296808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11-254A-975A-826E72172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670592"/>
        <c:axId val="68180644"/>
      </c:barChart>
      <c:lineChart>
        <c:grouping val="stacked"/>
        <c:varyColors val="0"/>
        <c:ser>
          <c:idx val="5"/>
          <c:order val="5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440" cap="rnd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Summary!$G$202:$G$232</c:f>
              <c:numCache>
                <c:formatCode>General</c:formatCode>
                <c:ptCount val="31"/>
                <c:pt idx="0">
                  <c:v>7039.5343826149001</c:v>
                </c:pt>
                <c:pt idx="1">
                  <c:v>7126.1735901522607</c:v>
                </c:pt>
                <c:pt idx="2">
                  <c:v>7211.7089819152989</c:v>
                </c:pt>
                <c:pt idx="3">
                  <c:v>7296.1685433618586</c:v>
                </c:pt>
                <c:pt idx="4">
                  <c:v>7379.5802578908751</c:v>
                </c:pt>
                <c:pt idx="5">
                  <c:v>7461.9721132472614</c:v>
                </c:pt>
                <c:pt idx="6">
                  <c:v>7543.3721079963598</c:v>
                </c:pt>
                <c:pt idx="7">
                  <c:v>7678.5582580699975</c:v>
                </c:pt>
                <c:pt idx="8">
                  <c:v>7812.8086033861346</c:v>
                </c:pt>
                <c:pt idx="9">
                  <c:v>7946.151214544233</c:v>
                </c:pt>
                <c:pt idx="10">
                  <c:v>8078.6141995984208</c:v>
                </c:pt>
                <c:pt idx="11">
                  <c:v>8210.2257109106285</c:v>
                </c:pt>
                <c:pt idx="12">
                  <c:v>8341.013952085852</c:v>
                </c:pt>
                <c:pt idx="13">
                  <c:v>8471.0071849918095</c:v>
                </c:pt>
                <c:pt idx="14">
                  <c:v>8600.2337368652152</c:v>
                </c:pt>
                <c:pt idx="15">
                  <c:v>8728.7220075069908</c:v>
                </c:pt>
                <c:pt idx="16">
                  <c:v>8856.50047656877</c:v>
                </c:pt>
                <c:pt idx="17">
                  <c:v>8928.8477109330688</c:v>
                </c:pt>
                <c:pt idx="18">
                  <c:v>9000.5423721895368</c:v>
                </c:pt>
                <c:pt idx="19">
                  <c:v>9071.613224209812</c:v>
                </c:pt>
                <c:pt idx="20">
                  <c:v>9142.0891408234347</c:v>
                </c:pt>
                <c:pt idx="21">
                  <c:v>9211.9991135974069</c:v>
                </c:pt>
                <c:pt idx="22">
                  <c:v>9281.372259722033</c:v>
                </c:pt>
                <c:pt idx="23">
                  <c:v>9350.2378300056462</c:v>
                </c:pt>
                <c:pt idx="24">
                  <c:v>9418.6252169809613</c:v>
                </c:pt>
                <c:pt idx="25">
                  <c:v>9486.5639631257836</c:v>
                </c:pt>
                <c:pt idx="26">
                  <c:v>9554.0837692009045</c:v>
                </c:pt>
                <c:pt idx="27">
                  <c:v>9621.2145027079823</c:v>
                </c:pt>
                <c:pt idx="28">
                  <c:v>9687.9862064703902</c:v>
                </c:pt>
                <c:pt idx="29">
                  <c:v>9754.4291073399145</c:v>
                </c:pt>
                <c:pt idx="30">
                  <c:v>9820.5736250323625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11-254A-975A-826E72172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670592"/>
        <c:axId val="68180644"/>
      </c:lineChart>
      <c:catAx>
        <c:axId val="47670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68180644"/>
        <c:crosses val="autoZero"/>
        <c:auto val="1"/>
        <c:lblAlgn val="ctr"/>
        <c:lblOffset val="100"/>
        <c:noMultiLvlLbl val="0"/>
      </c:catAx>
      <c:valAx>
        <c:axId val="681806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476705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Supply vs Demand (M m³/yr) -BAU-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Summary!$C$153:$C$183</c:f>
              <c:numCache>
                <c:formatCode>#,##0.0</c:formatCode>
                <c:ptCount val="31"/>
                <c:pt idx="0">
                  <c:v>6059.6921628399505</c:v>
                </c:pt>
                <c:pt idx="1">
                  <c:v>6164.4025399296097</c:v>
                </c:pt>
                <c:pt idx="2">
                  <c:v>6267.6220314711563</c:v>
                </c:pt>
                <c:pt idx="3">
                  <c:v>6369.3862816116016</c:v>
                </c:pt>
                <c:pt idx="4">
                  <c:v>6469.7307826950473</c:v>
                </c:pt>
                <c:pt idx="5">
                  <c:v>6568.6908846196675</c:v>
                </c:pt>
                <c:pt idx="6">
                  <c:v>6666.3018042056065</c:v>
                </c:pt>
                <c:pt idx="7">
                  <c:v>6768.7436659652412</c:v>
                </c:pt>
                <c:pt idx="8">
                  <c:v>6864.062509680185</c:v>
                </c:pt>
                <c:pt idx="9">
                  <c:v>6958.1316864195223</c:v>
                </c:pt>
                <c:pt idx="10">
                  <c:v>7050.9855687120507</c:v>
                </c:pt>
                <c:pt idx="11">
                  <c:v>7142.6584519036651</c:v>
                </c:pt>
                <c:pt idx="12">
                  <c:v>7233.1845635458058</c:v>
                </c:pt>
                <c:pt idx="13">
                  <c:v>7322.5980728185305</c:v>
                </c:pt>
                <c:pt idx="14">
                  <c:v>7410.9330999913973</c:v>
                </c:pt>
                <c:pt idx="15">
                  <c:v>7498.2237259254916</c:v>
                </c:pt>
                <c:pt idx="16">
                  <c:v>7584.5040016198936</c:v>
                </c:pt>
                <c:pt idx="17">
                  <c:v>7669.8079578059405</c:v>
                </c:pt>
                <c:pt idx="18">
                  <c:v>7754.1696145925835</c:v>
                </c:pt>
                <c:pt idx="19">
                  <c:v>7837.622991166294</c:v>
                </c:pt>
                <c:pt idx="20">
                  <c:v>7920.2021155488783</c:v>
                </c:pt>
                <c:pt idx="21">
                  <c:v>8001.9410344166208</c:v>
                </c:pt>
                <c:pt idx="22">
                  <c:v>8082.8738229842811</c:v>
                </c:pt>
                <c:pt idx="23">
                  <c:v>8163.0345949573712</c:v>
                </c:pt>
                <c:pt idx="24">
                  <c:v>8242.4575125562769</c:v>
                </c:pt>
                <c:pt idx="25">
                  <c:v>8321.1767966157531</c:v>
                </c:pt>
                <c:pt idx="26">
                  <c:v>8399.2267367634267</c:v>
                </c:pt>
                <c:pt idx="27">
                  <c:v>8476.64170168085</c:v>
                </c:pt>
                <c:pt idx="28">
                  <c:v>8553.4561494508853</c:v>
                </c:pt>
                <c:pt idx="29">
                  <c:v>8629.7046379949861</c:v>
                </c:pt>
                <c:pt idx="30">
                  <c:v>8705.421835604222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F-A94A-B2CD-2E42074F2A9B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Summary!$D$153:$D$183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F-A94A-B2CD-2E42074F2A9B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Summary!$E$153:$E$183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F-A94A-B2CD-2E42074F2A9B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Summary!$F$153:$F$183</c:f>
              <c:numCache>
                <c:formatCode>#,##0.0</c:formatCode>
                <c:ptCount val="31"/>
                <c:pt idx="0">
                  <c:v>7.8422197749500002</c:v>
                </c:pt>
                <c:pt idx="1">
                  <c:v>8.6110502226513645</c:v>
                </c:pt>
                <c:pt idx="2">
                  <c:v>9.3961504441431867</c:v>
                </c:pt>
                <c:pt idx="3">
                  <c:v>10.197217750257561</c:v>
                </c:pt>
                <c:pt idx="4">
                  <c:v>11.013952675827259</c:v>
                </c:pt>
                <c:pt idx="5">
                  <c:v>11.846058951993687</c:v>
                </c:pt>
                <c:pt idx="6">
                  <c:v>12.693243478726256</c:v>
                </c:pt>
                <c:pt idx="7">
                  <c:v>7.4101849093282492</c:v>
                </c:pt>
                <c:pt idx="8">
                  <c:v>7.9855354456854011</c:v>
                </c:pt>
                <c:pt idx="9">
                  <c:v>8.5805342129963194</c:v>
                </c:pt>
                <c:pt idx="10">
                  <c:v>9.195306504398939</c:v>
                </c:pt>
                <c:pt idx="11">
                  <c:v>9.8299718676271439</c:v>
                </c:pt>
                <c:pt idx="12">
                  <c:v>10.484644190941186</c:v>
                </c:pt>
                <c:pt idx="13">
                  <c:v>11.159431788126373</c:v>
                </c:pt>
                <c:pt idx="14">
                  <c:v>11.854437482568521</c:v>
                </c:pt>
                <c:pt idx="15">
                  <c:v>12.569758690414773</c:v>
                </c:pt>
                <c:pt idx="16">
                  <c:v>13.305487502828036</c:v>
                </c:pt>
                <c:pt idx="17">
                  <c:v>14.061710767343449</c:v>
                </c:pt>
                <c:pt idx="18">
                  <c:v>14.838510168335148</c:v>
                </c:pt>
                <c:pt idx="19">
                  <c:v>15.635962306601458</c:v>
                </c:pt>
                <c:pt idx="20">
                  <c:v>16.454138778076707</c:v>
                </c:pt>
                <c:pt idx="21">
                  <c:v>17.293106251677663</c:v>
                </c:pt>
                <c:pt idx="22">
                  <c:v>18.152926546292662</c:v>
                </c:pt>
                <c:pt idx="23">
                  <c:v>19.033656706921217</c:v>
                </c:pt>
                <c:pt idx="24">
                  <c:v>19.935349079972163</c:v>
                </c:pt>
                <c:pt idx="25">
                  <c:v>20.858051387727865</c:v>
                </c:pt>
                <c:pt idx="26">
                  <c:v>21.801806801982551</c:v>
                </c:pt>
                <c:pt idx="27">
                  <c:v>22.766654016862141</c:v>
                </c:pt>
                <c:pt idx="28">
                  <c:v>23.752627320833305</c:v>
                </c:pt>
                <c:pt idx="29">
                  <c:v>24.759756667909301</c:v>
                </c:pt>
                <c:pt idx="30">
                  <c:v>25.788067748059987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7F-A94A-B2CD-2E42074F2A9B}"/>
            </c:ext>
          </c:extLst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Summary!$G$153:$G$183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58.805999999999997</c:v>
                </c:pt>
                <c:pt idx="3">
                  <c:v>58.217939999999992</c:v>
                </c:pt>
                <c:pt idx="4">
                  <c:v>57.635760599999998</c:v>
                </c:pt>
                <c:pt idx="5">
                  <c:v>57.059402993999996</c:v>
                </c:pt>
                <c:pt idx="6">
                  <c:v>56.488808964059992</c:v>
                </c:pt>
                <c:pt idx="7">
                  <c:v>55.923920874419395</c:v>
                </c:pt>
                <c:pt idx="8">
                  <c:v>55.364681665675199</c:v>
                </c:pt>
                <c:pt idx="9">
                  <c:v>54.811034849018441</c:v>
                </c:pt>
                <c:pt idx="10">
                  <c:v>54.262924500528257</c:v>
                </c:pt>
                <c:pt idx="11">
                  <c:v>53.720295255522977</c:v>
                </c:pt>
                <c:pt idx="12">
                  <c:v>53.183092302967751</c:v>
                </c:pt>
                <c:pt idx="13">
                  <c:v>52.651261379938063</c:v>
                </c:pt>
                <c:pt idx="14">
                  <c:v>52.124748766138687</c:v>
                </c:pt>
                <c:pt idx="15">
                  <c:v>51.603501278477296</c:v>
                </c:pt>
                <c:pt idx="16">
                  <c:v>51.087466265692527</c:v>
                </c:pt>
                <c:pt idx="17">
                  <c:v>50.576591603035595</c:v>
                </c:pt>
                <c:pt idx="18">
                  <c:v>50.07082568700524</c:v>
                </c:pt>
                <c:pt idx="19">
                  <c:v>49.570117430135184</c:v>
                </c:pt>
                <c:pt idx="20">
                  <c:v>49.074416255833839</c:v>
                </c:pt>
                <c:pt idx="21">
                  <c:v>48.583672093275496</c:v>
                </c:pt>
                <c:pt idx="22">
                  <c:v>48.097835372342736</c:v>
                </c:pt>
                <c:pt idx="23">
                  <c:v>47.616857018619314</c:v>
                </c:pt>
                <c:pt idx="24">
                  <c:v>47.140688448433117</c:v>
                </c:pt>
                <c:pt idx="25">
                  <c:v>46.669281563948786</c:v>
                </c:pt>
                <c:pt idx="26">
                  <c:v>46.202588748309296</c:v>
                </c:pt>
                <c:pt idx="27">
                  <c:v>45.740562860826209</c:v>
                </c:pt>
                <c:pt idx="28">
                  <c:v>45.283157232217938</c:v>
                </c:pt>
                <c:pt idx="29">
                  <c:v>44.830325659895756</c:v>
                </c:pt>
                <c:pt idx="30">
                  <c:v>44.382022403296808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F-A94A-B2CD-2E42074F2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24793"/>
        <c:axId val="12454496"/>
      </c:barChart>
      <c:lineChart>
        <c:grouping val="stacked"/>
        <c:varyColors val="0"/>
        <c:ser>
          <c:idx val="5"/>
          <c:order val="5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440" cap="rnd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Summary!$G$233:$G$263</c:f>
              <c:numCache>
                <c:formatCode>General</c:formatCode>
                <c:ptCount val="31"/>
                <c:pt idx="0">
                  <c:v>7039.5343826149001</c:v>
                </c:pt>
                <c:pt idx="1">
                  <c:v>7126.1735901522607</c:v>
                </c:pt>
                <c:pt idx="2">
                  <c:v>7211.7089819152989</c:v>
                </c:pt>
                <c:pt idx="3">
                  <c:v>7296.1685433618586</c:v>
                </c:pt>
                <c:pt idx="4">
                  <c:v>7379.5802578908751</c:v>
                </c:pt>
                <c:pt idx="5">
                  <c:v>7461.9721132472614</c:v>
                </c:pt>
                <c:pt idx="6">
                  <c:v>7543.3721079963598</c:v>
                </c:pt>
                <c:pt idx="7">
                  <c:v>7623.8082580699975</c:v>
                </c:pt>
                <c:pt idx="8">
                  <c:v>7703.3086033861346</c:v>
                </c:pt>
                <c:pt idx="9">
                  <c:v>7781.901214544233</c:v>
                </c:pt>
                <c:pt idx="10">
                  <c:v>7859.6141995984208</c:v>
                </c:pt>
                <c:pt idx="11">
                  <c:v>7936.4757109106276</c:v>
                </c:pt>
                <c:pt idx="12">
                  <c:v>8012.513952085852</c:v>
                </c:pt>
                <c:pt idx="13">
                  <c:v>8087.7571849918095</c:v>
                </c:pt>
                <c:pt idx="14">
                  <c:v>8162.2337368652152</c:v>
                </c:pt>
                <c:pt idx="15">
                  <c:v>8235.9720075069908</c:v>
                </c:pt>
                <c:pt idx="16">
                  <c:v>8309.00047656877</c:v>
                </c:pt>
                <c:pt idx="17">
                  <c:v>8381.3477109330688</c:v>
                </c:pt>
                <c:pt idx="18">
                  <c:v>8453.0423721895368</c:v>
                </c:pt>
                <c:pt idx="19">
                  <c:v>8524.113224209812</c:v>
                </c:pt>
                <c:pt idx="20">
                  <c:v>8594.5891408234347</c:v>
                </c:pt>
                <c:pt idx="21">
                  <c:v>8664.4991135974069</c:v>
                </c:pt>
                <c:pt idx="22">
                  <c:v>8733.872259722033</c:v>
                </c:pt>
                <c:pt idx="23">
                  <c:v>8802.7378300056462</c:v>
                </c:pt>
                <c:pt idx="24">
                  <c:v>8871.1252169809613</c:v>
                </c:pt>
                <c:pt idx="25">
                  <c:v>8939.0639631257836</c:v>
                </c:pt>
                <c:pt idx="26">
                  <c:v>9006.5837692009045</c:v>
                </c:pt>
                <c:pt idx="27">
                  <c:v>9073.7145027079823</c:v>
                </c:pt>
                <c:pt idx="28">
                  <c:v>9140.4862064703902</c:v>
                </c:pt>
                <c:pt idx="29">
                  <c:v>9206.9291073399145</c:v>
                </c:pt>
                <c:pt idx="30">
                  <c:v>9273.0736250323625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7F-A94A-B2CD-2E42074F2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724793"/>
        <c:axId val="12454496"/>
      </c:lineChart>
      <c:catAx>
        <c:axId val="757247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12454496"/>
        <c:crosses val="autoZero"/>
        <c:auto val="1"/>
        <c:lblAlgn val="ctr"/>
        <c:lblOffset val="100"/>
        <c:noMultiLvlLbl val="0"/>
      </c:catAx>
      <c:valAx>
        <c:axId val="12454496"/>
        <c:scaling>
          <c:orientation val="minMax"/>
          <c:max val="12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757247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Demand by Source -Conditional-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#,##0.0</c:formatCode>
                <c:ptCount val="31"/>
                <c:pt idx="0">
                  <c:v>784.22197749500003</c:v>
                </c:pt>
                <c:pt idx="1">
                  <c:v>794.86617439858742</c:v>
                </c:pt>
                <c:pt idx="2">
                  <c:v>805.38432378370169</c:v>
                </c:pt>
                <c:pt idx="3">
                  <c:v>815.77742002060484</c:v>
                </c:pt>
                <c:pt idx="4">
                  <c:v>826.0464506870444</c:v>
                </c:pt>
                <c:pt idx="5">
                  <c:v>836.19239661131905</c:v>
                </c:pt>
                <c:pt idx="6">
                  <c:v>846.21623191508377</c:v>
                </c:pt>
                <c:pt idx="7">
                  <c:v>856.11892405589538</c:v>
                </c:pt>
                <c:pt idx="8">
                  <c:v>865.90143386950137</c:v>
                </c:pt>
                <c:pt idx="9">
                  <c:v>875.56471561186947</c:v>
                </c:pt>
                <c:pt idx="10">
                  <c:v>885.10971700096752</c:v>
                </c:pt>
                <c:pt idx="11">
                  <c:v>894.53737925828398</c:v>
                </c:pt>
                <c:pt idx="12">
                  <c:v>903.84863715010238</c:v>
                </c:pt>
                <c:pt idx="13">
                  <c:v>913.04441902852136</c:v>
                </c:pt>
                <c:pt idx="14">
                  <c:v>922.12564687222732</c:v>
                </c:pt>
                <c:pt idx="15">
                  <c:v>931.09323632702035</c:v>
                </c:pt>
                <c:pt idx="16">
                  <c:v>939.9480967460936</c:v>
                </c:pt>
                <c:pt idx="17">
                  <c:v>948.69113123006798</c:v>
                </c:pt>
                <c:pt idx="18">
                  <c:v>957.32323666678394</c:v>
                </c:pt>
                <c:pt idx="19">
                  <c:v>965.84530377085218</c:v>
                </c:pt>
                <c:pt idx="20">
                  <c:v>974.25821712296306</c:v>
                </c:pt>
                <c:pt idx="21">
                  <c:v>982.56285520895824</c:v>
                </c:pt>
                <c:pt idx="22">
                  <c:v>990.76009045866579</c:v>
                </c:pt>
                <c:pt idx="23">
                  <c:v>998.8507892844957</c:v>
                </c:pt>
                <c:pt idx="24">
                  <c:v>1006.8358121198061</c:v>
                </c:pt>
                <c:pt idx="25">
                  <c:v>1014.7160134570314</c:v>
                </c:pt>
                <c:pt idx="26">
                  <c:v>1022.4922418855811</c:v>
                </c:pt>
                <c:pt idx="27">
                  <c:v>1030.1653401295089</c:v>
                </c:pt>
                <c:pt idx="28">
                  <c:v>1037.7361450849505</c:v>
                </c:pt>
                <c:pt idx="29">
                  <c:v>1045.2054878573344</c:v>
                </c:pt>
                <c:pt idx="30">
                  <c:v>1052.5741937983671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4-FF44-B4E5-31CEAF1B2139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#,##0.0</c:formatCode>
                <c:ptCount val="31"/>
                <c:pt idx="0">
                  <c:v>389.62701858989999</c:v>
                </c:pt>
                <c:pt idx="1">
                  <c:v>403.93296803511453</c:v>
                </c:pt>
                <c:pt idx="2">
                  <c:v>418.62357806823337</c:v>
                </c:pt>
                <c:pt idx="3">
                  <c:v>433.70798901525569</c:v>
                </c:pt>
                <c:pt idx="4">
                  <c:v>449.19554435252496</c:v>
                </c:pt>
                <c:pt idx="5">
                  <c:v>465.09579503632892</c:v>
                </c:pt>
                <c:pt idx="6">
                  <c:v>481.41850392215304</c:v>
                </c:pt>
                <c:pt idx="7">
                  <c:v>498.17365027540257</c:v>
                </c:pt>
                <c:pt idx="8">
                  <c:v>515.37143437544944</c:v>
                </c:pt>
                <c:pt idx="9">
                  <c:v>533.02228221489327</c:v>
                </c:pt>
                <c:pt idx="10">
                  <c:v>551.13685029596729</c:v>
                </c:pt>
                <c:pt idx="11">
                  <c:v>569.72603052605507</c:v>
                </c:pt>
                <c:pt idx="12">
                  <c:v>588.80095521432304</c:v>
                </c:pt>
                <c:pt idx="13">
                  <c:v>608.3730021715196</c:v>
                </c:pt>
                <c:pt idx="14">
                  <c:v>628.45379991502341</c:v>
                </c:pt>
                <c:pt idx="15">
                  <c:v>649.05523298127218</c:v>
                </c:pt>
                <c:pt idx="16">
                  <c:v>670.18944734774129</c:v>
                </c:pt>
                <c:pt idx="17">
                  <c:v>691.86885596669049</c:v>
                </c:pt>
                <c:pt idx="18">
                  <c:v>714.10614441293103</c:v>
                </c:pt>
                <c:pt idx="19">
                  <c:v>736.91427664792297</c:v>
                </c:pt>
                <c:pt idx="20">
                  <c:v>760.30650090254744</c:v>
                </c:pt>
                <c:pt idx="21">
                  <c:v>784.29635568095091</c:v>
                </c:pt>
                <c:pt idx="22">
                  <c:v>808.89767588790824</c:v>
                </c:pt>
                <c:pt idx="23">
                  <c:v>834.12459908219046</c:v>
                </c:pt>
                <c:pt idx="24">
                  <c:v>859.99157185848537</c:v>
                </c:pt>
                <c:pt idx="25">
                  <c:v>886.51335636045974</c:v>
                </c:pt>
                <c:pt idx="26">
                  <c:v>913.7050369276069</c:v>
                </c:pt>
                <c:pt idx="27">
                  <c:v>941.58202687857829</c:v>
                </c:pt>
                <c:pt idx="28">
                  <c:v>970.16007543374485</c:v>
                </c:pt>
                <c:pt idx="29">
                  <c:v>999.45527477979738</c:v>
                </c:pt>
                <c:pt idx="30">
                  <c:v>1029.4840672792445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4-FF44-B4E5-31CEAF1B2139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5927.3744477185592</c:v>
                </c:pt>
                <c:pt idx="2">
                  <c:v>5987.7010800633643</c:v>
                </c:pt>
                <c:pt idx="3">
                  <c:v>6046.6831343259983</c:v>
                </c:pt>
                <c:pt idx="4">
                  <c:v>6104.3382628513064</c:v>
                </c:pt>
                <c:pt idx="5">
                  <c:v>6160.6839215996133</c:v>
                </c:pt>
                <c:pt idx="6">
                  <c:v>6215.737372159123</c:v>
                </c:pt>
                <c:pt idx="7">
                  <c:v>6269.5156837386994</c:v>
                </c:pt>
                <c:pt idx="8">
                  <c:v>6322.035735141184</c:v>
                </c:pt>
                <c:pt idx="9">
                  <c:v>6373.3142167174701</c:v>
                </c:pt>
                <c:pt idx="10">
                  <c:v>6423.3676323014861</c:v>
                </c:pt>
                <c:pt idx="11">
                  <c:v>6472.2123011262884</c:v>
                </c:pt>
                <c:pt idx="12">
                  <c:v>6519.8643597214268</c:v>
                </c:pt>
                <c:pt idx="13">
                  <c:v>6566.3397637917687</c:v>
                </c:pt>
                <c:pt idx="14">
                  <c:v>6611.654290077965</c:v>
                </c:pt>
                <c:pt idx="15">
                  <c:v>6655.8235381986988</c:v>
                </c:pt>
                <c:pt idx="16">
                  <c:v>6698.8629324749354</c:v>
                </c:pt>
                <c:pt idx="17">
                  <c:v>6740.7877237363109</c:v>
                </c:pt>
                <c:pt idx="18">
                  <c:v>6781.6129911098215</c:v>
                </c:pt>
                <c:pt idx="19">
                  <c:v>6821.353643791037</c:v>
                </c:pt>
                <c:pt idx="20">
                  <c:v>6860.0244227979247</c:v>
                </c:pt>
                <c:pt idx="21">
                  <c:v>6897.6399027074976</c:v>
                </c:pt>
                <c:pt idx="22">
                  <c:v>6934.2144933754589</c:v>
                </c:pt>
                <c:pt idx="23">
                  <c:v>6969.7624416389599</c:v>
                </c:pt>
                <c:pt idx="24">
                  <c:v>7004.2978330026699</c:v>
                </c:pt>
                <c:pt idx="25">
                  <c:v>7037.8345933082928</c:v>
                </c:pt>
                <c:pt idx="26">
                  <c:v>7070.3864903877156</c:v>
                </c:pt>
                <c:pt idx="27">
                  <c:v>7101.9671356998942</c:v>
                </c:pt>
                <c:pt idx="28">
                  <c:v>7132.5899859516949</c:v>
                </c:pt>
                <c:pt idx="29">
                  <c:v>7162.268344702783</c:v>
                </c:pt>
                <c:pt idx="30">
                  <c:v>7191.0153639547507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74-FF44-B4E5-31CEAF1B2139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74-FF44-B4E5-31CEAF1B2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18632"/>
        <c:axId val="48574699"/>
      </c:areaChart>
      <c:catAx>
        <c:axId val="7821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MX"/>
          </a:p>
        </c:txPr>
        <c:crossAx val="48574699"/>
        <c:crosses val="autoZero"/>
        <c:auto val="1"/>
        <c:lblAlgn val="ctr"/>
        <c:lblOffset val="100"/>
        <c:noMultiLvlLbl val="0"/>
      </c:catAx>
      <c:valAx>
        <c:axId val="485746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MX"/>
          </a:p>
        </c:txPr>
        <c:crossAx val="7821863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Demand by Source -BAU-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Summary!$C$233:$C$263</c:f>
              <c:numCache>
                <c:formatCode>#,##0.0</c:formatCode>
                <c:ptCount val="31"/>
                <c:pt idx="0">
                  <c:v>784.22197749500003</c:v>
                </c:pt>
                <c:pt idx="1">
                  <c:v>794.86617439858742</c:v>
                </c:pt>
                <c:pt idx="2">
                  <c:v>805.38432378370169</c:v>
                </c:pt>
                <c:pt idx="3">
                  <c:v>815.77742002060484</c:v>
                </c:pt>
                <c:pt idx="4">
                  <c:v>826.0464506870444</c:v>
                </c:pt>
                <c:pt idx="5">
                  <c:v>836.19239661131905</c:v>
                </c:pt>
                <c:pt idx="6">
                  <c:v>846.21623191508377</c:v>
                </c:pt>
                <c:pt idx="7">
                  <c:v>856.11892405589538</c:v>
                </c:pt>
                <c:pt idx="8">
                  <c:v>865.90143386950137</c:v>
                </c:pt>
                <c:pt idx="9">
                  <c:v>875.56471561186947</c:v>
                </c:pt>
                <c:pt idx="10">
                  <c:v>885.10971700096752</c:v>
                </c:pt>
                <c:pt idx="11">
                  <c:v>894.53737925828398</c:v>
                </c:pt>
                <c:pt idx="12">
                  <c:v>903.84863715010238</c:v>
                </c:pt>
                <c:pt idx="13">
                  <c:v>913.04441902852136</c:v>
                </c:pt>
                <c:pt idx="14">
                  <c:v>922.12564687222732</c:v>
                </c:pt>
                <c:pt idx="15">
                  <c:v>931.09323632702035</c:v>
                </c:pt>
                <c:pt idx="16">
                  <c:v>939.9480967460936</c:v>
                </c:pt>
                <c:pt idx="17">
                  <c:v>948.69113123006798</c:v>
                </c:pt>
                <c:pt idx="18">
                  <c:v>957.32323666678394</c:v>
                </c:pt>
                <c:pt idx="19">
                  <c:v>965.84530377085218</c:v>
                </c:pt>
                <c:pt idx="20">
                  <c:v>974.25821712296306</c:v>
                </c:pt>
                <c:pt idx="21">
                  <c:v>982.56285520895824</c:v>
                </c:pt>
                <c:pt idx="22">
                  <c:v>990.76009045866579</c:v>
                </c:pt>
                <c:pt idx="23">
                  <c:v>998.8507892844957</c:v>
                </c:pt>
                <c:pt idx="24">
                  <c:v>1006.8358121198061</c:v>
                </c:pt>
                <c:pt idx="25">
                  <c:v>1014.7160134570314</c:v>
                </c:pt>
                <c:pt idx="26">
                  <c:v>1022.4922418855811</c:v>
                </c:pt>
                <c:pt idx="27">
                  <c:v>1030.1653401295089</c:v>
                </c:pt>
                <c:pt idx="28">
                  <c:v>1037.7361450849505</c:v>
                </c:pt>
                <c:pt idx="29">
                  <c:v>1045.2054878573344</c:v>
                </c:pt>
                <c:pt idx="30">
                  <c:v>1052.5741937983671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1-0E48-82C2-A27BE2CDD3E4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Summary!$D$233:$D$263</c:f>
              <c:numCache>
                <c:formatCode>#,##0.0</c:formatCode>
                <c:ptCount val="31"/>
                <c:pt idx="0">
                  <c:v>389.62701858989999</c:v>
                </c:pt>
                <c:pt idx="1">
                  <c:v>403.93296803511453</c:v>
                </c:pt>
                <c:pt idx="2">
                  <c:v>418.62357806823337</c:v>
                </c:pt>
                <c:pt idx="3">
                  <c:v>433.70798901525569</c:v>
                </c:pt>
                <c:pt idx="4">
                  <c:v>449.19554435252496</c:v>
                </c:pt>
                <c:pt idx="5">
                  <c:v>465.09579503632892</c:v>
                </c:pt>
                <c:pt idx="6">
                  <c:v>481.41850392215304</c:v>
                </c:pt>
                <c:pt idx="7">
                  <c:v>498.17365027540257</c:v>
                </c:pt>
                <c:pt idx="8">
                  <c:v>515.37143437544944</c:v>
                </c:pt>
                <c:pt idx="9">
                  <c:v>533.02228221489327</c:v>
                </c:pt>
                <c:pt idx="10">
                  <c:v>551.13685029596729</c:v>
                </c:pt>
                <c:pt idx="11">
                  <c:v>569.72603052605507</c:v>
                </c:pt>
                <c:pt idx="12">
                  <c:v>588.80095521432304</c:v>
                </c:pt>
                <c:pt idx="13">
                  <c:v>608.3730021715196</c:v>
                </c:pt>
                <c:pt idx="14">
                  <c:v>628.45379991502341</c:v>
                </c:pt>
                <c:pt idx="15">
                  <c:v>649.05523298127218</c:v>
                </c:pt>
                <c:pt idx="16">
                  <c:v>670.18944734774129</c:v>
                </c:pt>
                <c:pt idx="17">
                  <c:v>691.86885596669049</c:v>
                </c:pt>
                <c:pt idx="18">
                  <c:v>714.10614441293103</c:v>
                </c:pt>
                <c:pt idx="19">
                  <c:v>736.91427664792297</c:v>
                </c:pt>
                <c:pt idx="20">
                  <c:v>760.30650090254744</c:v>
                </c:pt>
                <c:pt idx="21">
                  <c:v>784.29635568095091</c:v>
                </c:pt>
                <c:pt idx="22">
                  <c:v>808.89767588790824</c:v>
                </c:pt>
                <c:pt idx="23">
                  <c:v>834.12459908219046</c:v>
                </c:pt>
                <c:pt idx="24">
                  <c:v>859.99157185848537</c:v>
                </c:pt>
                <c:pt idx="25">
                  <c:v>886.51335636045974</c:v>
                </c:pt>
                <c:pt idx="26">
                  <c:v>913.7050369276069</c:v>
                </c:pt>
                <c:pt idx="27">
                  <c:v>941.58202687857829</c:v>
                </c:pt>
                <c:pt idx="28">
                  <c:v>970.16007543374485</c:v>
                </c:pt>
                <c:pt idx="29">
                  <c:v>999.45527477979738</c:v>
                </c:pt>
                <c:pt idx="30">
                  <c:v>1029.4840672792445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1-0E48-82C2-A27BE2CDD3E4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Summary!$E$233:$E$263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5927.3744477185592</c:v>
                </c:pt>
                <c:pt idx="2">
                  <c:v>5987.7010800633643</c:v>
                </c:pt>
                <c:pt idx="3">
                  <c:v>6046.6831343259983</c:v>
                </c:pt>
                <c:pt idx="4">
                  <c:v>6104.3382628513064</c:v>
                </c:pt>
                <c:pt idx="5">
                  <c:v>6160.6839215996133</c:v>
                </c:pt>
                <c:pt idx="6">
                  <c:v>6215.737372159123</c:v>
                </c:pt>
                <c:pt idx="7">
                  <c:v>6269.5156837386994</c:v>
                </c:pt>
                <c:pt idx="8">
                  <c:v>6322.035735141184</c:v>
                </c:pt>
                <c:pt idx="9">
                  <c:v>6373.3142167174701</c:v>
                </c:pt>
                <c:pt idx="10">
                  <c:v>6423.3676323014861</c:v>
                </c:pt>
                <c:pt idx="11">
                  <c:v>6472.2123011262884</c:v>
                </c:pt>
                <c:pt idx="12">
                  <c:v>6519.8643597214268</c:v>
                </c:pt>
                <c:pt idx="13">
                  <c:v>6566.3397637917687</c:v>
                </c:pt>
                <c:pt idx="14">
                  <c:v>6611.654290077965</c:v>
                </c:pt>
                <c:pt idx="15">
                  <c:v>6655.8235381986988</c:v>
                </c:pt>
                <c:pt idx="16">
                  <c:v>6698.8629324749354</c:v>
                </c:pt>
                <c:pt idx="17">
                  <c:v>6740.7877237363109</c:v>
                </c:pt>
                <c:pt idx="18">
                  <c:v>6781.6129911098215</c:v>
                </c:pt>
                <c:pt idx="19">
                  <c:v>6821.353643791037</c:v>
                </c:pt>
                <c:pt idx="20">
                  <c:v>6860.0244227979247</c:v>
                </c:pt>
                <c:pt idx="21">
                  <c:v>6897.6399027074976</c:v>
                </c:pt>
                <c:pt idx="22">
                  <c:v>6934.2144933754589</c:v>
                </c:pt>
                <c:pt idx="23">
                  <c:v>6969.7624416389599</c:v>
                </c:pt>
                <c:pt idx="24">
                  <c:v>7004.2978330026699</c:v>
                </c:pt>
                <c:pt idx="25">
                  <c:v>7037.8345933082928</c:v>
                </c:pt>
                <c:pt idx="26">
                  <c:v>7070.3864903877156</c:v>
                </c:pt>
                <c:pt idx="27">
                  <c:v>7101.9671356998942</c:v>
                </c:pt>
                <c:pt idx="28">
                  <c:v>7132.5899859516949</c:v>
                </c:pt>
                <c:pt idx="29">
                  <c:v>7162.268344702783</c:v>
                </c:pt>
                <c:pt idx="30">
                  <c:v>7191.0153639547507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1-0E48-82C2-A27BE2CDD3E4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Summary!$F$233:$F$263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D1-0E48-82C2-A27BE2CD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21375"/>
        <c:axId val="26726060"/>
      </c:areaChart>
      <c:catAx>
        <c:axId val="295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MX"/>
          </a:p>
        </c:txPr>
        <c:crossAx val="26726060"/>
        <c:crosses val="autoZero"/>
        <c:auto val="1"/>
        <c:lblAlgn val="ctr"/>
        <c:lblOffset val="100"/>
        <c:noMultiLvlLbl val="0"/>
      </c:catAx>
      <c:valAx>
        <c:axId val="267260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MX"/>
          </a:p>
        </c:txPr>
        <c:crossAx val="2952137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Water supply mix (M m³/yr)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6059.6921628399505</c:v>
                </c:pt>
                <c:pt idx="1">
                  <c:v>6156.0564450984248</c:v>
                </c:pt>
                <c:pt idx="2">
                  <c:v>6250.7089606716991</c:v>
                </c:pt>
                <c:pt idx="3">
                  <c:v>6343.689292880953</c:v>
                </c:pt>
                <c:pt idx="4">
                  <c:v>6435.0368317661923</c:v>
                </c:pt>
                <c:pt idx="5">
                  <c:v>6524.7907837975736</c:v>
                </c:pt>
                <c:pt idx="6">
                  <c:v>6612.9901815949561</c:v>
                </c:pt>
                <c:pt idx="7">
                  <c:v>6739.6984046017715</c:v>
                </c:pt>
                <c:pt idx="8">
                  <c:v>6830.7888039146947</c:v>
                </c:pt>
                <c:pt idx="9">
                  <c:v>6920.6224940027096</c:v>
                </c:pt>
                <c:pt idx="10">
                  <c:v>7009.2378937268386</c:v>
                </c:pt>
                <c:pt idx="11">
                  <c:v>7096.6732670272604</c:v>
                </c:pt>
                <c:pt idx="12">
                  <c:v>7182.9667332657464</c:v>
                </c:pt>
                <c:pt idx="13">
                  <c:v>7268.1562775932571</c:v>
                </c:pt>
                <c:pt idx="14">
                  <c:v>7352.2797613460125</c:v>
                </c:pt>
                <c:pt idx="15">
                  <c:v>7435.3749324734181</c:v>
                </c:pt>
                <c:pt idx="16">
                  <c:v>7517.4794360012529</c:v>
                </c:pt>
                <c:pt idx="17">
                  <c:v>7598.6308245335194</c:v>
                </c:pt>
                <c:pt idx="18">
                  <c:v>7678.866568796373</c:v>
                </c:pt>
                <c:pt idx="19">
                  <c:v>7758.2240682276388</c:v>
                </c:pt>
                <c:pt idx="20">
                  <c:v>7836.7406616153439</c:v>
                </c:pt>
                <c:pt idx="21">
                  <c:v>7914.4536377888144</c:v>
                </c:pt>
                <c:pt idx="22">
                  <c:v>7991.4002463658671</c:v>
                </c:pt>
                <c:pt idx="23">
                  <c:v>8067.6177085596555</c:v>
                </c:pt>
                <c:pt idx="24">
                  <c:v>8143.1432280487788</c:v>
                </c:pt>
                <c:pt idx="25">
                  <c:v>8218.0140019142891</c:v>
                </c:pt>
                <c:pt idx="26">
                  <c:v>8292.2672316472472</c:v>
                </c:pt>
                <c:pt idx="27">
                  <c:v>8365.9401342305337</c:v>
                </c:pt>
                <c:pt idx="28">
                  <c:v>8439.0699532986546</c:v>
                </c:pt>
                <c:pt idx="29">
                  <c:v>8511.6939703793068</c:v>
                </c:pt>
                <c:pt idx="30">
                  <c:v>8583.8495162205127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3-6644-A2EA-41203EF4D63A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3-6644-A2EA-41203EF4D63A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14.725489057137942</c:v>
                </c:pt>
                <c:pt idx="8">
                  <c:v>63.591830201647646</c:v>
                </c:pt>
                <c:pt idx="9">
                  <c:v>112.27647848127944</c:v>
                </c:pt>
                <c:pt idx="10">
                  <c:v>160.77944972615859</c:v>
                </c:pt>
                <c:pt idx="11">
                  <c:v>209.10078967058243</c:v>
                </c:pt>
                <c:pt idx="12">
                  <c:v>257.24057344708592</c:v>
                </c:pt>
                <c:pt idx="13">
                  <c:v>305.19890508624633</c:v>
                </c:pt>
                <c:pt idx="14">
                  <c:v>352.97591702217233</c:v>
                </c:pt>
                <c:pt idx="15">
                  <c:v>400.571769603625</c:v>
                </c:pt>
                <c:pt idx="16">
                  <c:v>447.98665061071688</c:v>
                </c:pt>
                <c:pt idx="17">
                  <c:v>440.47077477713759</c:v>
                </c:pt>
                <c:pt idx="18">
                  <c:v>432.77438331785265</c:v>
                </c:pt>
                <c:pt idx="19">
                  <c:v>424.89774346222532</c:v>
                </c:pt>
                <c:pt idx="20">
                  <c:v>416.84114799250932</c:v>
                </c:pt>
                <c:pt idx="21">
                  <c:v>408.60491478766164</c:v>
                </c:pt>
                <c:pt idx="22">
                  <c:v>400.18938637242582</c:v>
                </c:pt>
                <c:pt idx="23">
                  <c:v>391.59492947163466</c:v>
                </c:pt>
                <c:pt idx="24">
                  <c:v>382.82193456968452</c:v>
                </c:pt>
                <c:pt idx="25">
                  <c:v>373.8708154751302</c:v>
                </c:pt>
                <c:pt idx="26">
                  <c:v>364.74200889035319</c:v>
                </c:pt>
                <c:pt idx="27">
                  <c:v>355.43597398625434</c:v>
                </c:pt>
                <c:pt idx="28">
                  <c:v>345.9531919819234</c:v>
                </c:pt>
                <c:pt idx="29">
                  <c:v>336.29416572923748</c:v>
                </c:pt>
                <c:pt idx="30">
                  <c:v>326.45941930234289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C3-6644-A2EA-41203EF4D63A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7.8422197749500002</c:v>
                </c:pt>
                <c:pt idx="1">
                  <c:v>16.95714505383653</c:v>
                </c:pt>
                <c:pt idx="2">
                  <c:v>26.30922124360092</c:v>
                </c:pt>
                <c:pt idx="3">
                  <c:v>35.894206480906618</c:v>
                </c:pt>
                <c:pt idx="4">
                  <c:v>45.707903604683125</c:v>
                </c:pt>
                <c:pt idx="5">
                  <c:v>55.746159774087921</c:v>
                </c:pt>
                <c:pt idx="6">
                  <c:v>66.004866089376534</c:v>
                </c:pt>
                <c:pt idx="7">
                  <c:v>76.479957215659979</c:v>
                </c:pt>
                <c:pt idx="8">
                  <c:v>87.1674110095298</c:v>
                </c:pt>
                <c:pt idx="9">
                  <c:v>98.063248148529368</c:v>
                </c:pt>
                <c:pt idx="10">
                  <c:v>109.16353176345264</c:v>
                </c:pt>
                <c:pt idx="11">
                  <c:v>120.4643670734489</c:v>
                </c:pt>
                <c:pt idx="12">
                  <c:v>131.96190102391498</c:v>
                </c:pt>
                <c:pt idx="13">
                  <c:v>143.65232192715405</c:v>
                </c:pt>
                <c:pt idx="14">
                  <c:v>155.53185910578233</c:v>
                </c:pt>
                <c:pt idx="15">
                  <c:v>167.59678253886366</c:v>
                </c:pt>
                <c:pt idx="16">
                  <c:v>179.84340251075258</c:v>
                </c:pt>
                <c:pt idx="17">
                  <c:v>192.26806926262711</c:v>
                </c:pt>
                <c:pt idx="18">
                  <c:v>204.86717264669176</c:v>
                </c:pt>
                <c:pt idx="19">
                  <c:v>217.63714178303201</c:v>
                </c:pt>
                <c:pt idx="20">
                  <c:v>230.57444471910122</c:v>
                </c:pt>
                <c:pt idx="21">
                  <c:v>243.67558809182165</c:v>
                </c:pt>
                <c:pt idx="22">
                  <c:v>256.93711679228062</c:v>
                </c:pt>
                <c:pt idx="23">
                  <c:v>270.35561363300349</c:v>
                </c:pt>
                <c:pt idx="24">
                  <c:v>283.92769901778536</c:v>
                </c:pt>
                <c:pt idx="25">
                  <c:v>297.65003061406253</c:v>
                </c:pt>
                <c:pt idx="26">
                  <c:v>311.51930302780704</c:v>
                </c:pt>
                <c:pt idx="27">
                  <c:v>325.53224748092481</c:v>
                </c:pt>
                <c:pt idx="28">
                  <c:v>339.68563149114044</c:v>
                </c:pt>
                <c:pt idx="29">
                  <c:v>353.97625855435058</c:v>
                </c:pt>
                <c:pt idx="30">
                  <c:v>368.40096782942845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C3-6644-A2EA-41203EF4D63A}"/>
            </c:ext>
          </c:extLst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Summary!$G$122:$G$152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58.805999999999997</c:v>
                </c:pt>
                <c:pt idx="3">
                  <c:v>58.217939999999992</c:v>
                </c:pt>
                <c:pt idx="4">
                  <c:v>57.635760599999998</c:v>
                </c:pt>
                <c:pt idx="5">
                  <c:v>57.059402993999996</c:v>
                </c:pt>
                <c:pt idx="6">
                  <c:v>56.488808964059992</c:v>
                </c:pt>
                <c:pt idx="7">
                  <c:v>55.923920874419395</c:v>
                </c:pt>
                <c:pt idx="8">
                  <c:v>55.364681665675199</c:v>
                </c:pt>
                <c:pt idx="9">
                  <c:v>54.811034849018441</c:v>
                </c:pt>
                <c:pt idx="10">
                  <c:v>54.262924500528257</c:v>
                </c:pt>
                <c:pt idx="11">
                  <c:v>53.720295255522977</c:v>
                </c:pt>
                <c:pt idx="12">
                  <c:v>53.183092302967751</c:v>
                </c:pt>
                <c:pt idx="13">
                  <c:v>52.651261379938063</c:v>
                </c:pt>
                <c:pt idx="14">
                  <c:v>52.124748766138687</c:v>
                </c:pt>
                <c:pt idx="15">
                  <c:v>51.603501278477296</c:v>
                </c:pt>
                <c:pt idx="16">
                  <c:v>51.087466265692527</c:v>
                </c:pt>
                <c:pt idx="17">
                  <c:v>50.576591603035595</c:v>
                </c:pt>
                <c:pt idx="18">
                  <c:v>50.07082568700524</c:v>
                </c:pt>
                <c:pt idx="19">
                  <c:v>49.570117430135184</c:v>
                </c:pt>
                <c:pt idx="20">
                  <c:v>49.074416255833839</c:v>
                </c:pt>
                <c:pt idx="21">
                  <c:v>48.583672093275496</c:v>
                </c:pt>
                <c:pt idx="22">
                  <c:v>48.097835372342736</c:v>
                </c:pt>
                <c:pt idx="23">
                  <c:v>47.616857018619314</c:v>
                </c:pt>
                <c:pt idx="24">
                  <c:v>47.140688448433117</c:v>
                </c:pt>
                <c:pt idx="25">
                  <c:v>46.669281563948786</c:v>
                </c:pt>
                <c:pt idx="26">
                  <c:v>46.202588748309296</c:v>
                </c:pt>
                <c:pt idx="27">
                  <c:v>45.740562860826209</c:v>
                </c:pt>
                <c:pt idx="28">
                  <c:v>45.283157232217938</c:v>
                </c:pt>
                <c:pt idx="29">
                  <c:v>44.830325659895756</c:v>
                </c:pt>
                <c:pt idx="30">
                  <c:v>44.382022403296808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C3-6644-A2EA-41203EF4D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40312"/>
        <c:axId val="81297113"/>
      </c:barChart>
      <c:catAx>
        <c:axId val="9564031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81297113"/>
        <c:crosses val="autoZero"/>
        <c:auto val="1"/>
        <c:lblAlgn val="ctr"/>
        <c:lblOffset val="100"/>
        <c:noMultiLvlLbl val="0"/>
      </c:catAx>
      <c:valAx>
        <c:axId val="81297113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 m³/yr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crossAx val="956403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Electricity demand for water supply (GWh/yr)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Summary!$K$121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Summary!$K$122:$K$152</c:f>
              <c:numCache>
                <c:formatCode>#,##0.0</c:formatCode>
                <c:ptCount val="31"/>
                <c:pt idx="0">
                  <c:v>2120.8922569939828</c:v>
                </c:pt>
                <c:pt idx="1">
                  <c:v>2189.9040023099938</c:v>
                </c:pt>
                <c:pt idx="2">
                  <c:v>2259.9713175803299</c:v>
                </c:pt>
                <c:pt idx="3">
                  <c:v>2331.1153238460179</c:v>
                </c:pt>
                <c:pt idx="4">
                  <c:v>2403.3577522881751</c:v>
                </c:pt>
                <c:pt idx="5">
                  <c:v>2476.7209657616536</c:v>
                </c:pt>
                <c:pt idx="6">
                  <c:v>2551.2279811260501</c:v>
                </c:pt>
                <c:pt idx="7">
                  <c:v>2629.2895035426818</c:v>
                </c:pt>
                <c:pt idx="8">
                  <c:v>2706.310435878524</c:v>
                </c:pt>
                <c:pt idx="9">
                  <c:v>2784.5503062037728</c:v>
                </c:pt>
                <c:pt idx="10">
                  <c:v>2864.0348132037248</c:v>
                </c:pt>
                <c:pt idx="11">
                  <c:v>2944.7904267721815</c:v>
                </c:pt>
                <c:pt idx="12">
                  <c:v>3026.8444155986485</c:v>
                </c:pt>
                <c:pt idx="13">
                  <c:v>3110.2248757802618</c:v>
                </c:pt>
                <c:pt idx="14">
                  <c:v>3194.9607604963794</c:v>
                </c:pt>
                <c:pt idx="15">
                  <c:v>3281.0819107852221</c:v>
                </c:pt>
                <c:pt idx="16">
                  <c:v>3368.6190874633348</c:v>
                </c:pt>
                <c:pt idx="17">
                  <c:v>3457.6040042301997</c:v>
                </c:pt>
                <c:pt idx="18">
                  <c:v>3548.0693620018046</c:v>
                </c:pt>
                <c:pt idx="19">
                  <c:v>3640.0488845186624</c:v>
                </c:pt>
                <c:pt idx="20">
                  <c:v>3733.5773552753622</c:v>
                </c:pt>
                <c:pt idx="21">
                  <c:v>3828.6906558205069</c:v>
                </c:pt>
                <c:pt idx="22">
                  <c:v>3925.4258054776637</c:v>
                </c:pt>
                <c:pt idx="23">
                  <c:v>4023.8210025398052</c:v>
                </c:pt>
                <c:pt idx="24">
                  <c:v>4123.9156669916365</c:v>
                </c:pt>
                <c:pt idx="25">
                  <c:v>4225.7504848161907</c:v>
                </c:pt>
                <c:pt idx="26">
                  <c:v>4329.3674539441572</c:v>
                </c:pt>
                <c:pt idx="27">
                  <c:v>4434.8099319064859</c:v>
                </c:pt>
                <c:pt idx="28">
                  <c:v>4542.1226852531008</c:v>
                </c:pt>
                <c:pt idx="29">
                  <c:v>4651.351940802796</c:v>
                </c:pt>
                <c:pt idx="30">
                  <c:v>4762.5454387917362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6-E245-AA61-D176856970DD}"/>
            </c:ext>
          </c:extLst>
        </c:ser>
        <c:ser>
          <c:idx val="1"/>
          <c:order val="1"/>
          <c:tx>
            <c:strRef>
              <c:f>Summary!$L$121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Summary!$L$122:$L$152</c:f>
              <c:numCache>
                <c:formatCode>#,##0.0</c:formatCode>
                <c:ptCount val="31"/>
                <c:pt idx="0">
                  <c:v>1641.6000000000001</c:v>
                </c:pt>
                <c:pt idx="1">
                  <c:v>1624.8556800000001</c:v>
                </c:pt>
                <c:pt idx="2">
                  <c:v>1608.282152064</c:v>
                </c:pt>
                <c:pt idx="3">
                  <c:v>1591.8776741129468</c:v>
                </c:pt>
                <c:pt idx="4">
                  <c:v>1575.640521836995</c:v>
                </c:pt>
                <c:pt idx="5">
                  <c:v>1559.5689885142574</c:v>
                </c:pt>
                <c:pt idx="6">
                  <c:v>1543.6613848314123</c:v>
                </c:pt>
                <c:pt idx="7">
                  <c:v>1527.9160387061313</c:v>
                </c:pt>
                <c:pt idx="8">
                  <c:v>1512.3312951113292</c:v>
                </c:pt>
                <c:pt idx="9">
                  <c:v>1496.9055159011939</c:v>
                </c:pt>
                <c:pt idx="10">
                  <c:v>1481.6370796390015</c:v>
                </c:pt>
                <c:pt idx="11">
                  <c:v>1466.5243814266832</c:v>
                </c:pt>
                <c:pt idx="12">
                  <c:v>1451.5658327361309</c:v>
                </c:pt>
                <c:pt idx="13">
                  <c:v>1436.7598612422223</c:v>
                </c:pt>
                <c:pt idx="14">
                  <c:v>1422.1049106575522</c:v>
                </c:pt>
                <c:pt idx="15">
                  <c:v>1407.5994405688446</c:v>
                </c:pt>
                <c:pt idx="16">
                  <c:v>1393.2419262750429</c:v>
                </c:pt>
                <c:pt idx="17">
                  <c:v>1379.0308586270376</c:v>
                </c:pt>
                <c:pt idx="18">
                  <c:v>1364.9647438690417</c:v>
                </c:pt>
                <c:pt idx="19">
                  <c:v>1351.0421034815772</c:v>
                </c:pt>
                <c:pt idx="20">
                  <c:v>1337.2614740260653</c:v>
                </c:pt>
                <c:pt idx="21">
                  <c:v>1323.621406990999</c:v>
                </c:pt>
                <c:pt idx="22">
                  <c:v>1310.1204686396914</c:v>
                </c:pt>
                <c:pt idx="23">
                  <c:v>1296.757239859566</c:v>
                </c:pt>
                <c:pt idx="24">
                  <c:v>1283.5303160129988</c:v>
                </c:pt>
                <c:pt idx="25">
                  <c:v>1270.4383067896663</c:v>
                </c:pt>
                <c:pt idx="26">
                  <c:v>1257.4798360604116</c:v>
                </c:pt>
                <c:pt idx="27">
                  <c:v>1244.6535417325947</c:v>
                </c:pt>
                <c:pt idx="28">
                  <c:v>1231.9580756069226</c:v>
                </c:pt>
                <c:pt idx="29">
                  <c:v>1219.3921032357321</c:v>
                </c:pt>
                <c:pt idx="30">
                  <c:v>1206.9543037827277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6-E245-AA61-D176856970DD}"/>
            </c:ext>
          </c:extLst>
        </c:ser>
        <c:ser>
          <c:idx val="2"/>
          <c:order val="2"/>
          <c:tx>
            <c:strRef>
              <c:f>Summary!$M$121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Summary!$M$122:$M$152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164.44681046984405</c:v>
                </c:pt>
                <c:pt idx="8">
                  <c:v>346.94794443335218</c:v>
                </c:pt>
                <c:pt idx="9">
                  <c:v>527.65230816079179</c:v>
                </c:pt>
                <c:pt idx="10">
                  <c:v>706.56098342015969</c:v>
                </c:pt>
                <c:pt idx="11">
                  <c:v>883.67499579339164</c:v>
                </c:pt>
                <c:pt idx="12">
                  <c:v>1058.995315778199</c:v>
                </c:pt>
                <c:pt idx="13">
                  <c:v>1232.5228598749668</c:v>
                </c:pt>
                <c:pt idx="14">
                  <c:v>1404.2584916588783</c:v>
                </c:pt>
                <c:pt idx="15">
                  <c:v>1574.2030228374347</c:v>
                </c:pt>
                <c:pt idx="16">
                  <c:v>1742.3572142935222</c:v>
                </c:pt>
                <c:pt idx="17">
                  <c:v>1732.6092771141953</c:v>
                </c:pt>
                <c:pt idx="18">
                  <c:v>1722.8973736053297</c:v>
                </c:pt>
                <c:pt idx="19">
                  <c:v>1713.2221182923035</c:v>
                </c:pt>
                <c:pt idx="20">
                  <c:v>1703.5840789068593</c:v>
                </c:pt>
                <c:pt idx="21">
                  <c:v>1693.9837773603087</c:v>
                </c:pt>
                <c:pt idx="22">
                  <c:v>1684.4216907032201</c:v>
                </c:pt>
                <c:pt idx="23">
                  <c:v>1674.8982520717514</c:v>
                </c:pt>
                <c:pt idx="24">
                  <c:v>1665.4138516207718</c:v>
                </c:pt>
                <c:pt idx="25">
                  <c:v>1655.9688374439197</c:v>
                </c:pt>
                <c:pt idx="26">
                  <c:v>1646.5635164807468</c:v>
                </c:pt>
                <c:pt idx="27">
                  <c:v>1637.1981554110921</c:v>
                </c:pt>
                <c:pt idx="28">
                  <c:v>1627.872981536827</c:v>
                </c:pt>
                <c:pt idx="29">
                  <c:v>1618.5881836511198</c:v>
                </c:pt>
                <c:pt idx="30">
                  <c:v>1609.3439128953514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A6-E245-AA61-D176856970DD}"/>
            </c:ext>
          </c:extLst>
        </c:ser>
        <c:ser>
          <c:idx val="3"/>
          <c:order val="3"/>
          <c:tx>
            <c:strRef>
              <c:f>Summary!$N$121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Summary!$N$122:$N$152</c:f>
              <c:numCache>
                <c:formatCode>#,##0.0</c:formatCode>
                <c:ptCount val="31"/>
                <c:pt idx="0">
                  <c:v>6.2737758199600009</c:v>
                </c:pt>
                <c:pt idx="1">
                  <c:v>6.845784927007835</c:v>
                </c:pt>
                <c:pt idx="2">
                  <c:v>7.4229588508731181</c:v>
                </c:pt>
                <c:pt idx="3">
                  <c:v>8.0048159339521856</c:v>
                </c:pt>
                <c:pt idx="4">
                  <c:v>8.5908830871452615</c:v>
                </c:pt>
                <c:pt idx="5">
                  <c:v>9.180695687795108</c:v>
                </c:pt>
                <c:pt idx="6">
                  <c:v>9.7737974786192172</c:v>
                </c:pt>
                <c:pt idx="7">
                  <c:v>10.369740467627032</c:v>
                </c:pt>
                <c:pt idx="8">
                  <c:v>10.968084829013684</c:v>
                </c:pt>
                <c:pt idx="9">
                  <c:v>11.568398805021825</c:v>
                </c:pt>
                <c:pt idx="10">
                  <c:v>12.170258608763302</c:v>
                </c:pt>
                <c:pt idx="11">
                  <c:v>12.773248327992246</c:v>
                </c:pt>
                <c:pt idx="12">
                  <c:v>13.376959829821514</c:v>
                </c:pt>
                <c:pt idx="13">
                  <c:v>13.980992666374235</c:v>
                </c:pt>
                <c:pt idx="14">
                  <c:v>14.584953981362393</c:v>
                </c:pt>
                <c:pt idx="15">
                  <c:v>15.188458417584519</c:v>
                </c:pt>
                <c:pt idx="16">
                  <c:v>15.791128025334372</c:v>
                </c:pt>
                <c:pt idx="17">
                  <c:v>16.392592171712881</c:v>
                </c:pt>
                <c:pt idx="18">
                  <c:v>16.992487450835412</c:v>
                </c:pt>
                <c:pt idx="19">
                  <c:v>17.59045759492664</c:v>
                </c:pt>
                <c:pt idx="20">
                  <c:v>18.18615338629531</c:v>
                </c:pt>
                <c:pt idx="21">
                  <c:v>18.779232570181215</c:v>
                </c:pt>
                <c:pt idx="22">
                  <c:v>19.369359768466914</c:v>
                </c:pt>
                <c:pt idx="23">
                  <c:v>19.956206394246482</c:v>
                </c:pt>
                <c:pt idx="24">
                  <c:v>20.539450567244046</c:v>
                </c:pt>
                <c:pt idx="25">
                  <c:v>21.118777030074465</c:v>
                </c:pt>
                <c:pt idx="26">
                  <c:v>21.693877065339077</c:v>
                </c:pt>
                <c:pt idx="27">
                  <c:v>22.264448413549008</c:v>
                </c:pt>
                <c:pt idx="28">
                  <c:v>22.83019519186891</c:v>
                </c:pt>
                <c:pt idx="29">
                  <c:v>23.39082781367393</c:v>
                </c:pt>
                <c:pt idx="30">
                  <c:v>23.946062908912843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A6-E245-AA61-D176856970DD}"/>
            </c:ext>
          </c:extLst>
        </c:ser>
        <c:ser>
          <c:idx val="4"/>
          <c:order val="4"/>
          <c:tx>
            <c:strRef>
              <c:f>Summary!$O$121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Summary!$O$122:$O$152</c:f>
              <c:numCache>
                <c:formatCode>#,##0.0</c:formatCode>
                <c:ptCount val="31"/>
                <c:pt idx="0">
                  <c:v>3780.7660328139427</c:v>
                </c:pt>
                <c:pt idx="1">
                  <c:v>3833.485467237002</c:v>
                </c:pt>
                <c:pt idx="2">
                  <c:v>3887.4376284952032</c:v>
                </c:pt>
                <c:pt idx="3">
                  <c:v>3942.6414018929167</c:v>
                </c:pt>
                <c:pt idx="4">
                  <c:v>3999.1163093323157</c:v>
                </c:pt>
                <c:pt idx="5">
                  <c:v>4056.882530562506</c:v>
                </c:pt>
                <c:pt idx="6">
                  <c:v>4115.9609252288938</c:v>
                </c:pt>
                <c:pt idx="7">
                  <c:v>4343.2068773611682</c:v>
                </c:pt>
                <c:pt idx="8">
                  <c:v>4587.6306965853537</c:v>
                </c:pt>
                <c:pt idx="9">
                  <c:v>4831.6387360405843</c:v>
                </c:pt>
                <c:pt idx="10">
                  <c:v>5075.2557197717551</c:v>
                </c:pt>
                <c:pt idx="11">
                  <c:v>5318.5071113713529</c:v>
                </c:pt>
                <c:pt idx="12">
                  <c:v>5561.4191424033934</c:v>
                </c:pt>
                <c:pt idx="13">
                  <c:v>5804.0188418398129</c:v>
                </c:pt>
                <c:pt idx="14">
                  <c:v>6046.3340665474007</c:v>
                </c:pt>
                <c:pt idx="15">
                  <c:v>6288.3935328647804</c:v>
                </c:pt>
                <c:pt idx="16">
                  <c:v>6530.2268493103738</c:v>
                </c:pt>
                <c:pt idx="17">
                  <c:v>6595.7520504637523</c:v>
                </c:pt>
                <c:pt idx="18">
                  <c:v>6662.9381320644115</c:v>
                </c:pt>
                <c:pt idx="19">
                  <c:v>6731.8175873734963</c:v>
                </c:pt>
                <c:pt idx="20">
                  <c:v>6802.4239448457502</c:v>
                </c:pt>
                <c:pt idx="21">
                  <c:v>6874.7918071606509</c:v>
                </c:pt>
                <c:pt idx="22">
                  <c:v>6948.9568916635108</c:v>
                </c:pt>
                <c:pt idx="23">
                  <c:v>7024.9560722690931</c:v>
                </c:pt>
                <c:pt idx="24">
                  <c:v>7102.8274228823384</c:v>
                </c:pt>
                <c:pt idx="25">
                  <c:v>7182.6102623926417</c:v>
                </c:pt>
                <c:pt idx="26">
                  <c:v>7264.3452013003161</c:v>
                </c:pt>
                <c:pt idx="27">
                  <c:v>7348.0741900358862</c:v>
                </c:pt>
                <c:pt idx="28">
                  <c:v>7433.8405690351628</c:v>
                </c:pt>
                <c:pt idx="29">
                  <c:v>7521.6891206353012</c:v>
                </c:pt>
                <c:pt idx="30">
                  <c:v>7611.6661228593875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A6-E245-AA61-D176856970DD}"/>
            </c:ext>
          </c:extLst>
        </c:ser>
        <c:ser>
          <c:idx val="5"/>
          <c:order val="5"/>
          <c:tx>
            <c:strRef>
              <c:f>Summary!$P$121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Summary!$P$122:$P$152</c:f>
              <c:numCache>
                <c:formatCode>#,##0.0</c:formatCode>
                <c:ptCount val="31"/>
                <c:pt idx="0">
                  <c:v>12</c:v>
                </c:pt>
                <c:pt idx="1">
                  <c:v>11.88</c:v>
                </c:pt>
                <c:pt idx="2">
                  <c:v>11.761200000000001</c:v>
                </c:pt>
                <c:pt idx="3">
                  <c:v>11.643587999999999</c:v>
                </c:pt>
                <c:pt idx="4">
                  <c:v>11.52715212</c:v>
                </c:pt>
                <c:pt idx="5">
                  <c:v>11.4118805988</c:v>
                </c:pt>
                <c:pt idx="6">
                  <c:v>11.297761792811999</c:v>
                </c:pt>
                <c:pt idx="7">
                  <c:v>11.18478417488388</c:v>
                </c:pt>
                <c:pt idx="8">
                  <c:v>11.07293633313504</c:v>
                </c:pt>
                <c:pt idx="9">
                  <c:v>10.962206969803688</c:v>
                </c:pt>
                <c:pt idx="10">
                  <c:v>10.852584900105652</c:v>
                </c:pt>
                <c:pt idx="11">
                  <c:v>10.744059051104596</c:v>
                </c:pt>
                <c:pt idx="12">
                  <c:v>10.636618460593551</c:v>
                </c:pt>
                <c:pt idx="13">
                  <c:v>10.530252275987614</c:v>
                </c:pt>
                <c:pt idx="14">
                  <c:v>10.424949753227738</c:v>
                </c:pt>
                <c:pt idx="15">
                  <c:v>10.32070025569546</c:v>
                </c:pt>
                <c:pt idx="16">
                  <c:v>10.217493253138507</c:v>
                </c:pt>
                <c:pt idx="17">
                  <c:v>10.11531832060712</c:v>
                </c:pt>
                <c:pt idx="18">
                  <c:v>10.014165137401049</c:v>
                </c:pt>
                <c:pt idx="19">
                  <c:v>9.9140234860270375</c:v>
                </c:pt>
                <c:pt idx="20">
                  <c:v>9.8148832511667692</c:v>
                </c:pt>
                <c:pt idx="21">
                  <c:v>9.7167344186551006</c:v>
                </c:pt>
                <c:pt idx="22">
                  <c:v>9.6195670744685486</c:v>
                </c:pt>
                <c:pt idx="23">
                  <c:v>9.5233714037238624</c:v>
                </c:pt>
                <c:pt idx="24">
                  <c:v>9.4281376896866238</c:v>
                </c:pt>
                <c:pt idx="25">
                  <c:v>9.3338563127897576</c:v>
                </c:pt>
                <c:pt idx="26">
                  <c:v>9.2405177496618602</c:v>
                </c:pt>
                <c:pt idx="27">
                  <c:v>9.1481125721652425</c:v>
                </c:pt>
                <c:pt idx="28">
                  <c:v>9.0566314464435873</c:v>
                </c:pt>
                <c:pt idx="29">
                  <c:v>8.9660651319791516</c:v>
                </c:pt>
                <c:pt idx="30">
                  <c:v>8.8764044806593621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A6-E245-AA61-D17685697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64109"/>
        <c:axId val="67939977"/>
      </c:barChart>
      <c:catAx>
        <c:axId val="5106410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67939977"/>
        <c:crosses val="autoZero"/>
        <c:auto val="1"/>
        <c:lblAlgn val="ctr"/>
        <c:lblOffset val="100"/>
        <c:noMultiLvlLbl val="0"/>
      </c:catAx>
      <c:valAx>
        <c:axId val="67939977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GWh/yr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crossAx val="510641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Water demand by sector (M m³/yr)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#,##0.0</c:formatCode>
                <c:ptCount val="31"/>
                <c:pt idx="0">
                  <c:v>784.22197749500003</c:v>
                </c:pt>
                <c:pt idx="1">
                  <c:v>794.86617439858742</c:v>
                </c:pt>
                <c:pt idx="2">
                  <c:v>805.38432378370169</c:v>
                </c:pt>
                <c:pt idx="3">
                  <c:v>815.77742002060484</c:v>
                </c:pt>
                <c:pt idx="4">
                  <c:v>826.0464506870444</c:v>
                </c:pt>
                <c:pt idx="5">
                  <c:v>836.19239661131905</c:v>
                </c:pt>
                <c:pt idx="6">
                  <c:v>846.21623191508377</c:v>
                </c:pt>
                <c:pt idx="7">
                  <c:v>856.11892405589538</c:v>
                </c:pt>
                <c:pt idx="8">
                  <c:v>865.90143386950137</c:v>
                </c:pt>
                <c:pt idx="9">
                  <c:v>875.56471561186947</c:v>
                </c:pt>
                <c:pt idx="10">
                  <c:v>885.10971700096752</c:v>
                </c:pt>
                <c:pt idx="11">
                  <c:v>894.53737925828398</c:v>
                </c:pt>
                <c:pt idx="12">
                  <c:v>903.84863715010238</c:v>
                </c:pt>
                <c:pt idx="13">
                  <c:v>913.04441902852136</c:v>
                </c:pt>
                <c:pt idx="14">
                  <c:v>922.12564687222732</c:v>
                </c:pt>
                <c:pt idx="15">
                  <c:v>931.09323632702035</c:v>
                </c:pt>
                <c:pt idx="16">
                  <c:v>939.9480967460936</c:v>
                </c:pt>
                <c:pt idx="17">
                  <c:v>948.69113123006798</c:v>
                </c:pt>
                <c:pt idx="18">
                  <c:v>957.32323666678394</c:v>
                </c:pt>
                <c:pt idx="19">
                  <c:v>965.84530377085218</c:v>
                </c:pt>
                <c:pt idx="20">
                  <c:v>974.25821712296306</c:v>
                </c:pt>
                <c:pt idx="21">
                  <c:v>982.56285520895824</c:v>
                </c:pt>
                <c:pt idx="22">
                  <c:v>990.76009045866579</c:v>
                </c:pt>
                <c:pt idx="23">
                  <c:v>998.8507892844957</c:v>
                </c:pt>
                <c:pt idx="24">
                  <c:v>1006.8358121198061</c:v>
                </c:pt>
                <c:pt idx="25">
                  <c:v>1014.7160134570314</c:v>
                </c:pt>
                <c:pt idx="26">
                  <c:v>1022.4922418855811</c:v>
                </c:pt>
                <c:pt idx="27">
                  <c:v>1030.1653401295089</c:v>
                </c:pt>
                <c:pt idx="28">
                  <c:v>1037.7361450849505</c:v>
                </c:pt>
                <c:pt idx="29">
                  <c:v>1045.2054878573344</c:v>
                </c:pt>
                <c:pt idx="30">
                  <c:v>1052.5741937983671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B-484A-9261-34A984EBF905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#,##0.0</c:formatCode>
                <c:ptCount val="31"/>
                <c:pt idx="0">
                  <c:v>389.62701858989999</c:v>
                </c:pt>
                <c:pt idx="1">
                  <c:v>403.93296803511453</c:v>
                </c:pt>
                <c:pt idx="2">
                  <c:v>418.62357806823337</c:v>
                </c:pt>
                <c:pt idx="3">
                  <c:v>433.70798901525569</c:v>
                </c:pt>
                <c:pt idx="4">
                  <c:v>449.19554435252496</c:v>
                </c:pt>
                <c:pt idx="5">
                  <c:v>465.09579503632892</c:v>
                </c:pt>
                <c:pt idx="6">
                  <c:v>481.41850392215304</c:v>
                </c:pt>
                <c:pt idx="7">
                  <c:v>498.17365027540257</c:v>
                </c:pt>
                <c:pt idx="8">
                  <c:v>515.37143437544944</c:v>
                </c:pt>
                <c:pt idx="9">
                  <c:v>533.02228221489327</c:v>
                </c:pt>
                <c:pt idx="10">
                  <c:v>551.13685029596729</c:v>
                </c:pt>
                <c:pt idx="11">
                  <c:v>569.72603052605507</c:v>
                </c:pt>
                <c:pt idx="12">
                  <c:v>588.80095521432304</c:v>
                </c:pt>
                <c:pt idx="13">
                  <c:v>608.3730021715196</c:v>
                </c:pt>
                <c:pt idx="14">
                  <c:v>628.45379991502341</c:v>
                </c:pt>
                <c:pt idx="15">
                  <c:v>649.05523298127218</c:v>
                </c:pt>
                <c:pt idx="16">
                  <c:v>670.18944734774129</c:v>
                </c:pt>
                <c:pt idx="17">
                  <c:v>691.86885596669049</c:v>
                </c:pt>
                <c:pt idx="18">
                  <c:v>714.10614441293103</c:v>
                </c:pt>
                <c:pt idx="19">
                  <c:v>736.91427664792297</c:v>
                </c:pt>
                <c:pt idx="20">
                  <c:v>760.30650090254744</c:v>
                </c:pt>
                <c:pt idx="21">
                  <c:v>784.29635568095091</c:v>
                </c:pt>
                <c:pt idx="22">
                  <c:v>808.89767588790824</c:v>
                </c:pt>
                <c:pt idx="23">
                  <c:v>834.12459908219046</c:v>
                </c:pt>
                <c:pt idx="24">
                  <c:v>859.99157185848537</c:v>
                </c:pt>
                <c:pt idx="25">
                  <c:v>886.51335636045974</c:v>
                </c:pt>
                <c:pt idx="26">
                  <c:v>913.7050369276069</c:v>
                </c:pt>
                <c:pt idx="27">
                  <c:v>941.58202687857829</c:v>
                </c:pt>
                <c:pt idx="28">
                  <c:v>970.16007543374485</c:v>
                </c:pt>
                <c:pt idx="29">
                  <c:v>999.45527477979738</c:v>
                </c:pt>
                <c:pt idx="30">
                  <c:v>1029.4840672792445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B-484A-9261-34A984EBF905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5927.3744477185592</c:v>
                </c:pt>
                <c:pt idx="2">
                  <c:v>5987.7010800633643</c:v>
                </c:pt>
                <c:pt idx="3">
                  <c:v>6046.6831343259983</c:v>
                </c:pt>
                <c:pt idx="4">
                  <c:v>6104.3382628513064</c:v>
                </c:pt>
                <c:pt idx="5">
                  <c:v>6160.6839215996133</c:v>
                </c:pt>
                <c:pt idx="6">
                  <c:v>6215.737372159123</c:v>
                </c:pt>
                <c:pt idx="7">
                  <c:v>6269.5156837386994</c:v>
                </c:pt>
                <c:pt idx="8">
                  <c:v>6322.035735141184</c:v>
                </c:pt>
                <c:pt idx="9">
                  <c:v>6373.3142167174701</c:v>
                </c:pt>
                <c:pt idx="10">
                  <c:v>6423.3676323014861</c:v>
                </c:pt>
                <c:pt idx="11">
                  <c:v>6472.2123011262884</c:v>
                </c:pt>
                <c:pt idx="12">
                  <c:v>6519.8643597214268</c:v>
                </c:pt>
                <c:pt idx="13">
                  <c:v>6566.3397637917687</c:v>
                </c:pt>
                <c:pt idx="14">
                  <c:v>6611.654290077965</c:v>
                </c:pt>
                <c:pt idx="15">
                  <c:v>6655.8235381986988</c:v>
                </c:pt>
                <c:pt idx="16">
                  <c:v>6698.8629324749354</c:v>
                </c:pt>
                <c:pt idx="17">
                  <c:v>6740.7877237363109</c:v>
                </c:pt>
                <c:pt idx="18">
                  <c:v>6781.6129911098215</c:v>
                </c:pt>
                <c:pt idx="19">
                  <c:v>6821.353643791037</c:v>
                </c:pt>
                <c:pt idx="20">
                  <c:v>6860.0244227979247</c:v>
                </c:pt>
                <c:pt idx="21">
                  <c:v>6897.6399027074976</c:v>
                </c:pt>
                <c:pt idx="22">
                  <c:v>6934.2144933754589</c:v>
                </c:pt>
                <c:pt idx="23">
                  <c:v>6969.7624416389599</c:v>
                </c:pt>
                <c:pt idx="24">
                  <c:v>7004.2978330026699</c:v>
                </c:pt>
                <c:pt idx="25">
                  <c:v>7037.8345933082928</c:v>
                </c:pt>
                <c:pt idx="26">
                  <c:v>7070.3864903877156</c:v>
                </c:pt>
                <c:pt idx="27">
                  <c:v>7101.9671356998942</c:v>
                </c:pt>
                <c:pt idx="28">
                  <c:v>7132.5899859516949</c:v>
                </c:pt>
                <c:pt idx="29">
                  <c:v>7162.268344702783</c:v>
                </c:pt>
                <c:pt idx="30">
                  <c:v>7191.0153639547507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0B-484A-9261-34A984EBF905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0B-484A-9261-34A984EBF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97366"/>
        <c:axId val="30801675"/>
      </c:barChart>
      <c:catAx>
        <c:axId val="43297366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30801675"/>
        <c:crosses val="autoZero"/>
        <c:auto val="1"/>
        <c:lblAlgn val="ctr"/>
        <c:lblOffset val="100"/>
        <c:noMultiLvlLbl val="0"/>
      </c:catAx>
      <c:valAx>
        <c:axId val="30801675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 m³/yr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crossAx val="432973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42120</xdr:colOff>
      <xdr:row>41</xdr:row>
      <xdr:rowOff>56160</xdr:rowOff>
    </xdr:from>
    <xdr:to>
      <xdr:col>15</xdr:col>
      <xdr:colOff>55800</xdr:colOff>
      <xdr:row>71</xdr:row>
      <xdr:rowOff>185400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395280</xdr:colOff>
      <xdr:row>33</xdr:row>
      <xdr:rowOff>138240</xdr:rowOff>
    </xdr:from>
    <xdr:to>
      <xdr:col>24</xdr:col>
      <xdr:colOff>58680</xdr:colOff>
      <xdr:row>45</xdr:row>
      <xdr:rowOff>80280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59400</xdr:colOff>
      <xdr:row>33</xdr:row>
      <xdr:rowOff>148320</xdr:rowOff>
    </xdr:from>
    <xdr:to>
      <xdr:col>14</xdr:col>
      <xdr:colOff>304560</xdr:colOff>
      <xdr:row>45</xdr:row>
      <xdr:rowOff>69480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387360</xdr:colOff>
      <xdr:row>45</xdr:row>
      <xdr:rowOff>168120</xdr:rowOff>
    </xdr:from>
    <xdr:to>
      <xdr:col>24</xdr:col>
      <xdr:colOff>116280</xdr:colOff>
      <xdr:row>68</xdr:row>
      <xdr:rowOff>132120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68400</xdr:colOff>
      <xdr:row>45</xdr:row>
      <xdr:rowOff>163440</xdr:rowOff>
    </xdr:from>
    <xdr:to>
      <xdr:col>14</xdr:col>
      <xdr:colOff>282600</xdr:colOff>
      <xdr:row>69</xdr:row>
      <xdr:rowOff>34920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67320</xdr:colOff>
      <xdr:row>0</xdr:row>
      <xdr:rowOff>25560</xdr:rowOff>
    </xdr:from>
    <xdr:to>
      <xdr:col>12</xdr:col>
      <xdr:colOff>528120</xdr:colOff>
      <xdr:row>13</xdr:row>
      <xdr:rowOff>35280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262080</xdr:colOff>
      <xdr:row>14</xdr:row>
      <xdr:rowOff>17280</xdr:rowOff>
    </xdr:from>
    <xdr:to>
      <xdr:col>16</xdr:col>
      <xdr:colOff>111960</xdr:colOff>
      <xdr:row>27</xdr:row>
      <xdr:rowOff>55800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757800</xdr:colOff>
      <xdr:row>0</xdr:row>
      <xdr:rowOff>72720</xdr:rowOff>
    </xdr:from>
    <xdr:to>
      <xdr:col>20</xdr:col>
      <xdr:colOff>138240</xdr:colOff>
      <xdr:row>13</xdr:row>
      <xdr:rowOff>82440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21.75" customHeight="1" x14ac:dyDescent="0.2">
      <c r="A1" s="8" t="s">
        <v>0</v>
      </c>
    </row>
    <row r="2" spans="1:1" ht="15" customHeight="1" x14ac:dyDescent="0.2">
      <c r="A2" s="9"/>
    </row>
    <row r="3" spans="1:1" ht="15.75" customHeight="1" x14ac:dyDescent="0.2">
      <c r="A3" s="10" t="s">
        <v>1</v>
      </c>
    </row>
    <row r="4" spans="1:1" ht="34.5" customHeight="1" x14ac:dyDescent="0.2">
      <c r="A4" s="9" t="s">
        <v>2</v>
      </c>
    </row>
    <row r="5" spans="1:1" ht="15" customHeight="1" x14ac:dyDescent="0.2">
      <c r="A5" s="9"/>
    </row>
    <row r="6" spans="1:1" ht="15.75" customHeight="1" x14ac:dyDescent="0.2">
      <c r="A6" s="10" t="s">
        <v>3</v>
      </c>
    </row>
    <row r="7" spans="1:1" ht="79.5" customHeight="1" x14ac:dyDescent="0.2">
      <c r="A7" s="9" t="s">
        <v>4</v>
      </c>
    </row>
    <row r="8" spans="1:1" ht="15" customHeight="1" x14ac:dyDescent="0.2">
      <c r="A8" s="9"/>
    </row>
    <row r="9" spans="1:1" ht="15.75" customHeight="1" x14ac:dyDescent="0.2">
      <c r="A9" s="10" t="s">
        <v>5</v>
      </c>
    </row>
    <row r="10" spans="1:1" ht="15" customHeight="1" x14ac:dyDescent="0.2">
      <c r="A10" s="9" t="s">
        <v>6</v>
      </c>
    </row>
    <row r="11" spans="1:1" ht="15" customHeight="1" x14ac:dyDescent="0.2">
      <c r="A11" s="9" t="s">
        <v>7</v>
      </c>
    </row>
    <row r="12" spans="1:1" ht="15" customHeight="1" x14ac:dyDescent="0.2">
      <c r="A12" s="9" t="s">
        <v>8</v>
      </c>
    </row>
    <row r="13" spans="1:1" ht="15" customHeight="1" x14ac:dyDescent="0.2">
      <c r="A13" s="9" t="s">
        <v>9</v>
      </c>
    </row>
    <row r="14" spans="1:1" ht="15" customHeight="1" x14ac:dyDescent="0.2">
      <c r="A14" s="9" t="s">
        <v>10</v>
      </c>
    </row>
    <row r="15" spans="1:1" ht="15" customHeight="1" x14ac:dyDescent="0.2">
      <c r="A15" s="9" t="s">
        <v>11</v>
      </c>
    </row>
    <row r="16" spans="1:1" ht="15" customHeight="1" x14ac:dyDescent="0.2">
      <c r="A16" s="9" t="s">
        <v>12</v>
      </c>
    </row>
    <row r="17" spans="1:1" ht="15" customHeight="1" x14ac:dyDescent="0.2">
      <c r="A17" s="9" t="s">
        <v>13</v>
      </c>
    </row>
    <row r="18" spans="1:1" ht="15" customHeight="1" x14ac:dyDescent="0.2">
      <c r="A18" s="9" t="s">
        <v>14</v>
      </c>
    </row>
    <row r="19" spans="1:1" ht="15" customHeight="1" x14ac:dyDescent="0.2">
      <c r="A19" s="9" t="s">
        <v>15</v>
      </c>
    </row>
    <row r="20" spans="1:1" ht="15" customHeight="1" x14ac:dyDescent="0.2">
      <c r="A20" s="9" t="s">
        <v>16</v>
      </c>
    </row>
    <row r="21" spans="1:1" ht="23.25" customHeight="1" x14ac:dyDescent="0.2">
      <c r="A21" s="9" t="s">
        <v>17</v>
      </c>
    </row>
    <row r="22" spans="1:1" ht="15" customHeight="1" x14ac:dyDescent="0.2">
      <c r="A22" s="9" t="s">
        <v>18</v>
      </c>
    </row>
    <row r="23" spans="1:1" ht="15" customHeight="1" x14ac:dyDescent="0.2">
      <c r="A23" s="9"/>
    </row>
    <row r="24" spans="1:1" ht="15.75" customHeight="1" x14ac:dyDescent="0.2">
      <c r="A24" s="10" t="s">
        <v>19</v>
      </c>
    </row>
    <row r="25" spans="1:1" ht="15" customHeight="1" x14ac:dyDescent="0.2">
      <c r="A25" s="9" t="s">
        <v>20</v>
      </c>
    </row>
    <row r="26" spans="1:1" ht="15" customHeight="1" x14ac:dyDescent="0.2">
      <c r="A26" s="9" t="s">
        <v>21</v>
      </c>
    </row>
    <row r="27" spans="1:1" ht="15" customHeight="1" x14ac:dyDescent="0.2">
      <c r="A27" s="9" t="s">
        <v>22</v>
      </c>
    </row>
    <row r="28" spans="1:1" ht="15" customHeight="1" x14ac:dyDescent="0.2">
      <c r="A28" s="9" t="s">
        <v>23</v>
      </c>
    </row>
    <row r="29" spans="1:1" ht="15" customHeight="1" x14ac:dyDescent="0.2">
      <c r="A29" s="9" t="s">
        <v>24</v>
      </c>
    </row>
    <row r="30" spans="1:1" ht="15" customHeight="1" x14ac:dyDescent="0.2">
      <c r="A30" s="9"/>
    </row>
    <row r="31" spans="1:1" ht="15.75" customHeight="1" x14ac:dyDescent="0.2">
      <c r="A31" s="10" t="s">
        <v>25</v>
      </c>
    </row>
    <row r="32" spans="1:1" ht="15" customHeight="1" x14ac:dyDescent="0.2">
      <c r="A32" s="9" t="s">
        <v>26</v>
      </c>
    </row>
    <row r="33" spans="1:1" ht="39" customHeight="1" x14ac:dyDescent="0.2">
      <c r="A33" s="11" t="s">
        <v>27</v>
      </c>
    </row>
    <row r="34" spans="1:1" ht="26.25" customHeight="1" x14ac:dyDescent="0.2">
      <c r="A34" s="11" t="s">
        <v>28</v>
      </c>
    </row>
    <row r="35" spans="1:1" ht="15" customHeight="1" x14ac:dyDescent="0.2">
      <c r="A35" s="11" t="s">
        <v>29</v>
      </c>
    </row>
    <row r="36" spans="1:1" ht="15" customHeight="1" x14ac:dyDescent="0.2">
      <c r="A36" s="11" t="s">
        <v>30</v>
      </c>
    </row>
    <row r="37" spans="1:1" ht="15" customHeight="1" x14ac:dyDescent="0.2">
      <c r="A37" s="11" t="s">
        <v>31</v>
      </c>
    </row>
    <row r="38" spans="1:1" ht="26.25" customHeight="1" x14ac:dyDescent="0.2">
      <c r="A38" s="11" t="s">
        <v>32</v>
      </c>
    </row>
    <row r="39" spans="1:1" ht="26.25" customHeight="1" x14ac:dyDescent="0.2">
      <c r="A39" s="11" t="s">
        <v>33</v>
      </c>
    </row>
    <row r="40" spans="1:1" ht="15" customHeight="1" x14ac:dyDescent="0.2">
      <c r="A40" s="11" t="s">
        <v>34</v>
      </c>
    </row>
    <row r="41" spans="1:1" ht="26.25" customHeight="1" x14ac:dyDescent="0.2">
      <c r="A41" s="11" t="s">
        <v>35</v>
      </c>
    </row>
    <row r="42" spans="1:1" ht="15" customHeight="1" x14ac:dyDescent="0.2">
      <c r="A42" s="9" t="s">
        <v>36</v>
      </c>
    </row>
    <row r="43" spans="1:1" ht="26.25" customHeight="1" x14ac:dyDescent="0.2">
      <c r="A43" s="11" t="s">
        <v>37</v>
      </c>
    </row>
    <row r="44" spans="1:1" ht="26.25" customHeight="1" x14ac:dyDescent="0.2">
      <c r="A44" s="11" t="s">
        <v>38</v>
      </c>
    </row>
    <row r="45" spans="1:1" ht="15" customHeight="1" x14ac:dyDescent="0.2">
      <c r="A45" s="9"/>
    </row>
    <row r="46" spans="1:1" ht="15.75" customHeight="1" x14ac:dyDescent="0.2">
      <c r="A46" s="10" t="s">
        <v>39</v>
      </c>
    </row>
    <row r="47" spans="1:1" ht="15" customHeight="1" x14ac:dyDescent="0.2">
      <c r="A47" s="9" t="s">
        <v>40</v>
      </c>
    </row>
    <row r="48" spans="1:1" ht="34.5" customHeight="1" x14ac:dyDescent="0.2">
      <c r="A48" s="9" t="s">
        <v>41</v>
      </c>
    </row>
    <row r="49" spans="1:1" ht="23.25" customHeight="1" x14ac:dyDescent="0.2">
      <c r="A49" s="9" t="s">
        <v>42</v>
      </c>
    </row>
    <row r="50" spans="1:1" ht="15" customHeight="1" x14ac:dyDescent="0.2">
      <c r="A50" s="9"/>
    </row>
    <row r="51" spans="1:1" ht="15.75" customHeight="1" x14ac:dyDescent="0.2">
      <c r="A51" s="10" t="s">
        <v>43</v>
      </c>
    </row>
    <row r="52" spans="1:1" ht="15" customHeight="1" x14ac:dyDescent="0.2">
      <c r="A52" s="9" t="s">
        <v>44</v>
      </c>
    </row>
    <row r="53" spans="1:1" ht="15" customHeight="1" x14ac:dyDescent="0.2">
      <c r="A53" s="9" t="s">
        <v>45</v>
      </c>
    </row>
    <row r="54" spans="1:1" ht="15" customHeight="1" x14ac:dyDescent="0.2">
      <c r="A54" s="9" t="s">
        <v>46</v>
      </c>
    </row>
    <row r="55" spans="1:1" ht="15" customHeight="1" x14ac:dyDescent="0.2">
      <c r="A55" s="9" t="s">
        <v>47</v>
      </c>
    </row>
    <row r="56" spans="1:1" ht="23.25" customHeight="1" x14ac:dyDescent="0.2">
      <c r="A56" s="9" t="s">
        <v>48</v>
      </c>
    </row>
    <row r="57" spans="1:1" ht="23.25" customHeight="1" x14ac:dyDescent="0.2">
      <c r="A57" s="9" t="s">
        <v>49</v>
      </c>
    </row>
    <row r="58" spans="1:1" ht="15" customHeight="1" x14ac:dyDescent="0.2">
      <c r="A58" s="9" t="s">
        <v>50</v>
      </c>
    </row>
    <row r="59" spans="1:1" ht="15" customHeight="1" x14ac:dyDescent="0.2">
      <c r="A59" s="9"/>
    </row>
    <row r="60" spans="1:1" ht="15.75" customHeight="1" x14ac:dyDescent="0.2">
      <c r="A60" s="10" t="s">
        <v>51</v>
      </c>
    </row>
    <row r="61" spans="1:1" ht="15" customHeight="1" x14ac:dyDescent="0.2">
      <c r="A61" s="9" t="s">
        <v>52</v>
      </c>
    </row>
    <row r="62" spans="1:1" ht="15" customHeight="1" x14ac:dyDescent="0.2">
      <c r="A62" s="9" t="s">
        <v>53</v>
      </c>
    </row>
    <row r="63" spans="1:1" ht="15" customHeight="1" x14ac:dyDescent="0.2">
      <c r="A63" s="9" t="s">
        <v>54</v>
      </c>
    </row>
    <row r="65" spans="1:1" ht="15" customHeight="1" x14ac:dyDescent="0.2">
      <c r="A65" t="s">
        <v>55</v>
      </c>
    </row>
    <row r="68" spans="1:1" ht="15" customHeight="1" x14ac:dyDescent="0.2">
      <c r="A68" t="s">
        <v>56</v>
      </c>
    </row>
    <row r="70" spans="1:1" ht="15" customHeight="1" x14ac:dyDescent="0.2">
      <c r="A70" t="s">
        <v>57</v>
      </c>
    </row>
    <row r="71" spans="1:1" ht="15" customHeight="1" x14ac:dyDescent="0.2">
      <c r="A71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"/>
  <sheetViews>
    <sheetView topLeftCell="A16" zoomScale="170" zoomScaleNormal="170" workbookViewId="0">
      <selection activeCell="B28" sqref="B28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20" customWidth="1"/>
    <col min="4" max="4" width="60" customWidth="1"/>
    <col min="7" max="7" width="11.1640625" customWidth="1"/>
    <col min="9" max="9" width="10.1640625" customWidth="1"/>
  </cols>
  <sheetData>
    <row r="1" spans="1:5" ht="17.25" customHeight="1" x14ac:dyDescent="0.2">
      <c r="A1" s="7" t="s">
        <v>59</v>
      </c>
      <c r="B1" s="7"/>
      <c r="C1" s="7"/>
      <c r="D1" s="7"/>
    </row>
    <row r="3" spans="1:5" ht="15" customHeight="1" x14ac:dyDescent="0.2">
      <c r="A3" s="13" t="s">
        <v>60</v>
      </c>
      <c r="B3" s="13" t="s">
        <v>61</v>
      </c>
      <c r="C3" s="13" t="s">
        <v>62</v>
      </c>
      <c r="D3" s="13" t="s">
        <v>63</v>
      </c>
    </row>
    <row r="5" spans="1:5" ht="15" customHeight="1" x14ac:dyDescent="0.2">
      <c r="A5" s="6" t="s">
        <v>64</v>
      </c>
      <c r="B5" s="6"/>
      <c r="C5" s="6"/>
      <c r="D5" s="6"/>
    </row>
    <row r="6" spans="1:5" ht="15" customHeight="1" x14ac:dyDescent="0.2">
      <c r="A6" s="14" t="s">
        <v>65</v>
      </c>
      <c r="B6" s="15">
        <v>6735277</v>
      </c>
      <c r="C6" s="16" t="s">
        <v>66</v>
      </c>
      <c r="D6" s="17" t="s">
        <v>67</v>
      </c>
      <c r="E6" t="s">
        <v>68</v>
      </c>
    </row>
    <row r="7" spans="1:5" ht="15" customHeight="1" x14ac:dyDescent="0.2">
      <c r="A7" s="14" t="s">
        <v>69</v>
      </c>
      <c r="B7" s="15">
        <v>10506952</v>
      </c>
      <c r="C7" s="16" t="s">
        <v>66</v>
      </c>
      <c r="D7" s="17" t="s">
        <v>70</v>
      </c>
      <c r="E7" t="s">
        <v>68</v>
      </c>
    </row>
    <row r="8" spans="1:5" ht="15" customHeight="1" x14ac:dyDescent="0.2">
      <c r="A8" s="14" t="s">
        <v>71</v>
      </c>
      <c r="B8" s="18">
        <v>6357</v>
      </c>
      <c r="C8" s="16" t="s">
        <v>72</v>
      </c>
      <c r="D8" s="17" t="s">
        <v>73</v>
      </c>
      <c r="E8" t="s">
        <v>68</v>
      </c>
    </row>
    <row r="9" spans="1:5" ht="15" customHeight="1" x14ac:dyDescent="0.2">
      <c r="A9" s="14" t="s">
        <v>74</v>
      </c>
      <c r="B9" s="18">
        <v>2.8000000000000001E-2</v>
      </c>
      <c r="C9" s="16" t="s">
        <v>75</v>
      </c>
      <c r="D9" s="17" t="s">
        <v>70</v>
      </c>
      <c r="E9" t="s">
        <v>68</v>
      </c>
    </row>
    <row r="11" spans="1:5" ht="15" customHeight="1" x14ac:dyDescent="0.2">
      <c r="A11" s="6" t="s">
        <v>76</v>
      </c>
      <c r="B11" s="6"/>
      <c r="C11" s="6"/>
      <c r="D11" s="6"/>
    </row>
    <row r="12" spans="1:5" ht="15" customHeight="1" x14ac:dyDescent="0.2">
      <c r="A12" s="14" t="s">
        <v>77</v>
      </c>
      <c r="B12" s="19">
        <v>319</v>
      </c>
      <c r="C12" s="16" t="s">
        <v>78</v>
      </c>
      <c r="D12" s="17" t="s">
        <v>79</v>
      </c>
    </row>
    <row r="13" spans="1:5" ht="15" customHeight="1" x14ac:dyDescent="0.2">
      <c r="A13" s="14" t="s">
        <v>80</v>
      </c>
      <c r="B13" s="18">
        <v>-5.0000000000000001E-3</v>
      </c>
      <c r="C13" s="16" t="s">
        <v>75</v>
      </c>
      <c r="D13" s="17" t="s">
        <v>81</v>
      </c>
    </row>
    <row r="14" spans="1:5" ht="15" customHeight="1" x14ac:dyDescent="0.2">
      <c r="A14" s="14" t="s">
        <v>82</v>
      </c>
      <c r="B14" s="19">
        <v>9.1</v>
      </c>
      <c r="C14" s="16" t="s">
        <v>83</v>
      </c>
      <c r="D14" s="17" t="s">
        <v>84</v>
      </c>
    </row>
    <row r="15" spans="1:5" ht="15" customHeight="1" x14ac:dyDescent="0.2">
      <c r="A15" s="14" t="s">
        <v>85</v>
      </c>
      <c r="B15" s="18">
        <v>-0.01</v>
      </c>
      <c r="C15" s="16" t="s">
        <v>75</v>
      </c>
      <c r="D15" s="17" t="s">
        <v>86</v>
      </c>
    </row>
    <row r="16" spans="1:5" ht="15" customHeight="1" x14ac:dyDescent="0.2">
      <c r="A16" s="14" t="s">
        <v>87</v>
      </c>
      <c r="B16" s="19">
        <v>2386</v>
      </c>
      <c r="C16" s="16" t="s">
        <v>78</v>
      </c>
      <c r="D16" s="17" t="s">
        <v>88</v>
      </c>
    </row>
    <row r="17" spans="1:5" ht="15" customHeight="1" x14ac:dyDescent="0.2">
      <c r="A17" s="14" t="s">
        <v>89</v>
      </c>
      <c r="B17" s="18">
        <v>-8.0000000000000002E-3</v>
      </c>
      <c r="C17" s="16" t="s">
        <v>75</v>
      </c>
      <c r="D17" s="17" t="s">
        <v>90</v>
      </c>
    </row>
    <row r="18" spans="1:5" ht="15" customHeight="1" x14ac:dyDescent="0.2">
      <c r="A18" t="s">
        <v>91</v>
      </c>
      <c r="B18" s="20">
        <v>-0.01</v>
      </c>
      <c r="C18" t="s">
        <v>75</v>
      </c>
      <c r="D18" t="s">
        <v>92</v>
      </c>
    </row>
    <row r="19" spans="1:5" ht="15" customHeight="1" x14ac:dyDescent="0.2">
      <c r="A19" s="6" t="s">
        <v>93</v>
      </c>
      <c r="B19" s="6"/>
      <c r="C19" s="6"/>
      <c r="D19" s="6"/>
    </row>
    <row r="20" spans="1:5" ht="24" customHeight="1" x14ac:dyDescent="0.2">
      <c r="A20" s="14" t="s">
        <v>94</v>
      </c>
      <c r="B20" s="19">
        <v>6000</v>
      </c>
      <c r="C20" s="16" t="s">
        <v>95</v>
      </c>
      <c r="D20" s="17" t="s">
        <v>96</v>
      </c>
    </row>
    <row r="21" spans="1:5" ht="15" customHeight="1" x14ac:dyDescent="0.2">
      <c r="A21" s="14" t="s">
        <v>97</v>
      </c>
      <c r="B21" s="18">
        <v>-1.4999999999999999E-2</v>
      </c>
      <c r="C21" s="16" t="s">
        <v>75</v>
      </c>
      <c r="D21" s="17" t="s">
        <v>98</v>
      </c>
    </row>
    <row r="22" spans="1:5" ht="15" customHeight="1" x14ac:dyDescent="0.2">
      <c r="A22" s="14" t="s">
        <v>99</v>
      </c>
      <c r="B22" s="18">
        <v>912</v>
      </c>
      <c r="C22" s="16" t="s">
        <v>95</v>
      </c>
      <c r="D22" s="17" t="s">
        <v>100</v>
      </c>
      <c r="E22" t="s">
        <v>101</v>
      </c>
    </row>
    <row r="23" spans="1:5" ht="15" customHeight="1" x14ac:dyDescent="0.2">
      <c r="A23" s="14" t="s">
        <v>102</v>
      </c>
      <c r="B23" s="18">
        <v>-0.02</v>
      </c>
      <c r="C23" s="16" t="s">
        <v>75</v>
      </c>
      <c r="D23" s="17" t="s">
        <v>103</v>
      </c>
    </row>
    <row r="24" spans="1:5" ht="15" customHeight="1" x14ac:dyDescent="0.2">
      <c r="A24" t="s">
        <v>104</v>
      </c>
      <c r="B24" s="20">
        <v>60</v>
      </c>
      <c r="C24" t="s">
        <v>95</v>
      </c>
      <c r="D24" t="s">
        <v>105</v>
      </c>
    </row>
    <row r="25" spans="1:5" ht="15" customHeight="1" x14ac:dyDescent="0.2">
      <c r="A25" s="6" t="s">
        <v>106</v>
      </c>
      <c r="B25" s="6"/>
      <c r="C25" s="6"/>
      <c r="D25" s="6"/>
    </row>
    <row r="26" spans="1:5" ht="97.5" customHeight="1" x14ac:dyDescent="0.2">
      <c r="A26" s="14" t="s">
        <v>107</v>
      </c>
      <c r="B26" s="18">
        <f>0.7*0.5</f>
        <v>0.35</v>
      </c>
      <c r="C26" s="16" t="s">
        <v>108</v>
      </c>
      <c r="D26" s="17" t="s">
        <v>109</v>
      </c>
    </row>
    <row r="27" spans="1:5" ht="15" customHeight="1" x14ac:dyDescent="0.2">
      <c r="A27" s="14" t="s">
        <v>110</v>
      </c>
      <c r="B27" s="18">
        <v>1.4999999999999999E-2</v>
      </c>
      <c r="C27" s="16" t="s">
        <v>75</v>
      </c>
      <c r="D27" s="17" t="s">
        <v>111</v>
      </c>
    </row>
    <row r="28" spans="1:5" ht="15" customHeight="1" x14ac:dyDescent="0.2">
      <c r="A28" s="14" t="s">
        <v>112</v>
      </c>
      <c r="B28" s="18">
        <v>1.8</v>
      </c>
      <c r="C28" s="16" t="s">
        <v>108</v>
      </c>
      <c r="D28" s="17" t="s">
        <v>113</v>
      </c>
      <c r="E28" t="s">
        <v>114</v>
      </c>
    </row>
    <row r="29" spans="1:5" ht="15" customHeight="1" x14ac:dyDescent="0.2">
      <c r="A29" s="14" t="s">
        <v>115</v>
      </c>
      <c r="B29" s="18">
        <v>0.01</v>
      </c>
      <c r="C29" s="16" t="s">
        <v>75</v>
      </c>
      <c r="D29" s="17" t="s">
        <v>116</v>
      </c>
    </row>
    <row r="30" spans="1:5" ht="15" customHeight="1" x14ac:dyDescent="0.2">
      <c r="A30" s="14" t="s">
        <v>117</v>
      </c>
      <c r="B30" s="18">
        <v>3.5</v>
      </c>
      <c r="C30" s="16" t="s">
        <v>108</v>
      </c>
      <c r="D30" s="17" t="s">
        <v>118</v>
      </c>
    </row>
    <row r="31" spans="1:5" ht="15" customHeight="1" x14ac:dyDescent="0.2">
      <c r="A31" s="14" t="s">
        <v>119</v>
      </c>
      <c r="B31" s="18">
        <v>3</v>
      </c>
      <c r="C31" s="16" t="s">
        <v>108</v>
      </c>
      <c r="D31" s="17" t="s">
        <v>120</v>
      </c>
    </row>
    <row r="32" spans="1:5" ht="15" customHeight="1" x14ac:dyDescent="0.2">
      <c r="A32" t="s">
        <v>121</v>
      </c>
      <c r="B32" s="20">
        <v>20</v>
      </c>
      <c r="C32" t="s">
        <v>95</v>
      </c>
      <c r="D32" t="s">
        <v>122</v>
      </c>
    </row>
    <row r="33" spans="1:12" ht="15" customHeight="1" x14ac:dyDescent="0.2">
      <c r="A33" s="6" t="s">
        <v>123</v>
      </c>
      <c r="B33" s="6"/>
      <c r="C33" s="6"/>
      <c r="D33" s="6"/>
    </row>
    <row r="34" spans="1:12" ht="15" customHeight="1" x14ac:dyDescent="0.2">
      <c r="A34" s="14" t="s">
        <v>124</v>
      </c>
      <c r="B34" s="18">
        <v>2026</v>
      </c>
      <c r="C34" s="16" t="s">
        <v>125</v>
      </c>
      <c r="D34" s="17" t="s">
        <v>126</v>
      </c>
    </row>
    <row r="35" spans="1:12" ht="15" customHeight="1" x14ac:dyDescent="0.2">
      <c r="A35" s="14" t="s">
        <v>127</v>
      </c>
      <c r="B35" s="18">
        <v>10</v>
      </c>
      <c r="C35" s="16" t="s">
        <v>128</v>
      </c>
      <c r="D35" s="17" t="s">
        <v>129</v>
      </c>
    </row>
    <row r="36" spans="1:12" ht="15" customHeight="1" x14ac:dyDescent="0.2">
      <c r="A36" s="14" t="s">
        <v>130</v>
      </c>
      <c r="B36" s="21">
        <v>100000000</v>
      </c>
      <c r="C36" s="16" t="s">
        <v>131</v>
      </c>
      <c r="D36" s="17" t="s">
        <v>132</v>
      </c>
    </row>
    <row r="37" spans="1:12" ht="23.25" customHeight="1" x14ac:dyDescent="0.2">
      <c r="A37" s="14" t="s">
        <v>133</v>
      </c>
      <c r="B37" s="18">
        <v>15</v>
      </c>
      <c r="C37" s="16" t="s">
        <v>134</v>
      </c>
      <c r="D37" s="17" t="s">
        <v>135</v>
      </c>
      <c r="G37">
        <f>+B36*B37</f>
        <v>1500000000</v>
      </c>
      <c r="H37" t="s">
        <v>136</v>
      </c>
      <c r="I37">
        <f>+G37*365/1000</f>
        <v>547500000</v>
      </c>
      <c r="J37" t="s">
        <v>137</v>
      </c>
      <c r="K37">
        <f>+I37/1000000</f>
        <v>547.5</v>
      </c>
      <c r="L37" t="s">
        <v>138</v>
      </c>
    </row>
    <row r="38" spans="1:12" ht="15" customHeight="1" x14ac:dyDescent="0.2">
      <c r="A38" t="s">
        <v>139</v>
      </c>
      <c r="B38" s="20">
        <v>750</v>
      </c>
      <c r="C38" t="s">
        <v>95</v>
      </c>
      <c r="D38" t="s">
        <v>140</v>
      </c>
    </row>
    <row r="39" spans="1:12" ht="15" customHeight="1" x14ac:dyDescent="0.2">
      <c r="A39" t="s">
        <v>141</v>
      </c>
    </row>
    <row r="40" spans="1:12" ht="15" customHeight="1" x14ac:dyDescent="0.2">
      <c r="A40" t="s">
        <v>60</v>
      </c>
      <c r="B40" t="s">
        <v>61</v>
      </c>
      <c r="C40" t="s">
        <v>62</v>
      </c>
      <c r="D40" t="s">
        <v>63</v>
      </c>
    </row>
    <row r="41" spans="1:12" ht="15" customHeight="1" x14ac:dyDescent="0.2">
      <c r="A41" t="s">
        <v>142</v>
      </c>
      <c r="B41" s="22">
        <v>0.01</v>
      </c>
      <c r="C41" t="s">
        <v>143</v>
      </c>
      <c r="D41" t="s">
        <v>144</v>
      </c>
    </row>
    <row r="42" spans="1:12" ht="15" customHeight="1" x14ac:dyDescent="0.2">
      <c r="A42" t="s">
        <v>145</v>
      </c>
      <c r="B42" s="22">
        <f>0.35*0.1</f>
        <v>3.4999999999999996E-2</v>
      </c>
      <c r="C42" t="s">
        <v>143</v>
      </c>
      <c r="D42" t="s">
        <v>146</v>
      </c>
    </row>
    <row r="43" spans="1:12" ht="15" customHeight="1" x14ac:dyDescent="0.2">
      <c r="A43" t="s">
        <v>147</v>
      </c>
      <c r="B43" s="23">
        <v>0.5</v>
      </c>
      <c r="C43" t="s">
        <v>148</v>
      </c>
      <c r="D43" t="s">
        <v>149</v>
      </c>
    </row>
    <row r="44" spans="1:12" ht="15" customHeight="1" x14ac:dyDescent="0.2">
      <c r="A44" t="s">
        <v>150</v>
      </c>
      <c r="B44" s="23">
        <v>0.3</v>
      </c>
      <c r="C44" t="s">
        <v>148</v>
      </c>
      <c r="D44" t="s">
        <v>151</v>
      </c>
    </row>
    <row r="45" spans="1:12" ht="15" customHeight="1" x14ac:dyDescent="0.2">
      <c r="A45" t="s">
        <v>152</v>
      </c>
      <c r="B45" s="23">
        <v>0.8</v>
      </c>
      <c r="C45" t="s">
        <v>108</v>
      </c>
      <c r="D45" t="s">
        <v>153</v>
      </c>
    </row>
    <row r="46" spans="1:12" ht="15" customHeight="1" x14ac:dyDescent="0.2">
      <c r="A46" t="s">
        <v>154</v>
      </c>
      <c r="B46" s="23">
        <v>0.65</v>
      </c>
      <c r="C46" t="s">
        <v>108</v>
      </c>
      <c r="D46" t="s">
        <v>155</v>
      </c>
    </row>
    <row r="48" spans="1:12" ht="15" customHeight="1" x14ac:dyDescent="0.2">
      <c r="A48" t="s">
        <v>156</v>
      </c>
    </row>
    <row r="49" spans="1:4" ht="15" customHeight="1" x14ac:dyDescent="0.2">
      <c r="A49" t="s">
        <v>60</v>
      </c>
      <c r="B49" t="s">
        <v>61</v>
      </c>
      <c r="C49" t="s">
        <v>62</v>
      </c>
      <c r="D49" t="s">
        <v>63</v>
      </c>
    </row>
    <row r="50" spans="1:4" ht="15" customHeight="1" x14ac:dyDescent="0.2">
      <c r="A50" t="s">
        <v>147</v>
      </c>
      <c r="B50" s="23">
        <v>0.5</v>
      </c>
      <c r="C50" t="s">
        <v>148</v>
      </c>
      <c r="D50" t="s">
        <v>157</v>
      </c>
    </row>
    <row r="51" spans="1:4" ht="15" customHeight="1" x14ac:dyDescent="0.2">
      <c r="A51" t="s">
        <v>150</v>
      </c>
      <c r="B51" s="23">
        <v>0.3</v>
      </c>
      <c r="C51" t="s">
        <v>148</v>
      </c>
      <c r="D51" t="s">
        <v>157</v>
      </c>
    </row>
    <row r="52" spans="1:4" ht="15" customHeight="1" x14ac:dyDescent="0.2">
      <c r="A52" t="s">
        <v>158</v>
      </c>
      <c r="B52" s="23">
        <v>1</v>
      </c>
      <c r="C52" t="s">
        <v>159</v>
      </c>
      <c r="D52" t="s">
        <v>160</v>
      </c>
    </row>
    <row r="53" spans="1:4" ht="15" customHeight="1" x14ac:dyDescent="0.2">
      <c r="A53" t="s">
        <v>161</v>
      </c>
      <c r="B53" s="23">
        <v>1</v>
      </c>
      <c r="C53" t="s">
        <v>162</v>
      </c>
      <c r="D53" t="s">
        <v>160</v>
      </c>
    </row>
    <row r="54" spans="1:4" ht="15" customHeight="1" x14ac:dyDescent="0.2">
      <c r="A54" t="s">
        <v>163</v>
      </c>
      <c r="B54" s="23">
        <v>1</v>
      </c>
      <c r="C54" t="s">
        <v>164</v>
      </c>
      <c r="D54" t="s">
        <v>160</v>
      </c>
    </row>
    <row r="55" spans="1:4" ht="15" customHeight="1" x14ac:dyDescent="0.2">
      <c r="A55" t="s">
        <v>165</v>
      </c>
      <c r="B55" s="23">
        <v>1</v>
      </c>
      <c r="C55" t="s">
        <v>166</v>
      </c>
      <c r="D55" t="s">
        <v>160</v>
      </c>
    </row>
    <row r="56" spans="1:4" ht="15" customHeight="1" x14ac:dyDescent="0.2">
      <c r="A56" t="s">
        <v>167</v>
      </c>
      <c r="B56" s="23">
        <v>1</v>
      </c>
      <c r="C56" t="s">
        <v>168</v>
      </c>
      <c r="D56" t="s">
        <v>160</v>
      </c>
    </row>
    <row r="57" spans="1:4" ht="15" customHeight="1" x14ac:dyDescent="0.2">
      <c r="A57" t="s">
        <v>169</v>
      </c>
      <c r="B57" s="23">
        <v>1</v>
      </c>
      <c r="C57" t="s">
        <v>170</v>
      </c>
      <c r="D57" t="s">
        <v>160</v>
      </c>
    </row>
    <row r="58" spans="1:4" ht="15" hidden="1" customHeight="1" x14ac:dyDescent="0.2"/>
    <row r="59" spans="1:4" ht="15" hidden="1" customHeight="1" x14ac:dyDescent="0.2">
      <c r="A59" s="24" t="s">
        <v>171</v>
      </c>
    </row>
    <row r="60" spans="1:4" ht="15" hidden="1" customHeight="1" x14ac:dyDescent="0.2">
      <c r="A60" s="25" t="s">
        <v>172</v>
      </c>
      <c r="B60" s="26">
        <v>0.53</v>
      </c>
      <c r="C60" s="25" t="s">
        <v>173</v>
      </c>
      <c r="D60" s="27" t="s">
        <v>174</v>
      </c>
    </row>
    <row r="61" spans="1:4" ht="15" hidden="1" customHeight="1" x14ac:dyDescent="0.2">
      <c r="A61" s="25" t="s">
        <v>175</v>
      </c>
      <c r="B61" s="26">
        <v>0.95</v>
      </c>
      <c r="C61" s="25" t="s">
        <v>176</v>
      </c>
      <c r="D61" s="27" t="s">
        <v>177</v>
      </c>
    </row>
    <row r="62" spans="1:4" ht="15" hidden="1" customHeight="1" x14ac:dyDescent="0.2">
      <c r="A62" s="25" t="s">
        <v>178</v>
      </c>
      <c r="B62" s="26">
        <v>0.1</v>
      </c>
      <c r="C62" s="25" t="s">
        <v>176</v>
      </c>
      <c r="D62" s="27" t="s">
        <v>179</v>
      </c>
    </row>
    <row r="63" spans="1:4" ht="15" hidden="1" customHeight="1" x14ac:dyDescent="0.2">
      <c r="A63" s="25" t="s">
        <v>180</v>
      </c>
      <c r="B63" s="26">
        <v>15</v>
      </c>
      <c r="C63" s="25" t="s">
        <v>181</v>
      </c>
      <c r="D63" s="27" t="s">
        <v>182</v>
      </c>
    </row>
    <row r="64" spans="1:4" ht="15" hidden="1" customHeight="1" x14ac:dyDescent="0.2">
      <c r="A64" s="25" t="s">
        <v>183</v>
      </c>
      <c r="B64" s="26">
        <v>3.5999999999999999E-3</v>
      </c>
      <c r="C64" s="25" t="s">
        <v>184</v>
      </c>
      <c r="D64" s="27" t="s">
        <v>185</v>
      </c>
    </row>
    <row r="65" spans="1:4" ht="15" hidden="1" customHeight="1" x14ac:dyDescent="0.2">
      <c r="A65" s="25" t="s">
        <v>186</v>
      </c>
      <c r="B65" s="26">
        <v>35000</v>
      </c>
      <c r="C65" s="25" t="s">
        <v>187</v>
      </c>
      <c r="D65" s="27" t="s">
        <v>188</v>
      </c>
    </row>
    <row r="67" spans="1:4" ht="15" customHeight="1" x14ac:dyDescent="0.2">
      <c r="A67" s="28" t="s">
        <v>189</v>
      </c>
    </row>
    <row r="68" spans="1:4" ht="15" customHeight="1" x14ac:dyDescent="0.2">
      <c r="A68" s="29" t="s">
        <v>60</v>
      </c>
      <c r="B68" s="29" t="s">
        <v>61</v>
      </c>
      <c r="C68" s="29" t="s">
        <v>62</v>
      </c>
    </row>
    <row r="69" spans="1:4" ht="15" customHeight="1" x14ac:dyDescent="0.2">
      <c r="A69" t="s">
        <v>190</v>
      </c>
      <c r="B69" s="23">
        <v>0.01</v>
      </c>
      <c r="C69" t="s">
        <v>143</v>
      </c>
      <c r="D69" t="s">
        <v>191</v>
      </c>
    </row>
    <row r="70" spans="1:4" ht="15" customHeight="1" x14ac:dyDescent="0.2">
      <c r="A70" t="s">
        <v>192</v>
      </c>
      <c r="B70" s="23">
        <v>0.35</v>
      </c>
      <c r="C70" t="s">
        <v>143</v>
      </c>
    </row>
    <row r="71" spans="1:4" ht="15" customHeight="1" x14ac:dyDescent="0.2">
      <c r="A71" t="s">
        <v>193</v>
      </c>
      <c r="B71">
        <v>0.5</v>
      </c>
      <c r="C71" t="s">
        <v>148</v>
      </c>
    </row>
    <row r="72" spans="1:4" ht="15" customHeight="1" x14ac:dyDescent="0.2">
      <c r="A72" t="s">
        <v>194</v>
      </c>
      <c r="B72">
        <v>0.6</v>
      </c>
      <c r="C72" t="s">
        <v>148</v>
      </c>
    </row>
  </sheetData>
  <mergeCells count="6">
    <mergeCell ref="A33:D33"/>
    <mergeCell ref="A1:D1"/>
    <mergeCell ref="A5:D5"/>
    <mergeCell ref="A11:D11"/>
    <mergeCell ref="A19:D19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zoomScale="165" zoomScaleNormal="165" workbookViewId="0">
      <pane xSplit="3" ySplit="3" topLeftCell="H4" activePane="bottomRight" state="frozen"/>
      <selection pane="topRight" activeCell="H1" sqref="H1"/>
      <selection pane="bottomLeft" activeCell="A4" sqref="A4"/>
      <selection pane="bottomRight" activeCell="K17" sqref="K17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35.83203125" customWidth="1"/>
    <col min="4" max="16" width="10" customWidth="1"/>
    <col min="17" max="34" width="11.33203125" customWidth="1"/>
  </cols>
  <sheetData>
    <row r="1" spans="1:34" ht="17.25" customHeight="1" x14ac:dyDescent="0.2">
      <c r="A1" s="12" t="s">
        <v>195</v>
      </c>
    </row>
    <row r="3" spans="1:34" ht="15" customHeight="1" x14ac:dyDescent="0.2">
      <c r="A3" s="30" t="s">
        <v>196</v>
      </c>
      <c r="B3" s="30" t="s">
        <v>62</v>
      </c>
      <c r="C3" s="30" t="s">
        <v>197</v>
      </c>
      <c r="D3" s="31">
        <v>2020</v>
      </c>
      <c r="E3" s="31">
        <v>2021</v>
      </c>
      <c r="F3" s="31">
        <v>2022</v>
      </c>
      <c r="G3" s="31">
        <v>2023</v>
      </c>
      <c r="H3" s="31">
        <v>2024</v>
      </c>
      <c r="I3" s="31">
        <v>2025</v>
      </c>
      <c r="J3" s="31">
        <v>2026</v>
      </c>
      <c r="K3" s="31">
        <v>2027</v>
      </c>
      <c r="L3" s="31">
        <v>2028</v>
      </c>
      <c r="M3" s="31">
        <v>2029</v>
      </c>
      <c r="N3" s="31">
        <v>2030</v>
      </c>
      <c r="O3" s="31">
        <v>2031</v>
      </c>
      <c r="P3" s="31">
        <v>2032</v>
      </c>
      <c r="Q3" s="31">
        <v>2033</v>
      </c>
      <c r="R3" s="31">
        <v>2034</v>
      </c>
      <c r="S3" s="31">
        <v>2035</v>
      </c>
      <c r="T3" s="31">
        <v>2036</v>
      </c>
      <c r="U3" s="31">
        <v>2037</v>
      </c>
      <c r="V3" s="31">
        <v>2038</v>
      </c>
      <c r="W3" s="31">
        <v>2039</v>
      </c>
      <c r="X3" s="31">
        <v>2040</v>
      </c>
      <c r="Y3" s="31">
        <v>2041</v>
      </c>
      <c r="Z3" s="31">
        <v>2042</v>
      </c>
      <c r="AA3" s="31">
        <v>2043</v>
      </c>
      <c r="AB3" s="31">
        <v>2044</v>
      </c>
      <c r="AC3" s="31">
        <v>2045</v>
      </c>
      <c r="AD3" s="31">
        <v>2046</v>
      </c>
      <c r="AE3" s="31">
        <v>2047</v>
      </c>
      <c r="AF3" s="31">
        <v>2048</v>
      </c>
      <c r="AG3" s="31">
        <v>2049</v>
      </c>
      <c r="AH3" s="31">
        <v>2050</v>
      </c>
    </row>
    <row r="5" spans="1:34" ht="15" customHeight="1" x14ac:dyDescent="0.2">
      <c r="A5" s="32" t="s">
        <v>198</v>
      </c>
      <c r="B5" s="33" t="s">
        <v>66</v>
      </c>
      <c r="C5" s="34" t="s">
        <v>199</v>
      </c>
      <c r="D5" s="35">
        <f>Inputs!$B$6+(Inputs!$B$7-Inputs!$B$6)*(D$3-2020)/30</f>
        <v>6735277</v>
      </c>
      <c r="E5" s="35">
        <f>Inputs!$B$6+(Inputs!$B$7-Inputs!$B$6)*(E$3-2020)/30</f>
        <v>6860999.5</v>
      </c>
      <c r="F5" s="35">
        <f>Inputs!$B$6+(Inputs!$B$7-Inputs!$B$6)*(F$3-2020)/30</f>
        <v>6986722</v>
      </c>
      <c r="G5" s="35">
        <f>Inputs!$B$6+(Inputs!$B$7-Inputs!$B$6)*(G$3-2020)/30</f>
        <v>7112444.5</v>
      </c>
      <c r="H5" s="35">
        <f>Inputs!$B$6+(Inputs!$B$7-Inputs!$B$6)*(H$3-2020)/30</f>
        <v>7238167</v>
      </c>
      <c r="I5" s="35">
        <f>Inputs!$B$6+(Inputs!$B$7-Inputs!$B$6)*(I$3-2020)/30</f>
        <v>7363889.5</v>
      </c>
      <c r="J5" s="35">
        <f>Inputs!$B$6+(Inputs!$B$7-Inputs!$B$6)*(J$3-2020)/30</f>
        <v>7489612</v>
      </c>
      <c r="K5" s="35">
        <f>Inputs!$B$6+(Inputs!$B$7-Inputs!$B$6)*(K$3-2020)/30</f>
        <v>7615334.5</v>
      </c>
      <c r="L5" s="35">
        <f>Inputs!$B$6+(Inputs!$B$7-Inputs!$B$6)*(L$3-2020)/30</f>
        <v>7741057</v>
      </c>
      <c r="M5" s="35">
        <f>Inputs!$B$6+(Inputs!$B$7-Inputs!$B$6)*(M$3-2020)/30</f>
        <v>7866779.5</v>
      </c>
      <c r="N5" s="35">
        <f>Inputs!$B$6+(Inputs!$B$7-Inputs!$B$6)*(N$3-2020)/30</f>
        <v>7992502</v>
      </c>
      <c r="O5" s="35">
        <f>Inputs!$B$6+(Inputs!$B$7-Inputs!$B$6)*(O$3-2020)/30</f>
        <v>8118224.5</v>
      </c>
      <c r="P5" s="35">
        <f>Inputs!$B$6+(Inputs!$B$7-Inputs!$B$6)*(P$3-2020)/30</f>
        <v>8243947</v>
      </c>
      <c r="Q5" s="35">
        <f>Inputs!$B$6+(Inputs!$B$7-Inputs!$B$6)*(Q$3-2020)/30</f>
        <v>8369669.5</v>
      </c>
      <c r="R5" s="35">
        <f>Inputs!$B$6+(Inputs!$B$7-Inputs!$B$6)*(R$3-2020)/30</f>
        <v>8495392</v>
      </c>
      <c r="S5" s="35">
        <f>Inputs!$B$6+(Inputs!$B$7-Inputs!$B$6)*(S$3-2020)/30</f>
        <v>8621114.5</v>
      </c>
      <c r="T5" s="35">
        <f>Inputs!$B$6+(Inputs!$B$7-Inputs!$B$6)*(T$3-2020)/30</f>
        <v>8746837</v>
      </c>
      <c r="U5" s="35">
        <f>Inputs!$B$6+(Inputs!$B$7-Inputs!$B$6)*(U$3-2020)/30</f>
        <v>8872559.5</v>
      </c>
      <c r="V5" s="35">
        <f>Inputs!$B$6+(Inputs!$B$7-Inputs!$B$6)*(V$3-2020)/30</f>
        <v>8998282</v>
      </c>
      <c r="W5" s="35">
        <f>Inputs!$B$6+(Inputs!$B$7-Inputs!$B$6)*(W$3-2020)/30</f>
        <v>9124004.5</v>
      </c>
      <c r="X5" s="35">
        <f>Inputs!$B$6+(Inputs!$B$7-Inputs!$B$6)*(X$3-2020)/30</f>
        <v>9249727</v>
      </c>
      <c r="Y5" s="35">
        <f>Inputs!$B$6+(Inputs!$B$7-Inputs!$B$6)*(Y$3-2020)/30</f>
        <v>9375449.5</v>
      </c>
      <c r="Z5" s="35">
        <f>Inputs!$B$6+(Inputs!$B$7-Inputs!$B$6)*(Z$3-2020)/30</f>
        <v>9501172</v>
      </c>
      <c r="AA5" s="35">
        <f>Inputs!$B$6+(Inputs!$B$7-Inputs!$B$6)*(AA$3-2020)/30</f>
        <v>9626894.5</v>
      </c>
      <c r="AB5" s="35">
        <f>Inputs!$B$6+(Inputs!$B$7-Inputs!$B$6)*(AB$3-2020)/30</f>
        <v>9752617</v>
      </c>
      <c r="AC5" s="35">
        <f>Inputs!$B$6+(Inputs!$B$7-Inputs!$B$6)*(AC$3-2020)/30</f>
        <v>9878339.5</v>
      </c>
      <c r="AD5" s="35">
        <f>Inputs!$B$6+(Inputs!$B$7-Inputs!$B$6)*(AD$3-2020)/30</f>
        <v>10004062</v>
      </c>
      <c r="AE5" s="35">
        <f>Inputs!$B$6+(Inputs!$B$7-Inputs!$B$6)*(AE$3-2020)/30</f>
        <v>10129784.5</v>
      </c>
      <c r="AF5" s="35">
        <f>Inputs!$B$6+(Inputs!$B$7-Inputs!$B$6)*(AF$3-2020)/30</f>
        <v>10255507</v>
      </c>
      <c r="AG5" s="35">
        <f>Inputs!$B$6+(Inputs!$B$7-Inputs!$B$6)*(AG$3-2020)/30</f>
        <v>10381229.5</v>
      </c>
      <c r="AH5" s="35">
        <f>Inputs!$B$6+(Inputs!$B$7-Inputs!$B$6)*(AH$3-2020)/30</f>
        <v>10506952</v>
      </c>
    </row>
    <row r="6" spans="1:34" ht="15" customHeight="1" x14ac:dyDescent="0.2">
      <c r="A6" s="32" t="s">
        <v>200</v>
      </c>
      <c r="B6" s="33" t="s">
        <v>201</v>
      </c>
      <c r="C6" s="34" t="s">
        <v>202</v>
      </c>
      <c r="D6" s="35">
        <f>Inputs!$B$8*(1+Inputs!$B$9)^(D$3-2020)</f>
        <v>6357</v>
      </c>
      <c r="E6" s="35">
        <f>Inputs!$B$8*(1+Inputs!$B$9)^(E$3-2020)</f>
        <v>6534.9960000000001</v>
      </c>
      <c r="F6" s="35">
        <f>Inputs!$B$8*(1+Inputs!$B$9)^(F$3-2020)</f>
        <v>6717.9758879999999</v>
      </c>
      <c r="G6" s="35">
        <f>Inputs!$B$8*(1+Inputs!$B$9)^(G$3-2020)</f>
        <v>6906.0792128639996</v>
      </c>
      <c r="H6" s="35">
        <f>Inputs!$B$8*(1+Inputs!$B$9)^(H$3-2020)</f>
        <v>7099.4494308241919</v>
      </c>
      <c r="I6" s="35">
        <f>Inputs!$B$8*(1+Inputs!$B$9)^(I$3-2020)</f>
        <v>7298.234014887269</v>
      </c>
      <c r="J6" s="35">
        <f>Inputs!$B$8*(1+Inputs!$B$9)^(J$3-2020)</f>
        <v>7502.5845673041131</v>
      </c>
      <c r="K6" s="35">
        <f>Inputs!$B$8*(1+Inputs!$B$9)^(K$3-2020)</f>
        <v>7712.6569351886283</v>
      </c>
      <c r="L6" s="35">
        <f>Inputs!$B$8*(1+Inputs!$B$9)^(L$3-2020)</f>
        <v>7928.6113293739099</v>
      </c>
      <c r="M6" s="35">
        <f>Inputs!$B$8*(1+Inputs!$B$9)^(M$3-2020)</f>
        <v>8150.6124465963794</v>
      </c>
      <c r="N6" s="35">
        <f>Inputs!$B$8*(1+Inputs!$B$9)^(N$3-2020)</f>
        <v>8378.8295951010768</v>
      </c>
      <c r="O6" s="35">
        <f>Inputs!$B$8*(1+Inputs!$B$9)^(O$3-2020)</f>
        <v>8613.4368237639083</v>
      </c>
      <c r="P6" s="35">
        <f>Inputs!$B$8*(1+Inputs!$B$9)^(P$3-2020)</f>
        <v>8854.6130548292986</v>
      </c>
      <c r="Q6" s="35">
        <f>Inputs!$B$8*(1+Inputs!$B$9)^(Q$3-2020)</f>
        <v>9102.5422203645176</v>
      </c>
      <c r="R6" s="35">
        <f>Inputs!$B$8*(1+Inputs!$B$9)^(R$3-2020)</f>
        <v>9357.413402534723</v>
      </c>
      <c r="S6" s="35">
        <f>Inputs!$B$8*(1+Inputs!$B$9)^(S$3-2020)</f>
        <v>9619.4209778056975</v>
      </c>
      <c r="T6" s="35">
        <f>Inputs!$B$8*(1+Inputs!$B$9)^(T$3-2020)</f>
        <v>9888.7647651842562</v>
      </c>
      <c r="U6" s="35">
        <f>Inputs!$B$8*(1+Inputs!$B$9)^(U$3-2020)</f>
        <v>10165.650178609416</v>
      </c>
      <c r="V6" s="35">
        <f>Inputs!$B$8*(1+Inputs!$B$9)^(V$3-2020)</f>
        <v>10450.288383610477</v>
      </c>
      <c r="W6" s="35">
        <f>Inputs!$B$8*(1+Inputs!$B$9)^(W$3-2020)</f>
        <v>10742.896458351572</v>
      </c>
      <c r="X6" s="35">
        <f>Inputs!$B$8*(1+Inputs!$B$9)^(X$3-2020)</f>
        <v>11043.697559185415</v>
      </c>
      <c r="Y6" s="35">
        <f>Inputs!$B$8*(1+Inputs!$B$9)^(Y$3-2020)</f>
        <v>11352.921090842607</v>
      </c>
      <c r="Z6" s="35">
        <f>Inputs!$B$8*(1+Inputs!$B$9)^(Z$3-2020)</f>
        <v>11670.802881386202</v>
      </c>
      <c r="AA6" s="35">
        <f>Inputs!$B$8*(1+Inputs!$B$9)^(AA$3-2020)</f>
        <v>11997.585362065014</v>
      </c>
      <c r="AB6" s="35">
        <f>Inputs!$B$8*(1+Inputs!$B$9)^(AB$3-2020)</f>
        <v>12333.517752202835</v>
      </c>
      <c r="AC6" s="35">
        <f>Inputs!$B$8*(1+Inputs!$B$9)^(AC$3-2020)</f>
        <v>12678.856249264514</v>
      </c>
      <c r="AD6" s="35">
        <f>Inputs!$B$8*(1+Inputs!$B$9)^(AD$3-2020)</f>
        <v>13033.86422424392</v>
      </c>
      <c r="AE6" s="35">
        <f>Inputs!$B$8*(1+Inputs!$B$9)^(AE$3-2020)</f>
        <v>13398.812422522751</v>
      </c>
      <c r="AF6" s="35">
        <f>Inputs!$B$8*(1+Inputs!$B$9)^(AF$3-2020)</f>
        <v>13773.97917035339</v>
      </c>
      <c r="AG6" s="35">
        <f>Inputs!$B$8*(1+Inputs!$B$9)^(AG$3-2020)</f>
        <v>14159.650587123282</v>
      </c>
      <c r="AH6" s="35">
        <f>Inputs!$B$8*(1+Inputs!$B$9)^(AH$3-2020)</f>
        <v>14556.120803562733</v>
      </c>
    </row>
    <row r="7" spans="1:34" ht="15" customHeight="1" x14ac:dyDescent="0.2">
      <c r="A7" s="32" t="s">
        <v>203</v>
      </c>
      <c r="B7" s="33" t="s">
        <v>204</v>
      </c>
      <c r="C7" s="34" t="s">
        <v>205</v>
      </c>
      <c r="D7" s="36">
        <f t="shared" ref="D7:AH7" si="0">D5*D6/1000000</f>
        <v>42816.155889000001</v>
      </c>
      <c r="E7" s="36">
        <f t="shared" si="0"/>
        <v>44836.604288502</v>
      </c>
      <c r="F7" s="36">
        <f t="shared" si="0"/>
        <v>46936.629932159136</v>
      </c>
      <c r="G7" s="36">
        <f t="shared" si="0"/>
        <v>49119.105114098886</v>
      </c>
      <c r="H7" s="36">
        <f t="shared" si="0"/>
        <v>51387.000588360454</v>
      </c>
      <c r="I7" s="36">
        <f t="shared" si="0"/>
        <v>53743.388830771204</v>
      </c>
      <c r="J7" s="36">
        <f t="shared" si="0"/>
        <v>56191.447406295694</v>
      </c>
      <c r="K7" s="36">
        <f t="shared" si="0"/>
        <v>58734.46244520622</v>
      </c>
      <c r="L7" s="36">
        <f t="shared" si="0"/>
        <v>61375.83223152921</v>
      </c>
      <c r="M7" s="36">
        <f t="shared" si="0"/>
        <v>64119.070907329238</v>
      </c>
      <c r="N7" s="36">
        <f t="shared" si="0"/>
        <v>66967.812296504548</v>
      </c>
      <c r="O7" s="36">
        <f t="shared" si="0"/>
        <v>69925.81385188234</v>
      </c>
      <c r="P7" s="36">
        <f t="shared" si="0"/>
        <v>72996.960729520826</v>
      </c>
      <c r="Q7" s="36">
        <f t="shared" si="0"/>
        <v>76185.269994247181</v>
      </c>
      <c r="R7" s="36">
        <f t="shared" si="0"/>
        <v>79494.894960586258</v>
      </c>
      <c r="S7" s="36">
        <f t="shared" si="0"/>
        <v>82930.129673364878</v>
      </c>
      <c r="T7" s="36">
        <f t="shared" si="0"/>
        <v>86495.413532409962</v>
      </c>
      <c r="U7" s="36">
        <f t="shared" si="0"/>
        <v>90195.336065897674</v>
      </c>
      <c r="V7" s="36">
        <f t="shared" si="0"/>
        <v>94034.641857051261</v>
      </c>
      <c r="W7" s="36">
        <f t="shared" si="0"/>
        <v>98018.235629033792</v>
      </c>
      <c r="X7" s="36">
        <f t="shared" si="0"/>
        <v>102151.18749303144</v>
      </c>
      <c r="Y7" s="36">
        <f t="shared" si="0"/>
        <v>106438.73836467977</v>
      </c>
      <c r="Z7" s="36">
        <f t="shared" si="0"/>
        <v>110886.3055541459</v>
      </c>
      <c r="AA7" s="36">
        <f t="shared" si="0"/>
        <v>115499.48853534419</v>
      </c>
      <c r="AB7" s="36">
        <f t="shared" si="0"/>
        <v>120284.07489993516</v>
      </c>
      <c r="AC7" s="36">
        <f t="shared" si="0"/>
        <v>125246.0465019315</v>
      </c>
      <c r="AD7" s="36">
        <f t="shared" si="0"/>
        <v>130391.58579891808</v>
      </c>
      <c r="AE7" s="36">
        <f t="shared" si="0"/>
        <v>135727.08239607842</v>
      </c>
      <c r="AF7" s="36">
        <f t="shared" si="0"/>
        <v>141259.13979941339</v>
      </c>
      <c r="AG7" s="36">
        <f t="shared" si="0"/>
        <v>146994.58238473654</v>
      </c>
      <c r="AH7" s="36">
        <f t="shared" si="0"/>
        <v>152940.46258923507</v>
      </c>
    </row>
    <row r="9" spans="1:34" ht="15" customHeight="1" x14ac:dyDescent="0.2">
      <c r="A9" s="32" t="s">
        <v>206</v>
      </c>
      <c r="B9" s="33" t="s">
        <v>78</v>
      </c>
      <c r="C9" s="34" t="s">
        <v>207</v>
      </c>
      <c r="D9" s="37">
        <f>Inputs!$B$12*(1+Inputs!$B$13)^(D$3-2020)</f>
        <v>319</v>
      </c>
      <c r="E9" s="37">
        <f>Inputs!$B$12*(1+Inputs!$B$13)^(E$3-2020)</f>
        <v>317.40499999999997</v>
      </c>
      <c r="F9" s="37">
        <f>Inputs!$B$12*(1+Inputs!$B$13)^(F$3-2020)</f>
        <v>315.81797499999999</v>
      </c>
      <c r="G9" s="37">
        <f>Inputs!$B$12*(1+Inputs!$B$13)^(G$3-2020)</f>
        <v>314.23888512500002</v>
      </c>
      <c r="H9" s="37">
        <f>Inputs!$B$12*(1+Inputs!$B$13)^(H$3-2020)</f>
        <v>312.66769069937504</v>
      </c>
      <c r="I9" s="37">
        <f>Inputs!$B$12*(1+Inputs!$B$13)^(I$3-2020)</f>
        <v>311.10435224587815</v>
      </c>
      <c r="J9" s="37">
        <f>Inputs!$B$12*(1+Inputs!$B$13)^(J$3-2020)</f>
        <v>309.54883048464876</v>
      </c>
      <c r="K9" s="37">
        <f>Inputs!$B$12*(1+Inputs!$B$13)^(K$3-2020)</f>
        <v>308.0010863322255</v>
      </c>
      <c r="L9" s="37">
        <f>Inputs!$B$12*(1+Inputs!$B$13)^(L$3-2020)</f>
        <v>306.46108090056441</v>
      </c>
      <c r="M9" s="37">
        <f>Inputs!$B$12*(1+Inputs!$B$13)^(M$3-2020)</f>
        <v>304.92877549606158</v>
      </c>
      <c r="N9" s="37">
        <f>Inputs!$B$12*(1+Inputs!$B$13)^(N$3-2020)</f>
        <v>303.40413161858123</v>
      </c>
      <c r="O9" s="37">
        <f>Inputs!$B$12*(1+Inputs!$B$13)^(O$3-2020)</f>
        <v>301.88711096048831</v>
      </c>
      <c r="P9" s="37">
        <f>Inputs!$B$12*(1+Inputs!$B$13)^(P$3-2020)</f>
        <v>300.37767540568592</v>
      </c>
      <c r="Q9" s="37">
        <f>Inputs!$B$12*(1+Inputs!$B$13)^(Q$3-2020)</f>
        <v>298.8757870286575</v>
      </c>
      <c r="R9" s="37">
        <f>Inputs!$B$12*(1+Inputs!$B$13)^(R$3-2020)</f>
        <v>297.38140809351421</v>
      </c>
      <c r="S9" s="37">
        <f>Inputs!$B$12*(1+Inputs!$B$13)^(S$3-2020)</f>
        <v>295.89450105304667</v>
      </c>
      <c r="T9" s="37">
        <f>Inputs!$B$12*(1+Inputs!$B$13)^(T$3-2020)</f>
        <v>294.41502854778139</v>
      </c>
      <c r="U9" s="37">
        <f>Inputs!$B$12*(1+Inputs!$B$13)^(U$3-2020)</f>
        <v>292.94295340504249</v>
      </c>
      <c r="V9" s="37">
        <f>Inputs!$B$12*(1+Inputs!$B$13)^(V$3-2020)</f>
        <v>291.47823863801727</v>
      </c>
      <c r="W9" s="37">
        <f>Inputs!$B$12*(1+Inputs!$B$13)^(W$3-2020)</f>
        <v>290.02084744482721</v>
      </c>
      <c r="X9" s="37">
        <f>Inputs!$B$12*(1+Inputs!$B$13)^(X$3-2020)</f>
        <v>288.57074320760307</v>
      </c>
      <c r="Y9" s="37">
        <f>Inputs!$B$12*(1+Inputs!$B$13)^(Y$3-2020)</f>
        <v>287.12788949156504</v>
      </c>
      <c r="Z9" s="37">
        <f>Inputs!$B$12*(1+Inputs!$B$13)^(Z$3-2020)</f>
        <v>285.69225004410725</v>
      </c>
      <c r="AA9" s="37">
        <f>Inputs!$B$12*(1+Inputs!$B$13)^(AA$3-2020)</f>
        <v>284.2637887938867</v>
      </c>
      <c r="AB9" s="37">
        <f>Inputs!$B$12*(1+Inputs!$B$13)^(AB$3-2020)</f>
        <v>282.84246984991728</v>
      </c>
      <c r="AC9" s="37">
        <f>Inputs!$B$12*(1+Inputs!$B$13)^(AC$3-2020)</f>
        <v>281.42825750066771</v>
      </c>
      <c r="AD9" s="37">
        <f>Inputs!$B$12*(1+Inputs!$B$13)^(AD$3-2020)</f>
        <v>280.02111621316436</v>
      </c>
      <c r="AE9" s="37">
        <f>Inputs!$B$12*(1+Inputs!$B$13)^(AE$3-2020)</f>
        <v>278.62101063209849</v>
      </c>
      <c r="AF9" s="37">
        <f>Inputs!$B$12*(1+Inputs!$B$13)^(AF$3-2020)</f>
        <v>277.22790557893808</v>
      </c>
      <c r="AG9" s="37">
        <f>Inputs!$B$12*(1+Inputs!$B$13)^(AG$3-2020)</f>
        <v>275.84176605104341</v>
      </c>
      <c r="AH9" s="37">
        <f>Inputs!$B$12*(1+Inputs!$B$13)^(AH$3-2020)</f>
        <v>274.46255722078814</v>
      </c>
    </row>
    <row r="10" spans="1:34" ht="15" customHeight="1" x14ac:dyDescent="0.2">
      <c r="A10" s="32" t="s">
        <v>208</v>
      </c>
      <c r="B10" s="33" t="s">
        <v>209</v>
      </c>
      <c r="C10" s="34" t="s">
        <v>207</v>
      </c>
      <c r="D10" s="38">
        <f>Inputs!$B$14*(1+Inputs!$B$15)^(D$3-2020)</f>
        <v>9.1</v>
      </c>
      <c r="E10" s="38">
        <f>Inputs!$B$14*(1+Inputs!$B$15)^(E$3-2020)</f>
        <v>9.0090000000000003</v>
      </c>
      <c r="F10" s="38">
        <f>Inputs!$B$14*(1+Inputs!$B$15)^(F$3-2020)</f>
        <v>8.9189099999999986</v>
      </c>
      <c r="G10" s="38">
        <f>Inputs!$B$14*(1+Inputs!$B$15)^(G$3-2020)</f>
        <v>8.8297208999999981</v>
      </c>
      <c r="H10" s="38">
        <f>Inputs!$B$14*(1+Inputs!$B$15)^(H$3-2020)</f>
        <v>8.7414236909999996</v>
      </c>
      <c r="I10" s="38">
        <f>Inputs!$B$14*(1+Inputs!$B$15)^(I$3-2020)</f>
        <v>8.6540094540899997</v>
      </c>
      <c r="J10" s="38">
        <f>Inputs!$B$14*(1+Inputs!$B$15)^(J$3-2020)</f>
        <v>8.5674693595490989</v>
      </c>
      <c r="K10" s="38">
        <f>Inputs!$B$14*(1+Inputs!$B$15)^(K$3-2020)</f>
        <v>8.4817946659536076</v>
      </c>
      <c r="L10" s="38">
        <f>Inputs!$B$14*(1+Inputs!$B$15)^(L$3-2020)</f>
        <v>8.3969767192940719</v>
      </c>
      <c r="M10" s="38">
        <f>Inputs!$B$14*(1+Inputs!$B$15)^(M$3-2020)</f>
        <v>8.3130069521011301</v>
      </c>
      <c r="N10" s="38">
        <f>Inputs!$B$14*(1+Inputs!$B$15)^(N$3-2020)</f>
        <v>8.2298768825801183</v>
      </c>
      <c r="O10" s="38">
        <f>Inputs!$B$14*(1+Inputs!$B$15)^(O$3-2020)</f>
        <v>8.1475781137543173</v>
      </c>
      <c r="P10" s="38">
        <f>Inputs!$B$14*(1+Inputs!$B$15)^(P$3-2020)</f>
        <v>8.066102332616774</v>
      </c>
      <c r="Q10" s="38">
        <f>Inputs!$B$14*(1+Inputs!$B$15)^(Q$3-2020)</f>
        <v>7.9854413092906062</v>
      </c>
      <c r="R10" s="38">
        <f>Inputs!$B$14*(1+Inputs!$B$15)^(R$3-2020)</f>
        <v>7.9055868961977005</v>
      </c>
      <c r="S10" s="38">
        <f>Inputs!$B$14*(1+Inputs!$B$15)^(S$3-2020)</f>
        <v>7.8265310272357231</v>
      </c>
      <c r="T10" s="38">
        <f>Inputs!$B$14*(1+Inputs!$B$15)^(T$3-2020)</f>
        <v>7.748265716963366</v>
      </c>
      <c r="U10" s="38">
        <f>Inputs!$B$14*(1+Inputs!$B$15)^(U$3-2020)</f>
        <v>7.6707830597937319</v>
      </c>
      <c r="V10" s="38">
        <f>Inputs!$B$14*(1+Inputs!$B$15)^(V$3-2020)</f>
        <v>7.5940752291957949</v>
      </c>
      <c r="W10" s="38">
        <f>Inputs!$B$14*(1+Inputs!$B$15)^(W$3-2020)</f>
        <v>7.5181344769038363</v>
      </c>
      <c r="X10" s="38">
        <f>Inputs!$B$14*(1+Inputs!$B$15)^(X$3-2020)</f>
        <v>7.4429531321347984</v>
      </c>
      <c r="Y10" s="38">
        <f>Inputs!$B$14*(1+Inputs!$B$15)^(Y$3-2020)</f>
        <v>7.3685236008134503</v>
      </c>
      <c r="Z10" s="38">
        <f>Inputs!$B$14*(1+Inputs!$B$15)^(Z$3-2020)</f>
        <v>7.2948383648053152</v>
      </c>
      <c r="AA10" s="38">
        <f>Inputs!$B$14*(1+Inputs!$B$15)^(AA$3-2020)</f>
        <v>7.221889981157263</v>
      </c>
      <c r="AB10" s="38">
        <f>Inputs!$B$14*(1+Inputs!$B$15)^(AB$3-2020)</f>
        <v>7.1496710813456898</v>
      </c>
      <c r="AC10" s="38">
        <f>Inputs!$B$14*(1+Inputs!$B$15)^(AC$3-2020)</f>
        <v>7.0781743705322322</v>
      </c>
      <c r="AD10" s="38">
        <f>Inputs!$B$14*(1+Inputs!$B$15)^(AD$3-2020)</f>
        <v>7.0073926268269098</v>
      </c>
      <c r="AE10" s="38">
        <f>Inputs!$B$14*(1+Inputs!$B$15)^(AE$3-2020)</f>
        <v>6.9373187005586407</v>
      </c>
      <c r="AF10" s="38">
        <f>Inputs!$B$14*(1+Inputs!$B$15)^(AF$3-2020)</f>
        <v>6.867945513553054</v>
      </c>
      <c r="AG10" s="38">
        <f>Inputs!$B$14*(1+Inputs!$B$15)^(AG$3-2020)</f>
        <v>6.7992660584175226</v>
      </c>
      <c r="AH10" s="38">
        <f>Inputs!$B$14*(1+Inputs!$B$15)^(AH$3-2020)</f>
        <v>6.7312733978333483</v>
      </c>
    </row>
    <row r="11" spans="1:34" ht="15" customHeight="1" x14ac:dyDescent="0.2">
      <c r="A11" s="32" t="s">
        <v>210</v>
      </c>
      <c r="B11" s="33" t="s">
        <v>78</v>
      </c>
      <c r="C11" s="34" t="s">
        <v>207</v>
      </c>
      <c r="D11" s="37">
        <f>Inputs!$B$16*(1+Inputs!$B$17)^(D$3-2020)</f>
        <v>2386</v>
      </c>
      <c r="E11" s="37">
        <f>Inputs!$B$16*(1+Inputs!$B$17)^(E$3-2020)</f>
        <v>2366.9119999999998</v>
      </c>
      <c r="F11" s="37">
        <f>Inputs!$B$16*(1+Inputs!$B$17)^(F$3-2020)</f>
        <v>2347.9767039999997</v>
      </c>
      <c r="G11" s="37">
        <f>Inputs!$B$16*(1+Inputs!$B$17)^(G$3-2020)</f>
        <v>2329.1928903679996</v>
      </c>
      <c r="H11" s="37">
        <f>Inputs!$B$16*(1+Inputs!$B$17)^(H$3-2020)</f>
        <v>2310.5593472450555</v>
      </c>
      <c r="I11" s="37">
        <f>Inputs!$B$16*(1+Inputs!$B$17)^(I$3-2020)</f>
        <v>2292.0748724670952</v>
      </c>
      <c r="J11" s="37">
        <f>Inputs!$B$16*(1+Inputs!$B$17)^(J$3-2020)</f>
        <v>2273.7382734873581</v>
      </c>
      <c r="K11" s="37">
        <f>Inputs!$B$16*(1+Inputs!$B$17)^(K$3-2020)</f>
        <v>2255.5483672994592</v>
      </c>
      <c r="L11" s="37">
        <f>Inputs!$B$16*(1+Inputs!$B$17)^(L$3-2020)</f>
        <v>2237.5039803610634</v>
      </c>
      <c r="M11" s="37">
        <f>Inputs!$B$16*(1+Inputs!$B$17)^(M$3-2020)</f>
        <v>2219.603948518175</v>
      </c>
      <c r="N11" s="37">
        <f>Inputs!$B$16*(1+Inputs!$B$17)^(N$3-2020)</f>
        <v>2201.8471169300296</v>
      </c>
      <c r="O11" s="37">
        <f>Inputs!$B$16*(1+Inputs!$B$17)^(O$3-2020)</f>
        <v>2184.2323399945894</v>
      </c>
      <c r="P11" s="37">
        <f>Inputs!$B$16*(1+Inputs!$B$17)^(P$3-2020)</f>
        <v>2166.7584812746327</v>
      </c>
      <c r="Q11" s="37">
        <f>Inputs!$B$16*(1+Inputs!$B$17)^(Q$3-2020)</f>
        <v>2149.4244134244354</v>
      </c>
      <c r="R11" s="37">
        <f>Inputs!$B$16*(1+Inputs!$B$17)^(R$3-2020)</f>
        <v>2132.2290181170397</v>
      </c>
      <c r="S11" s="37">
        <f>Inputs!$B$16*(1+Inputs!$B$17)^(S$3-2020)</f>
        <v>2115.1711859721036</v>
      </c>
      <c r="T11" s="37">
        <f>Inputs!$B$16*(1+Inputs!$B$17)^(T$3-2020)</f>
        <v>2098.2498164843264</v>
      </c>
      <c r="U11" s="37">
        <f>Inputs!$B$16*(1+Inputs!$B$17)^(U$3-2020)</f>
        <v>2081.4638179524522</v>
      </c>
      <c r="V11" s="37">
        <f>Inputs!$B$16*(1+Inputs!$B$17)^(V$3-2020)</f>
        <v>2064.8121074088322</v>
      </c>
      <c r="W11" s="37">
        <f>Inputs!$B$16*(1+Inputs!$B$17)^(W$3-2020)</f>
        <v>2048.2936105495614</v>
      </c>
      <c r="X11" s="37">
        <f>Inputs!$B$16*(1+Inputs!$B$17)^(X$3-2020)</f>
        <v>2031.9072616651649</v>
      </c>
      <c r="Y11" s="37">
        <f>Inputs!$B$16*(1+Inputs!$B$17)^(Y$3-2020)</f>
        <v>2015.6520035718436</v>
      </c>
      <c r="Z11" s="37">
        <f>Inputs!$B$16*(1+Inputs!$B$17)^(Z$3-2020)</f>
        <v>1999.5267875432687</v>
      </c>
      <c r="AA11" s="37">
        <f>Inputs!$B$16*(1+Inputs!$B$17)^(AA$3-2020)</f>
        <v>1983.5305732429224</v>
      </c>
      <c r="AB11" s="37">
        <f>Inputs!$B$16*(1+Inputs!$B$17)^(AB$3-2020)</f>
        <v>1967.6623286569791</v>
      </c>
      <c r="AC11" s="37">
        <f>Inputs!$B$16*(1+Inputs!$B$17)^(AC$3-2020)</f>
        <v>1951.9210300277232</v>
      </c>
      <c r="AD11" s="37">
        <f>Inputs!$B$16*(1+Inputs!$B$17)^(AD$3-2020)</f>
        <v>1936.3056617875013</v>
      </c>
      <c r="AE11" s="37">
        <f>Inputs!$B$16*(1+Inputs!$B$17)^(AE$3-2020)</f>
        <v>1920.8152164932012</v>
      </c>
      <c r="AF11" s="37">
        <f>Inputs!$B$16*(1+Inputs!$B$17)^(AF$3-2020)</f>
        <v>1905.4486947612556</v>
      </c>
      <c r="AG11" s="37">
        <f>Inputs!$B$16*(1+Inputs!$B$17)^(AG$3-2020)</f>
        <v>1890.2051052031657</v>
      </c>
      <c r="AH11" s="37">
        <f>Inputs!$B$16*(1+Inputs!$B$17)^(AH$3-2020)</f>
        <v>1875.0834643615401</v>
      </c>
    </row>
    <row r="13" spans="1:34" ht="15" customHeight="1" x14ac:dyDescent="0.2">
      <c r="A13" s="32" t="s">
        <v>211</v>
      </c>
      <c r="B13" s="33" t="s">
        <v>95</v>
      </c>
      <c r="C13" s="34" t="s">
        <v>212</v>
      </c>
      <c r="D13" s="39">
        <f t="shared" ref="D13:AH13" si="1">D5*D9*365/1000000000</f>
        <v>784.22197749500003</v>
      </c>
      <c r="E13" s="39">
        <f t="shared" si="1"/>
        <v>794.86617439858742</v>
      </c>
      <c r="F13" s="39">
        <f t="shared" si="1"/>
        <v>805.38432378370169</v>
      </c>
      <c r="G13" s="39">
        <f t="shared" si="1"/>
        <v>815.77742002060484</v>
      </c>
      <c r="H13" s="39">
        <f t="shared" si="1"/>
        <v>826.0464506870444</v>
      </c>
      <c r="I13" s="39">
        <f t="shared" si="1"/>
        <v>836.19239661131905</v>
      </c>
      <c r="J13" s="39">
        <f t="shared" si="1"/>
        <v>846.21623191508377</v>
      </c>
      <c r="K13" s="39">
        <f t="shared" si="1"/>
        <v>856.11892405589538</v>
      </c>
      <c r="L13" s="39">
        <f t="shared" si="1"/>
        <v>865.90143386950137</v>
      </c>
      <c r="M13" s="39">
        <f t="shared" si="1"/>
        <v>875.56471561186947</v>
      </c>
      <c r="N13" s="39">
        <f t="shared" si="1"/>
        <v>885.10971700096752</v>
      </c>
      <c r="O13" s="39">
        <f t="shared" si="1"/>
        <v>894.53737925828398</v>
      </c>
      <c r="P13" s="39">
        <f t="shared" si="1"/>
        <v>903.84863715010238</v>
      </c>
      <c r="Q13" s="39">
        <f t="shared" si="1"/>
        <v>913.04441902852136</v>
      </c>
      <c r="R13" s="39">
        <f t="shared" si="1"/>
        <v>922.12564687222732</v>
      </c>
      <c r="S13" s="39">
        <f t="shared" si="1"/>
        <v>931.09323632702035</v>
      </c>
      <c r="T13" s="39">
        <f t="shared" si="1"/>
        <v>939.9480967460936</v>
      </c>
      <c r="U13" s="39">
        <f t="shared" si="1"/>
        <v>948.69113123006798</v>
      </c>
      <c r="V13" s="39">
        <f t="shared" si="1"/>
        <v>957.32323666678394</v>
      </c>
      <c r="W13" s="39">
        <f t="shared" si="1"/>
        <v>965.84530377085218</v>
      </c>
      <c r="X13" s="39">
        <f t="shared" si="1"/>
        <v>974.25821712296306</v>
      </c>
      <c r="Y13" s="39">
        <f t="shared" si="1"/>
        <v>982.56285520895824</v>
      </c>
      <c r="Z13" s="39">
        <f t="shared" si="1"/>
        <v>990.76009045866579</v>
      </c>
      <c r="AA13" s="39">
        <f t="shared" si="1"/>
        <v>998.8507892844957</v>
      </c>
      <c r="AB13" s="39">
        <f t="shared" si="1"/>
        <v>1006.8358121198061</v>
      </c>
      <c r="AC13" s="39">
        <f t="shared" si="1"/>
        <v>1014.7160134570314</v>
      </c>
      <c r="AD13" s="39">
        <f t="shared" si="1"/>
        <v>1022.4922418855811</v>
      </c>
      <c r="AE13" s="39">
        <f t="shared" si="1"/>
        <v>1030.1653401295089</v>
      </c>
      <c r="AF13" s="39">
        <f t="shared" si="1"/>
        <v>1037.7361450849505</v>
      </c>
      <c r="AG13" s="39">
        <f t="shared" si="1"/>
        <v>1045.2054878573344</v>
      </c>
      <c r="AH13" s="39">
        <f t="shared" si="1"/>
        <v>1052.5741937983671</v>
      </c>
    </row>
    <row r="14" spans="1:34" ht="15" customHeight="1" x14ac:dyDescent="0.2">
      <c r="A14" s="32" t="s">
        <v>213</v>
      </c>
      <c r="B14" s="33" t="s">
        <v>95</v>
      </c>
      <c r="C14" s="34" t="s">
        <v>214</v>
      </c>
      <c r="D14" s="39">
        <f t="shared" ref="D14:AH14" si="2">D7*D10/1000</f>
        <v>389.62701858989999</v>
      </c>
      <c r="E14" s="39">
        <f t="shared" si="2"/>
        <v>403.93296803511453</v>
      </c>
      <c r="F14" s="39">
        <f t="shared" si="2"/>
        <v>418.62357806823337</v>
      </c>
      <c r="G14" s="39">
        <f t="shared" si="2"/>
        <v>433.70798901525569</v>
      </c>
      <c r="H14" s="39">
        <f t="shared" si="2"/>
        <v>449.19554435252496</v>
      </c>
      <c r="I14" s="39">
        <f t="shared" si="2"/>
        <v>465.09579503632892</v>
      </c>
      <c r="J14" s="39">
        <f t="shared" si="2"/>
        <v>481.41850392215304</v>
      </c>
      <c r="K14" s="39">
        <f t="shared" si="2"/>
        <v>498.17365027540257</v>
      </c>
      <c r="L14" s="39">
        <f t="shared" si="2"/>
        <v>515.37143437544944</v>
      </c>
      <c r="M14" s="39">
        <f t="shared" si="2"/>
        <v>533.02228221489327</v>
      </c>
      <c r="N14" s="39">
        <f t="shared" si="2"/>
        <v>551.13685029596729</v>
      </c>
      <c r="O14" s="39">
        <f t="shared" si="2"/>
        <v>569.72603052605507</v>
      </c>
      <c r="P14" s="39">
        <f t="shared" si="2"/>
        <v>588.80095521432304</v>
      </c>
      <c r="Q14" s="39">
        <f t="shared" si="2"/>
        <v>608.3730021715196</v>
      </c>
      <c r="R14" s="39">
        <f t="shared" si="2"/>
        <v>628.45379991502341</v>
      </c>
      <c r="S14" s="39">
        <f t="shared" si="2"/>
        <v>649.05523298127218</v>
      </c>
      <c r="T14" s="39">
        <f t="shared" si="2"/>
        <v>670.18944734774129</v>
      </c>
      <c r="U14" s="39">
        <f t="shared" si="2"/>
        <v>691.86885596669049</v>
      </c>
      <c r="V14" s="39">
        <f t="shared" si="2"/>
        <v>714.10614441293103</v>
      </c>
      <c r="W14" s="39">
        <f t="shared" si="2"/>
        <v>736.91427664792297</v>
      </c>
      <c r="X14" s="39">
        <f t="shared" si="2"/>
        <v>760.30650090254744</v>
      </c>
      <c r="Y14" s="39">
        <f t="shared" si="2"/>
        <v>784.29635568095091</v>
      </c>
      <c r="Z14" s="39">
        <f t="shared" si="2"/>
        <v>808.89767588790824</v>
      </c>
      <c r="AA14" s="39">
        <f t="shared" si="2"/>
        <v>834.12459908219046</v>
      </c>
      <c r="AB14" s="39">
        <f t="shared" si="2"/>
        <v>859.99157185848537</v>
      </c>
      <c r="AC14" s="39">
        <f t="shared" si="2"/>
        <v>886.51335636045974</v>
      </c>
      <c r="AD14" s="39">
        <f t="shared" si="2"/>
        <v>913.7050369276069</v>
      </c>
      <c r="AE14" s="39">
        <f t="shared" si="2"/>
        <v>941.58202687857829</v>
      </c>
      <c r="AF14" s="39">
        <f t="shared" si="2"/>
        <v>970.16007543374485</v>
      </c>
      <c r="AG14" s="39">
        <f t="shared" si="2"/>
        <v>999.45527477979738</v>
      </c>
      <c r="AH14" s="39">
        <f t="shared" si="2"/>
        <v>1029.4840672792445</v>
      </c>
    </row>
    <row r="15" spans="1:34" ht="15" customHeight="1" x14ac:dyDescent="0.2">
      <c r="A15" s="32" t="s">
        <v>215</v>
      </c>
      <c r="B15" s="33" t="s">
        <v>95</v>
      </c>
      <c r="C15" s="34" t="s">
        <v>212</v>
      </c>
      <c r="D15" s="39">
        <f t="shared" ref="D15:AH15" si="3">D5*D11*365/1000000000</f>
        <v>5865.68538653</v>
      </c>
      <c r="E15" s="39">
        <f t="shared" si="3"/>
        <v>5927.3744477185592</v>
      </c>
      <c r="F15" s="39">
        <f t="shared" si="3"/>
        <v>5987.7010800633643</v>
      </c>
      <c r="G15" s="39">
        <f t="shared" si="3"/>
        <v>6046.6831343259983</v>
      </c>
      <c r="H15" s="39">
        <f t="shared" si="3"/>
        <v>6104.3382628513064</v>
      </c>
      <c r="I15" s="39">
        <f t="shared" si="3"/>
        <v>6160.6839215996133</v>
      </c>
      <c r="J15" s="39">
        <f t="shared" si="3"/>
        <v>6215.737372159123</v>
      </c>
      <c r="K15" s="39">
        <f t="shared" si="3"/>
        <v>6269.5156837386994</v>
      </c>
      <c r="L15" s="39">
        <f t="shared" si="3"/>
        <v>6322.035735141184</v>
      </c>
      <c r="M15" s="39">
        <f t="shared" si="3"/>
        <v>6373.3142167174701</v>
      </c>
      <c r="N15" s="39">
        <f t="shared" si="3"/>
        <v>6423.3676323014861</v>
      </c>
      <c r="O15" s="39">
        <f t="shared" si="3"/>
        <v>6472.2123011262884</v>
      </c>
      <c r="P15" s="39">
        <f t="shared" si="3"/>
        <v>6519.8643597214268</v>
      </c>
      <c r="Q15" s="39">
        <f t="shared" si="3"/>
        <v>6566.3397637917687</v>
      </c>
      <c r="R15" s="39">
        <f t="shared" si="3"/>
        <v>6611.654290077965</v>
      </c>
      <c r="S15" s="39">
        <f t="shared" si="3"/>
        <v>6655.8235381986988</v>
      </c>
      <c r="T15" s="39">
        <f t="shared" si="3"/>
        <v>6698.8629324749354</v>
      </c>
      <c r="U15" s="39">
        <f t="shared" si="3"/>
        <v>6740.7877237363109</v>
      </c>
      <c r="V15" s="39">
        <f t="shared" si="3"/>
        <v>6781.6129911098215</v>
      </c>
      <c r="W15" s="39">
        <f t="shared" si="3"/>
        <v>6821.353643791037</v>
      </c>
      <c r="X15" s="39">
        <f t="shared" si="3"/>
        <v>6860.0244227979247</v>
      </c>
      <c r="Y15" s="39">
        <f t="shared" si="3"/>
        <v>6897.6399027074976</v>
      </c>
      <c r="Z15" s="39">
        <f t="shared" si="3"/>
        <v>6934.2144933754589</v>
      </c>
      <c r="AA15" s="39">
        <f t="shared" si="3"/>
        <v>6969.7624416389599</v>
      </c>
      <c r="AB15" s="39">
        <f t="shared" si="3"/>
        <v>7004.2978330026699</v>
      </c>
      <c r="AC15" s="39">
        <f t="shared" si="3"/>
        <v>7037.8345933082928</v>
      </c>
      <c r="AD15" s="39">
        <f t="shared" si="3"/>
        <v>7070.3864903877156</v>
      </c>
      <c r="AE15" s="39">
        <f t="shared" si="3"/>
        <v>7101.9671356998942</v>
      </c>
      <c r="AF15" s="39">
        <f t="shared" si="3"/>
        <v>7132.5899859516949</v>
      </c>
      <c r="AG15" s="39">
        <f t="shared" si="3"/>
        <v>7162.268344702783</v>
      </c>
      <c r="AH15" s="39">
        <f t="shared" si="3"/>
        <v>7191.0153639547507</v>
      </c>
    </row>
    <row r="16" spans="1:34" ht="15" customHeight="1" x14ac:dyDescent="0.2">
      <c r="A16" s="32" t="s">
        <v>216</v>
      </c>
      <c r="B16" s="33" t="s">
        <v>131</v>
      </c>
      <c r="C16" s="34" t="s">
        <v>217</v>
      </c>
      <c r="D16" s="40">
        <f>Inputs!$B$36*MIN(1,MAX(0,(D$3-Inputs!$B$34)/Inputs!$B$35))</f>
        <v>0</v>
      </c>
      <c r="E16" s="40">
        <f>Inputs!$B$36*MIN(1,MAX(0,(E$3-Inputs!$B$34)/Inputs!$B$35))</f>
        <v>0</v>
      </c>
      <c r="F16" s="40">
        <f>Inputs!$B$36*MIN(1,MAX(0,(F$3-Inputs!$B$34)/Inputs!$B$35))</f>
        <v>0</v>
      </c>
      <c r="G16" s="40">
        <f>Inputs!$B$36*MIN(1,MAX(0,(G$3-Inputs!$B$34)/Inputs!$B$35))</f>
        <v>0</v>
      </c>
      <c r="H16" s="40">
        <f>Inputs!$B$36*MIN(1,MAX(0,(H$3-Inputs!$B$34)/Inputs!$B$35))</f>
        <v>0</v>
      </c>
      <c r="I16" s="40">
        <f>Inputs!$B$36*MIN(1,MAX(0,(I$3-Inputs!$B$34)/Inputs!$B$35))</f>
        <v>0</v>
      </c>
      <c r="J16" s="40">
        <f>Inputs!$B$36*MIN(1,MAX(0,(J$3-Inputs!$B$34)/Inputs!$B$35))</f>
        <v>0</v>
      </c>
      <c r="K16" s="40">
        <f>Inputs!$B$36*MIN(1,MAX(0,(K$3-Inputs!$B$34)/Inputs!$B$35))</f>
        <v>10000000</v>
      </c>
      <c r="L16" s="40">
        <f>Inputs!$B$36*MIN(1,MAX(0,(L$3-Inputs!$B$34)/Inputs!$B$35))</f>
        <v>20000000</v>
      </c>
      <c r="M16" s="40">
        <f>Inputs!$B$36*MIN(1,MAX(0,(M$3-Inputs!$B$34)/Inputs!$B$35))</f>
        <v>30000000</v>
      </c>
      <c r="N16" s="40">
        <f>Inputs!$B$36*MIN(1,MAX(0,(N$3-Inputs!$B$34)/Inputs!$B$35))</f>
        <v>40000000</v>
      </c>
      <c r="O16" s="40">
        <f>Inputs!$B$36*MIN(1,MAX(0,(O$3-Inputs!$B$34)/Inputs!$B$35))</f>
        <v>50000000</v>
      </c>
      <c r="P16" s="40">
        <f>Inputs!$B$36*MIN(1,MAX(0,(P$3-Inputs!$B$34)/Inputs!$B$35))</f>
        <v>60000000</v>
      </c>
      <c r="Q16" s="40">
        <f>Inputs!$B$36*MIN(1,MAX(0,(Q$3-Inputs!$B$34)/Inputs!$B$35))</f>
        <v>70000000</v>
      </c>
      <c r="R16" s="40">
        <f>Inputs!$B$36*MIN(1,MAX(0,(R$3-Inputs!$B$34)/Inputs!$B$35))</f>
        <v>80000000</v>
      </c>
      <c r="S16" s="40">
        <f>Inputs!$B$36*MIN(1,MAX(0,(S$3-Inputs!$B$34)/Inputs!$B$35))</f>
        <v>90000000</v>
      </c>
      <c r="T16" s="40">
        <f>Inputs!$B$36*MIN(1,MAX(0,(T$3-Inputs!$B$34)/Inputs!$B$35))</f>
        <v>100000000</v>
      </c>
      <c r="U16" s="40">
        <f>Inputs!$B$36*MIN(1,MAX(0,(U$3-Inputs!$B$34)/Inputs!$B$35))</f>
        <v>100000000</v>
      </c>
      <c r="V16" s="40">
        <f>Inputs!$B$36*MIN(1,MAX(0,(V$3-Inputs!$B$34)/Inputs!$B$35))</f>
        <v>100000000</v>
      </c>
      <c r="W16" s="40">
        <f>Inputs!$B$36*MIN(1,MAX(0,(W$3-Inputs!$B$34)/Inputs!$B$35))</f>
        <v>100000000</v>
      </c>
      <c r="X16" s="40">
        <f>Inputs!$B$36*MIN(1,MAX(0,(X$3-Inputs!$B$34)/Inputs!$B$35))</f>
        <v>100000000</v>
      </c>
      <c r="Y16" s="40">
        <f>Inputs!$B$36*MIN(1,MAX(0,(Y$3-Inputs!$B$34)/Inputs!$B$35))</f>
        <v>100000000</v>
      </c>
      <c r="Z16" s="40">
        <f>Inputs!$B$36*MIN(1,MAX(0,(Z$3-Inputs!$B$34)/Inputs!$B$35))</f>
        <v>100000000</v>
      </c>
      <c r="AA16" s="40">
        <f>Inputs!$B$36*MIN(1,MAX(0,(AA$3-Inputs!$B$34)/Inputs!$B$35))</f>
        <v>100000000</v>
      </c>
      <c r="AB16" s="40">
        <f>Inputs!$B$36*MIN(1,MAX(0,(AB$3-Inputs!$B$34)/Inputs!$B$35))</f>
        <v>100000000</v>
      </c>
      <c r="AC16" s="40">
        <f>Inputs!$B$36*MIN(1,MAX(0,(AC$3-Inputs!$B$34)/Inputs!$B$35))</f>
        <v>100000000</v>
      </c>
      <c r="AD16" s="40">
        <f>Inputs!$B$36*MIN(1,MAX(0,(AD$3-Inputs!$B$34)/Inputs!$B$35))</f>
        <v>100000000</v>
      </c>
      <c r="AE16" s="40">
        <f>Inputs!$B$36*MIN(1,MAX(0,(AE$3-Inputs!$B$34)/Inputs!$B$35))</f>
        <v>100000000</v>
      </c>
      <c r="AF16" s="40">
        <f>Inputs!$B$36*MIN(1,MAX(0,(AF$3-Inputs!$B$34)/Inputs!$B$35))</f>
        <v>100000000</v>
      </c>
      <c r="AG16" s="40">
        <f>Inputs!$B$36*MIN(1,MAX(0,(AG$3-Inputs!$B$34)/Inputs!$B$35))</f>
        <v>100000000</v>
      </c>
      <c r="AH16" s="40">
        <f>Inputs!$B$36*MIN(1,MAX(0,(AH$3-Inputs!$B$34)/Inputs!$B$35))</f>
        <v>100000000</v>
      </c>
    </row>
    <row r="17" spans="1:34" ht="15" customHeight="1" x14ac:dyDescent="0.2">
      <c r="A17" s="32" t="s">
        <v>218</v>
      </c>
      <c r="B17" s="33" t="s">
        <v>95</v>
      </c>
      <c r="C17" s="34" t="s">
        <v>219</v>
      </c>
      <c r="D17" s="41">
        <f>D16*Inputs!$B$37*365/1000000000</f>
        <v>0</v>
      </c>
      <c r="E17" s="41">
        <f>E16*Inputs!$B$37*365/1000000000</f>
        <v>0</v>
      </c>
      <c r="F17" s="41">
        <f>F16*Inputs!$B$37*365/1000000000</f>
        <v>0</v>
      </c>
      <c r="G17" s="41">
        <f>G16*Inputs!$B$37*365/1000000000</f>
        <v>0</v>
      </c>
      <c r="H17" s="41">
        <f>H16*Inputs!$B$37*365/1000000000</f>
        <v>0</v>
      </c>
      <c r="I17" s="41">
        <f>I16*Inputs!$B$37*365/1000000000</f>
        <v>0</v>
      </c>
      <c r="J17" s="41">
        <f>J16*Inputs!$B$37*365/1000000000</f>
        <v>0</v>
      </c>
      <c r="K17" s="41">
        <f>K16*Inputs!$B$37*365/1000000000</f>
        <v>54.75</v>
      </c>
      <c r="L17" s="41">
        <f>L16*Inputs!$B$37*365/1000000000</f>
        <v>109.5</v>
      </c>
      <c r="M17" s="41">
        <f>M16*Inputs!$B$37*365/1000000000</f>
        <v>164.25</v>
      </c>
      <c r="N17" s="41">
        <f>N16*Inputs!$B$37*365/1000000000</f>
        <v>219</v>
      </c>
      <c r="O17" s="41">
        <f>O16*Inputs!$B$37*365/1000000000</f>
        <v>273.75</v>
      </c>
      <c r="P17" s="41">
        <f>P16*Inputs!$B$37*365/1000000000</f>
        <v>328.5</v>
      </c>
      <c r="Q17" s="41">
        <f>Q16*Inputs!$B$37*365/1000000000</f>
        <v>383.25</v>
      </c>
      <c r="R17" s="41">
        <f>R16*Inputs!$B$37*365/1000000000</f>
        <v>438</v>
      </c>
      <c r="S17" s="41">
        <f>S16*Inputs!$B$37*365/1000000000</f>
        <v>492.75</v>
      </c>
      <c r="T17" s="41">
        <f>T16*Inputs!$B$37*365/1000000000</f>
        <v>547.5</v>
      </c>
      <c r="U17" s="41">
        <f>U16*Inputs!$B$37*365/1000000000</f>
        <v>547.5</v>
      </c>
      <c r="V17" s="41">
        <f>V16*Inputs!$B$37*365/1000000000</f>
        <v>547.5</v>
      </c>
      <c r="W17" s="41">
        <f>W16*Inputs!$B$37*365/1000000000</f>
        <v>547.5</v>
      </c>
      <c r="X17" s="41">
        <f>X16*Inputs!$B$37*365/1000000000</f>
        <v>547.5</v>
      </c>
      <c r="Y17" s="41">
        <f>Y16*Inputs!$B$37*365/1000000000</f>
        <v>547.5</v>
      </c>
      <c r="Z17" s="41">
        <f>Z16*Inputs!$B$37*365/1000000000</f>
        <v>547.5</v>
      </c>
      <c r="AA17" s="41">
        <f>AA16*Inputs!$B$37*365/1000000000</f>
        <v>547.5</v>
      </c>
      <c r="AB17" s="41">
        <f>AB16*Inputs!$B$37*365/1000000000</f>
        <v>547.5</v>
      </c>
      <c r="AC17" s="41">
        <f>AC16*Inputs!$B$37*365/1000000000</f>
        <v>547.5</v>
      </c>
      <c r="AD17" s="41">
        <f>AD16*Inputs!$B$37*365/1000000000</f>
        <v>547.5</v>
      </c>
      <c r="AE17" s="41">
        <f>AE16*Inputs!$B$37*365/1000000000</f>
        <v>547.5</v>
      </c>
      <c r="AF17" s="41">
        <f>AF16*Inputs!$B$37*365/1000000000</f>
        <v>547.5</v>
      </c>
      <c r="AG17" s="41">
        <f>AG16*Inputs!$B$37*365/1000000000</f>
        <v>547.5</v>
      </c>
      <c r="AH17" s="41">
        <f>AH16*Inputs!$B$37*365/1000000000</f>
        <v>547.5</v>
      </c>
    </row>
    <row r="19" spans="1:34" ht="15" customHeight="1" x14ac:dyDescent="0.2">
      <c r="A19" s="42" t="s">
        <v>220</v>
      </c>
      <c r="B19" s="33" t="s">
        <v>95</v>
      </c>
      <c r="C19" s="34" t="s">
        <v>221</v>
      </c>
      <c r="D19" s="43">
        <f t="shared" ref="D19:AH19" si="4">D13+D14+D15+D17</f>
        <v>7039.5343826149001</v>
      </c>
      <c r="E19" s="43">
        <f t="shared" si="4"/>
        <v>7126.1735901522607</v>
      </c>
      <c r="F19" s="43">
        <f t="shared" si="4"/>
        <v>7211.7089819152989</v>
      </c>
      <c r="G19" s="43">
        <f t="shared" si="4"/>
        <v>7296.1685433618586</v>
      </c>
      <c r="H19" s="43">
        <f t="shared" si="4"/>
        <v>7379.5802578908751</v>
      </c>
      <c r="I19" s="43">
        <f t="shared" si="4"/>
        <v>7461.9721132472614</v>
      </c>
      <c r="J19" s="43">
        <f t="shared" si="4"/>
        <v>7543.3721079963598</v>
      </c>
      <c r="K19" s="43">
        <f t="shared" si="4"/>
        <v>7678.5582580699975</v>
      </c>
      <c r="L19" s="43">
        <f t="shared" si="4"/>
        <v>7812.8086033861346</v>
      </c>
      <c r="M19" s="43">
        <f t="shared" si="4"/>
        <v>7946.151214544233</v>
      </c>
      <c r="N19" s="43">
        <f t="shared" si="4"/>
        <v>8078.6141995984208</v>
      </c>
      <c r="O19" s="43">
        <f t="shared" si="4"/>
        <v>8210.2257109106285</v>
      </c>
      <c r="P19" s="43">
        <f t="shared" si="4"/>
        <v>8341.013952085852</v>
      </c>
      <c r="Q19" s="43">
        <f t="shared" si="4"/>
        <v>8471.0071849918095</v>
      </c>
      <c r="R19" s="43">
        <f t="shared" si="4"/>
        <v>8600.2337368652152</v>
      </c>
      <c r="S19" s="43">
        <f t="shared" si="4"/>
        <v>8728.7220075069908</v>
      </c>
      <c r="T19" s="43">
        <f t="shared" si="4"/>
        <v>8856.50047656877</v>
      </c>
      <c r="U19" s="43">
        <f t="shared" si="4"/>
        <v>8928.8477109330688</v>
      </c>
      <c r="V19" s="43">
        <f t="shared" si="4"/>
        <v>9000.5423721895368</v>
      </c>
      <c r="W19" s="43">
        <f t="shared" si="4"/>
        <v>9071.613224209812</v>
      </c>
      <c r="X19" s="43">
        <f t="shared" si="4"/>
        <v>9142.0891408234347</v>
      </c>
      <c r="Y19" s="43">
        <f t="shared" si="4"/>
        <v>9211.9991135974069</v>
      </c>
      <c r="Z19" s="43">
        <f t="shared" si="4"/>
        <v>9281.372259722033</v>
      </c>
      <c r="AA19" s="43">
        <f t="shared" si="4"/>
        <v>9350.2378300056462</v>
      </c>
      <c r="AB19" s="43">
        <f t="shared" si="4"/>
        <v>9418.6252169809613</v>
      </c>
      <c r="AC19" s="43">
        <f t="shared" si="4"/>
        <v>9486.5639631257836</v>
      </c>
      <c r="AD19" s="43">
        <f t="shared" si="4"/>
        <v>9554.0837692009045</v>
      </c>
      <c r="AE19" s="43">
        <f t="shared" si="4"/>
        <v>9621.2145027079823</v>
      </c>
      <c r="AF19" s="43">
        <f t="shared" si="4"/>
        <v>9687.9862064703902</v>
      </c>
      <c r="AG19" s="43">
        <f t="shared" si="4"/>
        <v>9754.4291073399145</v>
      </c>
      <c r="AH19" s="43">
        <f t="shared" si="4"/>
        <v>9820.5736250323625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6"/>
  <sheetViews>
    <sheetView zoomScale="90" zoomScaleNormal="90" workbookViewId="0">
      <pane ySplit="3" topLeftCell="A4" activePane="bottomLeft" state="frozen"/>
      <selection pane="bottomLeft" activeCell="A26" sqref="A26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62.5" customWidth="1"/>
    <col min="4" max="34" width="10" customWidth="1"/>
  </cols>
  <sheetData>
    <row r="1" spans="1:34" ht="17.25" customHeight="1" x14ac:dyDescent="0.2">
      <c r="A1" s="12" t="s">
        <v>222</v>
      </c>
    </row>
    <row r="3" spans="1:34" ht="15" customHeight="1" x14ac:dyDescent="0.2">
      <c r="A3" s="30" t="s">
        <v>196</v>
      </c>
      <c r="B3" s="30" t="s">
        <v>62</v>
      </c>
      <c r="C3" s="30" t="s">
        <v>197</v>
      </c>
      <c r="D3" s="31">
        <v>2020</v>
      </c>
      <c r="E3" s="31">
        <v>2021</v>
      </c>
      <c r="F3" s="31">
        <v>2022</v>
      </c>
      <c r="G3" s="31">
        <v>2023</v>
      </c>
      <c r="H3" s="31">
        <v>2024</v>
      </c>
      <c r="I3" s="31">
        <v>2025</v>
      </c>
      <c r="J3" s="31">
        <v>2026</v>
      </c>
      <c r="K3" s="31">
        <v>2027</v>
      </c>
      <c r="L3" s="31">
        <v>2028</v>
      </c>
      <c r="M3" s="31">
        <v>2029</v>
      </c>
      <c r="N3" s="31">
        <v>2030</v>
      </c>
      <c r="O3" s="31">
        <v>2031</v>
      </c>
      <c r="P3" s="31">
        <v>2032</v>
      </c>
      <c r="Q3" s="31">
        <v>2033</v>
      </c>
      <c r="R3" s="31">
        <v>2034</v>
      </c>
      <c r="S3" s="31">
        <v>2035</v>
      </c>
      <c r="T3" s="31">
        <v>2036</v>
      </c>
      <c r="U3" s="31">
        <v>2037</v>
      </c>
      <c r="V3" s="31">
        <v>2038</v>
      </c>
      <c r="W3" s="31">
        <v>2039</v>
      </c>
      <c r="X3" s="31">
        <v>2040</v>
      </c>
      <c r="Y3" s="31">
        <v>2041</v>
      </c>
      <c r="Z3" s="31">
        <v>2042</v>
      </c>
      <c r="AA3" s="31">
        <v>2043</v>
      </c>
      <c r="AB3" s="31">
        <v>2044</v>
      </c>
      <c r="AC3" s="31">
        <v>2045</v>
      </c>
      <c r="AD3" s="31">
        <v>2046</v>
      </c>
      <c r="AE3" s="31">
        <v>2047</v>
      </c>
      <c r="AF3" s="31">
        <v>2048</v>
      </c>
      <c r="AG3" s="31">
        <v>2049</v>
      </c>
      <c r="AH3" s="31">
        <v>2050</v>
      </c>
    </row>
    <row r="5" spans="1:34" ht="15" customHeight="1" x14ac:dyDescent="0.2">
      <c r="A5" s="32" t="s">
        <v>223</v>
      </c>
      <c r="B5" s="33" t="s">
        <v>95</v>
      </c>
      <c r="C5" s="34" t="s">
        <v>224</v>
      </c>
      <c r="D5" s="44">
        <f>Demand!D19</f>
        <v>7039.5343826149001</v>
      </c>
      <c r="E5" s="44">
        <f>Demand!E19</f>
        <v>7126.1735901522607</v>
      </c>
      <c r="F5" s="44">
        <f>Demand!F19</f>
        <v>7211.7089819152989</v>
      </c>
      <c r="G5" s="44">
        <f>Demand!G19</f>
        <v>7296.1685433618586</v>
      </c>
      <c r="H5" s="44">
        <f>Demand!H19</f>
        <v>7379.5802578908751</v>
      </c>
      <c r="I5" s="44">
        <f>Demand!I19</f>
        <v>7461.9721132472614</v>
      </c>
      <c r="J5" s="44">
        <f>Demand!J19</f>
        <v>7543.3721079963598</v>
      </c>
      <c r="K5" s="44">
        <f>Demand!K19</f>
        <v>7678.5582580699975</v>
      </c>
      <c r="L5" s="44">
        <f>Demand!L19</f>
        <v>7812.8086033861346</v>
      </c>
      <c r="M5" s="44">
        <f>Demand!M19</f>
        <v>7946.151214544233</v>
      </c>
      <c r="N5" s="44">
        <f>Demand!N19</f>
        <v>8078.6141995984208</v>
      </c>
      <c r="O5" s="44">
        <f>Demand!O19</f>
        <v>8210.2257109106285</v>
      </c>
      <c r="P5" s="44">
        <f>Demand!P19</f>
        <v>8341.013952085852</v>
      </c>
      <c r="Q5" s="44">
        <f>Demand!Q19</f>
        <v>8471.0071849918095</v>
      </c>
      <c r="R5" s="44">
        <f>Demand!R19</f>
        <v>8600.2337368652152</v>
      </c>
      <c r="S5" s="44">
        <f>Demand!S19</f>
        <v>8728.7220075069908</v>
      </c>
      <c r="T5" s="44">
        <f>Demand!T19</f>
        <v>8856.50047656877</v>
      </c>
      <c r="U5" s="44">
        <f>Demand!U19</f>
        <v>8928.8477109330688</v>
      </c>
      <c r="V5" s="44">
        <f>Demand!V19</f>
        <v>9000.5423721895368</v>
      </c>
      <c r="W5" s="44">
        <f>Demand!W19</f>
        <v>9071.613224209812</v>
      </c>
      <c r="X5" s="44">
        <f>Demand!X19</f>
        <v>9142.0891408234347</v>
      </c>
      <c r="Y5" s="44">
        <f>Demand!Y19</f>
        <v>9211.9991135974069</v>
      </c>
      <c r="Z5" s="44">
        <f>Demand!Z19</f>
        <v>9281.372259722033</v>
      </c>
      <c r="AA5" s="44">
        <f>Demand!AA19</f>
        <v>9350.2378300056462</v>
      </c>
      <c r="AB5" s="44">
        <f>Demand!AB19</f>
        <v>9418.6252169809613</v>
      </c>
      <c r="AC5" s="44">
        <f>Demand!AC19</f>
        <v>9486.5639631257836</v>
      </c>
      <c r="AD5" s="44">
        <f>Demand!AD19</f>
        <v>9554.0837692009045</v>
      </c>
      <c r="AE5" s="44">
        <f>Demand!AE19</f>
        <v>9621.2145027079823</v>
      </c>
      <c r="AF5" s="44">
        <f>Demand!AF19</f>
        <v>9687.9862064703902</v>
      </c>
      <c r="AG5" s="44">
        <f>Demand!AG19</f>
        <v>9754.4291073399145</v>
      </c>
      <c r="AH5" s="44">
        <f>Demand!AH19</f>
        <v>9820.5736250323625</v>
      </c>
    </row>
    <row r="6" spans="1:34" ht="15" customHeight="1" x14ac:dyDescent="0.2">
      <c r="A6" s="32" t="s">
        <v>225</v>
      </c>
      <c r="B6" s="33" t="s">
        <v>95</v>
      </c>
      <c r="C6" s="34" t="s">
        <v>226</v>
      </c>
      <c r="D6" s="45">
        <f>Demand!D17</f>
        <v>0</v>
      </c>
      <c r="E6" s="45">
        <f>Demand!E17</f>
        <v>0</v>
      </c>
      <c r="F6" s="45">
        <f>Demand!F17</f>
        <v>0</v>
      </c>
      <c r="G6" s="45">
        <f>Demand!G17</f>
        <v>0</v>
      </c>
      <c r="H6" s="45">
        <f>Demand!H17</f>
        <v>0</v>
      </c>
      <c r="I6" s="45">
        <f>Demand!I17</f>
        <v>0</v>
      </c>
      <c r="J6" s="45">
        <f>Demand!J17</f>
        <v>0</v>
      </c>
      <c r="K6" s="45">
        <f>Demand!K17</f>
        <v>54.75</v>
      </c>
      <c r="L6" s="45">
        <f>Demand!L17</f>
        <v>109.5</v>
      </c>
      <c r="M6" s="45">
        <f>Demand!M17</f>
        <v>164.25</v>
      </c>
      <c r="N6" s="45">
        <f>Demand!N17</f>
        <v>219</v>
      </c>
      <c r="O6" s="45">
        <f>Demand!O17</f>
        <v>273.75</v>
      </c>
      <c r="P6" s="45">
        <f>Demand!P17</f>
        <v>328.5</v>
      </c>
      <c r="Q6" s="45">
        <f>Demand!Q17</f>
        <v>383.25</v>
      </c>
      <c r="R6" s="45">
        <f>Demand!R17</f>
        <v>438</v>
      </c>
      <c r="S6" s="45">
        <f>Demand!S17</f>
        <v>492.75</v>
      </c>
      <c r="T6" s="45">
        <f>Demand!T17</f>
        <v>547.5</v>
      </c>
      <c r="U6" s="45">
        <f>Demand!U17</f>
        <v>547.5</v>
      </c>
      <c r="V6" s="45">
        <f>Demand!V17</f>
        <v>547.5</v>
      </c>
      <c r="W6" s="45">
        <f>Demand!W17</f>
        <v>547.5</v>
      </c>
      <c r="X6" s="45">
        <f>Demand!X17</f>
        <v>547.5</v>
      </c>
      <c r="Y6" s="45">
        <f>Demand!Y17</f>
        <v>547.5</v>
      </c>
      <c r="Z6" s="45">
        <f>Demand!Z17</f>
        <v>547.5</v>
      </c>
      <c r="AA6" s="45">
        <f>Demand!AA17</f>
        <v>547.5</v>
      </c>
      <c r="AB6" s="45">
        <f>Demand!AB17</f>
        <v>547.5</v>
      </c>
      <c r="AC6" s="45">
        <f>Demand!AC17</f>
        <v>547.5</v>
      </c>
      <c r="AD6" s="45">
        <f>Demand!AD17</f>
        <v>547.5</v>
      </c>
      <c r="AE6" s="45">
        <f>Demand!AE17</f>
        <v>547.5</v>
      </c>
      <c r="AF6" s="45">
        <f>Demand!AF17</f>
        <v>547.5</v>
      </c>
      <c r="AG6" s="45">
        <f>Demand!AG17</f>
        <v>547.5</v>
      </c>
      <c r="AH6" s="45">
        <f>Demand!AH17</f>
        <v>547.5</v>
      </c>
    </row>
    <row r="7" spans="1:34" ht="15" customHeight="1" x14ac:dyDescent="0.2">
      <c r="A7" t="s">
        <v>227</v>
      </c>
      <c r="B7" t="s">
        <v>95</v>
      </c>
      <c r="C7" t="s">
        <v>228</v>
      </c>
      <c r="D7" s="44">
        <f t="shared" ref="D7:AH7" si="0">MIN(D11,MAX(D14-D17,0))</f>
        <v>60</v>
      </c>
      <c r="E7" s="44">
        <f t="shared" si="0"/>
        <v>59.4</v>
      </c>
      <c r="F7" s="44">
        <f t="shared" si="0"/>
        <v>58.805999999999997</v>
      </c>
      <c r="G7" s="44">
        <f t="shared" si="0"/>
        <v>58.217939999999992</v>
      </c>
      <c r="H7" s="44">
        <f t="shared" si="0"/>
        <v>57.635760599999998</v>
      </c>
      <c r="I7" s="44">
        <f t="shared" si="0"/>
        <v>57.059402993999996</v>
      </c>
      <c r="J7" s="44">
        <f t="shared" si="0"/>
        <v>56.488808964059992</v>
      </c>
      <c r="K7" s="44">
        <f t="shared" si="0"/>
        <v>55.923920874419395</v>
      </c>
      <c r="L7" s="44">
        <f t="shared" si="0"/>
        <v>55.364681665675199</v>
      </c>
      <c r="M7" s="44">
        <f t="shared" si="0"/>
        <v>54.811034849018441</v>
      </c>
      <c r="N7" s="44">
        <f t="shared" si="0"/>
        <v>54.262924500528257</v>
      </c>
      <c r="O7" s="44">
        <f t="shared" si="0"/>
        <v>53.720295255522977</v>
      </c>
      <c r="P7" s="44">
        <f t="shared" si="0"/>
        <v>53.183092302967751</v>
      </c>
      <c r="Q7" s="44">
        <f t="shared" si="0"/>
        <v>52.651261379938063</v>
      </c>
      <c r="R7" s="44">
        <f t="shared" si="0"/>
        <v>52.124748766138687</v>
      </c>
      <c r="S7" s="44">
        <f t="shared" si="0"/>
        <v>51.603501278477296</v>
      </c>
      <c r="T7" s="44">
        <f t="shared" si="0"/>
        <v>51.087466265692527</v>
      </c>
      <c r="U7" s="44">
        <f t="shared" si="0"/>
        <v>50.576591603035595</v>
      </c>
      <c r="V7" s="44">
        <f t="shared" si="0"/>
        <v>50.07082568700524</v>
      </c>
      <c r="W7" s="44">
        <f t="shared" si="0"/>
        <v>49.570117430135184</v>
      </c>
      <c r="X7" s="44">
        <f t="shared" si="0"/>
        <v>49.074416255833839</v>
      </c>
      <c r="Y7" s="44">
        <f t="shared" si="0"/>
        <v>48.583672093275496</v>
      </c>
      <c r="Z7" s="44">
        <f t="shared" si="0"/>
        <v>48.097835372342736</v>
      </c>
      <c r="AA7" s="44">
        <f t="shared" si="0"/>
        <v>47.616857018619314</v>
      </c>
      <c r="AB7" s="44">
        <f t="shared" si="0"/>
        <v>47.140688448433117</v>
      </c>
      <c r="AC7" s="44">
        <f t="shared" si="0"/>
        <v>46.669281563948786</v>
      </c>
      <c r="AD7" s="44">
        <f t="shared" si="0"/>
        <v>46.202588748309296</v>
      </c>
      <c r="AE7" s="44">
        <f t="shared" si="0"/>
        <v>45.740562860826209</v>
      </c>
      <c r="AF7" s="44">
        <f t="shared" si="0"/>
        <v>45.283157232217938</v>
      </c>
      <c r="AG7" s="44">
        <f t="shared" si="0"/>
        <v>44.830325659895756</v>
      </c>
      <c r="AH7" s="44">
        <f t="shared" si="0"/>
        <v>44.382022403296808</v>
      </c>
    </row>
    <row r="8" spans="1:34" ht="15" customHeight="1" x14ac:dyDescent="0.2">
      <c r="A8" s="32" t="s">
        <v>229</v>
      </c>
      <c r="B8" s="33" t="s">
        <v>95</v>
      </c>
      <c r="C8" s="34" t="s">
        <v>230</v>
      </c>
      <c r="D8" s="44">
        <f>Inputs!$B$20*(1+Inputs!$B$21)^(D$3-2020)</f>
        <v>6000</v>
      </c>
      <c r="E8" s="44">
        <f>Inputs!$B$20*(1+Inputs!$B$21)^(E$3-2020)</f>
        <v>5910</v>
      </c>
      <c r="F8" s="44">
        <f>Inputs!$B$20*(1+Inputs!$B$21)^(F$3-2020)</f>
        <v>5821.35</v>
      </c>
      <c r="G8" s="44">
        <f>Inputs!$B$20*(1+Inputs!$B$21)^(G$3-2020)</f>
        <v>5734.0297499999997</v>
      </c>
      <c r="H8" s="44">
        <f>Inputs!$B$20*(1+Inputs!$B$21)^(H$3-2020)</f>
        <v>5648.0193037500003</v>
      </c>
      <c r="I8" s="44">
        <f>Inputs!$B$20*(1+Inputs!$B$21)^(I$3-2020)</f>
        <v>5563.2990141937498</v>
      </c>
      <c r="J8" s="44">
        <f>Inputs!$B$20*(1+Inputs!$B$21)^(J$3-2020)</f>
        <v>5479.8495289808443</v>
      </c>
      <c r="K8" s="44">
        <f>Inputs!$B$20*(1+Inputs!$B$21)^(K$3-2020)</f>
        <v>5397.6517860461308</v>
      </c>
      <c r="L8" s="44">
        <f>Inputs!$B$20*(1+Inputs!$B$21)^(L$3-2020)</f>
        <v>5316.6870092554391</v>
      </c>
      <c r="M8" s="44">
        <f>Inputs!$B$20*(1+Inputs!$B$21)^(M$3-2020)</f>
        <v>5236.9367041166079</v>
      </c>
      <c r="N8" s="44">
        <f>Inputs!$B$20*(1+Inputs!$B$21)^(N$3-2020)</f>
        <v>5158.3826535548587</v>
      </c>
      <c r="O8" s="44">
        <f>Inputs!$B$20*(1+Inputs!$B$21)^(O$3-2020)</f>
        <v>5081.0069137515356</v>
      </c>
      <c r="P8" s="44">
        <f>Inputs!$B$20*(1+Inputs!$B$21)^(P$3-2020)</f>
        <v>5004.7918100452625</v>
      </c>
      <c r="Q8" s="44">
        <f>Inputs!$B$20*(1+Inputs!$B$21)^(Q$3-2020)</f>
        <v>4929.7199328945835</v>
      </c>
      <c r="R8" s="44">
        <f>Inputs!$B$20*(1+Inputs!$B$21)^(R$3-2020)</f>
        <v>4855.7741339011654</v>
      </c>
      <c r="S8" s="44">
        <f>Inputs!$B$20*(1+Inputs!$B$21)^(S$3-2020)</f>
        <v>4782.9375218926471</v>
      </c>
      <c r="T8" s="44">
        <f>Inputs!$B$20*(1+Inputs!$B$21)^(T$3-2020)</f>
        <v>4711.1934590642577</v>
      </c>
      <c r="U8" s="44">
        <f>Inputs!$B$20*(1+Inputs!$B$21)^(U$3-2020)</f>
        <v>4640.5255571782936</v>
      </c>
      <c r="V8" s="44">
        <f>Inputs!$B$20*(1+Inputs!$B$21)^(V$3-2020)</f>
        <v>4570.9176738206188</v>
      </c>
      <c r="W8" s="44">
        <f>Inputs!$B$20*(1+Inputs!$B$21)^(W$3-2020)</f>
        <v>4502.3539087133104</v>
      </c>
      <c r="X8" s="44">
        <f>Inputs!$B$20*(1+Inputs!$B$21)^(X$3-2020)</f>
        <v>4434.8186000826108</v>
      </c>
      <c r="Y8" s="44">
        <f>Inputs!$B$20*(1+Inputs!$B$21)^(Y$3-2020)</f>
        <v>4368.2963210813714</v>
      </c>
      <c r="Z8" s="44">
        <f>Inputs!$B$20*(1+Inputs!$B$21)^(Z$3-2020)</f>
        <v>4302.7718762651511</v>
      </c>
      <c r="AA8" s="44">
        <f>Inputs!$B$20*(1+Inputs!$B$21)^(AA$3-2020)</f>
        <v>4238.2302981211733</v>
      </c>
      <c r="AB8" s="44">
        <f>Inputs!$B$20*(1+Inputs!$B$21)^(AB$3-2020)</f>
        <v>4174.6568436493562</v>
      </c>
      <c r="AC8" s="44">
        <f>Inputs!$B$20*(1+Inputs!$B$21)^(AC$3-2020)</f>
        <v>4112.0369909946157</v>
      </c>
      <c r="AD8" s="44">
        <f>Inputs!$B$20*(1+Inputs!$B$21)^(AD$3-2020)</f>
        <v>4050.3564361296962</v>
      </c>
      <c r="AE8" s="44">
        <f>Inputs!$B$20*(1+Inputs!$B$21)^(AE$3-2020)</f>
        <v>3989.6010895877507</v>
      </c>
      <c r="AF8" s="44">
        <f>Inputs!$B$20*(1+Inputs!$B$21)^(AF$3-2020)</f>
        <v>3929.7570732439344</v>
      </c>
      <c r="AG8" s="44">
        <f>Inputs!$B$20*(1+Inputs!$B$21)^(AG$3-2020)</f>
        <v>3870.8107171452752</v>
      </c>
      <c r="AH8" s="44">
        <f>Inputs!$B$20*(1+Inputs!$B$21)^(AH$3-2020)</f>
        <v>3812.7485563880969</v>
      </c>
    </row>
    <row r="9" spans="1:34" ht="15" customHeight="1" x14ac:dyDescent="0.2">
      <c r="A9" s="32" t="s">
        <v>231</v>
      </c>
      <c r="B9" s="33" t="s">
        <v>95</v>
      </c>
      <c r="C9" s="34" t="s">
        <v>232</v>
      </c>
      <c r="D9" s="44">
        <f>Inputs!$B$22*(1+Inputs!$B$23)^(D$3-2020)</f>
        <v>912</v>
      </c>
      <c r="E9" s="44">
        <f>Inputs!$B$22*(1+Inputs!$B$23)^(E$3-2020)</f>
        <v>893.76</v>
      </c>
      <c r="F9" s="44">
        <f>Inputs!$B$22*(1+Inputs!$B$23)^(F$3-2020)</f>
        <v>875.88479999999993</v>
      </c>
      <c r="G9" s="44">
        <f>Inputs!$B$22*(1+Inputs!$B$23)^(G$3-2020)</f>
        <v>858.36710399999993</v>
      </c>
      <c r="H9" s="44">
        <f>Inputs!$B$22*(1+Inputs!$B$23)^(H$3-2020)</f>
        <v>841.1997619199999</v>
      </c>
      <c r="I9" s="44">
        <f>Inputs!$B$22*(1+Inputs!$B$23)^(I$3-2020)</f>
        <v>824.37576668159988</v>
      </c>
      <c r="J9" s="44">
        <f>Inputs!$B$22*(1+Inputs!$B$23)^(J$3-2020)</f>
        <v>807.88825134796787</v>
      </c>
      <c r="K9" s="44">
        <f>Inputs!$B$22*(1+Inputs!$B$23)^(K$3-2020)</f>
        <v>791.73048632100847</v>
      </c>
      <c r="L9" s="44">
        <f>Inputs!$B$22*(1+Inputs!$B$23)^(L$3-2020)</f>
        <v>775.89587659458823</v>
      </c>
      <c r="M9" s="44">
        <f>Inputs!$B$22*(1+Inputs!$B$23)^(M$3-2020)</f>
        <v>760.3779590626965</v>
      </c>
      <c r="N9" s="44">
        <f>Inputs!$B$22*(1+Inputs!$B$23)^(N$3-2020)</f>
        <v>745.17039988144245</v>
      </c>
      <c r="O9" s="44">
        <f>Inputs!$B$22*(1+Inputs!$B$23)^(O$3-2020)</f>
        <v>730.2669918838136</v>
      </c>
      <c r="P9" s="44">
        <f>Inputs!$B$22*(1+Inputs!$B$23)^(P$3-2020)</f>
        <v>715.66165204613731</v>
      </c>
      <c r="Q9" s="44">
        <f>Inputs!$B$22*(1+Inputs!$B$23)^(Q$3-2020)</f>
        <v>701.34841900521451</v>
      </c>
      <c r="R9" s="44">
        <f>Inputs!$B$22*(1+Inputs!$B$23)^(R$3-2020)</f>
        <v>687.32145062511029</v>
      </c>
      <c r="S9" s="44">
        <f>Inputs!$B$22*(1+Inputs!$B$23)^(S$3-2020)</f>
        <v>673.575021612608</v>
      </c>
      <c r="T9" s="44">
        <f>Inputs!$B$22*(1+Inputs!$B$23)^(T$3-2020)</f>
        <v>660.10352118035587</v>
      </c>
      <c r="U9" s="44">
        <f>Inputs!$B$22*(1+Inputs!$B$23)^(U$3-2020)</f>
        <v>646.90145075674877</v>
      </c>
      <c r="V9" s="44">
        <f>Inputs!$B$22*(1+Inputs!$B$23)^(V$3-2020)</f>
        <v>633.96342174161373</v>
      </c>
      <c r="W9" s="44">
        <f>Inputs!$B$22*(1+Inputs!$B$23)^(W$3-2020)</f>
        <v>621.28415330678149</v>
      </c>
      <c r="X9" s="44">
        <f>Inputs!$B$22*(1+Inputs!$B$23)^(X$3-2020)</f>
        <v>608.85847024064583</v>
      </c>
      <c r="Y9" s="44">
        <f>Inputs!$B$22*(1+Inputs!$B$23)^(Y$3-2020)</f>
        <v>596.68130083583287</v>
      </c>
      <c r="Z9" s="44">
        <f>Inputs!$B$22*(1+Inputs!$B$23)^(Z$3-2020)</f>
        <v>584.74767481911624</v>
      </c>
      <c r="AA9" s="44">
        <f>Inputs!$B$22*(1+Inputs!$B$23)^(AA$3-2020)</f>
        <v>573.05272132273387</v>
      </c>
      <c r="AB9" s="44">
        <f>Inputs!$B$22*(1+Inputs!$B$23)^(AB$3-2020)</f>
        <v>561.59166689627921</v>
      </c>
      <c r="AC9" s="44">
        <f>Inputs!$B$22*(1+Inputs!$B$23)^(AC$3-2020)</f>
        <v>550.35983355835356</v>
      </c>
      <c r="AD9" s="44">
        <f>Inputs!$B$22*(1+Inputs!$B$23)^(AD$3-2020)</f>
        <v>539.35263688718646</v>
      </c>
      <c r="AE9" s="44">
        <f>Inputs!$B$22*(1+Inputs!$B$23)^(AE$3-2020)</f>
        <v>528.56558414944266</v>
      </c>
      <c r="AF9" s="44">
        <f>Inputs!$B$22*(1+Inputs!$B$23)^(AF$3-2020)</f>
        <v>517.99427246645382</v>
      </c>
      <c r="AG9" s="44">
        <f>Inputs!$B$22*(1+Inputs!$B$23)^(AG$3-2020)</f>
        <v>507.63438701712477</v>
      </c>
      <c r="AH9" s="44">
        <f>Inputs!$B$22*(1+Inputs!$B$23)^(AH$3-2020)</f>
        <v>497.48169927678225</v>
      </c>
    </row>
    <row r="10" spans="1:34" ht="15" customHeight="1" x14ac:dyDescent="0.2">
      <c r="A10" s="32" t="s">
        <v>233</v>
      </c>
      <c r="B10" s="33" t="s">
        <v>95</v>
      </c>
      <c r="C10" s="34" t="s">
        <v>234</v>
      </c>
      <c r="D10" s="39">
        <f t="shared" ref="D10:AH10" si="1">D8+D9+D11</f>
        <v>6972</v>
      </c>
      <c r="E10" s="39">
        <f t="shared" si="1"/>
        <v>6863.16</v>
      </c>
      <c r="F10" s="39">
        <f t="shared" si="1"/>
        <v>6756.0407999999998</v>
      </c>
      <c r="G10" s="39">
        <f t="shared" si="1"/>
        <v>6650.6147939999992</v>
      </c>
      <c r="H10" s="39">
        <f t="shared" si="1"/>
        <v>6546.8548262700006</v>
      </c>
      <c r="I10" s="39">
        <f t="shared" si="1"/>
        <v>6444.7341838693501</v>
      </c>
      <c r="J10" s="39">
        <f t="shared" si="1"/>
        <v>6344.2265892928717</v>
      </c>
      <c r="K10" s="39">
        <f t="shared" si="1"/>
        <v>6245.3061932415585</v>
      </c>
      <c r="L10" s="39">
        <f t="shared" si="1"/>
        <v>6147.9475675157028</v>
      </c>
      <c r="M10" s="39">
        <f t="shared" si="1"/>
        <v>6052.1256980283224</v>
      </c>
      <c r="N10" s="39">
        <f t="shared" si="1"/>
        <v>5957.8159779368298</v>
      </c>
      <c r="O10" s="39">
        <f t="shared" si="1"/>
        <v>5864.994200890872</v>
      </c>
      <c r="P10" s="39">
        <f t="shared" si="1"/>
        <v>5773.6365543943675</v>
      </c>
      <c r="Q10" s="39">
        <f t="shared" si="1"/>
        <v>5683.7196132797353</v>
      </c>
      <c r="R10" s="39">
        <f t="shared" si="1"/>
        <v>5595.2203332924146</v>
      </c>
      <c r="S10" s="39">
        <f t="shared" si="1"/>
        <v>5508.1160447837319</v>
      </c>
      <c r="T10" s="39">
        <f t="shared" si="1"/>
        <v>5422.3844465103057</v>
      </c>
      <c r="U10" s="39">
        <f t="shared" si="1"/>
        <v>5338.0035995380786</v>
      </c>
      <c r="V10" s="39">
        <f t="shared" si="1"/>
        <v>5254.9519212492369</v>
      </c>
      <c r="W10" s="39">
        <f t="shared" si="1"/>
        <v>5173.2081794502265</v>
      </c>
      <c r="X10" s="39">
        <f t="shared" si="1"/>
        <v>5092.7514865790909</v>
      </c>
      <c r="Y10" s="39">
        <f t="shared" si="1"/>
        <v>5013.5612940104802</v>
      </c>
      <c r="Z10" s="39">
        <f t="shared" si="1"/>
        <v>4935.6173864566108</v>
      </c>
      <c r="AA10" s="39">
        <f t="shared" si="1"/>
        <v>4858.8998764625267</v>
      </c>
      <c r="AB10" s="39">
        <f t="shared" si="1"/>
        <v>4783.3891989940685</v>
      </c>
      <c r="AC10" s="39">
        <f t="shared" si="1"/>
        <v>4709.0661061169185</v>
      </c>
      <c r="AD10" s="39">
        <f t="shared" si="1"/>
        <v>4635.9116617651925</v>
      </c>
      <c r="AE10" s="39">
        <f t="shared" si="1"/>
        <v>4563.9072365980192</v>
      </c>
      <c r="AF10" s="39">
        <f t="shared" si="1"/>
        <v>4493.0345029426062</v>
      </c>
      <c r="AG10" s="39">
        <f t="shared" si="1"/>
        <v>4423.2754298222953</v>
      </c>
      <c r="AH10" s="39">
        <f t="shared" si="1"/>
        <v>4354.6122780681762</v>
      </c>
    </row>
    <row r="11" spans="1:34" ht="15" customHeight="1" x14ac:dyDescent="0.2">
      <c r="A11" s="32" t="s">
        <v>235</v>
      </c>
      <c r="B11" t="s">
        <v>95</v>
      </c>
      <c r="C11" t="s">
        <v>236</v>
      </c>
      <c r="D11" s="44">
        <f>Inputs!$B$24*(1+Inputs!$B$18)^(D$3-2020)</f>
        <v>60</v>
      </c>
      <c r="E11" s="44">
        <f>Inputs!$B$24*(1+Inputs!$B$18)^(E$3-2020)</f>
        <v>59.4</v>
      </c>
      <c r="F11" s="44">
        <f>Inputs!$B$24*(1+Inputs!$B$18)^(F$3-2020)</f>
        <v>58.805999999999997</v>
      </c>
      <c r="G11" s="44">
        <f>Inputs!$B$24*(1+Inputs!$B$18)^(G$3-2020)</f>
        <v>58.217939999999992</v>
      </c>
      <c r="H11" s="44">
        <f>Inputs!$B$24*(1+Inputs!$B$18)^(H$3-2020)</f>
        <v>57.635760599999998</v>
      </c>
      <c r="I11" s="44">
        <f>Inputs!$B$24*(1+Inputs!$B$18)^(I$3-2020)</f>
        <v>57.059402993999996</v>
      </c>
      <c r="J11" s="44">
        <f>Inputs!$B$24*(1+Inputs!$B$18)^(J$3-2020)</f>
        <v>56.488808964059992</v>
      </c>
      <c r="K11" s="44">
        <f>Inputs!$B$24*(1+Inputs!$B$18)^(K$3-2020)</f>
        <v>55.923920874419395</v>
      </c>
      <c r="L11" s="44">
        <f>Inputs!$B$24*(1+Inputs!$B$18)^(L$3-2020)</f>
        <v>55.364681665675199</v>
      </c>
      <c r="M11" s="44">
        <f>Inputs!$B$24*(1+Inputs!$B$18)^(M$3-2020)</f>
        <v>54.811034849018441</v>
      </c>
      <c r="N11" s="44">
        <f>Inputs!$B$24*(1+Inputs!$B$18)^(N$3-2020)</f>
        <v>54.262924500528257</v>
      </c>
      <c r="O11" s="44">
        <f>Inputs!$B$24*(1+Inputs!$B$18)^(O$3-2020)</f>
        <v>53.720295255522977</v>
      </c>
      <c r="P11" s="44">
        <f>Inputs!$B$24*(1+Inputs!$B$18)^(P$3-2020)</f>
        <v>53.183092302967751</v>
      </c>
      <c r="Q11" s="44">
        <f>Inputs!$B$24*(1+Inputs!$B$18)^(Q$3-2020)</f>
        <v>52.651261379938063</v>
      </c>
      <c r="R11" s="44">
        <f>Inputs!$B$24*(1+Inputs!$B$18)^(R$3-2020)</f>
        <v>52.124748766138687</v>
      </c>
      <c r="S11" s="44">
        <f>Inputs!$B$24*(1+Inputs!$B$18)^(S$3-2020)</f>
        <v>51.603501278477296</v>
      </c>
      <c r="T11" s="44">
        <f>Inputs!$B$24*(1+Inputs!$B$18)^(T$3-2020)</f>
        <v>51.087466265692527</v>
      </c>
      <c r="U11" s="44">
        <f>Inputs!$B$24*(1+Inputs!$B$18)^(U$3-2020)</f>
        <v>50.576591603035595</v>
      </c>
      <c r="V11" s="44">
        <f>Inputs!$B$24*(1+Inputs!$B$18)^(V$3-2020)</f>
        <v>50.07082568700524</v>
      </c>
      <c r="W11" s="44">
        <f>Inputs!$B$24*(1+Inputs!$B$18)^(W$3-2020)</f>
        <v>49.570117430135184</v>
      </c>
      <c r="X11" s="44">
        <f>Inputs!$B$24*(1+Inputs!$B$18)^(X$3-2020)</f>
        <v>49.074416255833839</v>
      </c>
      <c r="Y11" s="44">
        <f>Inputs!$B$24*(1+Inputs!$B$18)^(Y$3-2020)</f>
        <v>48.583672093275496</v>
      </c>
      <c r="Z11" s="44">
        <f>Inputs!$B$24*(1+Inputs!$B$18)^(Z$3-2020)</f>
        <v>48.097835372342736</v>
      </c>
      <c r="AA11" s="44">
        <f>Inputs!$B$24*(1+Inputs!$B$18)^(AA$3-2020)</f>
        <v>47.616857018619314</v>
      </c>
      <c r="AB11" s="44">
        <f>Inputs!$B$24*(1+Inputs!$B$18)^(AB$3-2020)</f>
        <v>47.140688448433117</v>
      </c>
      <c r="AC11" s="44">
        <f>Inputs!$B$24*(1+Inputs!$B$18)^(AC$3-2020)</f>
        <v>46.669281563948786</v>
      </c>
      <c r="AD11" s="44">
        <f>Inputs!$B$24*(1+Inputs!$B$18)^(AD$3-2020)</f>
        <v>46.202588748309296</v>
      </c>
      <c r="AE11" s="44">
        <f>Inputs!$B$24*(1+Inputs!$B$18)^(AE$3-2020)</f>
        <v>45.740562860826209</v>
      </c>
      <c r="AF11" s="44">
        <f>Inputs!$B$24*(1+Inputs!$B$18)^(AF$3-2020)</f>
        <v>45.283157232217938</v>
      </c>
      <c r="AG11" s="44">
        <f>Inputs!$B$24*(1+Inputs!$B$18)^(AG$3-2020)</f>
        <v>44.830325659895756</v>
      </c>
      <c r="AH11" s="44">
        <f>Inputs!$B$24*(1+Inputs!$B$18)^(AH$3-2020)</f>
        <v>44.382022403296808</v>
      </c>
    </row>
    <row r="12" spans="1:34" ht="15" customHeight="1" x14ac:dyDescent="0.2">
      <c r="A12" t="s">
        <v>211</v>
      </c>
      <c r="B12" t="s">
        <v>95</v>
      </c>
      <c r="C12" t="s">
        <v>237</v>
      </c>
      <c r="D12" s="46">
        <f>Demand!D13</f>
        <v>784.22197749500003</v>
      </c>
      <c r="E12" s="46">
        <f>Demand!E13</f>
        <v>794.86617439858742</v>
      </c>
      <c r="F12" s="46">
        <f>Demand!F13</f>
        <v>805.38432378370169</v>
      </c>
      <c r="G12" s="46">
        <f>Demand!G13</f>
        <v>815.77742002060484</v>
      </c>
      <c r="H12" s="46">
        <f>Demand!H13</f>
        <v>826.0464506870444</v>
      </c>
      <c r="I12" s="46">
        <f>Demand!I13</f>
        <v>836.19239661131905</v>
      </c>
      <c r="J12" s="46">
        <f>Demand!J13</f>
        <v>846.21623191508377</v>
      </c>
      <c r="K12" s="46">
        <f>Demand!K13</f>
        <v>856.11892405589538</v>
      </c>
      <c r="L12" s="46">
        <f>Demand!L13</f>
        <v>865.90143386950137</v>
      </c>
      <c r="M12" s="46">
        <f>Demand!M13</f>
        <v>875.56471561186947</v>
      </c>
      <c r="N12" s="46">
        <f>Demand!N13</f>
        <v>885.10971700096752</v>
      </c>
      <c r="O12" s="46">
        <f>Demand!O13</f>
        <v>894.53737925828398</v>
      </c>
      <c r="P12" s="46">
        <f>Demand!P13</f>
        <v>903.84863715010238</v>
      </c>
      <c r="Q12" s="46">
        <f>Demand!Q13</f>
        <v>913.04441902852136</v>
      </c>
      <c r="R12" s="46">
        <f>Demand!R13</f>
        <v>922.12564687222732</v>
      </c>
      <c r="S12" s="46">
        <f>Demand!S13</f>
        <v>931.09323632702035</v>
      </c>
      <c r="T12" s="46">
        <f>Demand!T13</f>
        <v>939.9480967460936</v>
      </c>
      <c r="U12" s="46">
        <f>Demand!U13</f>
        <v>948.69113123006798</v>
      </c>
      <c r="V12" s="46">
        <f>Demand!V13</f>
        <v>957.32323666678394</v>
      </c>
      <c r="W12" s="46">
        <f>Demand!W13</f>
        <v>965.84530377085218</v>
      </c>
      <c r="X12" s="46">
        <f>Demand!X13</f>
        <v>974.25821712296306</v>
      </c>
      <c r="Y12" s="46">
        <f>Demand!Y13</f>
        <v>982.56285520895824</v>
      </c>
      <c r="Z12" s="46">
        <f>Demand!Z13</f>
        <v>990.76009045866579</v>
      </c>
      <c r="AA12" s="46">
        <f>Demand!AA13</f>
        <v>998.8507892844957</v>
      </c>
      <c r="AB12" s="46">
        <f>Demand!AB13</f>
        <v>1006.8358121198061</v>
      </c>
      <c r="AC12" s="46">
        <f>Demand!AC13</f>
        <v>1014.7160134570314</v>
      </c>
      <c r="AD12" s="46">
        <f>Demand!AD13</f>
        <v>1022.4922418855811</v>
      </c>
      <c r="AE12" s="46">
        <f>Demand!AE13</f>
        <v>1030.1653401295089</v>
      </c>
      <c r="AF12" s="46">
        <f>Demand!AF13</f>
        <v>1037.7361450849505</v>
      </c>
      <c r="AG12" s="46">
        <f>Demand!AG13</f>
        <v>1045.2054878573344</v>
      </c>
      <c r="AH12" s="46">
        <f>Demand!AH13</f>
        <v>1052.5741937983671</v>
      </c>
    </row>
    <row r="13" spans="1:34" ht="15" customHeight="1" x14ac:dyDescent="0.2">
      <c r="A13" t="s">
        <v>213</v>
      </c>
      <c r="B13" t="s">
        <v>95</v>
      </c>
      <c r="C13" t="s">
        <v>238</v>
      </c>
      <c r="D13" s="46">
        <f>Demand!D14</f>
        <v>389.62701858989999</v>
      </c>
      <c r="E13" s="46">
        <f>Demand!E14</f>
        <v>403.93296803511453</v>
      </c>
      <c r="F13" s="46">
        <f>Demand!F14</f>
        <v>418.62357806823337</v>
      </c>
      <c r="G13" s="46">
        <f>Demand!G14</f>
        <v>433.70798901525569</v>
      </c>
      <c r="H13" s="46">
        <f>Demand!H14</f>
        <v>449.19554435252496</v>
      </c>
      <c r="I13" s="46">
        <f>Demand!I14</f>
        <v>465.09579503632892</v>
      </c>
      <c r="J13" s="46">
        <f>Demand!J14</f>
        <v>481.41850392215304</v>
      </c>
      <c r="K13" s="46">
        <f>Demand!K14</f>
        <v>498.17365027540257</v>
      </c>
      <c r="L13" s="46">
        <f>Demand!L14</f>
        <v>515.37143437544944</v>
      </c>
      <c r="M13" s="46">
        <f>Demand!M14</f>
        <v>533.02228221489327</v>
      </c>
      <c r="N13" s="46">
        <f>Demand!N14</f>
        <v>551.13685029596729</v>
      </c>
      <c r="O13" s="46">
        <f>Demand!O14</f>
        <v>569.72603052605507</v>
      </c>
      <c r="P13" s="46">
        <f>Demand!P14</f>
        <v>588.80095521432304</v>
      </c>
      <c r="Q13" s="46">
        <f>Demand!Q14</f>
        <v>608.3730021715196</v>
      </c>
      <c r="R13" s="46">
        <f>Demand!R14</f>
        <v>628.45379991502341</v>
      </c>
      <c r="S13" s="46">
        <f>Demand!S14</f>
        <v>649.05523298127218</v>
      </c>
      <c r="T13" s="46">
        <f>Demand!T14</f>
        <v>670.18944734774129</v>
      </c>
      <c r="U13" s="46">
        <f>Demand!U14</f>
        <v>691.86885596669049</v>
      </c>
      <c r="V13" s="46">
        <f>Demand!V14</f>
        <v>714.10614441293103</v>
      </c>
      <c r="W13" s="46">
        <f>Demand!W14</f>
        <v>736.91427664792297</v>
      </c>
      <c r="X13" s="46">
        <f>Demand!X14</f>
        <v>760.30650090254744</v>
      </c>
      <c r="Y13" s="46">
        <f>Demand!Y14</f>
        <v>784.29635568095091</v>
      </c>
      <c r="Z13" s="46">
        <f>Demand!Z14</f>
        <v>808.89767588790824</v>
      </c>
      <c r="AA13" s="46">
        <f>Demand!AA14</f>
        <v>834.12459908219046</v>
      </c>
      <c r="AB13" s="46">
        <f>Demand!AB14</f>
        <v>859.99157185848537</v>
      </c>
      <c r="AC13" s="46">
        <f>Demand!AC14</f>
        <v>886.51335636045974</v>
      </c>
      <c r="AD13" s="46">
        <f>Demand!AD14</f>
        <v>913.7050369276069</v>
      </c>
      <c r="AE13" s="46">
        <f>Demand!AE14</f>
        <v>941.58202687857829</v>
      </c>
      <c r="AF13" s="46">
        <f>Demand!AF14</f>
        <v>970.16007543374485</v>
      </c>
      <c r="AG13" s="46">
        <f>Demand!AG14</f>
        <v>999.45527477979738</v>
      </c>
      <c r="AH13" s="46">
        <f>Demand!AH14</f>
        <v>1029.4840672792445</v>
      </c>
    </row>
    <row r="14" spans="1:34" ht="15" customHeight="1" x14ac:dyDescent="0.2">
      <c r="A14" t="s">
        <v>215</v>
      </c>
      <c r="B14" t="s">
        <v>95</v>
      </c>
      <c r="C14" t="s">
        <v>239</v>
      </c>
      <c r="D14" s="47">
        <f>Demand!D15</f>
        <v>5865.68538653</v>
      </c>
      <c r="E14" s="47">
        <f>Demand!E15</f>
        <v>5927.3744477185592</v>
      </c>
      <c r="F14" s="47">
        <f>Demand!F15</f>
        <v>5987.7010800633643</v>
      </c>
      <c r="G14" s="47">
        <f>Demand!G15</f>
        <v>6046.6831343259983</v>
      </c>
      <c r="H14" s="47">
        <f>Demand!H15</f>
        <v>6104.3382628513064</v>
      </c>
      <c r="I14" s="47">
        <f>Demand!I15</f>
        <v>6160.6839215996133</v>
      </c>
      <c r="J14" s="47">
        <f>Demand!J15</f>
        <v>6215.737372159123</v>
      </c>
      <c r="K14" s="47">
        <f>Demand!K15</f>
        <v>6269.5156837386994</v>
      </c>
      <c r="L14" s="47">
        <f>Demand!L15</f>
        <v>6322.035735141184</v>
      </c>
      <c r="M14" s="47">
        <f>Demand!M15</f>
        <v>6373.3142167174701</v>
      </c>
      <c r="N14" s="47">
        <f>Demand!N15</f>
        <v>6423.3676323014861</v>
      </c>
      <c r="O14" s="47">
        <f>Demand!O15</f>
        <v>6472.2123011262884</v>
      </c>
      <c r="P14" s="47">
        <f>Demand!P15</f>
        <v>6519.8643597214268</v>
      </c>
      <c r="Q14" s="47">
        <f>Demand!Q15</f>
        <v>6566.3397637917687</v>
      </c>
      <c r="R14" s="47">
        <f>Demand!R15</f>
        <v>6611.654290077965</v>
      </c>
      <c r="S14" s="47">
        <f>Demand!S15</f>
        <v>6655.8235381986988</v>
      </c>
      <c r="T14" s="47">
        <f>Demand!T15</f>
        <v>6698.8629324749354</v>
      </c>
      <c r="U14" s="47">
        <f>Demand!U15</f>
        <v>6740.7877237363109</v>
      </c>
      <c r="V14" s="47">
        <f>Demand!V15</f>
        <v>6781.6129911098215</v>
      </c>
      <c r="W14" s="47">
        <f>Demand!W15</f>
        <v>6821.353643791037</v>
      </c>
      <c r="X14" s="47">
        <f>Demand!X15</f>
        <v>6860.0244227979247</v>
      </c>
      <c r="Y14" s="47">
        <f>Demand!Y15</f>
        <v>6897.6399027074976</v>
      </c>
      <c r="Z14" s="47">
        <f>Demand!Z15</f>
        <v>6934.2144933754589</v>
      </c>
      <c r="AA14" s="47">
        <f>Demand!AA15</f>
        <v>6969.7624416389599</v>
      </c>
      <c r="AB14" s="47">
        <f>Demand!AB15</f>
        <v>7004.2978330026699</v>
      </c>
      <c r="AC14" s="47">
        <f>Demand!AC15</f>
        <v>7037.8345933082928</v>
      </c>
      <c r="AD14" s="47">
        <f>Demand!AD15</f>
        <v>7070.3864903877156</v>
      </c>
      <c r="AE14" s="47">
        <f>Demand!AE15</f>
        <v>7101.9671356998942</v>
      </c>
      <c r="AF14" s="47">
        <f>Demand!AF15</f>
        <v>7132.5899859516949</v>
      </c>
      <c r="AG14" s="47">
        <f>Demand!AG15</f>
        <v>7162.268344702783</v>
      </c>
      <c r="AH14" s="47">
        <f>Demand!AH15</f>
        <v>7191.0153639547507</v>
      </c>
    </row>
    <row r="15" spans="1:34" ht="15" customHeight="1" x14ac:dyDescent="0.2">
      <c r="A15" t="s">
        <v>240</v>
      </c>
      <c r="B15" t="s">
        <v>95</v>
      </c>
      <c r="C15" t="s">
        <v>241</v>
      </c>
      <c r="D15" s="46">
        <f>Demand!D13*(Inputs!B41+(Inputs!B42-Inputs!B41)*(D3-2020)/30)</f>
        <v>7.8422197749500002</v>
      </c>
      <c r="E15" s="46">
        <f>Demand!E13*(Inputs!B41+(Inputs!B42-Inputs!B41)*(E3-2020)/30)</f>
        <v>8.6110502226513645</v>
      </c>
      <c r="F15" s="46">
        <f>Demand!F13*(Inputs!B41+(Inputs!B42-Inputs!B41)*(F3-2020)/30)</f>
        <v>9.3961504441431867</v>
      </c>
      <c r="G15" s="46">
        <f>Demand!G13*(Inputs!B41+(Inputs!B42-Inputs!B41)*(G3-2020)/30)</f>
        <v>10.197217750257561</v>
      </c>
      <c r="H15" s="46">
        <f>Demand!H13*(Inputs!B41+(Inputs!B42-Inputs!B41)*(H3-2020)/30)</f>
        <v>11.013952675827259</v>
      </c>
      <c r="I15" s="46">
        <f>Demand!I13*(Inputs!B41+(Inputs!B42-Inputs!B41)*(I3-2020)/30)</f>
        <v>11.846058951993687</v>
      </c>
      <c r="J15" s="46">
        <f>Demand!J13*(Inputs!B41+(Inputs!B42-Inputs!B41)*(J3-2020)/30)</f>
        <v>12.693243478726256</v>
      </c>
      <c r="K15" s="46">
        <f>Demand!K13*(Inputs!B41+(Inputs!B42-Inputs!B41)*(K3-2020)/30)</f>
        <v>13.555216297551675</v>
      </c>
      <c r="L15" s="46">
        <f>Demand!L13*(Inputs!B41+(Inputs!B42-Inputs!B41)*(L3-2020)/30)</f>
        <v>14.431690564491689</v>
      </c>
      <c r="M15" s="46">
        <f>Demand!M13*(Inputs!B41+(Inputs!B42-Inputs!B41)*(M3-2020)/30)</f>
        <v>15.322382523207715</v>
      </c>
      <c r="N15" s="46">
        <f>Demand!N13*(Inputs!B41+(Inputs!B42-Inputs!B41)*(N3-2020)/30)</f>
        <v>16.22701147835107</v>
      </c>
      <c r="O15" s="46">
        <f>Demand!O13*(Inputs!B41+(Inputs!B42-Inputs!B41)*(O3-2020)/30)</f>
        <v>17.145299769117109</v>
      </c>
      <c r="P15" s="46">
        <f>Demand!P13*(Inputs!B41+(Inputs!B42-Inputs!B41)*(P3-2020)/30)</f>
        <v>18.076972743002045</v>
      </c>
      <c r="Q15" s="46">
        <f>Demand!Q13*(Inputs!B41+(Inputs!B42-Inputs!B41)*(Q3-2020)/30)</f>
        <v>19.021758729760862</v>
      </c>
      <c r="R15" s="46">
        <f>Demand!R13*(Inputs!B41+(Inputs!B42-Inputs!B41)*(R3-2020)/30)</f>
        <v>19.979389015564923</v>
      </c>
      <c r="S15" s="46">
        <f>Demand!S13*(Inputs!B41+(Inputs!B42-Inputs!B41)*(S3-2020)/30)</f>
        <v>20.949597817357954</v>
      </c>
      <c r="T15" s="46">
        <f>Demand!T13*(Inputs!B41+(Inputs!B42-Inputs!B41)*(T3-2020)/30)</f>
        <v>21.932122257408849</v>
      </c>
      <c r="U15" s="46">
        <f>Demand!U13*(Inputs!B41+(Inputs!B42-Inputs!B41)*(U3-2020)/30)</f>
        <v>22.926702338059972</v>
      </c>
      <c r="V15" s="46">
        <f>Demand!V13*(Inputs!B41+(Inputs!B42-Inputs!B41)*(V3-2020)/30)</f>
        <v>23.933080916669592</v>
      </c>
      <c r="W15" s="46">
        <f>Demand!W13*(Inputs!B41+(Inputs!B42-Inputs!B41)*(W3-2020)/30)</f>
        <v>24.951003680747007</v>
      </c>
      <c r="X15" s="46">
        <f>Demand!X13*(Inputs!B41+(Inputs!B42-Inputs!B41)*(X3-2020)/30)</f>
        <v>25.980219123279014</v>
      </c>
      <c r="Y15" s="46">
        <f>Demand!Y13*(Inputs!B41+(Inputs!B42-Inputs!B41)*(Y3-2020)/30)</f>
        <v>27.02047851824635</v>
      </c>
      <c r="Z15" s="46">
        <f>Demand!Z13*(Inputs!B41+(Inputs!B42-Inputs!B41)*(Z3-2020)/30)</f>
        <v>28.071535896328861</v>
      </c>
      <c r="AA15" s="46">
        <f>Demand!AA13*(Inputs!B41+(Inputs!B42-Inputs!B41)*(AA3-2020)/30)</f>
        <v>29.133148020797783</v>
      </c>
      <c r="AB15" s="46">
        <f>Demand!AB13*(Inputs!B41+(Inputs!B42-Inputs!B41)*(AB3-2020)/30)</f>
        <v>30.205074363594182</v>
      </c>
      <c r="AC15" s="46">
        <f>Demand!AC13*(Inputs!B41+(Inputs!B42-Inputs!B41)*(AC3-2020)/30)</f>
        <v>31.2870770815918</v>
      </c>
      <c r="AD15" s="46">
        <f>Demand!AD13*(Inputs!B41+(Inputs!B42-Inputs!B41)*(AD3-2020)/30)</f>
        <v>32.378920993043394</v>
      </c>
      <c r="AE15" s="46">
        <f>Demand!AE13*(Inputs!B41+(Inputs!B42-Inputs!B41)*(AE3-2020)/30)</f>
        <v>33.480373554209031</v>
      </c>
      <c r="AF15" s="46">
        <f>Demand!AF13*(Inputs!B41+(Inputs!B42-Inputs!B41)*(AF3-2020)/30)</f>
        <v>34.591204836165012</v>
      </c>
      <c r="AG15" s="46">
        <f>Demand!AG13*(Inputs!B41+(Inputs!B42-Inputs!B41)*(AG3-2020)/30)</f>
        <v>35.71118750179226</v>
      </c>
      <c r="AH15" s="46">
        <f>Demand!AH13*(Inputs!B41+(Inputs!B42-Inputs!B41)*(AH3-2020)/30)</f>
        <v>36.840096782942837</v>
      </c>
    </row>
    <row r="16" spans="1:34" ht="15" customHeight="1" x14ac:dyDescent="0.2">
      <c r="A16" t="s">
        <v>242</v>
      </c>
      <c r="B16" t="s">
        <v>95</v>
      </c>
      <c r="C16" t="s">
        <v>243</v>
      </c>
      <c r="D16" s="46">
        <f>MIN(Supply!D6,Supply!D15*(Inputs!B50+(Inputs!B51-Inputs!B50)*(D3-2020)/30))</f>
        <v>0</v>
      </c>
      <c r="E16" s="46">
        <f>MIN(Supply!E6,Supply!E15*(Inputs!B50+(Inputs!B51-Inputs!B50)*(E3-2020)/30))</f>
        <v>0</v>
      </c>
      <c r="F16" s="46">
        <f>MIN(Supply!F6,Supply!F15*(Inputs!B50+(Inputs!B51-Inputs!B50)*(F3-2020)/30))</f>
        <v>0</v>
      </c>
      <c r="G16" s="46">
        <f>MIN(Supply!G6,Supply!G15*(Inputs!B50+(Inputs!B51-Inputs!B50)*(G3-2020)/30))</f>
        <v>0</v>
      </c>
      <c r="H16" s="46">
        <f>MIN(Supply!H6,Supply!H15*(Inputs!B50+(Inputs!B51-Inputs!B50)*(H3-2020)/30))</f>
        <v>0</v>
      </c>
      <c r="I16" s="46">
        <f>MIN(Supply!I6,Supply!I15*(Inputs!B50+(Inputs!B51-Inputs!B50)*(I3-2020)/30))</f>
        <v>0</v>
      </c>
      <c r="J16" s="46">
        <f>MIN(Supply!J6,Supply!J15*(Inputs!B50+(Inputs!B51-Inputs!B50)*(J3-2020)/30))</f>
        <v>0</v>
      </c>
      <c r="K16" s="46">
        <f>MIN(Supply!K6,Supply!K15*(Inputs!B50+(Inputs!B51-Inputs!B50)*(K3-2020)/30))</f>
        <v>6.1450313882234262</v>
      </c>
      <c r="L16" s="46">
        <f>MIN(Supply!L6,Supply!L15*(Inputs!B50+(Inputs!B51-Inputs!B50)*(L3-2020)/30))</f>
        <v>6.4461551188062876</v>
      </c>
      <c r="M16" s="46">
        <f>MIN(Supply!M6,Supply!M15*(Inputs!B50+(Inputs!B51-Inputs!B50)*(M3-2020)/30))</f>
        <v>6.7418483102113944</v>
      </c>
      <c r="N16" s="46">
        <f>MIN(Supply!N6,Supply!N15*(Inputs!B50+(Inputs!B51-Inputs!B50)*(N3-2020)/30))</f>
        <v>7.0317049739521309</v>
      </c>
      <c r="O16" s="46">
        <f>MIN(Supply!O6,Supply!O15*(Inputs!B50+(Inputs!B51-Inputs!B50)*(O3-2020)/30))</f>
        <v>7.3153279014899661</v>
      </c>
      <c r="P16" s="46">
        <f>MIN(Supply!P6,Supply!P15*(Inputs!B50+(Inputs!B51-Inputs!B50)*(P3-2020)/30))</f>
        <v>7.5923285520608585</v>
      </c>
      <c r="Q16" s="46">
        <f>MIN(Supply!Q6,Supply!Q15*(Inputs!B50+(Inputs!B51-Inputs!B50)*(Q3-2020)/30))</f>
        <v>7.8623269416344899</v>
      </c>
      <c r="R16" s="46">
        <f>MIN(Supply!R6,Supply!R15*(Inputs!B50+(Inputs!B51-Inputs!B50)*(R3-2020)/30))</f>
        <v>8.1249515329964019</v>
      </c>
      <c r="S16" s="46">
        <f>MIN(Supply!S6,Supply!S15*(Inputs!B50+(Inputs!B51-Inputs!B50)*(S3-2020)/30))</f>
        <v>8.3798391269431818</v>
      </c>
      <c r="T16" s="46">
        <f>MIN(Supply!T6,Supply!T15*(Inputs!B50+(Inputs!B51-Inputs!B50)*(T3-2020)/30))</f>
        <v>8.6266347545808131</v>
      </c>
      <c r="U16" s="46">
        <f>MIN(Supply!U6,Supply!U15*(Inputs!B50+(Inputs!B51-Inputs!B50)*(U3-2020)/30))</f>
        <v>8.8649915707165228</v>
      </c>
      <c r="V16" s="46">
        <f>MIN(Supply!V6,Supply!V15*(Inputs!B50+(Inputs!B51-Inputs!B50)*(V3-2020)/30))</f>
        <v>9.0945707483344442</v>
      </c>
      <c r="W16" s="46">
        <f>MIN(Supply!W6,Supply!W15*(Inputs!B50+(Inputs!B51-Inputs!B50)*(W3-2020)/30))</f>
        <v>9.3150413741455491</v>
      </c>
      <c r="X16" s="46">
        <f>MIN(Supply!X6,Supply!X15*(Inputs!B50+(Inputs!B51-Inputs!B50)*(X3-2020)/30))</f>
        <v>9.5260803452023062</v>
      </c>
      <c r="Y16" s="46">
        <f>MIN(Supply!Y6,Supply!Y15*(Inputs!B50+(Inputs!B51-Inputs!B50)*(Y3-2020)/30))</f>
        <v>9.7273722665686861</v>
      </c>
      <c r="Z16" s="46">
        <f>MIN(Supply!Z6,Supply!Z15*(Inputs!B50+(Inputs!B51-Inputs!B50)*(Z3-2020)/30))</f>
        <v>9.9186093500361974</v>
      </c>
      <c r="AA16" s="46">
        <f>MIN(Supply!AA6,Supply!AA15*(Inputs!B50+(Inputs!B51-Inputs!B50)*(AA3-2020)/30))</f>
        <v>10.099491313876566</v>
      </c>
      <c r="AB16" s="46">
        <f>MIN(Supply!AB6,Supply!AB15*(Inputs!B50+(Inputs!B51-Inputs!B50)*(AB3-2020)/30))</f>
        <v>10.269725283622021</v>
      </c>
      <c r="AC16" s="46">
        <f>MIN(Supply!AC6,Supply!AC15*(Inputs!B50+(Inputs!B51-Inputs!B50)*(AC3-2020)/30))</f>
        <v>10.429025693863935</v>
      </c>
      <c r="AD16" s="46">
        <f>MIN(Supply!AD6,Supply!AD15*(Inputs!B50+(Inputs!B51-Inputs!B50)*(AD3-2020)/30))</f>
        <v>10.577114191060842</v>
      </c>
      <c r="AE16" s="46">
        <f>MIN(Supply!AE6,Supply!AE15*(Inputs!B50+(Inputs!B51-Inputs!B50)*(AE3-2020)/30))</f>
        <v>10.713719537346888</v>
      </c>
      <c r="AF16" s="46">
        <f>MIN(Supply!AF6,Supply!AF15*(Inputs!B50+(Inputs!B51-Inputs!B50)*(AF3-2020)/30))</f>
        <v>10.838577515331705</v>
      </c>
      <c r="AG16" s="46">
        <f>MIN(Supply!AG6,Supply!AG15*(Inputs!B50+(Inputs!B51-Inputs!B50)*(AG3-2020)/30))</f>
        <v>10.951430833882959</v>
      </c>
      <c r="AH16" s="46">
        <f>MIN(Supply!AH6,Supply!AH15*(Inputs!B50+(Inputs!B51-Inputs!B50)*(AH3-2020)/30))</f>
        <v>11.052029034882851</v>
      </c>
    </row>
    <row r="17" spans="1:34" ht="15" customHeight="1" x14ac:dyDescent="0.2">
      <c r="A17" t="s">
        <v>244</v>
      </c>
      <c r="B17" t="s">
        <v>95</v>
      </c>
      <c r="C17" t="s">
        <v>245</v>
      </c>
      <c r="D17" s="47">
        <f>MIN(Supply!D14,MAX(Supply!D15-Supply!D16,0))</f>
        <v>7.8422197749500002</v>
      </c>
      <c r="E17" s="46">
        <f>MIN(Supply!E14,MAX(Supply!E15-Supply!E16,0))</f>
        <v>8.6110502226513645</v>
      </c>
      <c r="F17" s="46">
        <f>MIN(Supply!F14,MAX(Supply!F15-Supply!F16,0))</f>
        <v>9.3961504441431867</v>
      </c>
      <c r="G17" s="46">
        <f>MIN(Supply!G14,MAX(Supply!G15-Supply!G16,0))</f>
        <v>10.197217750257561</v>
      </c>
      <c r="H17" s="46">
        <f>MIN(Supply!H14,MAX(Supply!H15-Supply!H16,0))</f>
        <v>11.013952675827259</v>
      </c>
      <c r="I17" s="46">
        <f>MIN(Supply!I14,MAX(Supply!I15-Supply!I16,0))</f>
        <v>11.846058951993687</v>
      </c>
      <c r="J17" s="46">
        <f>MIN(Supply!J14,MAX(Supply!J15-Supply!J16,0))</f>
        <v>12.693243478726256</v>
      </c>
      <c r="K17" s="46">
        <f>MIN(Supply!K14,MAX(Supply!K15-Supply!K16,0))</f>
        <v>7.4101849093282492</v>
      </c>
      <c r="L17" s="46">
        <f>MIN(Supply!L14,MAX(Supply!L15-Supply!L16,0))</f>
        <v>7.9855354456854011</v>
      </c>
      <c r="M17" s="46">
        <f>MIN(Supply!M14,MAX(Supply!M15-Supply!M16,0))</f>
        <v>8.5805342129963194</v>
      </c>
      <c r="N17" s="46">
        <f>MIN(Supply!N14,MAX(Supply!N15-Supply!N16,0))</f>
        <v>9.195306504398939</v>
      </c>
      <c r="O17" s="46">
        <f>MIN(Supply!O14,MAX(Supply!O15-Supply!O16,0))</f>
        <v>9.8299718676271439</v>
      </c>
      <c r="P17" s="46">
        <f>MIN(Supply!P14,MAX(Supply!P15-Supply!P16,0))</f>
        <v>10.484644190941186</v>
      </c>
      <c r="Q17" s="46">
        <f>MIN(Supply!Q14,MAX(Supply!Q15-Supply!Q16,0))</f>
        <v>11.159431788126373</v>
      </c>
      <c r="R17" s="46">
        <f>MIN(Supply!R14,MAX(Supply!R15-Supply!R16,0))</f>
        <v>11.854437482568521</v>
      </c>
      <c r="S17" s="46">
        <f>MIN(Supply!S14,MAX(Supply!S15-Supply!S16,0))</f>
        <v>12.569758690414773</v>
      </c>
      <c r="T17" s="46">
        <f>MIN(Supply!T14,MAX(Supply!T15-Supply!T16,0))</f>
        <v>13.305487502828036</v>
      </c>
      <c r="U17" s="46">
        <f>MIN(Supply!U14,MAX(Supply!U15-Supply!U16,0))</f>
        <v>14.061710767343449</v>
      </c>
      <c r="V17" s="46">
        <f>MIN(Supply!V14,MAX(Supply!V15-Supply!V16,0))</f>
        <v>14.838510168335148</v>
      </c>
      <c r="W17" s="46">
        <f>MIN(Supply!W14,MAX(Supply!W15-Supply!W16,0))</f>
        <v>15.635962306601458</v>
      </c>
      <c r="X17" s="46">
        <f>MIN(Supply!X14,MAX(Supply!X15-Supply!X16,0))</f>
        <v>16.454138778076707</v>
      </c>
      <c r="Y17" s="46">
        <f>MIN(Supply!Y14,MAX(Supply!Y15-Supply!Y16,0))</f>
        <v>17.293106251677663</v>
      </c>
      <c r="Z17" s="46">
        <f>MIN(Supply!Z14,MAX(Supply!Z15-Supply!Z16,0))</f>
        <v>18.152926546292662</v>
      </c>
      <c r="AA17" s="46">
        <f>MIN(Supply!AA14,MAX(Supply!AA15-Supply!AA16,0))</f>
        <v>19.033656706921217</v>
      </c>
      <c r="AB17" s="46">
        <f>MIN(Supply!AB14,MAX(Supply!AB15-Supply!AB16,0))</f>
        <v>19.935349079972163</v>
      </c>
      <c r="AC17" s="46">
        <f>MIN(Supply!AC14,MAX(Supply!AC15-Supply!AC16,0))</f>
        <v>20.858051387727865</v>
      </c>
      <c r="AD17" s="46">
        <f>MIN(Supply!AD14,MAX(Supply!AD15-Supply!AD16,0))</f>
        <v>21.801806801982551</v>
      </c>
      <c r="AE17" s="46">
        <f>MIN(Supply!AE14,MAX(Supply!AE15-Supply!AE16,0))</f>
        <v>22.766654016862141</v>
      </c>
      <c r="AF17" s="46">
        <f>MIN(Supply!AF14,MAX(Supply!AF15-Supply!AF16,0))</f>
        <v>23.752627320833305</v>
      </c>
      <c r="AG17" s="46">
        <f>MIN(Supply!AG14,MAX(Supply!AG15-Supply!AG16,0))</f>
        <v>24.759756667909301</v>
      </c>
      <c r="AH17" s="46">
        <f>MIN(Supply!AH14,MAX(Supply!AH15-Supply!AH16,0))</f>
        <v>25.788067748059987</v>
      </c>
    </row>
    <row r="18" spans="1:34" ht="15" customHeight="1" x14ac:dyDescent="0.2">
      <c r="A18" t="s">
        <v>246</v>
      </c>
      <c r="B18" t="s">
        <v>95</v>
      </c>
      <c r="C18" t="s">
        <v>247</v>
      </c>
      <c r="D18" s="46">
        <f>MIN(Supply!D12*Inputs!B52,Supply!D8)</f>
        <v>784.22197749500003</v>
      </c>
      <c r="E18" s="46">
        <f>MIN(Supply!E12*Inputs!B52,Supply!E8)</f>
        <v>794.86617439858742</v>
      </c>
      <c r="F18" s="46">
        <f>MIN(Supply!F12*Inputs!B52,Supply!F8)</f>
        <v>805.38432378370169</v>
      </c>
      <c r="G18" s="46">
        <f>MIN(Supply!G12*Inputs!B52,Supply!G8)</f>
        <v>815.77742002060484</v>
      </c>
      <c r="H18" s="46">
        <f>MIN(Supply!H12*Inputs!B52,Supply!H8)</f>
        <v>826.0464506870444</v>
      </c>
      <c r="I18" s="46">
        <f>MIN(Supply!I12*Inputs!B52,Supply!I8)</f>
        <v>836.19239661131905</v>
      </c>
      <c r="J18" s="46">
        <f>MIN(Supply!J12*Inputs!B52,Supply!J8)</f>
        <v>846.21623191508377</v>
      </c>
      <c r="K18" s="46">
        <f>MIN(Supply!K12*Inputs!B52,Supply!K8)</f>
        <v>856.11892405589538</v>
      </c>
      <c r="L18" s="46">
        <f>MIN(Supply!L12*Inputs!B52,Supply!L8)</f>
        <v>865.90143386950137</v>
      </c>
      <c r="M18" s="46">
        <f>MIN(Supply!M12*Inputs!B52,Supply!M8)</f>
        <v>875.56471561186947</v>
      </c>
      <c r="N18" s="46">
        <f>MIN(Supply!N12*Inputs!B52,Supply!N8)</f>
        <v>885.10971700096752</v>
      </c>
      <c r="O18" s="46">
        <f>MIN(Supply!O12*Inputs!B52,Supply!O8)</f>
        <v>894.53737925828398</v>
      </c>
      <c r="P18" s="46">
        <f>MIN(Supply!P12*Inputs!B52,Supply!P8)</f>
        <v>903.84863715010238</v>
      </c>
      <c r="Q18" s="46">
        <f>MIN(Supply!Q12*Inputs!B52,Supply!Q8)</f>
        <v>913.04441902852136</v>
      </c>
      <c r="R18" s="46">
        <f>MIN(Supply!R12*Inputs!B52,Supply!R8)</f>
        <v>922.12564687222732</v>
      </c>
      <c r="S18" s="46">
        <f>MIN(Supply!S12*Inputs!B52,Supply!S8)</f>
        <v>931.09323632702035</v>
      </c>
      <c r="T18" s="46">
        <f>MIN(Supply!T12*Inputs!B52,Supply!T8)</f>
        <v>939.9480967460936</v>
      </c>
      <c r="U18" s="46">
        <f>MIN(Supply!U12*Inputs!B52,Supply!U8)</f>
        <v>948.69113123006798</v>
      </c>
      <c r="V18" s="46">
        <f>MIN(Supply!V12*Inputs!B52,Supply!V8)</f>
        <v>957.32323666678394</v>
      </c>
      <c r="W18" s="46">
        <f>MIN(Supply!W12*Inputs!B52,Supply!W8)</f>
        <v>965.84530377085218</v>
      </c>
      <c r="X18" s="46">
        <f>MIN(Supply!X12*Inputs!B52,Supply!X8)</f>
        <v>974.25821712296306</v>
      </c>
      <c r="Y18" s="46">
        <f>MIN(Supply!Y12*Inputs!B52,Supply!Y8)</f>
        <v>982.56285520895824</v>
      </c>
      <c r="Z18" s="46">
        <f>MIN(Supply!Z12*Inputs!B52,Supply!Z8)</f>
        <v>990.76009045866579</v>
      </c>
      <c r="AA18" s="46">
        <f>MIN(Supply!AA12*Inputs!B52,Supply!AA8)</f>
        <v>998.8507892844957</v>
      </c>
      <c r="AB18" s="46">
        <f>MIN(Supply!AB12*Inputs!B52,Supply!AB8)</f>
        <v>1006.8358121198061</v>
      </c>
      <c r="AC18" s="46">
        <f>MIN(Supply!AC12*Inputs!B52,Supply!AC8)</f>
        <v>1014.7160134570314</v>
      </c>
      <c r="AD18" s="46">
        <f>MIN(Supply!AD12*Inputs!B52,Supply!AD8)</f>
        <v>1022.4922418855811</v>
      </c>
      <c r="AE18" s="46">
        <f>MIN(Supply!AE12*Inputs!B52,Supply!AE8)</f>
        <v>1030.1653401295089</v>
      </c>
      <c r="AF18" s="46">
        <f>MIN(Supply!AF12*Inputs!B52,Supply!AF8)</f>
        <v>1037.7361450849505</v>
      </c>
      <c r="AG18" s="46">
        <f>MIN(Supply!AG12*Inputs!B52,Supply!AG8)</f>
        <v>1045.2054878573344</v>
      </c>
      <c r="AH18" s="46">
        <f>MIN(Supply!AH12*Inputs!B52,Supply!AH8)</f>
        <v>1052.5741937983671</v>
      </c>
    </row>
    <row r="19" spans="1:34" ht="15" customHeight="1" x14ac:dyDescent="0.2">
      <c r="A19" t="s">
        <v>248</v>
      </c>
      <c r="B19" t="s">
        <v>95</v>
      </c>
      <c r="C19" t="s">
        <v>249</v>
      </c>
      <c r="D19" s="46">
        <f>MIN(MAX(Supply!D12-D18,0)*Inputs!B53,MAX(Supply!D9,0))</f>
        <v>0</v>
      </c>
      <c r="E19" s="46">
        <f>MIN(MAX(Supply!E12-E18,0)*Inputs!B53,MAX(Supply!E9,0))</f>
        <v>0</v>
      </c>
      <c r="F19" s="46">
        <f>MIN(MAX(Supply!F12-F18,0)*Inputs!B53,MAX(Supply!F9,0))</f>
        <v>0</v>
      </c>
      <c r="G19" s="46">
        <f>MIN(MAX(Supply!G12-G18,0)*Inputs!B53,MAX(Supply!G9,0))</f>
        <v>0</v>
      </c>
      <c r="H19" s="46">
        <f>MIN(MAX(Supply!H12-H18,0)*Inputs!B53,MAX(Supply!H9,0))</f>
        <v>0</v>
      </c>
      <c r="I19" s="46">
        <f>MIN(MAX(Supply!I12-I18,0)*Inputs!B53,MAX(Supply!I9,0))</f>
        <v>0</v>
      </c>
      <c r="J19" s="46">
        <f>MIN(MAX(Supply!J12-J18,0)*Inputs!B53,MAX(Supply!J9,0))</f>
        <v>0</v>
      </c>
      <c r="K19" s="46">
        <f>MIN(MAX(Supply!K12-K18,0)*Inputs!B53,MAX(Supply!K9,0))</f>
        <v>0</v>
      </c>
      <c r="L19" s="46">
        <f>MIN(MAX(Supply!L12-L18,0)*Inputs!B53,MAX(Supply!L9,0))</f>
        <v>0</v>
      </c>
      <c r="M19" s="46">
        <f>MIN(MAX(Supply!M12-M18,0)*Inputs!B53,MAX(Supply!M9,0))</f>
        <v>0</v>
      </c>
      <c r="N19" s="46">
        <f>MIN(MAX(Supply!N12-N18,0)*Inputs!B53,MAX(Supply!N9,0))</f>
        <v>0</v>
      </c>
      <c r="O19" s="46">
        <f>MIN(MAX(Supply!O12-O18,0)*Inputs!B53,MAX(Supply!O9,0))</f>
        <v>0</v>
      </c>
      <c r="P19" s="46">
        <f>MIN(MAX(Supply!P12-P18,0)*Inputs!B53,MAX(Supply!P9,0))</f>
        <v>0</v>
      </c>
      <c r="Q19" s="46">
        <f>MIN(MAX(Supply!Q12-Q18,0)*Inputs!B53,MAX(Supply!Q9,0))</f>
        <v>0</v>
      </c>
      <c r="R19" s="46">
        <f>MIN(MAX(Supply!R12-R18,0)*Inputs!B53,MAX(Supply!R9,0))</f>
        <v>0</v>
      </c>
      <c r="S19" s="46">
        <f>MIN(MAX(Supply!S12-S18,0)*Inputs!B53,MAX(Supply!S9,0))</f>
        <v>0</v>
      </c>
      <c r="T19" s="46">
        <f>MIN(MAX(Supply!T12-T18,0)*Inputs!B53,MAX(Supply!T9,0))</f>
        <v>0</v>
      </c>
      <c r="U19" s="46">
        <f>MIN(MAX(Supply!U12-U18,0)*Inputs!B53,MAX(Supply!U9,0))</f>
        <v>0</v>
      </c>
      <c r="V19" s="46">
        <f>MIN(MAX(Supply!V12-V18,0)*Inputs!B53,MAX(Supply!V9,0))</f>
        <v>0</v>
      </c>
      <c r="W19" s="46">
        <f>MIN(MAX(Supply!W12-W18,0)*Inputs!B53,MAX(Supply!W9,0))</f>
        <v>0</v>
      </c>
      <c r="X19" s="46">
        <f>MIN(MAX(Supply!X12-X18,0)*Inputs!B53,MAX(Supply!X9,0))</f>
        <v>0</v>
      </c>
      <c r="Y19" s="46">
        <f>MIN(MAX(Supply!Y12-Y18,0)*Inputs!B53,MAX(Supply!Y9,0))</f>
        <v>0</v>
      </c>
      <c r="Z19" s="46">
        <f>MIN(MAX(Supply!Z12-Z18,0)*Inputs!B53,MAX(Supply!Z9,0))</f>
        <v>0</v>
      </c>
      <c r="AA19" s="46">
        <f>MIN(MAX(Supply!AA12-AA18,0)*Inputs!B53,MAX(Supply!AA9,0))</f>
        <v>0</v>
      </c>
      <c r="AB19" s="46">
        <f>MIN(MAX(Supply!AB12-AB18,0)*Inputs!B53,MAX(Supply!AB9,0))</f>
        <v>0</v>
      </c>
      <c r="AC19" s="46">
        <f>MIN(MAX(Supply!AC12-AC18,0)*Inputs!B53,MAX(Supply!AC9,0))</f>
        <v>0</v>
      </c>
      <c r="AD19" s="46">
        <f>MIN(MAX(Supply!AD12-AD18,0)*Inputs!B53,MAX(Supply!AD9,0))</f>
        <v>0</v>
      </c>
      <c r="AE19" s="46">
        <f>MIN(MAX(Supply!AE12-AE18,0)*Inputs!B53,MAX(Supply!AE9,0))</f>
        <v>0</v>
      </c>
      <c r="AF19" s="46">
        <f>MIN(MAX(Supply!AF12-AF18,0)*Inputs!B53,MAX(Supply!AF9,0))</f>
        <v>0</v>
      </c>
      <c r="AG19" s="46">
        <f>MIN(MAX(Supply!AG12-AG18,0)*Inputs!B53,MAX(Supply!AG9,0))</f>
        <v>0</v>
      </c>
      <c r="AH19" s="46">
        <f>MIN(MAX(Supply!AH12-AH18,0)*Inputs!B53,MAX(Supply!AH9,0))</f>
        <v>0</v>
      </c>
    </row>
    <row r="20" spans="1:34" ht="15" customHeight="1" x14ac:dyDescent="0.2">
      <c r="A20" t="s">
        <v>250</v>
      </c>
      <c r="B20" t="s">
        <v>95</v>
      </c>
      <c r="C20" t="s">
        <v>251</v>
      </c>
      <c r="D20" s="46">
        <f>MAX(Supply!D12-D18-D19,0)</f>
        <v>0</v>
      </c>
      <c r="E20" s="46">
        <f>MAX(Supply!E12-E18-E19,0)</f>
        <v>0</v>
      </c>
      <c r="F20" s="46">
        <f>MAX(Supply!F12-F18-F19,0)</f>
        <v>0</v>
      </c>
      <c r="G20" s="46">
        <f>MAX(Supply!G12-G18-G19,0)</f>
        <v>0</v>
      </c>
      <c r="H20" s="46">
        <f>MAX(Supply!H12-H18-H19,0)</f>
        <v>0</v>
      </c>
      <c r="I20" s="46">
        <f>MAX(Supply!I12-I18-I19,0)</f>
        <v>0</v>
      </c>
      <c r="J20" s="46">
        <f>MAX(Supply!J12-J18-J19,0)</f>
        <v>0</v>
      </c>
      <c r="K20" s="46">
        <f>MAX(Supply!K12-K18-K19,0)</f>
        <v>0</v>
      </c>
      <c r="L20" s="46">
        <f>MAX(Supply!L12-L18-L19,0)</f>
        <v>0</v>
      </c>
      <c r="M20" s="46">
        <f>MAX(Supply!M12-M18-M19,0)</f>
        <v>0</v>
      </c>
      <c r="N20" s="46">
        <f>MAX(Supply!N12-N18-N19,0)</f>
        <v>0</v>
      </c>
      <c r="O20" s="46">
        <f>MAX(Supply!O12-O18-O19,0)</f>
        <v>0</v>
      </c>
      <c r="P20" s="46">
        <f>MAX(Supply!P12-P18-P19,0)</f>
        <v>0</v>
      </c>
      <c r="Q20" s="46">
        <f>MAX(Supply!Q12-Q18-Q19,0)</f>
        <v>0</v>
      </c>
      <c r="R20" s="46">
        <f>MAX(Supply!R12-R18-R19,0)</f>
        <v>0</v>
      </c>
      <c r="S20" s="46">
        <f>MAX(Supply!S12-S18-S19,0)</f>
        <v>0</v>
      </c>
      <c r="T20" s="46">
        <f>MAX(Supply!T12-T18-T19,0)</f>
        <v>0</v>
      </c>
      <c r="U20" s="46">
        <f>MAX(Supply!U12-U18-U19,0)</f>
        <v>0</v>
      </c>
      <c r="V20" s="46">
        <f>MAX(Supply!V12-V18-V19,0)</f>
        <v>0</v>
      </c>
      <c r="W20" s="46">
        <f>MAX(Supply!W12-W18-W19,0)</f>
        <v>0</v>
      </c>
      <c r="X20" s="46">
        <f>MAX(Supply!X12-X18-X19,0)</f>
        <v>0</v>
      </c>
      <c r="Y20" s="46">
        <f>MAX(Supply!Y12-Y18-Y19,0)</f>
        <v>0</v>
      </c>
      <c r="Z20" s="46">
        <f>MAX(Supply!Z12-Z18-Z19,0)</f>
        <v>0</v>
      </c>
      <c r="AA20" s="46">
        <f>MAX(Supply!AA12-AA18-AA19,0)</f>
        <v>0</v>
      </c>
      <c r="AB20" s="46">
        <f>MAX(Supply!AB12-AB18-AB19,0)</f>
        <v>0</v>
      </c>
      <c r="AC20" s="46">
        <f>MAX(Supply!AC12-AC18-AC19,0)</f>
        <v>0</v>
      </c>
      <c r="AD20" s="46">
        <f>MAX(Supply!AD12-AD18-AD19,0)</f>
        <v>0</v>
      </c>
      <c r="AE20" s="46">
        <f>MAX(Supply!AE12-AE18-AE19,0)</f>
        <v>0</v>
      </c>
      <c r="AF20" s="46">
        <f>MAX(Supply!AF12-AF18-AF19,0)</f>
        <v>0</v>
      </c>
      <c r="AG20" s="46">
        <f>MAX(Supply!AG12-AG18-AG19,0)</f>
        <v>0</v>
      </c>
      <c r="AH20" s="46">
        <f>MAX(Supply!AH12-AH18-AH19,0)</f>
        <v>0</v>
      </c>
    </row>
    <row r="21" spans="1:34" ht="15" customHeight="1" x14ac:dyDescent="0.2">
      <c r="A21" t="s">
        <v>252</v>
      </c>
      <c r="B21" t="s">
        <v>95</v>
      </c>
      <c r="C21" t="s">
        <v>253</v>
      </c>
      <c r="D21" s="46">
        <f>MIN(Supply!D13*Inputs!B54,MAX(Supply!D8-D18,0))</f>
        <v>389.62701858989999</v>
      </c>
      <c r="E21" s="46">
        <f>MIN(Supply!E13*Inputs!B54,MAX(Supply!E8-E18,0))</f>
        <v>403.93296803511453</v>
      </c>
      <c r="F21" s="46">
        <f>MIN(Supply!F13*Inputs!B54,MAX(Supply!F8-F18,0))</f>
        <v>418.62357806823337</v>
      </c>
      <c r="G21" s="46">
        <f>MIN(Supply!G13*Inputs!B54,MAX(Supply!G8-G18,0))</f>
        <v>433.70798901525569</v>
      </c>
      <c r="H21" s="46">
        <f>MIN(Supply!H13*Inputs!B54,MAX(Supply!H8-H18,0))</f>
        <v>449.19554435252496</v>
      </c>
      <c r="I21" s="46">
        <f>MIN(Supply!I13*Inputs!B54,MAX(Supply!I8-I18,0))</f>
        <v>465.09579503632892</v>
      </c>
      <c r="J21" s="46">
        <f>MIN(Supply!J13*Inputs!B54,MAX(Supply!J8-J18,0))</f>
        <v>481.41850392215304</v>
      </c>
      <c r="K21" s="46">
        <f>MIN(Supply!K13*Inputs!B54,MAX(Supply!K8-K18,0))</f>
        <v>498.17365027540257</v>
      </c>
      <c r="L21" s="46">
        <f>MIN(Supply!L13*Inputs!B54,MAX(Supply!L8-L18,0))</f>
        <v>515.37143437544944</v>
      </c>
      <c r="M21" s="46">
        <f>MIN(Supply!M13*Inputs!B54,MAX(Supply!M8-M18,0))</f>
        <v>533.02228221489327</v>
      </c>
      <c r="N21" s="46">
        <f>MIN(Supply!N13*Inputs!B54,MAX(Supply!N8-N18,0))</f>
        <v>551.13685029596729</v>
      </c>
      <c r="O21" s="46">
        <f>MIN(Supply!O13*Inputs!B54,MAX(Supply!O8-O18,0))</f>
        <v>569.72603052605507</v>
      </c>
      <c r="P21" s="46">
        <f>MIN(Supply!P13*Inputs!B54,MAX(Supply!P8-P18,0))</f>
        <v>588.80095521432304</v>
      </c>
      <c r="Q21" s="46">
        <f>MIN(Supply!Q13*Inputs!B54,MAX(Supply!Q8-Q18,0))</f>
        <v>608.3730021715196</v>
      </c>
      <c r="R21" s="46">
        <f>MIN(Supply!R13*Inputs!B54,MAX(Supply!R8-R18,0))</f>
        <v>628.45379991502341</v>
      </c>
      <c r="S21" s="46">
        <f>MIN(Supply!S13*Inputs!B54,MAX(Supply!S8-S18,0))</f>
        <v>649.05523298127218</v>
      </c>
      <c r="T21" s="46">
        <f>MIN(Supply!T13*Inputs!B54,MAX(Supply!T8-T18,0))</f>
        <v>670.18944734774129</v>
      </c>
      <c r="U21" s="46">
        <f>MIN(Supply!U13*Inputs!B54,MAX(Supply!U8-U18,0))</f>
        <v>691.86885596669049</v>
      </c>
      <c r="V21" s="46">
        <f>MIN(Supply!V13*Inputs!B54,MAX(Supply!V8-V18,0))</f>
        <v>714.10614441293103</v>
      </c>
      <c r="W21" s="46">
        <f>MIN(Supply!W13*Inputs!B54,MAX(Supply!W8-W18,0))</f>
        <v>736.91427664792297</v>
      </c>
      <c r="X21" s="46">
        <f>MIN(Supply!X13*Inputs!B54,MAX(Supply!X8-X18,0))</f>
        <v>760.30650090254744</v>
      </c>
      <c r="Y21" s="46">
        <f>MIN(Supply!Y13*Inputs!B54,MAX(Supply!Y8-Y18,0))</f>
        <v>784.29635568095091</v>
      </c>
      <c r="Z21" s="46">
        <f>MIN(Supply!Z13*Inputs!B54,MAX(Supply!Z8-Z18,0))</f>
        <v>808.89767588790824</v>
      </c>
      <c r="AA21" s="46">
        <f>MIN(Supply!AA13*Inputs!B54,MAX(Supply!AA8-AA18,0))</f>
        <v>834.12459908219046</v>
      </c>
      <c r="AB21" s="46">
        <f>MIN(Supply!AB13*Inputs!B54,MAX(Supply!AB8-AB18,0))</f>
        <v>859.99157185848537</v>
      </c>
      <c r="AC21" s="46">
        <f>MIN(Supply!AC13*Inputs!B54,MAX(Supply!AC8-AC18,0))</f>
        <v>886.51335636045974</v>
      </c>
      <c r="AD21" s="46">
        <f>MIN(Supply!AD13*Inputs!B54,MAX(Supply!AD8-AD18,0))</f>
        <v>913.7050369276069</v>
      </c>
      <c r="AE21" s="46">
        <f>MIN(Supply!AE13*Inputs!B54,MAX(Supply!AE8-AE18,0))</f>
        <v>941.58202687857829</v>
      </c>
      <c r="AF21" s="46">
        <f>MIN(Supply!AF13*Inputs!B54,MAX(Supply!AF8-AF18,0))</f>
        <v>970.16007543374485</v>
      </c>
      <c r="AG21" s="46">
        <f>MIN(Supply!AG13*Inputs!B54,MAX(Supply!AG8-AG18,0))</f>
        <v>999.45527477979738</v>
      </c>
      <c r="AH21" s="46">
        <f>MIN(Supply!AH13*Inputs!B54,MAX(Supply!AH8-AH18,0))</f>
        <v>1029.4840672792445</v>
      </c>
    </row>
    <row r="22" spans="1:34" ht="15" customHeight="1" x14ac:dyDescent="0.2">
      <c r="A22" t="s">
        <v>254</v>
      </c>
      <c r="B22" t="s">
        <v>95</v>
      </c>
      <c r="C22" t="s">
        <v>255</v>
      </c>
      <c r="D22" s="46">
        <f>MIN(MAX(Supply!D13-D21,0)*Inputs!B55,MAX(Supply!D9-D19,0))</f>
        <v>0</v>
      </c>
      <c r="E22" s="46">
        <f>MIN(MAX(Supply!E13-E21,0)*Inputs!B55,MAX(Supply!E9-E19,0))</f>
        <v>0</v>
      </c>
      <c r="F22" s="46">
        <f>MIN(MAX(Supply!F13-F21,0)*Inputs!B55,MAX(Supply!F9-F19,0))</f>
        <v>0</v>
      </c>
      <c r="G22" s="46">
        <f>MIN(MAX(Supply!G13-G21,0)*Inputs!B55,MAX(Supply!G9-G19,0))</f>
        <v>0</v>
      </c>
      <c r="H22" s="46">
        <f>MIN(MAX(Supply!H13-H21,0)*Inputs!B55,MAX(Supply!H9-H19,0))</f>
        <v>0</v>
      </c>
      <c r="I22" s="46">
        <f>MIN(MAX(Supply!I13-I21,0)*Inputs!B55,MAX(Supply!I9-I19,0))</f>
        <v>0</v>
      </c>
      <c r="J22" s="46">
        <f>MIN(MAX(Supply!J13-J21,0)*Inputs!B55,MAX(Supply!J9-J19,0))</f>
        <v>0</v>
      </c>
      <c r="K22" s="46">
        <f>MIN(MAX(Supply!K13-K21,0)*Inputs!B55,MAX(Supply!K9-K19,0))</f>
        <v>0</v>
      </c>
      <c r="L22" s="46">
        <f>MIN(MAX(Supply!L13-L21,0)*Inputs!B55,MAX(Supply!L9-L19,0))</f>
        <v>0</v>
      </c>
      <c r="M22" s="46">
        <f>MIN(MAX(Supply!M13-M21,0)*Inputs!B55,MAX(Supply!M9-M19,0))</f>
        <v>0</v>
      </c>
      <c r="N22" s="46">
        <f>MIN(MAX(Supply!N13-N21,0)*Inputs!B55,MAX(Supply!N9-N19,0))</f>
        <v>0</v>
      </c>
      <c r="O22" s="46">
        <f>MIN(MAX(Supply!O13-O21,0)*Inputs!B55,MAX(Supply!O9-O19,0))</f>
        <v>0</v>
      </c>
      <c r="P22" s="46">
        <f>MIN(MAX(Supply!P13-P21,0)*Inputs!B55,MAX(Supply!P9-P19,0))</f>
        <v>0</v>
      </c>
      <c r="Q22" s="46">
        <f>MIN(MAX(Supply!Q13-Q21,0)*Inputs!B55,MAX(Supply!Q9-Q19,0))</f>
        <v>0</v>
      </c>
      <c r="R22" s="46">
        <f>MIN(MAX(Supply!R13-R21,0)*Inputs!B55,MAX(Supply!R9-R19,0))</f>
        <v>0</v>
      </c>
      <c r="S22" s="46">
        <f>MIN(MAX(Supply!S13-S21,0)*Inputs!B55,MAX(Supply!S9-S19,0))</f>
        <v>0</v>
      </c>
      <c r="T22" s="46">
        <f>MIN(MAX(Supply!T13-T21,0)*Inputs!B55,MAX(Supply!T9-T19,0))</f>
        <v>0</v>
      </c>
      <c r="U22" s="46">
        <f>MIN(MAX(Supply!U13-U21,0)*Inputs!B55,MAX(Supply!U9-U19,0))</f>
        <v>0</v>
      </c>
      <c r="V22" s="46">
        <f>MIN(MAX(Supply!V13-V21,0)*Inputs!B55,MAX(Supply!V9-V19,0))</f>
        <v>0</v>
      </c>
      <c r="W22" s="46">
        <f>MIN(MAX(Supply!W13-W21,0)*Inputs!B55,MAX(Supply!W9-W19,0))</f>
        <v>0</v>
      </c>
      <c r="X22" s="46">
        <f>MIN(MAX(Supply!X13-X21,0)*Inputs!B55,MAX(Supply!X9-X19,0))</f>
        <v>0</v>
      </c>
      <c r="Y22" s="46">
        <f>MIN(MAX(Supply!Y13-Y21,0)*Inputs!B55,MAX(Supply!Y9-Y19,0))</f>
        <v>0</v>
      </c>
      <c r="Z22" s="46">
        <f>MIN(MAX(Supply!Z13-Z21,0)*Inputs!B55,MAX(Supply!Z9-Z19,0))</f>
        <v>0</v>
      </c>
      <c r="AA22" s="46">
        <f>MIN(MAX(Supply!AA13-AA21,0)*Inputs!B55,MAX(Supply!AA9-AA19,0))</f>
        <v>0</v>
      </c>
      <c r="AB22" s="46">
        <f>MIN(MAX(Supply!AB13-AB21,0)*Inputs!B55,MAX(Supply!AB9-AB19,0))</f>
        <v>0</v>
      </c>
      <c r="AC22" s="46">
        <f>MIN(MAX(Supply!AC13-AC21,0)*Inputs!B55,MAX(Supply!AC9-AC19,0))</f>
        <v>0</v>
      </c>
      <c r="AD22" s="46">
        <f>MIN(MAX(Supply!AD13-AD21,0)*Inputs!B55,MAX(Supply!AD9-AD19,0))</f>
        <v>0</v>
      </c>
      <c r="AE22" s="46">
        <f>MIN(MAX(Supply!AE13-AE21,0)*Inputs!B55,MAX(Supply!AE9-AE19,0))</f>
        <v>0</v>
      </c>
      <c r="AF22" s="46">
        <f>MIN(MAX(Supply!AF13-AF21,0)*Inputs!B55,MAX(Supply!AF9-AF19,0))</f>
        <v>0</v>
      </c>
      <c r="AG22" s="46">
        <f>MIN(MAX(Supply!AG13-AG21,0)*Inputs!B55,MAX(Supply!AG9-AG19,0))</f>
        <v>0</v>
      </c>
      <c r="AH22" s="46">
        <f>MIN(MAX(Supply!AH13-AH21,0)*Inputs!B55,MAX(Supply!AH9-AH19,0))</f>
        <v>0</v>
      </c>
    </row>
    <row r="23" spans="1:34" ht="15" customHeight="1" x14ac:dyDescent="0.2">
      <c r="A23" t="s">
        <v>256</v>
      </c>
      <c r="B23" t="s">
        <v>95</v>
      </c>
      <c r="C23" t="s">
        <v>257</v>
      </c>
      <c r="D23" s="46">
        <f>MAX(Supply!D13-D21-D22,0)</f>
        <v>0</v>
      </c>
      <c r="E23" s="46">
        <f>MAX(Supply!E13-E21-E22,0)</f>
        <v>0</v>
      </c>
      <c r="F23" s="46">
        <f>MAX(Supply!F13-F21-F22,0)</f>
        <v>0</v>
      </c>
      <c r="G23" s="46">
        <f>MAX(Supply!G13-G21-G22,0)</f>
        <v>0</v>
      </c>
      <c r="H23" s="46">
        <f>MAX(Supply!H13-H21-H22,0)</f>
        <v>0</v>
      </c>
      <c r="I23" s="46">
        <f>MAX(Supply!I13-I21-I22,0)</f>
        <v>0</v>
      </c>
      <c r="J23" s="46">
        <f>MAX(Supply!J13-J21-J22,0)</f>
        <v>0</v>
      </c>
      <c r="K23" s="46">
        <f>MAX(Supply!K13-K21-K22,0)</f>
        <v>0</v>
      </c>
      <c r="L23" s="46">
        <f>MAX(Supply!L13-L21-L22,0)</f>
        <v>0</v>
      </c>
      <c r="M23" s="46">
        <f>MAX(Supply!M13-M21-M22,0)</f>
        <v>0</v>
      </c>
      <c r="N23" s="46">
        <f>MAX(Supply!N13-N21-N22,0)</f>
        <v>0</v>
      </c>
      <c r="O23" s="46">
        <f>MAX(Supply!O13-O21-O22,0)</f>
        <v>0</v>
      </c>
      <c r="P23" s="46">
        <f>MAX(Supply!P13-P21-P22,0)</f>
        <v>0</v>
      </c>
      <c r="Q23" s="46">
        <f>MAX(Supply!Q13-Q21-Q22,0)</f>
        <v>0</v>
      </c>
      <c r="R23" s="46">
        <f>MAX(Supply!R13-R21-R22,0)</f>
        <v>0</v>
      </c>
      <c r="S23" s="46">
        <f>MAX(Supply!S13-S21-S22,0)</f>
        <v>0</v>
      </c>
      <c r="T23" s="46">
        <f>MAX(Supply!T13-T21-T22,0)</f>
        <v>0</v>
      </c>
      <c r="U23" s="46">
        <f>MAX(Supply!U13-U21-U22,0)</f>
        <v>0</v>
      </c>
      <c r="V23" s="46">
        <f>MAX(Supply!V13-V21-V22,0)</f>
        <v>0</v>
      </c>
      <c r="W23" s="46">
        <f>MAX(Supply!W13-W21-W22,0)</f>
        <v>0</v>
      </c>
      <c r="X23" s="46">
        <f>MAX(Supply!X13-X21-X22,0)</f>
        <v>0</v>
      </c>
      <c r="Y23" s="46">
        <f>MAX(Supply!Y13-Y21-Y22,0)</f>
        <v>0</v>
      </c>
      <c r="Z23" s="46">
        <f>MAX(Supply!Z13-Z21-Z22,0)</f>
        <v>0</v>
      </c>
      <c r="AA23" s="46">
        <f>MAX(Supply!AA13-AA21-AA22,0)</f>
        <v>0</v>
      </c>
      <c r="AB23" s="46">
        <f>MAX(Supply!AB13-AB21-AB22,0)</f>
        <v>0</v>
      </c>
      <c r="AC23" s="46">
        <f>MAX(Supply!AC13-AC21-AC22,0)</f>
        <v>0</v>
      </c>
      <c r="AD23" s="46">
        <f>MAX(Supply!AD13-AD21-AD22,0)</f>
        <v>0</v>
      </c>
      <c r="AE23" s="46">
        <f>MAX(Supply!AE13-AE21-AE22,0)</f>
        <v>0</v>
      </c>
      <c r="AF23" s="46">
        <f>MAX(Supply!AF13-AF21-AF22,0)</f>
        <v>0</v>
      </c>
      <c r="AG23" s="46">
        <f>MAX(Supply!AG13-AG21-AG22,0)</f>
        <v>0</v>
      </c>
      <c r="AH23" s="46">
        <f>MAX(Supply!AH13-AH21-AH22,0)</f>
        <v>0</v>
      </c>
    </row>
    <row r="24" spans="1:34" ht="15" customHeight="1" x14ac:dyDescent="0.2">
      <c r="A24" t="s">
        <v>258</v>
      </c>
      <c r="B24" t="s">
        <v>95</v>
      </c>
      <c r="C24" t="s">
        <v>259</v>
      </c>
      <c r="D24" s="47">
        <f>MIN(MAX(D14-D17-D7,0)*Inputs!$B$56,MAX(D8-D18-D21,0))</f>
        <v>4826.1510039150999</v>
      </c>
      <c r="E24" s="46">
        <f>MIN(MAX(E14-E17-E7,0)*Inputs!$B$56,MAX(E8-E18-E21,0))</f>
        <v>4711.2008575662976</v>
      </c>
      <c r="F24" s="46">
        <f>MIN(MAX(F14-F17-F7,0)*Inputs!$B$56,MAX(F8-F18-F21,0))</f>
        <v>4597.3420981480649</v>
      </c>
      <c r="G24" s="46">
        <f>MIN(MAX(G14-G17-G7,0)*Inputs!$B$56,MAX(G8-G18-G21,0))</f>
        <v>4484.5443409641393</v>
      </c>
      <c r="H24" s="46">
        <f>MIN(MAX(H14-H17-H7,0)*Inputs!$B$56,MAX(H8-H18-H21,0))</f>
        <v>4372.7773087104315</v>
      </c>
      <c r="I24" s="46">
        <f>MIN(MAX(I14-I17-I7,0)*Inputs!$B$56,MAX(I8-I18-I21,0))</f>
        <v>4262.0108225461017</v>
      </c>
      <c r="J24" s="46">
        <f>MIN(MAX(J14-J17-J7,0)*Inputs!$B$56,MAX(J8-J18-J21,0))</f>
        <v>4152.2147931436075</v>
      </c>
      <c r="K24" s="46">
        <f>MIN(MAX(K14-K17-K7,0)*Inputs!$B$56,MAX(K8-K18-K21,0))</f>
        <v>4043.3592117148332</v>
      </c>
      <c r="L24" s="46">
        <f>MIN(MAX(L14-L17-L7,0)*Inputs!$B$56,MAX(L8-L18-L21,0))</f>
        <v>3935.414141010488</v>
      </c>
      <c r="M24" s="46">
        <f>MIN(MAX(M14-M17-M7,0)*Inputs!$B$56,MAX(M8-M18-M21,0))</f>
        <v>3828.349706289845</v>
      </c>
      <c r="N24" s="46">
        <f>MIN(MAX(N14-N17-N7,0)*Inputs!$B$56,MAX(N8-N18-N21,0))</f>
        <v>3722.1360862579236</v>
      </c>
      <c r="O24" s="46">
        <f>MIN(MAX(O14-O17-O7,0)*Inputs!$B$56,MAX(O8-O18-O21,0))</f>
        <v>3616.7435039671964</v>
      </c>
      <c r="P24" s="46">
        <f>MIN(MAX(P14-P17-P7,0)*Inputs!$B$56,MAX(P8-P18-P21,0))</f>
        <v>3512.1422176808373</v>
      </c>
      <c r="Q24" s="46">
        <f>MIN(MAX(Q14-Q17-Q7,0)*Inputs!$B$56,MAX(Q8-Q18-Q21,0))</f>
        <v>3408.3025116945423</v>
      </c>
      <c r="R24" s="46">
        <f>MIN(MAX(R14-R17-R7,0)*Inputs!$B$56,MAX(R8-R18-R21,0))</f>
        <v>3305.1946871139148</v>
      </c>
      <c r="S24" s="46">
        <f>MIN(MAX(S14-S17-S7,0)*Inputs!$B$56,MAX(S8-S18-S21,0))</f>
        <v>3202.7890525843545</v>
      </c>
      <c r="T24" s="46">
        <f>MIN(MAX(T14-T17-T7,0)*Inputs!$B$56,MAX(T8-T18-T21,0))</f>
        <v>3101.0559149704227</v>
      </c>
      <c r="U24" s="46">
        <f>MIN(MAX(U14-U17-U7,0)*Inputs!$B$56,MAX(U8-U18-U21,0))</f>
        <v>2999.9655699815348</v>
      </c>
      <c r="V24" s="46">
        <f>MIN(MAX(V14-V17-V7,0)*Inputs!$B$56,MAX(V8-V18-V21,0))</f>
        <v>2899.4882927409039</v>
      </c>
      <c r="W24" s="46">
        <f>MIN(MAX(W14-W17-W7,0)*Inputs!$B$56,MAX(W8-W18-W21,0))</f>
        <v>2799.594328294535</v>
      </c>
      <c r="X24" s="46">
        <f>MIN(MAX(X14-X17-X7,0)*Inputs!$B$56,MAX(X8-X18-X21,0))</f>
        <v>2700.2538820570999</v>
      </c>
      <c r="Y24" s="46">
        <f>MIN(MAX(Y14-Y17-Y7,0)*Inputs!$B$56,MAX(Y8-Y18-Y21,0))</f>
        <v>2601.4371101914621</v>
      </c>
      <c r="Z24" s="46">
        <f>MIN(MAX(Z14-Z17-Z7,0)*Inputs!$B$56,MAX(Z8-Z18-Z21,0))</f>
        <v>2503.114109918577</v>
      </c>
      <c r="AA24" s="46">
        <f>MIN(MAX(AA14-AA17-AA7,0)*Inputs!$B$56,MAX(AA8-AA18-AA21,0))</f>
        <v>2405.2549097544875</v>
      </c>
      <c r="AB24" s="46">
        <f>MIN(MAX(AB14-AB17-AB7,0)*Inputs!$B$56,MAX(AB8-AB18-AB21,0))</f>
        <v>2307.8294596710648</v>
      </c>
      <c r="AC24" s="46">
        <f>MIN(MAX(AC14-AC17-AC7,0)*Inputs!$B$56,MAX(AC8-AC18-AC21,0))</f>
        <v>2210.8076211771249</v>
      </c>
      <c r="AD24" s="46">
        <f>MIN(MAX(AD14-AD17-AD7,0)*Inputs!$B$56,MAX(AD8-AD18-AD21,0))</f>
        <v>2114.1591573165088</v>
      </c>
      <c r="AE24" s="46">
        <f>MIN(MAX(AE14-AE17-AE7,0)*Inputs!$B$56,MAX(AE8-AE18-AE21,0))</f>
        <v>2017.8537225796636</v>
      </c>
      <c r="AF24" s="46">
        <f>MIN(MAX(AF14-AF17-AF7,0)*Inputs!$B$56,MAX(AF8-AF18-AF21,0))</f>
        <v>1921.8608527252393</v>
      </c>
      <c r="AG24" s="46">
        <f>MIN(MAX(AG14-AG17-AG7,0)*Inputs!$B$56,MAX(AG8-AG18-AG21,0))</f>
        <v>1826.1499545081433</v>
      </c>
      <c r="AH24" s="46">
        <f>MIN(MAX(AH14-AH17-AH7,0)*Inputs!$B$56,MAX(AH8-AH18-AH21,0))</f>
        <v>1730.6902953104852</v>
      </c>
    </row>
    <row r="25" spans="1:34" ht="15" customHeight="1" x14ac:dyDescent="0.2">
      <c r="A25" t="s">
        <v>260</v>
      </c>
      <c r="B25" t="s">
        <v>95</v>
      </c>
      <c r="C25" t="s">
        <v>261</v>
      </c>
      <c r="D25" s="47">
        <f>MIN(MAX(MAX(D14-D17-D7,0)-D24,0)*Inputs!$B$57,MAX(D9-D19-D22,0))</f>
        <v>912</v>
      </c>
      <c r="E25" s="46">
        <f>MIN(MAX(MAX(E14-E17-E7,0)-E24,0)*Inputs!$B$57,MAX(E9-E19-E22,0))</f>
        <v>893.76</v>
      </c>
      <c r="F25" s="46">
        <f>MIN(MAX(MAX(F14-F17-F7,0)-F24,0)*Inputs!$B$57,MAX(F9-F19-F22,0))</f>
        <v>875.88479999999993</v>
      </c>
      <c r="G25" s="46">
        <f>MIN(MAX(MAX(G14-G17-G7,0)-G24,0)*Inputs!$B$57,MAX(G9-G19-G22,0))</f>
        <v>858.36710399999993</v>
      </c>
      <c r="H25" s="46">
        <f>MIN(MAX(MAX(H14-H17-H7,0)-H24,0)*Inputs!$B$57,MAX(H9-H19-H22,0))</f>
        <v>841.1997619199999</v>
      </c>
      <c r="I25" s="46">
        <f>MIN(MAX(MAX(I14-I17-I7,0)-I24,0)*Inputs!$B$57,MAX(I9-I19-I22,0))</f>
        <v>824.37576668159988</v>
      </c>
      <c r="J25" s="46">
        <f>MIN(MAX(MAX(J14-J17-J7,0)-J24,0)*Inputs!$B$57,MAX(J9-J19-J22,0))</f>
        <v>807.88825134796787</v>
      </c>
      <c r="K25" s="46">
        <f>MIN(MAX(MAX(K14-K17-K7,0)-K24,0)*Inputs!$B$57,MAX(K9-K19-K22,0))</f>
        <v>791.73048632100847</v>
      </c>
      <c r="L25" s="46">
        <f>MIN(MAX(MAX(L14-L17-L7,0)-L24,0)*Inputs!$B$57,MAX(L9-L19-L22,0))</f>
        <v>775.89587659458823</v>
      </c>
      <c r="M25" s="46">
        <f>MIN(MAX(MAX(M14-M17-M7,0)-M24,0)*Inputs!$B$57,MAX(M9-M19-M22,0))</f>
        <v>760.3779590626965</v>
      </c>
      <c r="N25" s="46">
        <f>MIN(MAX(MAX(N14-N17-N7,0)-N24,0)*Inputs!$B$57,MAX(N9-N19-N22,0))</f>
        <v>745.17039988144245</v>
      </c>
      <c r="O25" s="46">
        <f>MIN(MAX(MAX(O14-O17-O7,0)-O24,0)*Inputs!$B$57,MAX(O9-O19-O22,0))</f>
        <v>730.2669918838136</v>
      </c>
      <c r="P25" s="46">
        <f>MIN(MAX(MAX(P14-P17-P7,0)-P24,0)*Inputs!$B$57,MAX(P9-P19-P22,0))</f>
        <v>715.66165204613731</v>
      </c>
      <c r="Q25" s="46">
        <f>MIN(MAX(MAX(Q14-Q17-Q7,0)-Q24,0)*Inputs!$B$57,MAX(Q9-Q19-Q22,0))</f>
        <v>701.34841900521451</v>
      </c>
      <c r="R25" s="46">
        <f>MIN(MAX(MAX(R14-R17-R7,0)-R24,0)*Inputs!$B$57,MAX(R9-R19-R22,0))</f>
        <v>687.32145062511029</v>
      </c>
      <c r="S25" s="46">
        <f>MIN(MAX(MAX(S14-S17-S7,0)-S24,0)*Inputs!$B$57,MAX(S9-S19-S22,0))</f>
        <v>673.575021612608</v>
      </c>
      <c r="T25" s="46">
        <f>MIN(MAX(MAX(T14-T17-T7,0)-T24,0)*Inputs!$B$57,MAX(T9-T19-T22,0))</f>
        <v>660.10352118035587</v>
      </c>
      <c r="U25" s="46">
        <f>MIN(MAX(MAX(U14-U17-U7,0)-U24,0)*Inputs!$B$57,MAX(U9-U19-U22,0))</f>
        <v>646.90145075674877</v>
      </c>
      <c r="V25" s="46">
        <f>MIN(MAX(MAX(V14-V17-V7,0)-V24,0)*Inputs!$B$57,MAX(V9-V19-V22,0))</f>
        <v>633.96342174161373</v>
      </c>
      <c r="W25" s="46">
        <f>MIN(MAX(MAX(W14-W17-W7,0)-W24,0)*Inputs!$B$57,MAX(W9-W19-W22,0))</f>
        <v>621.28415330678149</v>
      </c>
      <c r="X25" s="46">
        <f>MIN(MAX(MAX(X14-X17-X7,0)-X24,0)*Inputs!$B$57,MAX(X9-X19-X22,0))</f>
        <v>608.85847024064583</v>
      </c>
      <c r="Y25" s="46">
        <f>MIN(MAX(MAX(Y14-Y17-Y7,0)-Y24,0)*Inputs!$B$57,MAX(Y9-Y19-Y22,0))</f>
        <v>596.68130083583287</v>
      </c>
      <c r="Z25" s="46">
        <f>MIN(MAX(MAX(Z14-Z17-Z7,0)-Z24,0)*Inputs!$B$57,MAX(Z9-Z19-Z22,0))</f>
        <v>584.74767481911624</v>
      </c>
      <c r="AA25" s="46">
        <f>MIN(MAX(MAX(AA14-AA17-AA7,0)-AA24,0)*Inputs!$B$57,MAX(AA9-AA19-AA22,0))</f>
        <v>573.05272132273387</v>
      </c>
      <c r="AB25" s="46">
        <f>MIN(MAX(MAX(AB14-AB17-AB7,0)-AB24,0)*Inputs!$B$57,MAX(AB9-AB19-AB22,0))</f>
        <v>561.59166689627921</v>
      </c>
      <c r="AC25" s="46">
        <f>MIN(MAX(MAX(AC14-AC17-AC7,0)-AC24,0)*Inputs!$B$57,MAX(AC9-AC19-AC22,0))</f>
        <v>550.35983355835356</v>
      </c>
      <c r="AD25" s="46">
        <f>MIN(MAX(MAX(AD14-AD17-AD7,0)-AD24,0)*Inputs!$B$57,MAX(AD9-AD19-AD22,0))</f>
        <v>539.35263688718646</v>
      </c>
      <c r="AE25" s="46">
        <f>MIN(MAX(MAX(AE14-AE17-AE7,0)-AE24,0)*Inputs!$B$57,MAX(AE9-AE19-AE22,0))</f>
        <v>528.56558414944266</v>
      </c>
      <c r="AF25" s="46">
        <f>MIN(MAX(MAX(AF14-AF17-AF7,0)-AF24,0)*Inputs!$B$57,MAX(AF9-AF19-AF22,0))</f>
        <v>517.99427246645382</v>
      </c>
      <c r="AG25" s="46">
        <f>MIN(MAX(MAX(AG14-AG17-AG7,0)-AG24,0)*Inputs!$B$57,MAX(AG9-AG19-AG22,0))</f>
        <v>507.63438701712477</v>
      </c>
      <c r="AH25" s="46">
        <f>MIN(MAX(MAX(AH14-AH17-AH7,0)-AH24,0)*Inputs!$B$57,MAX(AH9-AH19-AH22,0))</f>
        <v>497.48169927678225</v>
      </c>
    </row>
    <row r="26" spans="1:34" ht="15" customHeight="1" x14ac:dyDescent="0.2">
      <c r="A26" t="s">
        <v>262</v>
      </c>
      <c r="B26" t="s">
        <v>95</v>
      </c>
      <c r="C26" t="s">
        <v>263</v>
      </c>
      <c r="D26" s="39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  <c r="AH26" s="46">
        <v>0</v>
      </c>
    </row>
    <row r="27" spans="1:34" ht="15" customHeight="1" x14ac:dyDescent="0.2">
      <c r="A27" t="s">
        <v>264</v>
      </c>
      <c r="B27" t="s">
        <v>95</v>
      </c>
      <c r="C27" t="s">
        <v>265</v>
      </c>
      <c r="D27" s="46">
        <f>MAX(Supply!D6-Supply!D16,0)</f>
        <v>0</v>
      </c>
      <c r="E27" s="46">
        <f>MAX(Supply!E6-Supply!E16,0)</f>
        <v>0</v>
      </c>
      <c r="F27" s="46">
        <f>MAX(Supply!F6-Supply!F16,0)</f>
        <v>0</v>
      </c>
      <c r="G27" s="46">
        <f>MAX(Supply!G6-Supply!G16,0)</f>
        <v>0</v>
      </c>
      <c r="H27" s="46">
        <f>MAX(Supply!H6-Supply!H16,0)</f>
        <v>0</v>
      </c>
      <c r="I27" s="46">
        <f>MAX(Supply!I6-Supply!I16,0)</f>
        <v>0</v>
      </c>
      <c r="J27" s="46">
        <f>MAX(Supply!J6-Supply!J16,0)</f>
        <v>0</v>
      </c>
      <c r="K27" s="46">
        <f>MAX(Supply!K6-Supply!K16,0)</f>
        <v>48.60496861177657</v>
      </c>
      <c r="L27" s="46">
        <f>MAX(Supply!L6-Supply!L16,0)</f>
        <v>103.05384488119371</v>
      </c>
      <c r="M27" s="46">
        <f>MAX(Supply!M6-Supply!M16,0)</f>
        <v>157.5081516897886</v>
      </c>
      <c r="N27" s="46">
        <f>MAX(Supply!N6-Supply!N16,0)</f>
        <v>211.96829502604788</v>
      </c>
      <c r="O27" s="46">
        <f>MAX(Supply!O6-Supply!O16,0)</f>
        <v>266.43467209851002</v>
      </c>
      <c r="P27" s="46">
        <f>MAX(Supply!P6-Supply!P16,0)</f>
        <v>320.90767144793915</v>
      </c>
      <c r="Q27" s="46">
        <f>MAX(Supply!Q6-Supply!Q16,0)</f>
        <v>375.38767305836552</v>
      </c>
      <c r="R27" s="46">
        <f>MAX(Supply!R6-Supply!R16,0)</f>
        <v>429.87504846700358</v>
      </c>
      <c r="S27" s="46">
        <f>MAX(Supply!S6-Supply!S16,0)</f>
        <v>484.37016087305682</v>
      </c>
      <c r="T27" s="46">
        <f>MAX(Supply!T6-Supply!T16,0)</f>
        <v>538.87336524541922</v>
      </c>
      <c r="U27" s="46">
        <f>MAX(Supply!U6-Supply!U16,0)</f>
        <v>538.63500842928352</v>
      </c>
      <c r="V27" s="46">
        <f>MAX(Supply!V6-Supply!V16,0)</f>
        <v>538.40542925166551</v>
      </c>
      <c r="W27" s="46">
        <f>MAX(Supply!W6-Supply!W16,0)</f>
        <v>538.18495862585451</v>
      </c>
      <c r="X27" s="46">
        <f>MAX(Supply!X6-Supply!X16,0)</f>
        <v>537.97391965479767</v>
      </c>
      <c r="Y27" s="46">
        <f>MAX(Supply!Y6-Supply!Y16,0)</f>
        <v>537.77262773343136</v>
      </c>
      <c r="Z27" s="46">
        <f>MAX(Supply!Z6-Supply!Z16,0)</f>
        <v>537.58139064996385</v>
      </c>
      <c r="AA27" s="46">
        <f>MAX(Supply!AA6-Supply!AA16,0)</f>
        <v>537.40050868612343</v>
      </c>
      <c r="AB27" s="46">
        <f>MAX(Supply!AB6-Supply!AB16,0)</f>
        <v>537.23027471637795</v>
      </c>
      <c r="AC27" s="46">
        <f>MAX(Supply!AC6-Supply!AC16,0)</f>
        <v>537.07097430613612</v>
      </c>
      <c r="AD27" s="46">
        <f>MAX(Supply!AD6-Supply!AD16,0)</f>
        <v>536.92288580893921</v>
      </c>
      <c r="AE27" s="46">
        <f>MAX(Supply!AE6-Supply!AE16,0)</f>
        <v>536.78628046265317</v>
      </c>
      <c r="AF27" s="46">
        <f>MAX(Supply!AF6-Supply!AF16,0)</f>
        <v>536.66142248466826</v>
      </c>
      <c r="AG27" s="46">
        <f>MAX(Supply!AG6-Supply!AG16,0)</f>
        <v>536.54856916611709</v>
      </c>
      <c r="AH27" s="46">
        <f>MAX(Supply!AH6-Supply!AH16,0)</f>
        <v>536.44797096511718</v>
      </c>
    </row>
    <row r="28" spans="1:34" ht="15" customHeight="1" x14ac:dyDescent="0.2">
      <c r="A28" t="s">
        <v>266</v>
      </c>
      <c r="B28" t="s">
        <v>95</v>
      </c>
      <c r="C28" t="s">
        <v>267</v>
      </c>
      <c r="D28" s="46">
        <f t="shared" ref="D28:AH28" si="2">D18+D19+D20+D21+D22+D23+D17+D24+D25+D26+D16+D27+D7+D39</f>
        <v>7039.5343826149001</v>
      </c>
      <c r="E28" s="46">
        <f t="shared" si="2"/>
        <v>7126.1735901522616</v>
      </c>
      <c r="F28" s="46">
        <f t="shared" si="2"/>
        <v>7211.7089819152998</v>
      </c>
      <c r="G28" s="46">
        <f t="shared" si="2"/>
        <v>7296.1685433618586</v>
      </c>
      <c r="H28" s="46">
        <f t="shared" si="2"/>
        <v>7379.5802578908751</v>
      </c>
      <c r="I28" s="46">
        <f t="shared" si="2"/>
        <v>7461.9721132472614</v>
      </c>
      <c r="J28" s="46">
        <f t="shared" si="2"/>
        <v>7543.3721079963598</v>
      </c>
      <c r="K28" s="46">
        <f t="shared" si="2"/>
        <v>7678.5582580699975</v>
      </c>
      <c r="L28" s="46">
        <f t="shared" si="2"/>
        <v>7812.8086033861346</v>
      </c>
      <c r="M28" s="46">
        <f t="shared" si="2"/>
        <v>7946.151214544233</v>
      </c>
      <c r="N28" s="46">
        <f t="shared" si="2"/>
        <v>8078.6141995984217</v>
      </c>
      <c r="O28" s="46">
        <f t="shared" si="2"/>
        <v>8210.2257109106285</v>
      </c>
      <c r="P28" s="46">
        <f t="shared" si="2"/>
        <v>8341.013952085852</v>
      </c>
      <c r="Q28" s="46">
        <f t="shared" si="2"/>
        <v>8471.0071849918095</v>
      </c>
      <c r="R28" s="46">
        <f t="shared" si="2"/>
        <v>8600.2337368652152</v>
      </c>
      <c r="S28" s="46">
        <f t="shared" si="2"/>
        <v>8728.7220075069927</v>
      </c>
      <c r="T28" s="46">
        <f t="shared" si="2"/>
        <v>8856.50047656877</v>
      </c>
      <c r="U28" s="46">
        <f t="shared" si="2"/>
        <v>8928.8477109330706</v>
      </c>
      <c r="V28" s="46">
        <f t="shared" si="2"/>
        <v>9000.5423721895368</v>
      </c>
      <c r="W28" s="46">
        <f t="shared" si="2"/>
        <v>9071.6132242098101</v>
      </c>
      <c r="X28" s="46">
        <f t="shared" si="2"/>
        <v>9142.0891408234347</v>
      </c>
      <c r="Y28" s="46">
        <f t="shared" si="2"/>
        <v>9211.9991135974069</v>
      </c>
      <c r="Z28" s="46">
        <f t="shared" si="2"/>
        <v>9281.372259722033</v>
      </c>
      <c r="AA28" s="46">
        <f t="shared" si="2"/>
        <v>9350.2378300056462</v>
      </c>
      <c r="AB28" s="46">
        <f t="shared" si="2"/>
        <v>9418.6252169809613</v>
      </c>
      <c r="AC28" s="46">
        <f t="shared" si="2"/>
        <v>9486.5639631257836</v>
      </c>
      <c r="AD28" s="46">
        <f t="shared" si="2"/>
        <v>9554.0837692009045</v>
      </c>
      <c r="AE28" s="46">
        <f t="shared" si="2"/>
        <v>9621.2145027079823</v>
      </c>
      <c r="AF28" s="46">
        <f t="shared" si="2"/>
        <v>9687.9862064703902</v>
      </c>
      <c r="AG28" s="46">
        <f t="shared" si="2"/>
        <v>9754.4291073399145</v>
      </c>
      <c r="AH28" s="46">
        <f t="shared" si="2"/>
        <v>9820.5736250323625</v>
      </c>
    </row>
    <row r="29" spans="1:34" ht="15" customHeight="1" x14ac:dyDescent="0.2">
      <c r="A29" s="48" t="s">
        <v>268</v>
      </c>
      <c r="B29" s="49" t="s">
        <v>95</v>
      </c>
      <c r="C29" s="50" t="s">
        <v>269</v>
      </c>
      <c r="D29" s="39">
        <f t="shared" ref="D29:AH29" si="3">D20+D23+D27</f>
        <v>0</v>
      </c>
      <c r="E29" s="39">
        <f t="shared" si="3"/>
        <v>0</v>
      </c>
      <c r="F29" s="39">
        <f t="shared" si="3"/>
        <v>0</v>
      </c>
      <c r="G29" s="39">
        <f t="shared" si="3"/>
        <v>0</v>
      </c>
      <c r="H29" s="39">
        <f t="shared" si="3"/>
        <v>0</v>
      </c>
      <c r="I29" s="39">
        <f t="shared" si="3"/>
        <v>0</v>
      </c>
      <c r="J29" s="39">
        <f t="shared" si="3"/>
        <v>0</v>
      </c>
      <c r="K29" s="39">
        <f t="shared" si="3"/>
        <v>48.60496861177657</v>
      </c>
      <c r="L29" s="39">
        <f t="shared" si="3"/>
        <v>103.05384488119371</v>
      </c>
      <c r="M29" s="39">
        <f t="shared" si="3"/>
        <v>157.5081516897886</v>
      </c>
      <c r="N29" s="39">
        <f t="shared" si="3"/>
        <v>211.96829502604788</v>
      </c>
      <c r="O29" s="39">
        <f t="shared" si="3"/>
        <v>266.43467209851002</v>
      </c>
      <c r="P29" s="39">
        <f t="shared" si="3"/>
        <v>320.90767144793915</v>
      </c>
      <c r="Q29" s="39">
        <f t="shared" si="3"/>
        <v>375.38767305836552</v>
      </c>
      <c r="R29" s="39">
        <f t="shared" si="3"/>
        <v>429.87504846700358</v>
      </c>
      <c r="S29" s="39">
        <f t="shared" si="3"/>
        <v>484.37016087305682</v>
      </c>
      <c r="T29" s="39">
        <f t="shared" si="3"/>
        <v>538.87336524541922</v>
      </c>
      <c r="U29" s="39">
        <f t="shared" si="3"/>
        <v>538.63500842928352</v>
      </c>
      <c r="V29" s="39">
        <f t="shared" si="3"/>
        <v>538.40542925166551</v>
      </c>
      <c r="W29" s="39">
        <f t="shared" si="3"/>
        <v>538.18495862585451</v>
      </c>
      <c r="X29" s="39">
        <f t="shared" si="3"/>
        <v>537.97391965479767</v>
      </c>
      <c r="Y29" s="39">
        <f t="shared" si="3"/>
        <v>537.77262773343136</v>
      </c>
      <c r="Z29" s="39">
        <f t="shared" si="3"/>
        <v>537.58139064996385</v>
      </c>
      <c r="AA29" s="39">
        <f t="shared" si="3"/>
        <v>537.40050868612343</v>
      </c>
      <c r="AB29" s="39">
        <f t="shared" si="3"/>
        <v>537.23027471637795</v>
      </c>
      <c r="AC29" s="39">
        <f t="shared" si="3"/>
        <v>537.07097430613612</v>
      </c>
      <c r="AD29" s="39">
        <f t="shared" si="3"/>
        <v>536.92288580893921</v>
      </c>
      <c r="AE29" s="39">
        <f t="shared" si="3"/>
        <v>536.78628046265317</v>
      </c>
      <c r="AF29" s="39">
        <f t="shared" si="3"/>
        <v>536.66142248466826</v>
      </c>
      <c r="AG29" s="39">
        <f t="shared" si="3"/>
        <v>536.54856916611709</v>
      </c>
      <c r="AH29" s="39">
        <f t="shared" si="3"/>
        <v>536.44797096511718</v>
      </c>
    </row>
    <row r="30" spans="1:34" ht="15" customHeight="1" x14ac:dyDescent="0.2">
      <c r="A30" s="32" t="s">
        <v>270</v>
      </c>
      <c r="B30" s="33" t="s">
        <v>95</v>
      </c>
      <c r="C30" s="34" t="s">
        <v>271</v>
      </c>
      <c r="D30" s="39">
        <f t="shared" ref="D30:AH30" si="4">D20+D23</f>
        <v>0</v>
      </c>
      <c r="E30" s="39">
        <f t="shared" si="4"/>
        <v>0</v>
      </c>
      <c r="F30" s="39">
        <f t="shared" si="4"/>
        <v>0</v>
      </c>
      <c r="G30" s="39">
        <f t="shared" si="4"/>
        <v>0</v>
      </c>
      <c r="H30" s="39">
        <f t="shared" si="4"/>
        <v>0</v>
      </c>
      <c r="I30" s="39">
        <f t="shared" si="4"/>
        <v>0</v>
      </c>
      <c r="J30" s="39">
        <f t="shared" si="4"/>
        <v>0</v>
      </c>
      <c r="K30" s="39">
        <f t="shared" si="4"/>
        <v>0</v>
      </c>
      <c r="L30" s="39">
        <f t="shared" si="4"/>
        <v>0</v>
      </c>
      <c r="M30" s="39">
        <f t="shared" si="4"/>
        <v>0</v>
      </c>
      <c r="N30" s="39">
        <f t="shared" si="4"/>
        <v>0</v>
      </c>
      <c r="O30" s="39">
        <f t="shared" si="4"/>
        <v>0</v>
      </c>
      <c r="P30" s="39">
        <f t="shared" si="4"/>
        <v>0</v>
      </c>
      <c r="Q30" s="39">
        <f t="shared" si="4"/>
        <v>0</v>
      </c>
      <c r="R30" s="39">
        <f t="shared" si="4"/>
        <v>0</v>
      </c>
      <c r="S30" s="39">
        <f t="shared" si="4"/>
        <v>0</v>
      </c>
      <c r="T30" s="39">
        <f t="shared" si="4"/>
        <v>0</v>
      </c>
      <c r="U30" s="39">
        <f t="shared" si="4"/>
        <v>0</v>
      </c>
      <c r="V30" s="39">
        <f t="shared" si="4"/>
        <v>0</v>
      </c>
      <c r="W30" s="39">
        <f t="shared" si="4"/>
        <v>0</v>
      </c>
      <c r="X30" s="39">
        <f t="shared" si="4"/>
        <v>0</v>
      </c>
      <c r="Y30" s="39">
        <f t="shared" si="4"/>
        <v>0</v>
      </c>
      <c r="Z30" s="39">
        <f t="shared" si="4"/>
        <v>0</v>
      </c>
      <c r="AA30" s="39">
        <f t="shared" si="4"/>
        <v>0</v>
      </c>
      <c r="AB30" s="39">
        <f t="shared" si="4"/>
        <v>0</v>
      </c>
      <c r="AC30" s="39">
        <f t="shared" si="4"/>
        <v>0</v>
      </c>
      <c r="AD30" s="39">
        <f t="shared" si="4"/>
        <v>0</v>
      </c>
      <c r="AE30" s="39">
        <f t="shared" si="4"/>
        <v>0</v>
      </c>
      <c r="AF30" s="39">
        <f t="shared" si="4"/>
        <v>0</v>
      </c>
      <c r="AG30" s="39">
        <f t="shared" si="4"/>
        <v>0</v>
      </c>
      <c r="AH30" s="39">
        <f t="shared" si="4"/>
        <v>0</v>
      </c>
    </row>
    <row r="31" spans="1:34" ht="15" customHeight="1" x14ac:dyDescent="0.2">
      <c r="A31" s="42" t="s">
        <v>272</v>
      </c>
      <c r="B31" s="33" t="s">
        <v>95</v>
      </c>
      <c r="C31" s="34" t="s">
        <v>273</v>
      </c>
      <c r="D31" s="51">
        <f>D29-D30</f>
        <v>0</v>
      </c>
      <c r="E31" s="51">
        <f>Supply!E29-Supply!E30</f>
        <v>0</v>
      </c>
      <c r="F31" s="51">
        <f>Supply!F29-Supply!F30</f>
        <v>0</v>
      </c>
      <c r="G31" s="51">
        <f>Supply!G29-Supply!G30</f>
        <v>0</v>
      </c>
      <c r="H31" s="51">
        <f>Supply!H29-Supply!H30</f>
        <v>0</v>
      </c>
      <c r="I31" s="51">
        <f>Supply!I29-Supply!I30</f>
        <v>0</v>
      </c>
      <c r="J31" s="51">
        <f>Supply!J29-Supply!J30</f>
        <v>0</v>
      </c>
      <c r="K31" s="51">
        <f>Supply!K29-Supply!K30</f>
        <v>48.60496861177657</v>
      </c>
      <c r="L31" s="51">
        <f>Supply!L29-Supply!L30</f>
        <v>103.05384488119371</v>
      </c>
      <c r="M31" s="51">
        <f>Supply!M29-Supply!M30</f>
        <v>157.5081516897886</v>
      </c>
      <c r="N31" s="51">
        <f>Supply!N29-Supply!N30</f>
        <v>211.96829502604788</v>
      </c>
      <c r="O31" s="51">
        <f>Supply!O29-Supply!O30</f>
        <v>266.43467209851002</v>
      </c>
      <c r="P31" s="51">
        <f>Supply!P29-Supply!P30</f>
        <v>320.90767144793915</v>
      </c>
      <c r="Q31" s="51">
        <f>Supply!Q29-Supply!Q30</f>
        <v>375.38767305836552</v>
      </c>
      <c r="R31" s="51">
        <f>Supply!R29-Supply!R30</f>
        <v>429.87504846700358</v>
      </c>
      <c r="S31" s="51">
        <f>Supply!S29-Supply!S30</f>
        <v>484.37016087305682</v>
      </c>
      <c r="T31" s="51">
        <f>Supply!T29-Supply!T30</f>
        <v>538.87336524541922</v>
      </c>
      <c r="U31" s="51">
        <f>Supply!U29-Supply!U30</f>
        <v>538.63500842928352</v>
      </c>
      <c r="V31" s="51">
        <f>Supply!V29-Supply!V30</f>
        <v>538.40542925166551</v>
      </c>
      <c r="W31" s="51">
        <f>Supply!W29-Supply!W30</f>
        <v>538.18495862585451</v>
      </c>
      <c r="X31" s="51">
        <f>Supply!X29-Supply!X30</f>
        <v>537.97391965479767</v>
      </c>
      <c r="Y31" s="51">
        <f>Supply!Y29-Supply!Y30</f>
        <v>537.77262773343136</v>
      </c>
      <c r="Z31" s="51">
        <f>Supply!Z29-Supply!Z30</f>
        <v>537.58139064996385</v>
      </c>
      <c r="AA31" s="51">
        <f>Supply!AA29-Supply!AA30</f>
        <v>537.40050868612343</v>
      </c>
      <c r="AB31" s="51">
        <f>Supply!AB29-Supply!AB30</f>
        <v>537.23027471637795</v>
      </c>
      <c r="AC31" s="51">
        <f>Supply!AC29-Supply!AC30</f>
        <v>537.07097430613612</v>
      </c>
      <c r="AD31" s="51">
        <f>Supply!AD29-Supply!AD30</f>
        <v>536.92288580893921</v>
      </c>
      <c r="AE31" s="51">
        <f>Supply!AE29-Supply!AE30</f>
        <v>536.78628046265317</v>
      </c>
      <c r="AF31" s="51">
        <f>Supply!AF29-Supply!AF30</f>
        <v>536.66142248466826</v>
      </c>
      <c r="AG31" s="51">
        <f>Supply!AG29-Supply!AG30</f>
        <v>536.54856916611709</v>
      </c>
      <c r="AH31" s="51">
        <f>Supply!AH29-Supply!AH30</f>
        <v>536.44797096511718</v>
      </c>
    </row>
    <row r="32" spans="1:34" ht="15" customHeight="1" x14ac:dyDescent="0.2">
      <c r="A32" s="32" t="s">
        <v>274</v>
      </c>
      <c r="B32" s="33" t="s">
        <v>275</v>
      </c>
      <c r="C32" s="34" t="s">
        <v>276</v>
      </c>
      <c r="D32" s="41">
        <f>D31*1000000/365</f>
        <v>0</v>
      </c>
      <c r="E32" s="41">
        <f>Supply!E31*1000000/365</f>
        <v>0</v>
      </c>
      <c r="F32" s="41">
        <f>Supply!F31*1000000/365</f>
        <v>0</v>
      </c>
      <c r="G32" s="41">
        <f>Supply!G31*1000000/365</f>
        <v>0</v>
      </c>
      <c r="H32" s="41">
        <f>Supply!H31*1000000/365</f>
        <v>0</v>
      </c>
      <c r="I32" s="41">
        <f>Supply!I31*1000000/365</f>
        <v>0</v>
      </c>
      <c r="J32" s="41">
        <f>Supply!J31*1000000/365</f>
        <v>0</v>
      </c>
      <c r="K32" s="41">
        <f>Supply!K31*1000000/365</f>
        <v>133164.29756651114</v>
      </c>
      <c r="L32" s="41">
        <f>Supply!L31*1000000/365</f>
        <v>282339.30104436632</v>
      </c>
      <c r="M32" s="41">
        <f>Supply!M31*1000000/365</f>
        <v>431529.18271174963</v>
      </c>
      <c r="N32" s="41">
        <f>Supply!N31*1000000/365</f>
        <v>580735.05486588459</v>
      </c>
      <c r="O32" s="41">
        <f>Supply!O31*1000000/365</f>
        <v>729958.0057493425</v>
      </c>
      <c r="P32" s="41">
        <f>Supply!P31*1000000/365</f>
        <v>879199.09985736758</v>
      </c>
      <c r="Q32" s="41">
        <f>Supply!Q31*1000000/365</f>
        <v>1028459.3782420973</v>
      </c>
      <c r="R32" s="41">
        <f>Supply!R31*1000000/365</f>
        <v>1177739.8588137084</v>
      </c>
      <c r="S32" s="41">
        <f>Supply!S31*1000000/365</f>
        <v>1327041.5366385118</v>
      </c>
      <c r="T32" s="41">
        <f>Supply!T31*1000000/365</f>
        <v>1476365.3842340254</v>
      </c>
      <c r="U32" s="41">
        <f>Supply!U31*1000000/365</f>
        <v>1475712.3518610506</v>
      </c>
      <c r="V32" s="41">
        <f>Supply!V31*1000000/365</f>
        <v>1475083.3678127821</v>
      </c>
      <c r="W32" s="41">
        <f>Supply!W31*1000000/365</f>
        <v>1474479.3387009711</v>
      </c>
      <c r="X32" s="41">
        <f>Supply!X31*1000000/365</f>
        <v>1473901.1497391716</v>
      </c>
      <c r="Y32" s="41">
        <f>Supply!Y31*1000000/365</f>
        <v>1473349.6650230996</v>
      </c>
      <c r="Z32" s="41">
        <f>Supply!Z31*1000000/365</f>
        <v>1472825.7278081202</v>
      </c>
      <c r="AA32" s="41">
        <f>Supply!AA31*1000000/365</f>
        <v>1472330.1607838997</v>
      </c>
      <c r="AB32" s="41">
        <f>Supply!AB31*1000000/365</f>
        <v>1471863.7663462411</v>
      </c>
      <c r="AC32" s="41">
        <f>Supply!AC31*1000000/365</f>
        <v>1471427.3268661264</v>
      </c>
      <c r="AD32" s="41">
        <f>Supply!AD31*1000000/365</f>
        <v>1471021.6049559978</v>
      </c>
      <c r="AE32" s="41">
        <f>Supply!AE31*1000000/365</f>
        <v>1470647.3437332963</v>
      </c>
      <c r="AF32" s="41">
        <f>Supply!AF31*1000000/365</f>
        <v>1470305.2670812828</v>
      </c>
      <c r="AG32" s="41">
        <f>Supply!AG31*1000000/365</f>
        <v>1469996.07990717</v>
      </c>
      <c r="AH32" s="41">
        <f>Supply!AH31*1000000/365</f>
        <v>1469720.4683975813</v>
      </c>
    </row>
    <row r="33" spans="1:34" ht="15" customHeight="1" x14ac:dyDescent="0.2">
      <c r="A33" t="s">
        <v>277</v>
      </c>
      <c r="B33" t="s">
        <v>95</v>
      </c>
      <c r="C33" t="s">
        <v>278</v>
      </c>
      <c r="D33" s="44">
        <f>Inputs!$B$32+(Inputs!$B$38-Inputs!$B$32)*(D$3-2020)/30</f>
        <v>20</v>
      </c>
      <c r="E33" s="44">
        <f>Inputs!$B$32+(Inputs!$B$38-Inputs!$B$32)*(E$3-2020)/30</f>
        <v>44.333333333333329</v>
      </c>
      <c r="F33" s="44">
        <f>Inputs!$B$32+(Inputs!$B$38-Inputs!$B$32)*(F$3-2020)/30</f>
        <v>68.666666666666657</v>
      </c>
      <c r="G33" s="44">
        <f>Inputs!$B$32+(Inputs!$B$38-Inputs!$B$32)*(G$3-2020)/30</f>
        <v>93</v>
      </c>
      <c r="H33" s="44">
        <f>Inputs!$B$32+(Inputs!$B$38-Inputs!$B$32)*(H$3-2020)/30</f>
        <v>117.33333333333333</v>
      </c>
      <c r="I33" s="44">
        <f>Inputs!$B$32+(Inputs!$B$38-Inputs!$B$32)*(I$3-2020)/30</f>
        <v>141.66666666666669</v>
      </c>
      <c r="J33" s="44">
        <f>Inputs!$B$32+(Inputs!$B$38-Inputs!$B$32)*(J$3-2020)/30</f>
        <v>166</v>
      </c>
      <c r="K33" s="44">
        <f>Inputs!$B$32+(Inputs!$B$38-Inputs!$B$32)*(K$3-2020)/30</f>
        <v>190.33333333333334</v>
      </c>
      <c r="L33" s="44">
        <f>Inputs!$B$32+(Inputs!$B$38-Inputs!$B$32)*(L$3-2020)/30</f>
        <v>214.66666666666666</v>
      </c>
      <c r="M33" s="44">
        <f>Inputs!$B$32+(Inputs!$B$38-Inputs!$B$32)*(M$3-2020)/30</f>
        <v>239</v>
      </c>
      <c r="N33" s="44">
        <f>Inputs!$B$32+(Inputs!$B$38-Inputs!$B$32)*(N$3-2020)/30</f>
        <v>263.33333333333337</v>
      </c>
      <c r="O33" s="44">
        <f>Inputs!$B$32+(Inputs!$B$38-Inputs!$B$32)*(O$3-2020)/30</f>
        <v>287.66666666666669</v>
      </c>
      <c r="P33" s="44">
        <f>Inputs!$B$32+(Inputs!$B$38-Inputs!$B$32)*(P$3-2020)/30</f>
        <v>312</v>
      </c>
      <c r="Q33" s="44">
        <f>Inputs!$B$32+(Inputs!$B$38-Inputs!$B$32)*(Q$3-2020)/30</f>
        <v>336.33333333333331</v>
      </c>
      <c r="R33" s="44">
        <f>Inputs!$B$32+(Inputs!$B$38-Inputs!$B$32)*(R$3-2020)/30</f>
        <v>360.66666666666669</v>
      </c>
      <c r="S33" s="44">
        <f>Inputs!$B$32+(Inputs!$B$38-Inputs!$B$32)*(S$3-2020)/30</f>
        <v>385</v>
      </c>
      <c r="T33" s="44">
        <f>Inputs!$B$32+(Inputs!$B$38-Inputs!$B$32)*(T$3-2020)/30</f>
        <v>409.33333333333331</v>
      </c>
      <c r="U33" s="44">
        <f>Inputs!$B$32+(Inputs!$B$38-Inputs!$B$32)*(U$3-2020)/30</f>
        <v>433.66666666666669</v>
      </c>
      <c r="V33" s="44">
        <f>Inputs!$B$32+(Inputs!$B$38-Inputs!$B$32)*(V$3-2020)/30</f>
        <v>458</v>
      </c>
      <c r="W33" s="44">
        <f>Inputs!$B$32+(Inputs!$B$38-Inputs!$B$32)*(W$3-2020)/30</f>
        <v>482.33333333333331</v>
      </c>
      <c r="X33" s="44">
        <f>Inputs!$B$32+(Inputs!$B$38-Inputs!$B$32)*(X$3-2020)/30</f>
        <v>506.66666666666669</v>
      </c>
      <c r="Y33" s="44">
        <f>Inputs!$B$32+(Inputs!$B$38-Inputs!$B$32)*(Y$3-2020)/30</f>
        <v>531</v>
      </c>
      <c r="Z33" s="44">
        <f>Inputs!$B$32+(Inputs!$B$38-Inputs!$B$32)*(Z$3-2020)/30</f>
        <v>555.33333333333337</v>
      </c>
      <c r="AA33" s="44">
        <f>Inputs!$B$32+(Inputs!$B$38-Inputs!$B$32)*(AA$3-2020)/30</f>
        <v>579.66666666666663</v>
      </c>
      <c r="AB33" s="44">
        <f>Inputs!$B$32+(Inputs!$B$38-Inputs!$B$32)*(AB$3-2020)/30</f>
        <v>604</v>
      </c>
      <c r="AC33" s="44">
        <f>Inputs!$B$32+(Inputs!$B$38-Inputs!$B$32)*(AC$3-2020)/30</f>
        <v>628.33333333333337</v>
      </c>
      <c r="AD33" s="44">
        <f>Inputs!$B$32+(Inputs!$B$38-Inputs!$B$32)*(AD$3-2020)/30</f>
        <v>652.66666666666663</v>
      </c>
      <c r="AE33" s="44">
        <f>Inputs!$B$32+(Inputs!$B$38-Inputs!$B$32)*(AE$3-2020)/30</f>
        <v>677</v>
      </c>
      <c r="AF33" s="44">
        <f>Inputs!$B$32+(Inputs!$B$38-Inputs!$B$32)*(AF$3-2020)/30</f>
        <v>701.33333333333337</v>
      </c>
      <c r="AG33" s="44">
        <f>Inputs!$B$32+(Inputs!$B$38-Inputs!$B$32)*(AG$3-2020)/30</f>
        <v>725.66666666666663</v>
      </c>
      <c r="AH33" s="44">
        <f>Inputs!$B$32+(Inputs!$B$38-Inputs!$B$32)*(AH$3-2020)/30</f>
        <v>750</v>
      </c>
    </row>
    <row r="34" spans="1:34" ht="15" customHeight="1" x14ac:dyDescent="0.2">
      <c r="A34" t="s">
        <v>279</v>
      </c>
      <c r="B34" t="s">
        <v>95</v>
      </c>
      <c r="C34" t="s">
        <v>280</v>
      </c>
      <c r="D34" s="46">
        <f>Supply!D16+Supply!D17</f>
        <v>7.8422197749500002</v>
      </c>
      <c r="E34" s="46">
        <f>Supply!E16+Supply!E17</f>
        <v>8.6110502226513645</v>
      </c>
      <c r="F34" s="46">
        <f>Supply!F16+Supply!F17</f>
        <v>9.3961504441431867</v>
      </c>
      <c r="G34" s="46">
        <f>Supply!G16+Supply!G17</f>
        <v>10.197217750257561</v>
      </c>
      <c r="H34" s="46">
        <f>Supply!H16+Supply!H17</f>
        <v>11.013952675827259</v>
      </c>
      <c r="I34" s="46">
        <f>Supply!I16+Supply!I17</f>
        <v>11.846058951993687</v>
      </c>
      <c r="J34" s="46">
        <f>Supply!J16+Supply!J17</f>
        <v>12.693243478726256</v>
      </c>
      <c r="K34" s="46">
        <f>Supply!K16+Supply!K17</f>
        <v>13.555216297551675</v>
      </c>
      <c r="L34" s="46">
        <f>Supply!L16+Supply!L17</f>
        <v>14.431690564491689</v>
      </c>
      <c r="M34" s="46">
        <f>Supply!M16+Supply!M17</f>
        <v>15.322382523207715</v>
      </c>
      <c r="N34" s="46">
        <f>Supply!N16+Supply!N17</f>
        <v>16.22701147835107</v>
      </c>
      <c r="O34" s="46">
        <f>Supply!O16+Supply!O17</f>
        <v>17.145299769117109</v>
      </c>
      <c r="P34" s="46">
        <f>Supply!P16+Supply!P17</f>
        <v>18.076972743002045</v>
      </c>
      <c r="Q34" s="46">
        <f>Supply!Q16+Supply!Q17</f>
        <v>19.021758729760862</v>
      </c>
      <c r="R34" s="46">
        <f>Supply!R16+Supply!R17</f>
        <v>19.979389015564923</v>
      </c>
      <c r="S34" s="46">
        <f>Supply!S16+Supply!S17</f>
        <v>20.949597817357954</v>
      </c>
      <c r="T34" s="46">
        <f>Supply!T16+Supply!T17</f>
        <v>21.932122257408849</v>
      </c>
      <c r="U34" s="46">
        <f>Supply!U16+Supply!U17</f>
        <v>22.926702338059972</v>
      </c>
      <c r="V34" s="46">
        <f>Supply!V16+Supply!V17</f>
        <v>23.933080916669592</v>
      </c>
      <c r="W34" s="46">
        <f>Supply!W16+Supply!W17</f>
        <v>24.951003680747007</v>
      </c>
      <c r="X34" s="46">
        <f>Supply!X16+Supply!X17</f>
        <v>25.980219123279014</v>
      </c>
      <c r="Y34" s="46">
        <f>Supply!Y16+Supply!Y17</f>
        <v>27.02047851824635</v>
      </c>
      <c r="Z34" s="46">
        <f>Supply!Z16+Supply!Z17</f>
        <v>28.071535896328861</v>
      </c>
      <c r="AA34" s="46">
        <f>Supply!AA16+Supply!AA17</f>
        <v>29.133148020797783</v>
      </c>
      <c r="AB34" s="46">
        <f>Supply!AB16+Supply!AB17</f>
        <v>30.205074363594186</v>
      </c>
      <c r="AC34" s="46">
        <f>Supply!AC16+Supply!AC17</f>
        <v>31.2870770815918</v>
      </c>
      <c r="AD34" s="46">
        <f>Supply!AD16+Supply!AD17</f>
        <v>32.378920993043394</v>
      </c>
      <c r="AE34" s="46">
        <f>Supply!AE16+Supply!AE17</f>
        <v>33.480373554209031</v>
      </c>
      <c r="AF34" s="46">
        <f>Supply!AF16+Supply!AF17</f>
        <v>34.591204836165012</v>
      </c>
      <c r="AG34" s="46">
        <f>Supply!AG16+Supply!AG17</f>
        <v>35.71118750179226</v>
      </c>
      <c r="AH34" s="46">
        <f>Supply!AH16+Supply!AH17</f>
        <v>36.840096782942837</v>
      </c>
    </row>
    <row r="35" spans="1:34" ht="15" customHeight="1" x14ac:dyDescent="0.2">
      <c r="A35" t="s">
        <v>281</v>
      </c>
      <c r="B35" t="s">
        <v>95</v>
      </c>
      <c r="C35" t="s">
        <v>282</v>
      </c>
      <c r="D35" s="46">
        <f t="shared" ref="D35:AH35" si="5">D18+D21+D24+D39+D19+D22+D25+D7+D29+D34</f>
        <v>7039.5343826149001</v>
      </c>
      <c r="E35" s="46">
        <f t="shared" si="5"/>
        <v>7126.1735901522616</v>
      </c>
      <c r="F35" s="46">
        <f t="shared" si="5"/>
        <v>7211.7089819152998</v>
      </c>
      <c r="G35" s="46">
        <f t="shared" si="5"/>
        <v>7296.1685433618586</v>
      </c>
      <c r="H35" s="46">
        <f t="shared" si="5"/>
        <v>7379.5802578908761</v>
      </c>
      <c r="I35" s="46">
        <f t="shared" si="5"/>
        <v>7461.9721132472614</v>
      </c>
      <c r="J35" s="46">
        <f t="shared" si="5"/>
        <v>7543.3721079963598</v>
      </c>
      <c r="K35" s="46">
        <f t="shared" si="5"/>
        <v>7678.5582580699975</v>
      </c>
      <c r="L35" s="46">
        <f t="shared" si="5"/>
        <v>7812.8086033861346</v>
      </c>
      <c r="M35" s="46">
        <f t="shared" si="5"/>
        <v>7946.1512145442339</v>
      </c>
      <c r="N35" s="46">
        <f t="shared" si="5"/>
        <v>8078.6141995984208</v>
      </c>
      <c r="O35" s="46">
        <f t="shared" si="5"/>
        <v>8210.2257109106285</v>
      </c>
      <c r="P35" s="46">
        <f t="shared" si="5"/>
        <v>8341.013952085852</v>
      </c>
      <c r="Q35" s="46">
        <f t="shared" si="5"/>
        <v>8471.0071849918113</v>
      </c>
      <c r="R35" s="46">
        <f t="shared" si="5"/>
        <v>8600.233736865217</v>
      </c>
      <c r="S35" s="46">
        <f t="shared" si="5"/>
        <v>8728.7220075069927</v>
      </c>
      <c r="T35" s="46">
        <f t="shared" si="5"/>
        <v>8856.5004765687718</v>
      </c>
      <c r="U35" s="46">
        <f t="shared" si="5"/>
        <v>8928.847710933067</v>
      </c>
      <c r="V35" s="46">
        <f t="shared" si="5"/>
        <v>9000.5423721895368</v>
      </c>
      <c r="W35" s="46">
        <f t="shared" si="5"/>
        <v>9071.6132242098138</v>
      </c>
      <c r="X35" s="46">
        <f t="shared" si="5"/>
        <v>9142.0891408234347</v>
      </c>
      <c r="Y35" s="46">
        <f t="shared" si="5"/>
        <v>9211.9991135974069</v>
      </c>
      <c r="Z35" s="46">
        <f t="shared" si="5"/>
        <v>9281.372259722033</v>
      </c>
      <c r="AA35" s="46">
        <f t="shared" si="5"/>
        <v>9350.2378300056462</v>
      </c>
      <c r="AB35" s="46">
        <f t="shared" si="5"/>
        <v>9418.6252169809613</v>
      </c>
      <c r="AC35" s="46">
        <f t="shared" si="5"/>
        <v>9486.5639631257836</v>
      </c>
      <c r="AD35" s="46">
        <f t="shared" si="5"/>
        <v>9554.0837692009027</v>
      </c>
      <c r="AE35" s="46">
        <f t="shared" si="5"/>
        <v>9621.2145027079823</v>
      </c>
      <c r="AF35" s="46">
        <f t="shared" si="5"/>
        <v>9687.9862064703902</v>
      </c>
      <c r="AG35" s="46">
        <f t="shared" si="5"/>
        <v>9754.4291073399145</v>
      </c>
      <c r="AH35" s="46">
        <f t="shared" si="5"/>
        <v>9820.5736250323625</v>
      </c>
    </row>
    <row r="36" spans="1:34" ht="15" customHeight="1" x14ac:dyDescent="0.2">
      <c r="A36" s="32" t="s">
        <v>283</v>
      </c>
      <c r="B36" s="33" t="s">
        <v>284</v>
      </c>
      <c r="C36" s="34"/>
      <c r="D36" s="52">
        <f t="shared" ref="D36:AH36" si="6">(D18+D21+D24+D39)/D5</f>
        <v>0.86080866055647021</v>
      </c>
      <c r="E36" s="52">
        <f t="shared" si="6"/>
        <v>0.86503681982267</v>
      </c>
      <c r="F36" s="52">
        <f t="shared" si="6"/>
        <v>0.8690897049767794</v>
      </c>
      <c r="G36" s="52">
        <f t="shared" si="6"/>
        <v>0.87297685679239767</v>
      </c>
      <c r="H36" s="52">
        <f t="shared" si="6"/>
        <v>0.87670715089480344</v>
      </c>
      <c r="I36" s="52">
        <f t="shared" si="6"/>
        <v>0.88028885459894057</v>
      </c>
      <c r="J36" s="52">
        <f t="shared" si="6"/>
        <v>0.88372967802277524</v>
      </c>
      <c r="K36" s="52">
        <f t="shared" si="6"/>
        <v>0.88151231500411409</v>
      </c>
      <c r="L36" s="52">
        <f t="shared" si="6"/>
        <v>0.87856529682619444</v>
      </c>
      <c r="M36" s="52">
        <f t="shared" si="6"/>
        <v>0.87566061839896914</v>
      </c>
      <c r="N36" s="52">
        <f t="shared" si="6"/>
        <v>0.8727964220723089</v>
      </c>
      <c r="O36" s="52">
        <f t="shared" si="6"/>
        <v>0.86997102191864639</v>
      </c>
      <c r="P36" s="52">
        <f t="shared" si="6"/>
        <v>0.86718288748779648</v>
      </c>
      <c r="Q36" s="52">
        <f t="shared" si="6"/>
        <v>0.86443062942882054</v>
      </c>
      <c r="R36" s="52">
        <f t="shared" si="6"/>
        <v>0.86171298673246099</v>
      </c>
      <c r="S36" s="52">
        <f t="shared" si="6"/>
        <v>0.85902881538405862</v>
      </c>
      <c r="T36" s="52">
        <f t="shared" si="6"/>
        <v>0.85637707824731246</v>
      </c>
      <c r="U36" s="52">
        <f t="shared" si="6"/>
        <v>0.85899191095112115</v>
      </c>
      <c r="V36" s="52">
        <f t="shared" si="6"/>
        <v>0.86152248319522629</v>
      </c>
      <c r="W36" s="52">
        <f t="shared" si="6"/>
        <v>0.86397234950997315</v>
      </c>
      <c r="X36" s="52">
        <f t="shared" si="6"/>
        <v>0.86634487955074779</v>
      </c>
      <c r="Y36" s="52">
        <f t="shared" si="6"/>
        <v>0.86864327012421494</v>
      </c>
      <c r="Z36" s="52">
        <f t="shared" si="6"/>
        <v>0.87087055629275612</v>
      </c>
      <c r="AA36" s="52">
        <f t="shared" si="6"/>
        <v>0.87302962163823827</v>
      </c>
      <c r="AB36" s="52">
        <f t="shared" si="6"/>
        <v>0.87512320775816022</v>
      </c>
      <c r="AC36" s="52">
        <f t="shared" si="6"/>
        <v>0.87715392306003703</v>
      </c>
      <c r="AD36" s="52">
        <f t="shared" si="6"/>
        <v>0.87912425091348445</v>
      </c>
      <c r="AE36" s="52">
        <f t="shared" si="6"/>
        <v>0.88103655721375096</v>
      </c>
      <c r="AF36" s="52">
        <f t="shared" si="6"/>
        <v>0.88289309740534339</v>
      </c>
      <c r="AG36" s="52">
        <f t="shared" si="6"/>
        <v>0.88469602300983363</v>
      </c>
      <c r="AH36" s="52">
        <f t="shared" si="6"/>
        <v>0.88644738769783793</v>
      </c>
    </row>
    <row r="37" spans="1:34" ht="15" customHeight="1" x14ac:dyDescent="0.2">
      <c r="A37" s="32" t="s">
        <v>285</v>
      </c>
      <c r="B37" s="33" t="s">
        <v>284</v>
      </c>
      <c r="C37" s="34"/>
      <c r="D37" s="52">
        <f t="shared" ref="D37:AH37" si="7">(D19+D22+D25)/D5</f>
        <v>0.12955402309736702</v>
      </c>
      <c r="E37" s="52">
        <f t="shared" si="7"/>
        <v>0.12541934162747551</v>
      </c>
      <c r="F37" s="52">
        <f t="shared" si="7"/>
        <v>0.12145315378039295</v>
      </c>
      <c r="G37" s="52">
        <f t="shared" si="7"/>
        <v>0.11764628227797075</v>
      </c>
      <c r="H37" s="52">
        <f t="shared" si="7"/>
        <v>0.11399019084053155</v>
      </c>
      <c r="I37" s="52">
        <f t="shared" si="7"/>
        <v>0.11047692944578058</v>
      </c>
      <c r="J37" s="52">
        <f t="shared" si="7"/>
        <v>0.10709908510168351</v>
      </c>
      <c r="K37" s="52">
        <f t="shared" si="7"/>
        <v>0.10310926344654832</v>
      </c>
      <c r="L37" s="52">
        <f t="shared" si="7"/>
        <v>9.9310749307017276E-2</v>
      </c>
      <c r="M37" s="52">
        <f t="shared" si="7"/>
        <v>9.569135277352124E-2</v>
      </c>
      <c r="N37" s="52">
        <f t="shared" si="7"/>
        <v>9.2239879448443529E-2</v>
      </c>
      <c r="O37" s="52">
        <f t="shared" si="7"/>
        <v>8.8946031156409811E-2</v>
      </c>
      <c r="P37" s="52">
        <f t="shared" si="7"/>
        <v>8.5800318301490264E-2</v>
      </c>
      <c r="Q37" s="52">
        <f t="shared" si="7"/>
        <v>8.2793982308007288E-2</v>
      </c>
      <c r="R37" s="52">
        <f t="shared" si="7"/>
        <v>7.9918926816940086E-2</v>
      </c>
      <c r="S37" s="52">
        <f t="shared" si="7"/>
        <v>7.7167656506108351E-2</v>
      </c>
      <c r="T37" s="52">
        <f t="shared" si="7"/>
        <v>7.4533222566493501E-2</v>
      </c>
      <c r="U37" s="52">
        <f t="shared" si="7"/>
        <v>7.2450720596862694E-2</v>
      </c>
      <c r="V37" s="52">
        <f t="shared" si="7"/>
        <v>7.0436135460066857E-2</v>
      </c>
      <c r="W37" s="52">
        <f t="shared" si="7"/>
        <v>6.8486622825666033E-2</v>
      </c>
      <c r="X37" s="52">
        <f t="shared" si="7"/>
        <v>6.6599489554507396E-2</v>
      </c>
      <c r="Y37" s="52">
        <f t="shared" si="7"/>
        <v>6.4772183917723047E-2</v>
      </c>
      <c r="Z37" s="52">
        <f t="shared" si="7"/>
        <v>6.3002286564533161E-2</v>
      </c>
      <c r="AA37" s="52">
        <f t="shared" si="7"/>
        <v>6.1287502172807068E-2</v>
      </c>
      <c r="AB37" s="52">
        <f t="shared" si="7"/>
        <v>5.9625651722905196E-2</v>
      </c>
      <c r="AC37" s="52">
        <f t="shared" si="7"/>
        <v>5.8014665341170828E-2</v>
      </c>
      <c r="AD37" s="52">
        <f t="shared" si="7"/>
        <v>5.6452575664646641E-2</v>
      </c>
      <c r="AE37" s="52">
        <f t="shared" si="7"/>
        <v>5.4937511683236337E-2</v>
      </c>
      <c r="AF37" s="52">
        <f t="shared" si="7"/>
        <v>5.3467693019680081E-2</v>
      </c>
      <c r="AG37" s="52">
        <f t="shared" si="7"/>
        <v>5.204142461142551E-2</v>
      </c>
      <c r="AH37" s="52">
        <f t="shared" si="7"/>
        <v>5.0657091761800506E-2</v>
      </c>
    </row>
    <row r="38" spans="1:34" ht="15" customHeight="1" x14ac:dyDescent="0.2">
      <c r="A38" s="32" t="s">
        <v>286</v>
      </c>
      <c r="B38" s="33" t="s">
        <v>284</v>
      </c>
      <c r="C38" s="34"/>
      <c r="D38" s="52">
        <f>Supply!D29/Supply!D5</f>
        <v>0</v>
      </c>
      <c r="E38" s="52">
        <f>Supply!E29/Supply!E5</f>
        <v>0</v>
      </c>
      <c r="F38" s="52">
        <f>Supply!F29/Supply!F5</f>
        <v>0</v>
      </c>
      <c r="G38" s="52">
        <f>Supply!G29/Supply!G5</f>
        <v>0</v>
      </c>
      <c r="H38" s="52">
        <f>Supply!H29/Supply!H5</f>
        <v>0</v>
      </c>
      <c r="I38" s="52">
        <f>Supply!I29/Supply!I5</f>
        <v>0</v>
      </c>
      <c r="J38" s="52">
        <f>Supply!J29/Supply!J5</f>
        <v>0</v>
      </c>
      <c r="K38" s="52">
        <f>Supply!K29/Supply!K5</f>
        <v>6.3299602579291242E-3</v>
      </c>
      <c r="L38" s="52">
        <f>Supply!L29/Supply!L5</f>
        <v>1.3190371108864658E-2</v>
      </c>
      <c r="M38" s="52">
        <f>Supply!M29/Supply!M5</f>
        <v>1.98219424016867E-2</v>
      </c>
      <c r="N38" s="52">
        <f>Supply!N29/Supply!N5</f>
        <v>2.623819999184818E-2</v>
      </c>
      <c r="O38" s="52">
        <f>Supply!O29/Supply!O5</f>
        <v>3.2451564850944727E-2</v>
      </c>
      <c r="P38" s="52">
        <f>Supply!P29/Supply!P5</f>
        <v>3.8473460575819948E-2</v>
      </c>
      <c r="Q38" s="52">
        <f>Supply!Q29/Supply!Q5</f>
        <v>4.4314408530244737E-2</v>
      </c>
      <c r="R38" s="52">
        <f>Supply!R29/Supply!R5</f>
        <v>4.9984112248522797E-2</v>
      </c>
      <c r="S38" s="52">
        <f>Supply!S29/Supply!S5</f>
        <v>5.5491532489691207E-2</v>
      </c>
      <c r="T38" s="52">
        <f>Supply!T29/Supply!T5</f>
        <v>6.0844954129578757E-2</v>
      </c>
      <c r="U38" s="52">
        <f>Supply!U29/Supply!U5</f>
        <v>6.0325254262063775E-2</v>
      </c>
      <c r="V38" s="52">
        <f>Supply!V29/Supply!V5</f>
        <v>5.9819220552226465E-2</v>
      </c>
      <c r="W38" s="52">
        <f>Supply!W29/Supply!W5</f>
        <v>5.9326268142647076E-2</v>
      </c>
      <c r="X38" s="52">
        <f>Supply!X29/Supply!X5</f>
        <v>5.8845840525937158E-2</v>
      </c>
      <c r="Y38" s="52">
        <f>Supply!Y29/Supply!Y5</f>
        <v>5.8377407672526804E-2</v>
      </c>
      <c r="Z38" s="52">
        <f>Supply!Z29/Supply!Z5</f>
        <v>5.7920464302771521E-2</v>
      </c>
      <c r="AA38" s="52">
        <f>Supply!AA29/Supply!AA5</f>
        <v>5.7474528290773853E-2</v>
      </c>
      <c r="AB38" s="52">
        <f>Supply!AB29/Supply!AB5</f>
        <v>5.7039139188572716E-2</v>
      </c>
      <c r="AC38" s="52">
        <f>Supply!AC29/Supply!AC5</f>
        <v>5.6613856860474217E-2</v>
      </c>
      <c r="AD38" s="52">
        <f>Supply!AD29/Supply!AD5</f>
        <v>5.6198260218294799E-2</v>
      </c>
      <c r="AE38" s="52">
        <f>Supply!AE29/Supply!AE5</f>
        <v>5.5791946049178053E-2</v>
      </c>
      <c r="AF38" s="52">
        <f>Supply!AF29/Supply!AF5</f>
        <v>5.5394527928440282E-2</v>
      </c>
      <c r="AG38" s="52">
        <f>Supply!AG29/Supply!AG5</f>
        <v>5.5005635210612219E-2</v>
      </c>
      <c r="AH38" s="52">
        <f>Supply!AH29/Supply!AH5</f>
        <v>5.4624912092479667E-2</v>
      </c>
    </row>
    <row r="39" spans="1:34" ht="15" customHeight="1" x14ac:dyDescent="0.2">
      <c r="A39" s="53" t="s">
        <v>287</v>
      </c>
      <c r="B39" t="s">
        <v>95</v>
      </c>
      <c r="C39" t="s">
        <v>288</v>
      </c>
      <c r="D39" s="54">
        <f t="shared" ref="D39:AH39" si="8">MAX(MAX(D14-D17-D7,0)-D24-D25,0)</f>
        <v>59.69216283995047</v>
      </c>
      <c r="E39" s="55">
        <f t="shared" si="8"/>
        <v>254.40253992961084</v>
      </c>
      <c r="F39" s="55">
        <f t="shared" si="8"/>
        <v>446.27203147115677</v>
      </c>
      <c r="G39" s="55">
        <f t="shared" si="8"/>
        <v>635.35653161160189</v>
      </c>
      <c r="H39" s="55">
        <f t="shared" si="8"/>
        <v>821.71147894504725</v>
      </c>
      <c r="I39" s="55">
        <f t="shared" si="8"/>
        <v>1005.3918704259178</v>
      </c>
      <c r="J39" s="55">
        <f t="shared" si="8"/>
        <v>1186.4522752247617</v>
      </c>
      <c r="K39" s="55">
        <f t="shared" si="8"/>
        <v>1371.0918799191099</v>
      </c>
      <c r="L39" s="55">
        <f t="shared" si="8"/>
        <v>1547.3755004247464</v>
      </c>
      <c r="M39" s="55">
        <f t="shared" si="8"/>
        <v>1721.1949823029145</v>
      </c>
      <c r="N39" s="55">
        <f t="shared" si="8"/>
        <v>1892.6029151571929</v>
      </c>
      <c r="O39" s="55">
        <f t="shared" si="8"/>
        <v>2061.6515381521285</v>
      </c>
      <c r="P39" s="55">
        <f t="shared" si="8"/>
        <v>2228.3927535005432</v>
      </c>
      <c r="Q39" s="55">
        <f t="shared" si="8"/>
        <v>2392.8781399239479</v>
      </c>
      <c r="R39" s="55">
        <f t="shared" si="8"/>
        <v>2555.1589660902328</v>
      </c>
      <c r="S39" s="55">
        <f t="shared" si="8"/>
        <v>2715.286204032845</v>
      </c>
      <c r="T39" s="55">
        <f t="shared" si="8"/>
        <v>2873.3105425556359</v>
      </c>
      <c r="U39" s="55">
        <f t="shared" si="8"/>
        <v>3029.2824006276478</v>
      </c>
      <c r="V39" s="55">
        <f t="shared" si="8"/>
        <v>3183.2519407719637</v>
      </c>
      <c r="W39" s="55">
        <f t="shared" si="8"/>
        <v>3335.2690824529836</v>
      </c>
      <c r="X39" s="55">
        <f t="shared" si="8"/>
        <v>3485.3835154662684</v>
      </c>
      <c r="Y39" s="55">
        <f t="shared" si="8"/>
        <v>3633.6447133352494</v>
      </c>
      <c r="Z39" s="55">
        <f t="shared" si="8"/>
        <v>3780.1019467191304</v>
      </c>
      <c r="AA39" s="55">
        <f t="shared" si="8"/>
        <v>3924.8042968361974</v>
      </c>
      <c r="AB39" s="55">
        <f t="shared" si="8"/>
        <v>4067.8006689069207</v>
      </c>
      <c r="AC39" s="55">
        <f t="shared" si="8"/>
        <v>4209.1398056211374</v>
      </c>
      <c r="AD39" s="55">
        <f t="shared" si="8"/>
        <v>4348.8703006337282</v>
      </c>
      <c r="AE39" s="55">
        <f t="shared" si="8"/>
        <v>4487.0406120931002</v>
      </c>
      <c r="AF39" s="55">
        <f t="shared" si="8"/>
        <v>4623.6990762069508</v>
      </c>
      <c r="AG39" s="55">
        <f t="shared" si="8"/>
        <v>4758.8939208497095</v>
      </c>
      <c r="AH39" s="55">
        <f t="shared" si="8"/>
        <v>4892.6732792161265</v>
      </c>
    </row>
    <row r="40" spans="1:34" ht="15" customHeight="1" x14ac:dyDescent="0.2">
      <c r="A40" s="32" t="s">
        <v>289</v>
      </c>
      <c r="B40" s="33" t="s">
        <v>95</v>
      </c>
      <c r="C40" s="34" t="s">
        <v>290</v>
      </c>
      <c r="D40" s="56">
        <f>Supply!D35-Supply!D5</f>
        <v>0</v>
      </c>
      <c r="E40" s="56">
        <f>Supply!E35-Supply!E5</f>
        <v>0</v>
      </c>
      <c r="F40" s="56">
        <f>Supply!F35-Supply!F5</f>
        <v>0</v>
      </c>
      <c r="G40" s="56">
        <f>Supply!G35-Supply!G5</f>
        <v>0</v>
      </c>
      <c r="H40" s="56">
        <f>Supply!H35-Supply!H5</f>
        <v>0</v>
      </c>
      <c r="I40" s="56">
        <f>Supply!I35-Supply!I5</f>
        <v>0</v>
      </c>
      <c r="J40" s="56">
        <f>Supply!J35-Supply!J5</f>
        <v>0</v>
      </c>
      <c r="K40" s="56">
        <f>Supply!K35-Supply!K5</f>
        <v>0</v>
      </c>
      <c r="L40" s="56">
        <f>Supply!L35-Supply!L5</f>
        <v>0</v>
      </c>
      <c r="M40" s="56">
        <f>Supply!M35-Supply!M5</f>
        <v>0</v>
      </c>
      <c r="N40" s="56">
        <f>Supply!N35-Supply!N5</f>
        <v>0</v>
      </c>
      <c r="O40" s="56">
        <f>Supply!O35-Supply!O5</f>
        <v>0</v>
      </c>
      <c r="P40" s="56">
        <f>Supply!P35-Supply!P5</f>
        <v>0</v>
      </c>
      <c r="Q40" s="56">
        <f>Supply!Q35-Supply!Q5</f>
        <v>0</v>
      </c>
      <c r="R40" s="56">
        <f>Supply!R35-Supply!R5</f>
        <v>0</v>
      </c>
      <c r="S40" s="56">
        <f>Supply!S35-Supply!S5</f>
        <v>0</v>
      </c>
      <c r="T40" s="56">
        <f>Supply!T35-Supply!T5</f>
        <v>0</v>
      </c>
      <c r="U40" s="56">
        <f>Supply!U35-Supply!U5</f>
        <v>0</v>
      </c>
      <c r="V40" s="56">
        <f>Supply!V35-Supply!V5</f>
        <v>0</v>
      </c>
      <c r="W40" s="56">
        <f>Supply!W35-Supply!W5</f>
        <v>0</v>
      </c>
      <c r="X40" s="56">
        <f>Supply!X35-Supply!X5</f>
        <v>0</v>
      </c>
      <c r="Y40" s="56">
        <f>Supply!Y35-Supply!Y5</f>
        <v>0</v>
      </c>
      <c r="Z40" s="56">
        <f>Supply!Z35-Supply!Z5</f>
        <v>0</v>
      </c>
      <c r="AA40" s="56">
        <f>Supply!AA35-Supply!AA5</f>
        <v>0</v>
      </c>
      <c r="AB40" s="56">
        <f>Supply!AB35-Supply!AB5</f>
        <v>0</v>
      </c>
      <c r="AC40" s="56">
        <f>Supply!AC35-Supply!AC5</f>
        <v>0</v>
      </c>
      <c r="AD40" s="56">
        <f>Supply!AD35-Supply!AD5</f>
        <v>0</v>
      </c>
      <c r="AE40" s="56">
        <f>Supply!AE35-Supply!AE5</f>
        <v>0</v>
      </c>
      <c r="AF40" s="56">
        <f>Supply!AF35-Supply!AF5</f>
        <v>0</v>
      </c>
      <c r="AG40" s="56">
        <f>Supply!AG35-Supply!AG5</f>
        <v>0</v>
      </c>
      <c r="AH40" s="56">
        <f>Supply!AH35-Supply!AH5</f>
        <v>0</v>
      </c>
    </row>
    <row r="41" spans="1:34" ht="15" customHeight="1" x14ac:dyDescent="0.2">
      <c r="A41" t="s">
        <v>291</v>
      </c>
      <c r="B41" t="s">
        <v>284</v>
      </c>
      <c r="C41" t="s">
        <v>292</v>
      </c>
      <c r="D41" s="52">
        <f t="shared" ref="D41:AH41" si="9">D7/D5</f>
        <v>8.5232909932478305E-3</v>
      </c>
      <c r="E41" s="52">
        <f t="shared" si="9"/>
        <v>8.3354691334049918E-3</v>
      </c>
      <c r="F41" s="52">
        <f t="shared" si="9"/>
        <v>8.1542391890004132E-3</v>
      </c>
      <c r="G41" s="52">
        <f t="shared" si="9"/>
        <v>7.9792482388537159E-3</v>
      </c>
      <c r="H41" s="52">
        <f t="shared" si="9"/>
        <v>7.8101678667117872E-3</v>
      </c>
      <c r="I41" s="52">
        <f t="shared" si="9"/>
        <v>7.6466920712156333E-3</v>
      </c>
      <c r="J41" s="52">
        <f t="shared" si="9"/>
        <v>7.4885353864724462E-3</v>
      </c>
      <c r="K41" s="52">
        <f t="shared" si="9"/>
        <v>7.2831277688939289E-3</v>
      </c>
      <c r="L41" s="52">
        <f t="shared" si="9"/>
        <v>7.0863993316922797E-3</v>
      </c>
      <c r="M41" s="52">
        <f t="shared" si="9"/>
        <v>6.8978091870055399E-3</v>
      </c>
      <c r="N41" s="52">
        <f t="shared" si="9"/>
        <v>6.7168604861989334E-3</v>
      </c>
      <c r="O41" s="52">
        <f t="shared" si="9"/>
        <v>6.5430960301290728E-3</v>
      </c>
      <c r="P41" s="52">
        <f t="shared" si="9"/>
        <v>6.3760943943353748E-3</v>
      </c>
      <c r="Q41" s="52">
        <f t="shared" si="9"/>
        <v>6.215466500042754E-3</v>
      </c>
      <c r="R41" s="52">
        <f t="shared" si="9"/>
        <v>6.0608525722625484E-3</v>
      </c>
      <c r="S41" s="52">
        <f t="shared" si="9"/>
        <v>5.9119194349523986E-3</v>
      </c>
      <c r="T41" s="52">
        <f t="shared" si="9"/>
        <v>5.768358100454265E-3</v>
      </c>
      <c r="U41" s="52">
        <f t="shared" si="9"/>
        <v>5.6644029823810626E-3</v>
      </c>
      <c r="V41" s="52">
        <f t="shared" si="9"/>
        <v>5.5630898246440512E-3</v>
      </c>
      <c r="W41" s="52">
        <f t="shared" si="9"/>
        <v>5.4643111654986828E-3</v>
      </c>
      <c r="X41" s="52">
        <f t="shared" si="9"/>
        <v>5.3679651882516726E-3</v>
      </c>
      <c r="Y41" s="52">
        <f t="shared" si="9"/>
        <v>5.2739553591102046E-3</v>
      </c>
      <c r="Z41" s="52">
        <f t="shared" si="9"/>
        <v>5.1821900928455174E-3</v>
      </c>
      <c r="AA41" s="52">
        <f t="shared" si="9"/>
        <v>5.0925824438190319E-3</v>
      </c>
      <c r="AB41" s="52">
        <f t="shared" si="9"/>
        <v>5.0050498201629854E-3</v>
      </c>
      <c r="AC41" s="52">
        <f t="shared" si="9"/>
        <v>4.9195137191244374E-3</v>
      </c>
      <c r="AD41" s="52">
        <f t="shared" si="9"/>
        <v>4.8358994817745502E-3</v>
      </c>
      <c r="AE41" s="52">
        <f t="shared" si="9"/>
        <v>4.7541360654574424E-3</v>
      </c>
      <c r="AF41" s="52">
        <f t="shared" si="9"/>
        <v>4.6741558325066905E-3</v>
      </c>
      <c r="AG41" s="52">
        <f t="shared" si="9"/>
        <v>4.5958943538953276E-3</v>
      </c>
      <c r="AH41" s="52">
        <f t="shared" si="9"/>
        <v>4.5192902266083827E-3</v>
      </c>
    </row>
    <row r="42" spans="1:34" ht="15" customHeight="1" x14ac:dyDescent="0.2">
      <c r="A42" s="28" t="s">
        <v>293</v>
      </c>
    </row>
    <row r="43" spans="1:34" ht="15" customHeight="1" x14ac:dyDescent="0.2">
      <c r="A43" t="s">
        <v>294</v>
      </c>
      <c r="B43" t="s">
        <v>95</v>
      </c>
      <c r="C43" t="s">
        <v>295</v>
      </c>
      <c r="D43">
        <f>Demand!D13*(Inputs!$B$69+(Inputs!$B$70-Inputs!$B$69)*(D$3-2020)/30)</f>
        <v>7.8422197749500002</v>
      </c>
      <c r="E43">
        <f>Demand!E13*(Inputs!$B$69+(Inputs!$B$70-Inputs!$B$69)*(E$3-2020)/30)</f>
        <v>16.95714505383653</v>
      </c>
      <c r="F43">
        <f>Demand!F13*(Inputs!$B$69+(Inputs!$B$70-Inputs!$B$69)*(F$3-2020)/30)</f>
        <v>26.30922124360092</v>
      </c>
      <c r="G43">
        <f>Demand!G13*(Inputs!$B$69+(Inputs!$B$70-Inputs!$B$69)*(G$3-2020)/30)</f>
        <v>35.894206480906618</v>
      </c>
      <c r="H43">
        <f>Demand!H13*(Inputs!$B$69+(Inputs!$B$70-Inputs!$B$69)*(H$3-2020)/30)</f>
        <v>45.707903604683125</v>
      </c>
      <c r="I43">
        <f>Demand!I13*(Inputs!$B$69+(Inputs!$B$70-Inputs!$B$69)*(I$3-2020)/30)</f>
        <v>55.746159774087921</v>
      </c>
      <c r="J43">
        <f>Demand!J13*(Inputs!$B$69+(Inputs!$B$70-Inputs!$B$69)*(J$3-2020)/30)</f>
        <v>66.004866089376534</v>
      </c>
      <c r="K43">
        <f>Demand!K13*(Inputs!$B$69+(Inputs!$B$70-Inputs!$B$69)*(K$3-2020)/30)</f>
        <v>76.479957215659979</v>
      </c>
      <c r="L43">
        <f>Demand!L13*(Inputs!$B$69+(Inputs!$B$70-Inputs!$B$69)*(L$3-2020)/30)</f>
        <v>87.1674110095298</v>
      </c>
      <c r="M43">
        <f>Demand!M13*(Inputs!$B$69+(Inputs!$B$70-Inputs!$B$69)*(M$3-2020)/30)</f>
        <v>98.063248148529368</v>
      </c>
      <c r="N43">
        <f>Demand!N13*(Inputs!$B$69+(Inputs!$B$70-Inputs!$B$69)*(N$3-2020)/30)</f>
        <v>109.16353176345264</v>
      </c>
      <c r="O43">
        <f>Demand!O13*(Inputs!$B$69+(Inputs!$B$70-Inputs!$B$69)*(O$3-2020)/30)</f>
        <v>120.4643670734489</v>
      </c>
      <c r="P43">
        <f>Demand!P13*(Inputs!$B$69+(Inputs!$B$70-Inputs!$B$69)*(P$3-2020)/30)</f>
        <v>131.96190102391498</v>
      </c>
      <c r="Q43">
        <f>Demand!Q13*(Inputs!$B$69+(Inputs!$B$70-Inputs!$B$69)*(Q$3-2020)/30)</f>
        <v>143.65232192715405</v>
      </c>
      <c r="R43">
        <f>Demand!R13*(Inputs!$B$69+(Inputs!$B$70-Inputs!$B$69)*(R$3-2020)/30)</f>
        <v>155.53185910578233</v>
      </c>
      <c r="S43">
        <f>Demand!S13*(Inputs!$B$69+(Inputs!$B$70-Inputs!$B$69)*(S$3-2020)/30)</f>
        <v>167.59678253886366</v>
      </c>
      <c r="T43">
        <f>Demand!T13*(Inputs!$B$69+(Inputs!$B$70-Inputs!$B$69)*(T$3-2020)/30)</f>
        <v>179.84340251075258</v>
      </c>
      <c r="U43">
        <f>Demand!U13*(Inputs!$B$69+(Inputs!$B$70-Inputs!$B$69)*(U$3-2020)/30)</f>
        <v>192.26806926262711</v>
      </c>
      <c r="V43">
        <f>Demand!V13*(Inputs!$B$69+(Inputs!$B$70-Inputs!$B$69)*(V$3-2020)/30)</f>
        <v>204.86717264669176</v>
      </c>
      <c r="W43">
        <f>Demand!W13*(Inputs!$B$69+(Inputs!$B$70-Inputs!$B$69)*(W$3-2020)/30)</f>
        <v>217.63714178303201</v>
      </c>
      <c r="X43">
        <f>Demand!X13*(Inputs!$B$69+(Inputs!$B$70-Inputs!$B$69)*(X$3-2020)/30)</f>
        <v>230.57444471910122</v>
      </c>
      <c r="Y43">
        <f>Demand!Y13*(Inputs!$B$69+(Inputs!$B$70-Inputs!$B$69)*(Y$3-2020)/30)</f>
        <v>243.67558809182165</v>
      </c>
      <c r="Z43">
        <f>Demand!Z13*(Inputs!$B$69+(Inputs!$B$70-Inputs!$B$69)*(Z$3-2020)/30)</f>
        <v>256.93711679228062</v>
      </c>
      <c r="AA43">
        <f>Demand!AA13*(Inputs!$B$69+(Inputs!$B$70-Inputs!$B$69)*(AA$3-2020)/30)</f>
        <v>270.35561363300349</v>
      </c>
      <c r="AB43">
        <f>Demand!AB13*(Inputs!$B$69+(Inputs!$B$70-Inputs!$B$69)*(AB$3-2020)/30)</f>
        <v>283.92769901778536</v>
      </c>
      <c r="AC43">
        <f>Demand!AC13*(Inputs!$B$69+(Inputs!$B$70-Inputs!$B$69)*(AC$3-2020)/30)</f>
        <v>297.65003061406253</v>
      </c>
      <c r="AD43">
        <f>Demand!AD13*(Inputs!$B$69+(Inputs!$B$70-Inputs!$B$69)*(AD$3-2020)/30)</f>
        <v>311.51930302780704</v>
      </c>
      <c r="AE43">
        <f>Demand!AE13*(Inputs!$B$69+(Inputs!$B$70-Inputs!$B$69)*(AE$3-2020)/30)</f>
        <v>325.53224748092481</v>
      </c>
      <c r="AF43">
        <f>Demand!AF13*(Inputs!$B$69+(Inputs!$B$70-Inputs!$B$69)*(AF$3-2020)/30)</f>
        <v>339.68563149114044</v>
      </c>
      <c r="AG43">
        <f>Demand!AG13*(Inputs!$B$69+(Inputs!$B$70-Inputs!$B$69)*(AG$3-2020)/30)</f>
        <v>353.97625855435058</v>
      </c>
      <c r="AH43">
        <f>Demand!AH13*(Inputs!$B$69+(Inputs!$B$70-Inputs!$B$69)*(AH$3-2020)/30)</f>
        <v>368.40096782942845</v>
      </c>
    </row>
    <row r="44" spans="1:34" ht="15" customHeight="1" x14ac:dyDescent="0.2">
      <c r="A44" t="s">
        <v>296</v>
      </c>
      <c r="B44" t="s">
        <v>95</v>
      </c>
      <c r="C44" t="s">
        <v>243</v>
      </c>
      <c r="D44">
        <f>MIN(Supply!D6,Supply!D43*(Inputs!$B$71+(Inputs!$B$72-Inputs!$B$71)*(D$3-2020)/30))</f>
        <v>0</v>
      </c>
      <c r="E44">
        <f>MIN(Supply!E6,Supply!E43*(Inputs!$B$71+(Inputs!$B$72-Inputs!$B$71)*(E$3-2020)/30))</f>
        <v>0</v>
      </c>
      <c r="F44">
        <f>MIN(Supply!F6,Supply!F43*(Inputs!$B$71+(Inputs!$B$72-Inputs!$B$71)*(F$3-2020)/30))</f>
        <v>0</v>
      </c>
      <c r="G44">
        <f>MIN(Supply!G6,Supply!G43*(Inputs!$B$71+(Inputs!$B$72-Inputs!$B$71)*(G$3-2020)/30))</f>
        <v>0</v>
      </c>
      <c r="H44">
        <f>MIN(Supply!H6,Supply!H43*(Inputs!$B$71+(Inputs!$B$72-Inputs!$B$71)*(H$3-2020)/30))</f>
        <v>0</v>
      </c>
      <c r="I44">
        <f>MIN(Supply!I6,Supply!I43*(Inputs!$B$71+(Inputs!$B$72-Inputs!$B$71)*(I$3-2020)/30))</f>
        <v>0</v>
      </c>
      <c r="J44">
        <f>MIN(Supply!J6,Supply!J43*(Inputs!$B$71+(Inputs!$B$72-Inputs!$B$71)*(J$3-2020)/30))</f>
        <v>0</v>
      </c>
      <c r="K44">
        <f>MIN(Supply!K6,Supply!K43*(Inputs!$B$71+(Inputs!$B$72-Inputs!$B$71)*(K$3-2020)/30))</f>
        <v>40.024510942862058</v>
      </c>
      <c r="L44">
        <f>MIN(Supply!L6,Supply!L43*(Inputs!$B$71+(Inputs!$B$72-Inputs!$B$71)*(L$3-2020)/30))</f>
        <v>45.908169798352354</v>
      </c>
      <c r="M44">
        <f>MIN(Supply!M6,Supply!M43*(Inputs!$B$71+(Inputs!$B$72-Inputs!$B$71)*(M$3-2020)/30))</f>
        <v>51.973521518720567</v>
      </c>
      <c r="N44">
        <f>MIN(Supply!N6,Supply!N43*(Inputs!$B$71+(Inputs!$B$72-Inputs!$B$71)*(N$3-2020)/30))</f>
        <v>58.220550273841404</v>
      </c>
      <c r="O44">
        <f>MIN(Supply!O6,Supply!O43*(Inputs!$B$71+(Inputs!$B$72-Inputs!$B$71)*(O$3-2020)/30))</f>
        <v>64.649210329417571</v>
      </c>
      <c r="P44">
        <f>MIN(Supply!P6,Supply!P43*(Inputs!$B$71+(Inputs!$B$72-Inputs!$B$71)*(P$3-2020)/30))</f>
        <v>71.259426552914093</v>
      </c>
      <c r="Q44">
        <f>MIN(Supply!Q6,Supply!Q43*(Inputs!$B$71+(Inputs!$B$72-Inputs!$B$71)*(Q$3-2020)/30))</f>
        <v>78.051094913753701</v>
      </c>
      <c r="R44">
        <f>MIN(Supply!R6,Supply!R43*(Inputs!$B$71+(Inputs!$B$72-Inputs!$B$71)*(R$3-2020)/30))</f>
        <v>85.024082977827675</v>
      </c>
      <c r="S44">
        <f>MIN(Supply!S6,Supply!S43*(Inputs!$B$71+(Inputs!$B$72-Inputs!$B$71)*(S$3-2020)/30))</f>
        <v>92.178230396375</v>
      </c>
      <c r="T44">
        <f>MIN(Supply!T6,Supply!T43*(Inputs!$B$71+(Inputs!$B$72-Inputs!$B$71)*(T$3-2020)/30))</f>
        <v>99.513349389283093</v>
      </c>
      <c r="U44">
        <f>MIN(Supply!U6,Supply!U43*(Inputs!$B$71+(Inputs!$B$72-Inputs!$B$71)*(U$3-2020)/30))</f>
        <v>107.02922522286242</v>
      </c>
      <c r="V44">
        <f>MIN(Supply!V6,Supply!V43*(Inputs!$B$71+(Inputs!$B$72-Inputs!$B$71)*(V$3-2020)/30))</f>
        <v>114.72561668214738</v>
      </c>
      <c r="W44">
        <f>MIN(Supply!W6,Supply!W43*(Inputs!$B$71+(Inputs!$B$72-Inputs!$B$71)*(W$3-2020)/30))</f>
        <v>122.60225653777471</v>
      </c>
      <c r="X44">
        <f>MIN(Supply!X6,Supply!X43*(Inputs!$B$71+(Inputs!$B$72-Inputs!$B$71)*(X$3-2020)/30))</f>
        <v>130.65885200749068</v>
      </c>
      <c r="Y44">
        <f>MIN(Supply!Y6,Supply!Y43*(Inputs!$B$71+(Inputs!$B$72-Inputs!$B$71)*(Y$3-2020)/30))</f>
        <v>138.89508521233833</v>
      </c>
      <c r="Z44">
        <f>MIN(Supply!Z6,Supply!Z43*(Inputs!$B$71+(Inputs!$B$72-Inputs!$B$71)*(Z$3-2020)/30))</f>
        <v>147.31061362757421</v>
      </c>
      <c r="AA44">
        <f>MIN(Supply!AA6,Supply!AA43*(Inputs!$B$71+(Inputs!$B$72-Inputs!$B$71)*(AA$3-2020)/30))</f>
        <v>155.90507052836534</v>
      </c>
      <c r="AB44">
        <f>MIN(Supply!AB6,Supply!AB43*(Inputs!$B$71+(Inputs!$B$72-Inputs!$B$71)*(AB$3-2020)/30))</f>
        <v>164.67806543031548</v>
      </c>
      <c r="AC44">
        <f>MIN(Supply!AC6,Supply!AC43*(Inputs!$B$71+(Inputs!$B$72-Inputs!$B$71)*(AC$3-2020)/30))</f>
        <v>173.6291845248698</v>
      </c>
      <c r="AD44">
        <f>MIN(Supply!AD6,Supply!AD43*(Inputs!$B$71+(Inputs!$B$72-Inputs!$B$71)*(AD$3-2020)/30))</f>
        <v>182.75799110964681</v>
      </c>
      <c r="AE44">
        <f>MIN(Supply!AE6,Supply!AE43*(Inputs!$B$71+(Inputs!$B$72-Inputs!$B$71)*(AE$3-2020)/30))</f>
        <v>192.06402601374563</v>
      </c>
      <c r="AF44">
        <f>MIN(Supply!AF6,Supply!AF43*(Inputs!$B$71+(Inputs!$B$72-Inputs!$B$71)*(AF$3-2020)/30))</f>
        <v>201.54680801807663</v>
      </c>
      <c r="AG44">
        <f>MIN(Supply!AG6,Supply!AG43*(Inputs!$B$71+(Inputs!$B$72-Inputs!$B$71)*(AG$3-2020)/30))</f>
        <v>211.20583427076252</v>
      </c>
      <c r="AH44">
        <f>MIN(Supply!AH6,Supply!AH43*(Inputs!$B$71+(Inputs!$B$72-Inputs!$B$71)*(AH$3-2020)/30))</f>
        <v>221.04058069765708</v>
      </c>
    </row>
    <row r="45" spans="1:34" ht="15" customHeight="1" x14ac:dyDescent="0.2">
      <c r="A45" t="s">
        <v>297</v>
      </c>
      <c r="B45" t="s">
        <v>95</v>
      </c>
      <c r="C45" t="s">
        <v>245</v>
      </c>
      <c r="D45" s="46">
        <f>MIN(Supply!D14,MAX(Supply!D43-Supply!D44,0))</f>
        <v>7.8422197749500002</v>
      </c>
      <c r="E45">
        <f>MIN(Supply!E14,MAX(Supply!E43-Supply!E44,0))</f>
        <v>16.95714505383653</v>
      </c>
      <c r="F45">
        <f>MIN(Supply!F14,MAX(Supply!F43-Supply!F44,0))</f>
        <v>26.30922124360092</v>
      </c>
      <c r="G45">
        <f>MIN(Supply!G14,MAX(Supply!G43-Supply!G44,0))</f>
        <v>35.894206480906618</v>
      </c>
      <c r="H45">
        <f>MIN(Supply!H14,MAX(Supply!H43-Supply!H44,0))</f>
        <v>45.707903604683125</v>
      </c>
      <c r="I45">
        <f>MIN(Supply!I14,MAX(Supply!I43-Supply!I44,0))</f>
        <v>55.746159774087921</v>
      </c>
      <c r="J45">
        <f>MIN(Supply!J14,MAX(Supply!J43-Supply!J44,0))</f>
        <v>66.004866089376534</v>
      </c>
      <c r="K45">
        <f>MIN(Supply!K14,MAX(Supply!K43-Supply!K44,0))</f>
        <v>36.455446272797921</v>
      </c>
      <c r="L45">
        <f>MIN(Supply!L14,MAX(Supply!L43-Supply!L44,0))</f>
        <v>41.259241211177446</v>
      </c>
      <c r="M45">
        <f>MIN(Supply!M14,MAX(Supply!M43-Supply!M44,0))</f>
        <v>46.089726629808801</v>
      </c>
      <c r="N45">
        <f>MIN(Supply!N14,MAX(Supply!N43-Supply!N44,0))</f>
        <v>50.942981489611235</v>
      </c>
      <c r="O45">
        <f>MIN(Supply!O14,MAX(Supply!O43-Supply!O44,0))</f>
        <v>55.815156744031327</v>
      </c>
      <c r="P45">
        <f>MIN(Supply!P14,MAX(Supply!P43-Supply!P44,0))</f>
        <v>60.702474471000883</v>
      </c>
      <c r="Q45">
        <f>MIN(Supply!Q14,MAX(Supply!Q43-Supply!Q44,0))</f>
        <v>65.601227013400347</v>
      </c>
      <c r="R45">
        <f>MIN(Supply!R14,MAX(Supply!R43-Supply!R44,0))</f>
        <v>70.507776127954656</v>
      </c>
      <c r="S45">
        <f>MIN(Supply!S14,MAX(Supply!S43-Supply!S44,0))</f>
        <v>75.418552142488664</v>
      </c>
      <c r="T45">
        <f>MIN(Supply!T14,MAX(Supply!T43-Supply!T44,0))</f>
        <v>80.33005312146949</v>
      </c>
      <c r="U45">
        <f>MIN(Supply!U14,MAX(Supply!U43-Supply!U44,0))</f>
        <v>85.238844039764686</v>
      </c>
      <c r="V45">
        <f>MIN(Supply!V14,MAX(Supply!V43-Supply!V44,0))</f>
        <v>90.141555964544381</v>
      </c>
      <c r="W45">
        <f>MIN(Supply!W14,MAX(Supply!W43-Supply!W44,0))</f>
        <v>95.0348852452573</v>
      </c>
      <c r="X45">
        <f>MIN(Supply!X14,MAX(Supply!X43-Supply!X44,0))</f>
        <v>99.915592711610543</v>
      </c>
      <c r="Y45">
        <f>MIN(Supply!Y14,MAX(Supply!Y43-Supply!Y44,0))</f>
        <v>104.78050287948332</v>
      </c>
      <c r="Z45">
        <f>MIN(Supply!Z14,MAX(Supply!Z43-Supply!Z44,0))</f>
        <v>109.62650316470641</v>
      </c>
      <c r="AA45">
        <f>MIN(Supply!AA14,MAX(Supply!AA43-Supply!AA44,0))</f>
        <v>114.45054310463814</v>
      </c>
      <c r="AB45">
        <f>MIN(Supply!AB14,MAX(Supply!AB43-Supply!AB44,0))</f>
        <v>119.24963358746987</v>
      </c>
      <c r="AC45">
        <f>MIN(Supply!AC14,MAX(Supply!AC43-Supply!AC44,0))</f>
        <v>124.02084608919273</v>
      </c>
      <c r="AD45">
        <f>MIN(Supply!AD14,MAX(Supply!AD43-Supply!AD44,0))</f>
        <v>128.76131191816023</v>
      </c>
      <c r="AE45">
        <f>MIN(Supply!AE14,MAX(Supply!AE43-Supply!AE44,0))</f>
        <v>133.46822146717918</v>
      </c>
      <c r="AF45">
        <f>MIN(Supply!AF14,MAX(Supply!AF43-Supply!AF44,0))</f>
        <v>138.13882347306381</v>
      </c>
      <c r="AG45">
        <f>MIN(Supply!AG14,MAX(Supply!AG43-Supply!AG44,0))</f>
        <v>142.77042428358806</v>
      </c>
      <c r="AH45">
        <f>MIN(Supply!AH14,MAX(Supply!AH43-Supply!AH44,0))</f>
        <v>147.36038713177138</v>
      </c>
    </row>
    <row r="46" spans="1:34" ht="15" customHeight="1" x14ac:dyDescent="0.2">
      <c r="A46" t="s">
        <v>298</v>
      </c>
      <c r="B46" t="s">
        <v>95</v>
      </c>
      <c r="C46" t="s">
        <v>247</v>
      </c>
      <c r="D46">
        <f>MIN(Supply!D12*Inputs!$B$52,Supply!D8)</f>
        <v>784.22197749500003</v>
      </c>
      <c r="E46">
        <f>MIN(Supply!E12*Inputs!$B$52,Supply!E8)</f>
        <v>794.86617439858742</v>
      </c>
      <c r="F46">
        <f>MIN(Supply!F12*Inputs!$B$52,Supply!F8)</f>
        <v>805.38432378370169</v>
      </c>
      <c r="G46">
        <f>MIN(Supply!G12*Inputs!$B$52,Supply!G8)</f>
        <v>815.77742002060484</v>
      </c>
      <c r="H46">
        <f>MIN(Supply!H12*Inputs!$B$52,Supply!H8)</f>
        <v>826.0464506870444</v>
      </c>
      <c r="I46">
        <f>MIN(Supply!I12*Inputs!$B$52,Supply!I8)</f>
        <v>836.19239661131905</v>
      </c>
      <c r="J46">
        <f>MIN(Supply!J12*Inputs!$B$52,Supply!J8)</f>
        <v>846.21623191508377</v>
      </c>
      <c r="K46">
        <f>MIN(Supply!K12*Inputs!$B$52,Supply!K8)</f>
        <v>856.11892405589538</v>
      </c>
      <c r="L46">
        <f>MIN(Supply!L12*Inputs!$B$52,Supply!L8)</f>
        <v>865.90143386950137</v>
      </c>
      <c r="M46">
        <f>MIN(Supply!M12*Inputs!$B$52,Supply!M8)</f>
        <v>875.56471561186947</v>
      </c>
      <c r="N46">
        <f>MIN(Supply!N12*Inputs!$B$52,Supply!N8)</f>
        <v>885.10971700096752</v>
      </c>
      <c r="O46">
        <f>MIN(Supply!O12*Inputs!$B$52,Supply!O8)</f>
        <v>894.53737925828398</v>
      </c>
      <c r="P46">
        <f>MIN(Supply!P12*Inputs!$B$52,Supply!P8)</f>
        <v>903.84863715010238</v>
      </c>
      <c r="Q46">
        <f>MIN(Supply!Q12*Inputs!$B$52,Supply!Q8)</f>
        <v>913.04441902852136</v>
      </c>
      <c r="R46">
        <f>MIN(Supply!R12*Inputs!$B$52,Supply!R8)</f>
        <v>922.12564687222732</v>
      </c>
      <c r="S46">
        <f>MIN(Supply!S12*Inputs!$B$52,Supply!S8)</f>
        <v>931.09323632702035</v>
      </c>
      <c r="T46">
        <f>MIN(Supply!T12*Inputs!$B$52,Supply!T8)</f>
        <v>939.9480967460936</v>
      </c>
      <c r="U46">
        <f>MIN(Supply!U12*Inputs!$B$52,Supply!U8)</f>
        <v>948.69113123006798</v>
      </c>
      <c r="V46">
        <f>MIN(Supply!V12*Inputs!$B$52,Supply!V8)</f>
        <v>957.32323666678394</v>
      </c>
      <c r="W46">
        <f>MIN(Supply!W12*Inputs!$B$52,Supply!W8)</f>
        <v>965.84530377085218</v>
      </c>
      <c r="X46">
        <f>MIN(Supply!X12*Inputs!$B$52,Supply!X8)</f>
        <v>974.25821712296306</v>
      </c>
      <c r="Y46">
        <f>MIN(Supply!Y12*Inputs!$B$52,Supply!Y8)</f>
        <v>982.56285520895824</v>
      </c>
      <c r="Z46">
        <f>MIN(Supply!Z12*Inputs!$B$52,Supply!Z8)</f>
        <v>990.76009045866579</v>
      </c>
      <c r="AA46">
        <f>MIN(Supply!AA12*Inputs!$B$52,Supply!AA8)</f>
        <v>998.8507892844957</v>
      </c>
      <c r="AB46">
        <f>MIN(Supply!AB12*Inputs!$B$52,Supply!AB8)</f>
        <v>1006.8358121198061</v>
      </c>
      <c r="AC46">
        <f>MIN(Supply!AC12*Inputs!$B$52,Supply!AC8)</f>
        <v>1014.7160134570314</v>
      </c>
      <c r="AD46">
        <f>MIN(Supply!AD12*Inputs!$B$52,Supply!AD8)</f>
        <v>1022.4922418855811</v>
      </c>
      <c r="AE46">
        <f>MIN(Supply!AE12*Inputs!$B$52,Supply!AE8)</f>
        <v>1030.1653401295089</v>
      </c>
      <c r="AF46">
        <f>MIN(Supply!AF12*Inputs!$B$52,Supply!AF8)</f>
        <v>1037.7361450849505</v>
      </c>
      <c r="AG46">
        <f>MIN(Supply!AG12*Inputs!$B$52,Supply!AG8)</f>
        <v>1045.2054878573344</v>
      </c>
      <c r="AH46">
        <f>MIN(Supply!AH12*Inputs!$B$52,Supply!AH8)</f>
        <v>1052.5741937983671</v>
      </c>
    </row>
    <row r="47" spans="1:34" ht="15" customHeight="1" x14ac:dyDescent="0.2">
      <c r="A47" t="s">
        <v>299</v>
      </c>
      <c r="B47" t="s">
        <v>95</v>
      </c>
      <c r="C47" t="s">
        <v>249</v>
      </c>
      <c r="D47">
        <f>MIN(MAX(Supply!D12-D46,0)*Inputs!$B$53,MAX(Supply!D9,0))</f>
        <v>0</v>
      </c>
      <c r="E47">
        <f>MIN(MAX(Supply!E12-E46,0)*Inputs!$B$53,MAX(Supply!E9,0))</f>
        <v>0</v>
      </c>
      <c r="F47">
        <f>MIN(MAX(Supply!F12-F46,0)*Inputs!$B$53,MAX(Supply!F9,0))</f>
        <v>0</v>
      </c>
      <c r="G47">
        <f>MIN(MAX(Supply!G12-G46,0)*Inputs!$B$53,MAX(Supply!G9,0))</f>
        <v>0</v>
      </c>
      <c r="H47">
        <f>MIN(MAX(Supply!H12-H46,0)*Inputs!$B$53,MAX(Supply!H9,0))</f>
        <v>0</v>
      </c>
      <c r="I47">
        <f>MIN(MAX(Supply!I12-I46,0)*Inputs!$B$53,MAX(Supply!I9,0))</f>
        <v>0</v>
      </c>
      <c r="J47">
        <f>MIN(MAX(Supply!J12-J46,0)*Inputs!$B$53,MAX(Supply!J9,0))</f>
        <v>0</v>
      </c>
      <c r="K47">
        <f>MIN(MAX(Supply!K12-K46,0)*Inputs!$B$53,MAX(Supply!K9,0))</f>
        <v>0</v>
      </c>
      <c r="L47">
        <f>MIN(MAX(Supply!L12-L46,0)*Inputs!$B$53,MAX(Supply!L9,0))</f>
        <v>0</v>
      </c>
      <c r="M47">
        <f>MIN(MAX(Supply!M12-M46,0)*Inputs!$B$53,MAX(Supply!M9,0))</f>
        <v>0</v>
      </c>
      <c r="N47">
        <f>MIN(MAX(Supply!N12-N46,0)*Inputs!$B$53,MAX(Supply!N9,0))</f>
        <v>0</v>
      </c>
      <c r="O47">
        <f>MIN(MAX(Supply!O12-O46,0)*Inputs!$B$53,MAX(Supply!O9,0))</f>
        <v>0</v>
      </c>
      <c r="P47">
        <f>MIN(MAX(Supply!P12-P46,0)*Inputs!$B$53,MAX(Supply!P9,0))</f>
        <v>0</v>
      </c>
      <c r="Q47">
        <f>MIN(MAX(Supply!Q12-Q46,0)*Inputs!$B$53,MAX(Supply!Q9,0))</f>
        <v>0</v>
      </c>
      <c r="R47">
        <f>MIN(MAX(Supply!R12-R46,0)*Inputs!$B$53,MAX(Supply!R9,0))</f>
        <v>0</v>
      </c>
      <c r="S47">
        <f>MIN(MAX(Supply!S12-S46,0)*Inputs!$B$53,MAX(Supply!S9,0))</f>
        <v>0</v>
      </c>
      <c r="T47">
        <f>MIN(MAX(Supply!T12-T46,0)*Inputs!$B$53,MAX(Supply!T9,0))</f>
        <v>0</v>
      </c>
      <c r="U47">
        <f>MIN(MAX(Supply!U12-U46,0)*Inputs!$B$53,MAX(Supply!U9,0))</f>
        <v>0</v>
      </c>
      <c r="V47">
        <f>MIN(MAX(Supply!V12-V46,0)*Inputs!$B$53,MAX(Supply!V9,0))</f>
        <v>0</v>
      </c>
      <c r="W47">
        <f>MIN(MAX(Supply!W12-W46,0)*Inputs!$B$53,MAX(Supply!W9,0))</f>
        <v>0</v>
      </c>
      <c r="X47">
        <f>MIN(MAX(Supply!X12-X46,0)*Inputs!$B$53,MAX(Supply!X9,0))</f>
        <v>0</v>
      </c>
      <c r="Y47">
        <f>MIN(MAX(Supply!Y12-Y46,0)*Inputs!$B$53,MAX(Supply!Y9,0))</f>
        <v>0</v>
      </c>
      <c r="Z47">
        <f>MIN(MAX(Supply!Z12-Z46,0)*Inputs!$B$53,MAX(Supply!Z9,0))</f>
        <v>0</v>
      </c>
      <c r="AA47">
        <f>MIN(MAX(Supply!AA12-AA46,0)*Inputs!$B$53,MAX(Supply!AA9,0))</f>
        <v>0</v>
      </c>
      <c r="AB47">
        <f>MIN(MAX(Supply!AB12-AB46,0)*Inputs!$B$53,MAX(Supply!AB9,0))</f>
        <v>0</v>
      </c>
      <c r="AC47">
        <f>MIN(MAX(Supply!AC12-AC46,0)*Inputs!$B$53,MAX(Supply!AC9,0))</f>
        <v>0</v>
      </c>
      <c r="AD47">
        <f>MIN(MAX(Supply!AD12-AD46,0)*Inputs!$B$53,MAX(Supply!AD9,0))</f>
        <v>0</v>
      </c>
      <c r="AE47">
        <f>MIN(MAX(Supply!AE12-AE46,0)*Inputs!$B$53,MAX(Supply!AE9,0))</f>
        <v>0</v>
      </c>
      <c r="AF47">
        <f>MIN(MAX(Supply!AF12-AF46,0)*Inputs!$B$53,MAX(Supply!AF9,0))</f>
        <v>0</v>
      </c>
      <c r="AG47">
        <f>MIN(MAX(Supply!AG12-AG46,0)*Inputs!$B$53,MAX(Supply!AG9,0))</f>
        <v>0</v>
      </c>
      <c r="AH47">
        <f>MIN(MAX(Supply!AH12-AH46,0)*Inputs!$B$53,MAX(Supply!AH9,0))</f>
        <v>0</v>
      </c>
    </row>
    <row r="48" spans="1:34" ht="15" customHeight="1" x14ac:dyDescent="0.2">
      <c r="A48" t="s">
        <v>300</v>
      </c>
      <c r="B48" t="s">
        <v>95</v>
      </c>
      <c r="C48" t="s">
        <v>251</v>
      </c>
      <c r="D48">
        <f>MAX(Supply!D12-D46-D47,0)</f>
        <v>0</v>
      </c>
      <c r="E48">
        <f>MAX(Supply!E12-E46-E47,0)</f>
        <v>0</v>
      </c>
      <c r="F48">
        <f>MAX(Supply!F12-F46-F47,0)</f>
        <v>0</v>
      </c>
      <c r="G48">
        <f>MAX(Supply!G12-G46-G47,0)</f>
        <v>0</v>
      </c>
      <c r="H48">
        <f>MAX(Supply!H12-H46-H47,0)</f>
        <v>0</v>
      </c>
      <c r="I48">
        <f>MAX(Supply!I12-I46-I47,0)</f>
        <v>0</v>
      </c>
      <c r="J48">
        <f>MAX(Supply!J12-J46-J47,0)</f>
        <v>0</v>
      </c>
      <c r="K48">
        <f>MAX(Supply!K12-K46-K47,0)</f>
        <v>0</v>
      </c>
      <c r="L48">
        <f>MAX(Supply!L12-L46-L47,0)</f>
        <v>0</v>
      </c>
      <c r="M48">
        <f>MAX(Supply!M12-M46-M47,0)</f>
        <v>0</v>
      </c>
      <c r="N48">
        <f>MAX(Supply!N12-N46-N47,0)</f>
        <v>0</v>
      </c>
      <c r="O48">
        <f>MAX(Supply!O12-O46-O47,0)</f>
        <v>0</v>
      </c>
      <c r="P48">
        <f>MAX(Supply!P12-P46-P47,0)</f>
        <v>0</v>
      </c>
      <c r="Q48">
        <f>MAX(Supply!Q12-Q46-Q47,0)</f>
        <v>0</v>
      </c>
      <c r="R48">
        <f>MAX(Supply!R12-R46-R47,0)</f>
        <v>0</v>
      </c>
      <c r="S48">
        <f>MAX(Supply!S12-S46-S47,0)</f>
        <v>0</v>
      </c>
      <c r="T48">
        <f>MAX(Supply!T12-T46-T47,0)</f>
        <v>0</v>
      </c>
      <c r="U48">
        <f>MAX(Supply!U12-U46-U47,0)</f>
        <v>0</v>
      </c>
      <c r="V48">
        <f>MAX(Supply!V12-V46-V47,0)</f>
        <v>0</v>
      </c>
      <c r="W48">
        <f>MAX(Supply!W12-W46-W47,0)</f>
        <v>0</v>
      </c>
      <c r="X48">
        <f>MAX(Supply!X12-X46-X47,0)</f>
        <v>0</v>
      </c>
      <c r="Y48">
        <f>MAX(Supply!Y12-Y46-Y47,0)</f>
        <v>0</v>
      </c>
      <c r="Z48">
        <f>MAX(Supply!Z12-Z46-Z47,0)</f>
        <v>0</v>
      </c>
      <c r="AA48">
        <f>MAX(Supply!AA12-AA46-AA47,0)</f>
        <v>0</v>
      </c>
      <c r="AB48">
        <f>MAX(Supply!AB12-AB46-AB47,0)</f>
        <v>0</v>
      </c>
      <c r="AC48">
        <f>MAX(Supply!AC12-AC46-AC47,0)</f>
        <v>0</v>
      </c>
      <c r="AD48">
        <f>MAX(Supply!AD12-AD46-AD47,0)</f>
        <v>0</v>
      </c>
      <c r="AE48">
        <f>MAX(Supply!AE12-AE46-AE47,0)</f>
        <v>0</v>
      </c>
      <c r="AF48">
        <f>MAX(Supply!AF12-AF46-AF47,0)</f>
        <v>0</v>
      </c>
      <c r="AG48">
        <f>MAX(Supply!AG12-AG46-AG47,0)</f>
        <v>0</v>
      </c>
      <c r="AH48">
        <f>MAX(Supply!AH12-AH46-AH47,0)</f>
        <v>0</v>
      </c>
    </row>
    <row r="49" spans="1:34" ht="15" customHeight="1" x14ac:dyDescent="0.2">
      <c r="A49" t="s">
        <v>301</v>
      </c>
      <c r="B49" t="s">
        <v>95</v>
      </c>
      <c r="C49" t="s">
        <v>253</v>
      </c>
      <c r="D49">
        <f>MIN(Supply!D13*Inputs!$B$54,MAX(Supply!D8-D46,0))</f>
        <v>389.62701858989999</v>
      </c>
      <c r="E49">
        <f>MIN(Supply!E13*Inputs!$B$54,MAX(Supply!E8-E46,0))</f>
        <v>403.93296803511453</v>
      </c>
      <c r="F49">
        <f>MIN(Supply!F13*Inputs!$B$54,MAX(Supply!F8-F46,0))</f>
        <v>418.62357806823337</v>
      </c>
      <c r="G49">
        <f>MIN(Supply!G13*Inputs!$B$54,MAX(Supply!G8-G46,0))</f>
        <v>433.70798901525569</v>
      </c>
      <c r="H49">
        <f>MIN(Supply!H13*Inputs!$B$54,MAX(Supply!H8-H46,0))</f>
        <v>449.19554435252496</v>
      </c>
      <c r="I49">
        <f>MIN(Supply!I13*Inputs!$B$54,MAX(Supply!I8-I46,0))</f>
        <v>465.09579503632892</v>
      </c>
      <c r="J49">
        <f>MIN(Supply!J13*Inputs!$B$54,MAX(Supply!J8-J46,0))</f>
        <v>481.41850392215304</v>
      </c>
      <c r="K49">
        <f>MIN(Supply!K13*Inputs!$B$54,MAX(Supply!K8-K46,0))</f>
        <v>498.17365027540257</v>
      </c>
      <c r="L49">
        <f>MIN(Supply!L13*Inputs!$B$54,MAX(Supply!L8-L46,0))</f>
        <v>515.37143437544944</v>
      </c>
      <c r="M49">
        <f>MIN(Supply!M13*Inputs!$B$54,MAX(Supply!M8-M46,0))</f>
        <v>533.02228221489327</v>
      </c>
      <c r="N49">
        <f>MIN(Supply!N13*Inputs!$B$54,MAX(Supply!N8-N46,0))</f>
        <v>551.13685029596729</v>
      </c>
      <c r="O49">
        <f>MIN(Supply!O13*Inputs!$B$54,MAX(Supply!O8-O46,0))</f>
        <v>569.72603052605507</v>
      </c>
      <c r="P49">
        <f>MIN(Supply!P13*Inputs!$B$54,MAX(Supply!P8-P46,0))</f>
        <v>588.80095521432304</v>
      </c>
      <c r="Q49">
        <f>MIN(Supply!Q13*Inputs!$B$54,MAX(Supply!Q8-Q46,0))</f>
        <v>608.3730021715196</v>
      </c>
      <c r="R49">
        <f>MIN(Supply!R13*Inputs!$B$54,MAX(Supply!R8-R46,0))</f>
        <v>628.45379991502341</v>
      </c>
      <c r="S49">
        <f>MIN(Supply!S13*Inputs!$B$54,MAX(Supply!S8-S46,0))</f>
        <v>649.05523298127218</v>
      </c>
      <c r="T49">
        <f>MIN(Supply!T13*Inputs!$B$54,MAX(Supply!T8-T46,0))</f>
        <v>670.18944734774129</v>
      </c>
      <c r="U49">
        <f>MIN(Supply!U13*Inputs!$B$54,MAX(Supply!U8-U46,0))</f>
        <v>691.86885596669049</v>
      </c>
      <c r="V49">
        <f>MIN(Supply!V13*Inputs!$B$54,MAX(Supply!V8-V46,0))</f>
        <v>714.10614441293103</v>
      </c>
      <c r="W49">
        <f>MIN(Supply!W13*Inputs!$B$54,MAX(Supply!W8-W46,0))</f>
        <v>736.91427664792297</v>
      </c>
      <c r="X49">
        <f>MIN(Supply!X13*Inputs!$B$54,MAX(Supply!X8-X46,0))</f>
        <v>760.30650090254744</v>
      </c>
      <c r="Y49">
        <f>MIN(Supply!Y13*Inputs!$B$54,MAX(Supply!Y8-Y46,0))</f>
        <v>784.29635568095091</v>
      </c>
      <c r="Z49">
        <f>MIN(Supply!Z13*Inputs!$B$54,MAX(Supply!Z8-Z46,0))</f>
        <v>808.89767588790824</v>
      </c>
      <c r="AA49">
        <f>MIN(Supply!AA13*Inputs!$B$54,MAX(Supply!AA8-AA46,0))</f>
        <v>834.12459908219046</v>
      </c>
      <c r="AB49">
        <f>MIN(Supply!AB13*Inputs!$B$54,MAX(Supply!AB8-AB46,0))</f>
        <v>859.99157185848537</v>
      </c>
      <c r="AC49">
        <f>MIN(Supply!AC13*Inputs!$B$54,MAX(Supply!AC8-AC46,0))</f>
        <v>886.51335636045974</v>
      </c>
      <c r="AD49">
        <f>MIN(Supply!AD13*Inputs!$B$54,MAX(Supply!AD8-AD46,0))</f>
        <v>913.7050369276069</v>
      </c>
      <c r="AE49">
        <f>MIN(Supply!AE13*Inputs!$B$54,MAX(Supply!AE8-AE46,0))</f>
        <v>941.58202687857829</v>
      </c>
      <c r="AF49">
        <f>MIN(Supply!AF13*Inputs!$B$54,MAX(Supply!AF8-AF46,0))</f>
        <v>970.16007543374485</v>
      </c>
      <c r="AG49">
        <f>MIN(Supply!AG13*Inputs!$B$54,MAX(Supply!AG8-AG46,0))</f>
        <v>999.45527477979738</v>
      </c>
      <c r="AH49">
        <f>MIN(Supply!AH13*Inputs!$B$54,MAX(Supply!AH8-AH46,0))</f>
        <v>1029.4840672792445</v>
      </c>
    </row>
    <row r="50" spans="1:34" ht="15" customHeight="1" x14ac:dyDescent="0.2">
      <c r="A50" t="s">
        <v>302</v>
      </c>
      <c r="B50" t="s">
        <v>95</v>
      </c>
      <c r="C50" t="s">
        <v>255</v>
      </c>
      <c r="D50">
        <f>MIN(MAX(Supply!D13-D49,0)*Inputs!$B$55,MAX(Supply!D9-D47,0))</f>
        <v>0</v>
      </c>
      <c r="E50">
        <f>MIN(MAX(Supply!E13-E49,0)*Inputs!$B$55,MAX(Supply!E9-E47,0))</f>
        <v>0</v>
      </c>
      <c r="F50">
        <f>MIN(MAX(Supply!F13-F49,0)*Inputs!$B$55,MAX(Supply!F9-F47,0))</f>
        <v>0</v>
      </c>
      <c r="G50">
        <f>MIN(MAX(Supply!G13-G49,0)*Inputs!$B$55,MAX(Supply!G9-G47,0))</f>
        <v>0</v>
      </c>
      <c r="H50">
        <f>MIN(MAX(Supply!H13-H49,0)*Inputs!$B$55,MAX(Supply!H9-H47,0))</f>
        <v>0</v>
      </c>
      <c r="I50">
        <f>MIN(MAX(Supply!I13-I49,0)*Inputs!$B$55,MAX(Supply!I9-I47,0))</f>
        <v>0</v>
      </c>
      <c r="J50">
        <f>MIN(MAX(Supply!J13-J49,0)*Inputs!$B$55,MAX(Supply!J9-J47,0))</f>
        <v>0</v>
      </c>
      <c r="K50">
        <f>MIN(MAX(Supply!K13-K49,0)*Inputs!$B$55,MAX(Supply!K9-K47,0))</f>
        <v>0</v>
      </c>
      <c r="L50">
        <f>MIN(MAX(Supply!L13-L49,0)*Inputs!$B$55,MAX(Supply!L9-L47,0))</f>
        <v>0</v>
      </c>
      <c r="M50">
        <f>MIN(MAX(Supply!M13-M49,0)*Inputs!$B$55,MAX(Supply!M9-M47,0))</f>
        <v>0</v>
      </c>
      <c r="N50">
        <f>MIN(MAX(Supply!N13-N49,0)*Inputs!$B$55,MAX(Supply!N9-N47,0))</f>
        <v>0</v>
      </c>
      <c r="O50">
        <f>MIN(MAX(Supply!O13-O49,0)*Inputs!$B$55,MAX(Supply!O9-O47,0))</f>
        <v>0</v>
      </c>
      <c r="P50">
        <f>MIN(MAX(Supply!P13-P49,0)*Inputs!$B$55,MAX(Supply!P9-P47,0))</f>
        <v>0</v>
      </c>
      <c r="Q50">
        <f>MIN(MAX(Supply!Q13-Q49,0)*Inputs!$B$55,MAX(Supply!Q9-Q47,0))</f>
        <v>0</v>
      </c>
      <c r="R50">
        <f>MIN(MAX(Supply!R13-R49,0)*Inputs!$B$55,MAX(Supply!R9-R47,0))</f>
        <v>0</v>
      </c>
      <c r="S50">
        <f>MIN(MAX(Supply!S13-S49,0)*Inputs!$B$55,MAX(Supply!S9-S47,0))</f>
        <v>0</v>
      </c>
      <c r="T50">
        <f>MIN(MAX(Supply!T13-T49,0)*Inputs!$B$55,MAX(Supply!T9-T47,0))</f>
        <v>0</v>
      </c>
      <c r="U50">
        <f>MIN(MAX(Supply!U13-U49,0)*Inputs!$B$55,MAX(Supply!U9-U47,0))</f>
        <v>0</v>
      </c>
      <c r="V50">
        <f>MIN(MAX(Supply!V13-V49,0)*Inputs!$B$55,MAX(Supply!V9-V47,0))</f>
        <v>0</v>
      </c>
      <c r="W50">
        <f>MIN(MAX(Supply!W13-W49,0)*Inputs!$B$55,MAX(Supply!W9-W47,0))</f>
        <v>0</v>
      </c>
      <c r="X50">
        <f>MIN(MAX(Supply!X13-X49,0)*Inputs!$B$55,MAX(Supply!X9-X47,0))</f>
        <v>0</v>
      </c>
      <c r="Y50">
        <f>MIN(MAX(Supply!Y13-Y49,0)*Inputs!$B$55,MAX(Supply!Y9-Y47,0))</f>
        <v>0</v>
      </c>
      <c r="Z50">
        <f>MIN(MAX(Supply!Z13-Z49,0)*Inputs!$B$55,MAX(Supply!Z9-Z47,0))</f>
        <v>0</v>
      </c>
      <c r="AA50">
        <f>MIN(MAX(Supply!AA13-AA49,0)*Inputs!$B$55,MAX(Supply!AA9-AA47,0))</f>
        <v>0</v>
      </c>
      <c r="AB50">
        <f>MIN(MAX(Supply!AB13-AB49,0)*Inputs!$B$55,MAX(Supply!AB9-AB47,0))</f>
        <v>0</v>
      </c>
      <c r="AC50">
        <f>MIN(MAX(Supply!AC13-AC49,0)*Inputs!$B$55,MAX(Supply!AC9-AC47,0))</f>
        <v>0</v>
      </c>
      <c r="AD50">
        <f>MIN(MAX(Supply!AD13-AD49,0)*Inputs!$B$55,MAX(Supply!AD9-AD47,0))</f>
        <v>0</v>
      </c>
      <c r="AE50">
        <f>MIN(MAX(Supply!AE13-AE49,0)*Inputs!$B$55,MAX(Supply!AE9-AE47,0))</f>
        <v>0</v>
      </c>
      <c r="AF50">
        <f>MIN(MAX(Supply!AF13-AF49,0)*Inputs!$B$55,MAX(Supply!AF9-AF47,0))</f>
        <v>0</v>
      </c>
      <c r="AG50">
        <f>MIN(MAX(Supply!AG13-AG49,0)*Inputs!$B$55,MAX(Supply!AG9-AG47,0))</f>
        <v>0</v>
      </c>
      <c r="AH50">
        <f>MIN(MAX(Supply!AH13-AH49,0)*Inputs!$B$55,MAX(Supply!AH9-AH47,0))</f>
        <v>0</v>
      </c>
    </row>
    <row r="51" spans="1:34" ht="15" customHeight="1" x14ac:dyDescent="0.2">
      <c r="A51" t="s">
        <v>303</v>
      </c>
      <c r="B51" t="s">
        <v>95</v>
      </c>
      <c r="C51" t="s">
        <v>257</v>
      </c>
      <c r="D51">
        <f>MAX(Supply!D13-D49-D50,0)</f>
        <v>0</v>
      </c>
      <c r="E51">
        <f>MAX(Supply!E13-E49-E50,0)</f>
        <v>0</v>
      </c>
      <c r="F51">
        <f>MAX(Supply!F13-F49-F50,0)</f>
        <v>0</v>
      </c>
      <c r="G51">
        <f>MAX(Supply!G13-G49-G50,0)</f>
        <v>0</v>
      </c>
      <c r="H51">
        <f>MAX(Supply!H13-H49-H50,0)</f>
        <v>0</v>
      </c>
      <c r="I51">
        <f>MAX(Supply!I13-I49-I50,0)</f>
        <v>0</v>
      </c>
      <c r="J51">
        <f>MAX(Supply!J13-J49-J50,0)</f>
        <v>0</v>
      </c>
      <c r="K51">
        <f>MAX(Supply!K13-K49-K50,0)</f>
        <v>0</v>
      </c>
      <c r="L51">
        <f>MAX(Supply!L13-L49-L50,0)</f>
        <v>0</v>
      </c>
      <c r="M51">
        <f>MAX(Supply!M13-M49-M50,0)</f>
        <v>0</v>
      </c>
      <c r="N51">
        <f>MAX(Supply!N13-N49-N50,0)</f>
        <v>0</v>
      </c>
      <c r="O51">
        <f>MAX(Supply!O13-O49-O50,0)</f>
        <v>0</v>
      </c>
      <c r="P51">
        <f>MAX(Supply!P13-P49-P50,0)</f>
        <v>0</v>
      </c>
      <c r="Q51">
        <f>MAX(Supply!Q13-Q49-Q50,0)</f>
        <v>0</v>
      </c>
      <c r="R51">
        <f>MAX(Supply!R13-R49-R50,0)</f>
        <v>0</v>
      </c>
      <c r="S51">
        <f>MAX(Supply!S13-S49-S50,0)</f>
        <v>0</v>
      </c>
      <c r="T51">
        <f>MAX(Supply!T13-T49-T50,0)</f>
        <v>0</v>
      </c>
      <c r="U51">
        <f>MAX(Supply!U13-U49-U50,0)</f>
        <v>0</v>
      </c>
      <c r="V51">
        <f>MAX(Supply!V13-V49-V50,0)</f>
        <v>0</v>
      </c>
      <c r="W51">
        <f>MAX(Supply!W13-W49-W50,0)</f>
        <v>0</v>
      </c>
      <c r="X51">
        <f>MAX(Supply!X13-X49-X50,0)</f>
        <v>0</v>
      </c>
      <c r="Y51">
        <f>MAX(Supply!Y13-Y49-Y50,0)</f>
        <v>0</v>
      </c>
      <c r="Z51">
        <f>MAX(Supply!Z13-Z49-Z50,0)</f>
        <v>0</v>
      </c>
      <c r="AA51">
        <f>MAX(Supply!AA13-AA49-AA50,0)</f>
        <v>0</v>
      </c>
      <c r="AB51">
        <f>MAX(Supply!AB13-AB49-AB50,0)</f>
        <v>0</v>
      </c>
      <c r="AC51">
        <f>MAX(Supply!AC13-AC49-AC50,0)</f>
        <v>0</v>
      </c>
      <c r="AD51">
        <f>MAX(Supply!AD13-AD49-AD50,0)</f>
        <v>0</v>
      </c>
      <c r="AE51">
        <f>MAX(Supply!AE13-AE49-AE50,0)</f>
        <v>0</v>
      </c>
      <c r="AF51">
        <f>MAX(Supply!AF13-AF49-AF50,0)</f>
        <v>0</v>
      </c>
      <c r="AG51">
        <f>MAX(Supply!AG13-AG49-AG50,0)</f>
        <v>0</v>
      </c>
      <c r="AH51">
        <f>MAX(Supply!AH13-AH49-AH50,0)</f>
        <v>0</v>
      </c>
    </row>
    <row r="52" spans="1:34" ht="15" customHeight="1" x14ac:dyDescent="0.2">
      <c r="A52" t="s">
        <v>304</v>
      </c>
      <c r="B52" t="s">
        <v>95</v>
      </c>
      <c r="C52" t="s">
        <v>259</v>
      </c>
      <c r="D52">
        <f>MIN(MAX(D14-D45-D58,0)*Inputs!$B$56,MAX(D8-D46-D49,0))</f>
        <v>4826.1510039150999</v>
      </c>
      <c r="E52">
        <f>MIN(MAX(E14-E45-E58,0)*Inputs!$B$56,MAX(E8-E46-E49,0))</f>
        <v>4711.2008575662976</v>
      </c>
      <c r="F52">
        <f>MIN(MAX(F14-F45-F58,0)*Inputs!$B$56,MAX(F8-F46-F49,0))</f>
        <v>4597.3420981480649</v>
      </c>
      <c r="G52">
        <f>MIN(MAX(G14-G45-G58,0)*Inputs!$B$56,MAX(G8-G46-G49,0))</f>
        <v>4484.5443409641393</v>
      </c>
      <c r="H52">
        <f>MIN(MAX(H14-H45-H58,0)*Inputs!$B$56,MAX(H8-H46-H49,0))</f>
        <v>4372.7773087104315</v>
      </c>
      <c r="I52">
        <f>MIN(MAX(I14-I45-I58,0)*Inputs!$B$56,MAX(I8-I46-I49,0))</f>
        <v>4262.0108225461017</v>
      </c>
      <c r="J52">
        <f>MIN(MAX(J14-J45-J58,0)*Inputs!$B$56,MAX(J8-J46-J49,0))</f>
        <v>4152.2147931436075</v>
      </c>
      <c r="K52">
        <f>MIN(MAX(K14-K45-K58,0)*Inputs!$B$56,MAX(K8-K46-K49,0))</f>
        <v>4043.3592117148332</v>
      </c>
      <c r="L52">
        <f>MIN(MAX(L14-L45-L58,0)*Inputs!$B$56,MAX(L8-L46-L49,0))</f>
        <v>3935.414141010488</v>
      </c>
      <c r="M52">
        <f>MIN(MAX(M14-M45-M58,0)*Inputs!$B$56,MAX(M8-M46-M49,0))</f>
        <v>3828.349706289845</v>
      </c>
      <c r="N52">
        <f>MIN(MAX(N14-N45-N58,0)*Inputs!$B$56,MAX(N8-N46-N49,0))</f>
        <v>3722.1360862579236</v>
      </c>
      <c r="O52">
        <f>MIN(MAX(O14-O45-O58,0)*Inputs!$B$56,MAX(O8-O46-O49,0))</f>
        <v>3616.7435039671964</v>
      </c>
      <c r="P52">
        <f>MIN(MAX(P14-P45-P58,0)*Inputs!$B$56,MAX(P8-P46-P49,0))</f>
        <v>3512.1422176808373</v>
      </c>
      <c r="Q52">
        <f>MIN(MAX(Q14-Q45-Q58,0)*Inputs!$B$56,MAX(Q8-Q46-Q49,0))</f>
        <v>3408.3025116945423</v>
      </c>
      <c r="R52">
        <f>MIN(MAX(R14-R45-R58,0)*Inputs!$B$56,MAX(R8-R46-R49,0))</f>
        <v>3305.1946871139148</v>
      </c>
      <c r="S52">
        <f>MIN(MAX(S14-S45-S58,0)*Inputs!$B$56,MAX(S8-S46-S49,0))</f>
        <v>3202.7890525843545</v>
      </c>
      <c r="T52">
        <f>MIN(MAX(T14-T45-T58,0)*Inputs!$B$56,MAX(T8-T46-T49,0))</f>
        <v>3101.0559149704227</v>
      </c>
      <c r="U52">
        <f>MIN(MAX(U14-U45-U58,0)*Inputs!$B$56,MAX(U8-U46-U49,0))</f>
        <v>2999.9655699815348</v>
      </c>
      <c r="V52">
        <f>MIN(MAX(V14-V45-V58,0)*Inputs!$B$56,MAX(V8-V46-V49,0))</f>
        <v>2899.4882927409039</v>
      </c>
      <c r="W52">
        <f>MIN(MAX(W14-W45-W58,0)*Inputs!$B$56,MAX(W8-W46-W49,0))</f>
        <v>2799.594328294535</v>
      </c>
      <c r="X52">
        <f>MIN(MAX(X14-X45-X58,0)*Inputs!$B$56,MAX(X8-X46-X49,0))</f>
        <v>2700.2538820570999</v>
      </c>
      <c r="Y52">
        <f>MIN(MAX(Y14-Y45-Y58,0)*Inputs!$B$56,MAX(Y8-Y46-Y49,0))</f>
        <v>2601.4371101914621</v>
      </c>
      <c r="Z52">
        <f>MIN(MAX(Z14-Z45-Z58,0)*Inputs!$B$56,MAX(Z8-Z46-Z49,0))</f>
        <v>2503.114109918577</v>
      </c>
      <c r="AA52">
        <f>MIN(MAX(AA14-AA45-AA58,0)*Inputs!$B$56,MAX(AA8-AA46-AA49,0))</f>
        <v>2405.2549097544875</v>
      </c>
      <c r="AB52">
        <f>MIN(MAX(AB14-AB45-AB58,0)*Inputs!$B$56,MAX(AB8-AB46-AB49,0))</f>
        <v>2307.8294596710648</v>
      </c>
      <c r="AC52">
        <f>MIN(MAX(AC14-AC45-AC58,0)*Inputs!$B$56,MAX(AC8-AC46-AC49,0))</f>
        <v>2210.8076211771249</v>
      </c>
      <c r="AD52">
        <f>MIN(MAX(AD14-AD45-AD58,0)*Inputs!$B$56,MAX(AD8-AD46-AD49,0))</f>
        <v>2114.1591573165088</v>
      </c>
      <c r="AE52">
        <f>MIN(MAX(AE14-AE45-AE58,0)*Inputs!$B$56,MAX(AE8-AE46-AE49,0))</f>
        <v>2017.8537225796636</v>
      </c>
      <c r="AF52">
        <f>MIN(MAX(AF14-AF45-AF58,0)*Inputs!$B$56,MAX(AF8-AF46-AF49,0))</f>
        <v>1921.8608527252393</v>
      </c>
      <c r="AG52">
        <f>MIN(MAX(AG14-AG45-AG58,0)*Inputs!$B$56,MAX(AG8-AG46-AG49,0))</f>
        <v>1826.1499545081433</v>
      </c>
      <c r="AH52">
        <f>MIN(MAX(AH14-AH45-AH58,0)*Inputs!$B$56,MAX(AH8-AH46-AH49,0))</f>
        <v>1730.6902953104852</v>
      </c>
    </row>
    <row r="53" spans="1:34" ht="15" customHeight="1" x14ac:dyDescent="0.2">
      <c r="A53" t="s">
        <v>305</v>
      </c>
      <c r="B53" t="s">
        <v>95</v>
      </c>
      <c r="C53" t="s">
        <v>261</v>
      </c>
      <c r="D53">
        <f>MIN(MAX(MAX(D14-D45-D58,0)-D52,0)*Inputs!$B$57,MAX(D9-D47-D50,0))</f>
        <v>912</v>
      </c>
      <c r="E53">
        <f>MIN(MAX(MAX(E14-E45-E58,0)-E52,0)*Inputs!$B$57,MAX(E9-E47-E50,0))</f>
        <v>893.76</v>
      </c>
      <c r="F53">
        <f>MIN(MAX(MAX(F14-F45-F58,0)-F52,0)*Inputs!$B$57,MAX(F9-F47-F50,0))</f>
        <v>875.88479999999993</v>
      </c>
      <c r="G53">
        <f>MIN(MAX(MAX(G14-G45-G58,0)-G52,0)*Inputs!$B$57,MAX(G9-G47-G50,0))</f>
        <v>858.36710399999993</v>
      </c>
      <c r="H53">
        <f>MIN(MAX(MAX(H14-H45-H58,0)-H52,0)*Inputs!$B$57,MAX(H9-H47-H50,0))</f>
        <v>841.1997619199999</v>
      </c>
      <c r="I53">
        <f>MIN(MAX(MAX(I14-I45-I58,0)-I52,0)*Inputs!$B$57,MAX(I9-I47-I50,0))</f>
        <v>824.37576668159988</v>
      </c>
      <c r="J53">
        <f>MIN(MAX(MAX(J14-J45-J58,0)-J52,0)*Inputs!$B$57,MAX(J9-J47-J50,0))</f>
        <v>807.88825134796787</v>
      </c>
      <c r="K53">
        <f>MIN(MAX(MAX(K14-K45-K58,0)-K52,0)*Inputs!$B$57,MAX(K9-K47-K50,0))</f>
        <v>791.73048632100847</v>
      </c>
      <c r="L53">
        <f>MIN(MAX(MAX(L14-L45-L58,0)-L52,0)*Inputs!$B$57,MAX(L9-L47-L50,0))</f>
        <v>775.89587659458823</v>
      </c>
      <c r="M53">
        <f>MIN(MAX(MAX(M14-M45-M58,0)-M52,0)*Inputs!$B$57,MAX(M9-M47-M50,0))</f>
        <v>760.3779590626965</v>
      </c>
      <c r="N53">
        <f>MIN(MAX(MAX(N14-N45-N58,0)-N52,0)*Inputs!$B$57,MAX(N9-N47-N50,0))</f>
        <v>745.17039988144245</v>
      </c>
      <c r="O53">
        <f>MIN(MAX(MAX(O14-O45-O58,0)-O52,0)*Inputs!$B$57,MAX(O9-O47-O50,0))</f>
        <v>730.2669918838136</v>
      </c>
      <c r="P53">
        <f>MIN(MAX(MAX(P14-P45-P58,0)-P52,0)*Inputs!$B$57,MAX(P9-P47-P50,0))</f>
        <v>715.66165204613731</v>
      </c>
      <c r="Q53">
        <f>MIN(MAX(MAX(Q14-Q45-Q58,0)-Q52,0)*Inputs!$B$57,MAX(Q9-Q47-Q50,0))</f>
        <v>701.34841900521451</v>
      </c>
      <c r="R53">
        <f>MIN(MAX(MAX(R14-R45-R58,0)-R52,0)*Inputs!$B$57,MAX(R9-R47-R50,0))</f>
        <v>687.32145062511029</v>
      </c>
      <c r="S53">
        <f>MIN(MAX(MAX(S14-S45-S58,0)-S52,0)*Inputs!$B$57,MAX(S9-S47-S50,0))</f>
        <v>673.575021612608</v>
      </c>
      <c r="T53">
        <f>MIN(MAX(MAX(T14-T45-T58,0)-T52,0)*Inputs!$B$57,MAX(T9-T47-T50,0))</f>
        <v>660.10352118035587</v>
      </c>
      <c r="U53">
        <f>MIN(MAX(MAX(U14-U45-U58,0)-U52,0)*Inputs!$B$57,MAX(U9-U47-U50,0))</f>
        <v>646.90145075674877</v>
      </c>
      <c r="V53">
        <f>MIN(MAX(MAX(V14-V45-V58,0)-V52,0)*Inputs!$B$57,MAX(V9-V47-V50,0))</f>
        <v>633.96342174161373</v>
      </c>
      <c r="W53">
        <f>MIN(MAX(MAX(W14-W45-W58,0)-W52,0)*Inputs!$B$57,MAX(W9-W47-W50,0))</f>
        <v>621.28415330678149</v>
      </c>
      <c r="X53">
        <f>MIN(MAX(MAX(X14-X45-X58,0)-X52,0)*Inputs!$B$57,MAX(X9-X47-X50,0))</f>
        <v>608.85847024064583</v>
      </c>
      <c r="Y53">
        <f>MIN(MAX(MAX(Y14-Y45-Y58,0)-Y52,0)*Inputs!$B$57,MAX(Y9-Y47-Y50,0))</f>
        <v>596.68130083583287</v>
      </c>
      <c r="Z53">
        <f>MIN(MAX(MAX(Z14-Z45-Z58,0)-Z52,0)*Inputs!$B$57,MAX(Z9-Z47-Z50,0))</f>
        <v>584.74767481911624</v>
      </c>
      <c r="AA53">
        <f>MIN(MAX(MAX(AA14-AA45-AA58,0)-AA52,0)*Inputs!$B$57,MAX(AA9-AA47-AA50,0))</f>
        <v>573.05272132273387</v>
      </c>
      <c r="AB53">
        <f>MIN(MAX(MAX(AB14-AB45-AB58,0)-AB52,0)*Inputs!$B$57,MAX(AB9-AB47-AB50,0))</f>
        <v>561.59166689627921</v>
      </c>
      <c r="AC53">
        <f>MIN(MAX(MAX(AC14-AC45-AC58,0)-AC52,0)*Inputs!$B$57,MAX(AC9-AC47-AC50,0))</f>
        <v>550.35983355835356</v>
      </c>
      <c r="AD53">
        <f>MIN(MAX(MAX(AD14-AD45-AD58,0)-AD52,0)*Inputs!$B$57,MAX(AD9-AD47-AD50,0))</f>
        <v>539.35263688718646</v>
      </c>
      <c r="AE53">
        <f>MIN(MAX(MAX(AE14-AE45-AE58,0)-AE52,0)*Inputs!$B$57,MAX(AE9-AE47-AE50,0))</f>
        <v>528.56558414944266</v>
      </c>
      <c r="AF53">
        <f>MIN(MAX(MAX(AF14-AF45-AF58,0)-AF52,0)*Inputs!$B$57,MAX(AF9-AF47-AF50,0))</f>
        <v>517.99427246645382</v>
      </c>
      <c r="AG53">
        <f>MIN(MAX(MAX(AG14-AG45-AG58,0)-AG52,0)*Inputs!$B$57,MAX(AG9-AG47-AG50,0))</f>
        <v>507.63438701712477</v>
      </c>
      <c r="AH53">
        <f>MIN(MAX(MAX(AH14-AH45-AH58,0)-AH52,0)*Inputs!$B$57,MAX(AH9-AH47-AH50,0))</f>
        <v>497.48169927678225</v>
      </c>
    </row>
    <row r="54" spans="1:34" ht="15" customHeight="1" x14ac:dyDescent="0.2">
      <c r="A54" t="s">
        <v>306</v>
      </c>
      <c r="B54" t="s">
        <v>95</v>
      </c>
      <c r="C54" t="s">
        <v>263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ht="15" customHeight="1" x14ac:dyDescent="0.2">
      <c r="A55" t="s">
        <v>307</v>
      </c>
      <c r="B55" t="s">
        <v>95</v>
      </c>
      <c r="C55" t="s">
        <v>265</v>
      </c>
      <c r="D55">
        <f>MAX(Supply!D6-Supply!D44,0)</f>
        <v>0</v>
      </c>
      <c r="E55">
        <f>MAX(Supply!E6-Supply!E44,0)</f>
        <v>0</v>
      </c>
      <c r="F55">
        <f>MAX(Supply!F6-Supply!F44,0)</f>
        <v>0</v>
      </c>
      <c r="G55">
        <f>MAX(Supply!G6-Supply!G44,0)</f>
        <v>0</v>
      </c>
      <c r="H55">
        <f>MAX(Supply!H6-Supply!H44,0)</f>
        <v>0</v>
      </c>
      <c r="I55">
        <f>MAX(Supply!I6-Supply!I44,0)</f>
        <v>0</v>
      </c>
      <c r="J55">
        <f>MAX(Supply!J6-Supply!J44,0)</f>
        <v>0</v>
      </c>
      <c r="K55">
        <f>MAX(Supply!K6-Supply!K44,0)</f>
        <v>14.725489057137942</v>
      </c>
      <c r="L55">
        <f>MAX(Supply!L6-Supply!L44,0)</f>
        <v>63.591830201647646</v>
      </c>
      <c r="M55">
        <f>MAX(Supply!M6-Supply!M44,0)</f>
        <v>112.27647848127944</v>
      </c>
      <c r="N55">
        <f>MAX(Supply!N6-Supply!N44,0)</f>
        <v>160.77944972615859</v>
      </c>
      <c r="O55">
        <f>MAX(Supply!O6-Supply!O44,0)</f>
        <v>209.10078967058243</v>
      </c>
      <c r="P55">
        <f>MAX(Supply!P6-Supply!P44,0)</f>
        <v>257.24057344708592</v>
      </c>
      <c r="Q55">
        <f>MAX(Supply!Q6-Supply!Q44,0)</f>
        <v>305.19890508624633</v>
      </c>
      <c r="R55">
        <f>MAX(Supply!R6-Supply!R44,0)</f>
        <v>352.97591702217233</v>
      </c>
      <c r="S55">
        <f>MAX(Supply!S6-Supply!S44,0)</f>
        <v>400.571769603625</v>
      </c>
      <c r="T55">
        <f>MAX(Supply!T6-Supply!T44,0)</f>
        <v>447.98665061071688</v>
      </c>
      <c r="U55">
        <f>MAX(Supply!U6-Supply!U44,0)</f>
        <v>440.47077477713759</v>
      </c>
      <c r="V55">
        <f>MAX(Supply!V6-Supply!V44,0)</f>
        <v>432.77438331785265</v>
      </c>
      <c r="W55">
        <f>MAX(Supply!W6-Supply!W44,0)</f>
        <v>424.89774346222532</v>
      </c>
      <c r="X55">
        <f>MAX(Supply!X6-Supply!X44,0)</f>
        <v>416.84114799250932</v>
      </c>
      <c r="Y55">
        <f>MAX(Supply!Y6-Supply!Y44,0)</f>
        <v>408.60491478766164</v>
      </c>
      <c r="Z55">
        <f>MAX(Supply!Z6-Supply!Z44,0)</f>
        <v>400.18938637242582</v>
      </c>
      <c r="AA55">
        <f>MAX(Supply!AA6-Supply!AA44,0)</f>
        <v>391.59492947163466</v>
      </c>
      <c r="AB55">
        <f>MAX(Supply!AB6-Supply!AB44,0)</f>
        <v>382.82193456968452</v>
      </c>
      <c r="AC55">
        <f>MAX(Supply!AC6-Supply!AC44,0)</f>
        <v>373.8708154751302</v>
      </c>
      <c r="AD55">
        <f>MAX(Supply!AD6-Supply!AD44,0)</f>
        <v>364.74200889035319</v>
      </c>
      <c r="AE55">
        <f>MAX(Supply!AE6-Supply!AE44,0)</f>
        <v>355.43597398625434</v>
      </c>
      <c r="AF55">
        <f>MAX(Supply!AF6-Supply!AF44,0)</f>
        <v>345.9531919819234</v>
      </c>
      <c r="AG55">
        <f>MAX(Supply!AG6-Supply!AG44,0)</f>
        <v>336.29416572923748</v>
      </c>
      <c r="AH55">
        <f>MAX(Supply!AH6-Supply!AH44,0)</f>
        <v>326.45941930234289</v>
      </c>
    </row>
    <row r="56" spans="1:34" ht="15" customHeight="1" x14ac:dyDescent="0.2">
      <c r="A56" t="s">
        <v>308</v>
      </c>
      <c r="B56" t="s">
        <v>95</v>
      </c>
      <c r="C56" t="s">
        <v>267</v>
      </c>
      <c r="D56">
        <f t="shared" ref="D56:AH56" si="10">D46+D47+D48+D49+D50+D51+D52+D53+D54+D55+D44+D45+D58+D65</f>
        <v>7039.5343826149001</v>
      </c>
      <c r="E56">
        <f t="shared" si="10"/>
        <v>7126.1735901522616</v>
      </c>
      <c r="F56">
        <f t="shared" si="10"/>
        <v>7211.7089819152998</v>
      </c>
      <c r="G56">
        <f t="shared" si="10"/>
        <v>7296.1685433618586</v>
      </c>
      <c r="H56">
        <f t="shared" si="10"/>
        <v>7379.5802578908761</v>
      </c>
      <c r="I56">
        <f t="shared" si="10"/>
        <v>7461.9721132472614</v>
      </c>
      <c r="J56">
        <f t="shared" si="10"/>
        <v>7543.3721079963598</v>
      </c>
      <c r="K56">
        <f t="shared" si="10"/>
        <v>7678.5582580699975</v>
      </c>
      <c r="L56">
        <f t="shared" si="10"/>
        <v>7812.8086033861346</v>
      </c>
      <c r="M56">
        <f t="shared" si="10"/>
        <v>7946.151214544233</v>
      </c>
      <c r="N56">
        <f t="shared" si="10"/>
        <v>8078.6141995984208</v>
      </c>
      <c r="O56">
        <f t="shared" si="10"/>
        <v>8210.2257109106285</v>
      </c>
      <c r="P56">
        <f t="shared" si="10"/>
        <v>8341.013952085852</v>
      </c>
      <c r="Q56">
        <f t="shared" si="10"/>
        <v>8471.0071849918095</v>
      </c>
      <c r="R56">
        <f t="shared" si="10"/>
        <v>8600.2337368652152</v>
      </c>
      <c r="S56">
        <f t="shared" si="10"/>
        <v>8728.7220075069908</v>
      </c>
      <c r="T56">
        <f t="shared" si="10"/>
        <v>8856.50047656877</v>
      </c>
      <c r="U56">
        <f t="shared" si="10"/>
        <v>8928.8477109330688</v>
      </c>
      <c r="V56">
        <f t="shared" si="10"/>
        <v>9000.5423721895349</v>
      </c>
      <c r="W56">
        <f t="shared" si="10"/>
        <v>9071.613224209812</v>
      </c>
      <c r="X56">
        <f t="shared" si="10"/>
        <v>9142.0891408234347</v>
      </c>
      <c r="Y56">
        <f t="shared" si="10"/>
        <v>9211.9991135974069</v>
      </c>
      <c r="Z56">
        <f t="shared" si="10"/>
        <v>9281.372259722033</v>
      </c>
      <c r="AA56">
        <f t="shared" si="10"/>
        <v>9350.237830005648</v>
      </c>
      <c r="AB56">
        <f t="shared" si="10"/>
        <v>9418.6252169809613</v>
      </c>
      <c r="AC56">
        <f t="shared" si="10"/>
        <v>9486.5639631257836</v>
      </c>
      <c r="AD56">
        <f t="shared" si="10"/>
        <v>9554.0837692009045</v>
      </c>
      <c r="AE56">
        <f t="shared" si="10"/>
        <v>9621.2145027079823</v>
      </c>
      <c r="AF56">
        <f t="shared" si="10"/>
        <v>9687.9862064703902</v>
      </c>
      <c r="AG56">
        <f t="shared" si="10"/>
        <v>9754.4291073399145</v>
      </c>
      <c r="AH56">
        <f t="shared" si="10"/>
        <v>9820.5736250323625</v>
      </c>
    </row>
    <row r="57" spans="1:34" ht="15" customHeight="1" x14ac:dyDescent="0.2">
      <c r="A57" t="s">
        <v>309</v>
      </c>
      <c r="B57" t="s">
        <v>95</v>
      </c>
      <c r="C57" t="s">
        <v>310</v>
      </c>
      <c r="D57">
        <f t="shared" ref="D57:AH57" si="11">D48+D51+D55</f>
        <v>0</v>
      </c>
      <c r="E57">
        <f t="shared" si="11"/>
        <v>0</v>
      </c>
      <c r="F57">
        <f t="shared" si="11"/>
        <v>0</v>
      </c>
      <c r="G57">
        <f t="shared" si="11"/>
        <v>0</v>
      </c>
      <c r="H57">
        <f t="shared" si="11"/>
        <v>0</v>
      </c>
      <c r="I57">
        <f t="shared" si="11"/>
        <v>0</v>
      </c>
      <c r="J57">
        <f t="shared" si="11"/>
        <v>0</v>
      </c>
      <c r="K57">
        <f t="shared" si="11"/>
        <v>14.725489057137942</v>
      </c>
      <c r="L57">
        <f t="shared" si="11"/>
        <v>63.591830201647646</v>
      </c>
      <c r="M57">
        <f t="shared" si="11"/>
        <v>112.27647848127944</v>
      </c>
      <c r="N57">
        <f t="shared" si="11"/>
        <v>160.77944972615859</v>
      </c>
      <c r="O57">
        <f t="shared" si="11"/>
        <v>209.10078967058243</v>
      </c>
      <c r="P57">
        <f t="shared" si="11"/>
        <v>257.24057344708592</v>
      </c>
      <c r="Q57">
        <f t="shared" si="11"/>
        <v>305.19890508624633</v>
      </c>
      <c r="R57">
        <f t="shared" si="11"/>
        <v>352.97591702217233</v>
      </c>
      <c r="S57">
        <f t="shared" si="11"/>
        <v>400.571769603625</v>
      </c>
      <c r="T57">
        <f t="shared" si="11"/>
        <v>447.98665061071688</v>
      </c>
      <c r="U57">
        <f t="shared" si="11"/>
        <v>440.47077477713759</v>
      </c>
      <c r="V57">
        <f t="shared" si="11"/>
        <v>432.77438331785265</v>
      </c>
      <c r="W57">
        <f t="shared" si="11"/>
        <v>424.89774346222532</v>
      </c>
      <c r="X57">
        <f t="shared" si="11"/>
        <v>416.84114799250932</v>
      </c>
      <c r="Y57">
        <f t="shared" si="11"/>
        <v>408.60491478766164</v>
      </c>
      <c r="Z57">
        <f t="shared" si="11"/>
        <v>400.18938637242582</v>
      </c>
      <c r="AA57">
        <f t="shared" si="11"/>
        <v>391.59492947163466</v>
      </c>
      <c r="AB57">
        <f t="shared" si="11"/>
        <v>382.82193456968452</v>
      </c>
      <c r="AC57">
        <f t="shared" si="11"/>
        <v>373.8708154751302</v>
      </c>
      <c r="AD57">
        <f t="shared" si="11"/>
        <v>364.74200889035319</v>
      </c>
      <c r="AE57">
        <f t="shared" si="11"/>
        <v>355.43597398625434</v>
      </c>
      <c r="AF57">
        <f t="shared" si="11"/>
        <v>345.9531919819234</v>
      </c>
      <c r="AG57">
        <f t="shared" si="11"/>
        <v>336.29416572923748</v>
      </c>
      <c r="AH57">
        <f t="shared" si="11"/>
        <v>326.45941930234289</v>
      </c>
    </row>
    <row r="58" spans="1:34" ht="15" customHeight="1" x14ac:dyDescent="0.2">
      <c r="A58" t="s">
        <v>311</v>
      </c>
      <c r="B58" t="s">
        <v>95</v>
      </c>
      <c r="C58" t="s">
        <v>228</v>
      </c>
      <c r="D58">
        <f t="shared" ref="D58:AH58" si="12">MIN(D11,MAX(D14-D45,0))</f>
        <v>60</v>
      </c>
      <c r="E58">
        <f t="shared" si="12"/>
        <v>59.4</v>
      </c>
      <c r="F58">
        <f t="shared" si="12"/>
        <v>58.805999999999997</v>
      </c>
      <c r="G58">
        <f t="shared" si="12"/>
        <v>58.217939999999992</v>
      </c>
      <c r="H58">
        <f t="shared" si="12"/>
        <v>57.635760599999998</v>
      </c>
      <c r="I58">
        <f t="shared" si="12"/>
        <v>57.059402993999996</v>
      </c>
      <c r="J58">
        <f t="shared" si="12"/>
        <v>56.488808964059992</v>
      </c>
      <c r="K58">
        <f t="shared" si="12"/>
        <v>55.923920874419395</v>
      </c>
      <c r="L58">
        <f t="shared" si="12"/>
        <v>55.364681665675199</v>
      </c>
      <c r="M58">
        <f t="shared" si="12"/>
        <v>54.811034849018441</v>
      </c>
      <c r="N58">
        <f t="shared" si="12"/>
        <v>54.262924500528257</v>
      </c>
      <c r="O58">
        <f t="shared" si="12"/>
        <v>53.720295255522977</v>
      </c>
      <c r="P58">
        <f t="shared" si="12"/>
        <v>53.183092302967751</v>
      </c>
      <c r="Q58">
        <f t="shared" si="12"/>
        <v>52.651261379938063</v>
      </c>
      <c r="R58">
        <f t="shared" si="12"/>
        <v>52.124748766138687</v>
      </c>
      <c r="S58">
        <f t="shared" si="12"/>
        <v>51.603501278477296</v>
      </c>
      <c r="T58">
        <f t="shared" si="12"/>
        <v>51.087466265692527</v>
      </c>
      <c r="U58">
        <f t="shared" si="12"/>
        <v>50.576591603035595</v>
      </c>
      <c r="V58">
        <f t="shared" si="12"/>
        <v>50.07082568700524</v>
      </c>
      <c r="W58">
        <f t="shared" si="12"/>
        <v>49.570117430135184</v>
      </c>
      <c r="X58">
        <f t="shared" si="12"/>
        <v>49.074416255833839</v>
      </c>
      <c r="Y58">
        <f t="shared" si="12"/>
        <v>48.583672093275496</v>
      </c>
      <c r="Z58">
        <f t="shared" si="12"/>
        <v>48.097835372342736</v>
      </c>
      <c r="AA58">
        <f t="shared" si="12"/>
        <v>47.616857018619314</v>
      </c>
      <c r="AB58">
        <f t="shared" si="12"/>
        <v>47.140688448433117</v>
      </c>
      <c r="AC58">
        <f t="shared" si="12"/>
        <v>46.669281563948786</v>
      </c>
      <c r="AD58">
        <f t="shared" si="12"/>
        <v>46.202588748309296</v>
      </c>
      <c r="AE58">
        <f t="shared" si="12"/>
        <v>45.740562860826209</v>
      </c>
      <c r="AF58">
        <f t="shared" si="12"/>
        <v>45.283157232217938</v>
      </c>
      <c r="AG58">
        <f t="shared" si="12"/>
        <v>44.830325659895756</v>
      </c>
      <c r="AH58">
        <f t="shared" si="12"/>
        <v>44.382022403296808</v>
      </c>
    </row>
    <row r="59" spans="1:34" ht="15" customHeight="1" x14ac:dyDescent="0.2">
      <c r="A59" t="s">
        <v>312</v>
      </c>
      <c r="B59" t="s">
        <v>95</v>
      </c>
      <c r="C59" t="s">
        <v>313</v>
      </c>
      <c r="D59">
        <f t="shared" ref="D59:AH59" si="13">D44+D45</f>
        <v>7.8422197749500002</v>
      </c>
      <c r="E59">
        <f t="shared" si="13"/>
        <v>16.95714505383653</v>
      </c>
      <c r="F59">
        <f t="shared" si="13"/>
        <v>26.30922124360092</v>
      </c>
      <c r="G59">
        <f t="shared" si="13"/>
        <v>35.894206480906618</v>
      </c>
      <c r="H59">
        <f t="shared" si="13"/>
        <v>45.707903604683125</v>
      </c>
      <c r="I59">
        <f t="shared" si="13"/>
        <v>55.746159774087921</v>
      </c>
      <c r="J59">
        <f t="shared" si="13"/>
        <v>66.004866089376534</v>
      </c>
      <c r="K59">
        <f t="shared" si="13"/>
        <v>76.479957215659979</v>
      </c>
      <c r="L59">
        <f t="shared" si="13"/>
        <v>87.1674110095298</v>
      </c>
      <c r="M59">
        <f t="shared" si="13"/>
        <v>98.063248148529368</v>
      </c>
      <c r="N59">
        <f t="shared" si="13"/>
        <v>109.16353176345264</v>
      </c>
      <c r="O59">
        <f t="shared" si="13"/>
        <v>120.4643670734489</v>
      </c>
      <c r="P59">
        <f t="shared" si="13"/>
        <v>131.96190102391498</v>
      </c>
      <c r="Q59">
        <f t="shared" si="13"/>
        <v>143.65232192715405</v>
      </c>
      <c r="R59">
        <f t="shared" si="13"/>
        <v>155.53185910578233</v>
      </c>
      <c r="S59">
        <f t="shared" si="13"/>
        <v>167.59678253886366</v>
      </c>
      <c r="T59">
        <f t="shared" si="13"/>
        <v>179.84340251075258</v>
      </c>
      <c r="U59">
        <f t="shared" si="13"/>
        <v>192.26806926262711</v>
      </c>
      <c r="V59">
        <f t="shared" si="13"/>
        <v>204.86717264669176</v>
      </c>
      <c r="W59">
        <f t="shared" si="13"/>
        <v>217.63714178303201</v>
      </c>
      <c r="X59">
        <f t="shared" si="13"/>
        <v>230.57444471910122</v>
      </c>
      <c r="Y59">
        <f t="shared" si="13"/>
        <v>243.67558809182165</v>
      </c>
      <c r="Z59">
        <f t="shared" si="13"/>
        <v>256.93711679228062</v>
      </c>
      <c r="AA59">
        <f t="shared" si="13"/>
        <v>270.35561363300349</v>
      </c>
      <c r="AB59">
        <f t="shared" si="13"/>
        <v>283.92769901778536</v>
      </c>
      <c r="AC59">
        <f t="shared" si="13"/>
        <v>297.65003061406253</v>
      </c>
      <c r="AD59">
        <f t="shared" si="13"/>
        <v>311.51930302780704</v>
      </c>
      <c r="AE59">
        <f t="shared" si="13"/>
        <v>325.53224748092481</v>
      </c>
      <c r="AF59">
        <f t="shared" si="13"/>
        <v>339.68563149114044</v>
      </c>
      <c r="AG59">
        <f t="shared" si="13"/>
        <v>353.97625855435058</v>
      </c>
      <c r="AH59">
        <f t="shared" si="13"/>
        <v>368.40096782942845</v>
      </c>
    </row>
    <row r="60" spans="1:34" ht="15" customHeight="1" x14ac:dyDescent="0.2">
      <c r="A60" t="s">
        <v>314</v>
      </c>
      <c r="B60" t="s">
        <v>95</v>
      </c>
      <c r="C60" t="s">
        <v>282</v>
      </c>
      <c r="D60" s="46">
        <f t="shared" ref="D60:AH60" si="14">D46+D49+D52+D65+D47+D50+D53+D58+D57+D59</f>
        <v>7039.5343826149001</v>
      </c>
      <c r="E60">
        <f t="shared" si="14"/>
        <v>7126.1735901522616</v>
      </c>
      <c r="F60">
        <f t="shared" si="14"/>
        <v>7211.7089819152998</v>
      </c>
      <c r="G60">
        <f t="shared" si="14"/>
        <v>7296.1685433618586</v>
      </c>
      <c r="H60">
        <f t="shared" si="14"/>
        <v>7379.5802578908761</v>
      </c>
      <c r="I60">
        <f t="shared" si="14"/>
        <v>7461.9721132472614</v>
      </c>
      <c r="J60">
        <f t="shared" si="14"/>
        <v>7543.3721079963598</v>
      </c>
      <c r="K60">
        <f t="shared" si="14"/>
        <v>7678.5582580699966</v>
      </c>
      <c r="L60">
        <f t="shared" si="14"/>
        <v>7812.8086033861364</v>
      </c>
      <c r="M60">
        <f t="shared" si="14"/>
        <v>7946.151214544233</v>
      </c>
      <c r="N60">
        <f t="shared" si="14"/>
        <v>8078.6141995984208</v>
      </c>
      <c r="O60">
        <f t="shared" si="14"/>
        <v>8210.2257109106285</v>
      </c>
      <c r="P60">
        <f t="shared" si="14"/>
        <v>8341.013952085852</v>
      </c>
      <c r="Q60">
        <f t="shared" si="14"/>
        <v>8471.0071849918095</v>
      </c>
      <c r="R60">
        <f t="shared" si="14"/>
        <v>8600.233736865217</v>
      </c>
      <c r="S60">
        <f t="shared" si="14"/>
        <v>8728.7220075069908</v>
      </c>
      <c r="T60">
        <f t="shared" si="14"/>
        <v>8856.5004765687718</v>
      </c>
      <c r="U60">
        <f t="shared" si="14"/>
        <v>8928.8477109330688</v>
      </c>
      <c r="V60">
        <f t="shared" si="14"/>
        <v>9000.5423721895349</v>
      </c>
      <c r="W60">
        <f t="shared" si="14"/>
        <v>9071.6132242098138</v>
      </c>
      <c r="X60">
        <f t="shared" si="14"/>
        <v>9142.0891408234329</v>
      </c>
      <c r="Y60">
        <f t="shared" si="14"/>
        <v>9211.9991135974051</v>
      </c>
      <c r="Z60">
        <f t="shared" si="14"/>
        <v>9281.3722597220312</v>
      </c>
      <c r="AA60">
        <f t="shared" si="14"/>
        <v>9350.237830005648</v>
      </c>
      <c r="AB60">
        <f t="shared" si="14"/>
        <v>9418.6252169809632</v>
      </c>
      <c r="AC60">
        <f t="shared" si="14"/>
        <v>9486.5639631257836</v>
      </c>
      <c r="AD60">
        <f t="shared" si="14"/>
        <v>9554.0837692009027</v>
      </c>
      <c r="AE60">
        <f t="shared" si="14"/>
        <v>9621.2145027079823</v>
      </c>
      <c r="AF60">
        <f t="shared" si="14"/>
        <v>9687.9862064703902</v>
      </c>
      <c r="AG60">
        <f t="shared" si="14"/>
        <v>9754.4291073399145</v>
      </c>
      <c r="AH60">
        <f t="shared" si="14"/>
        <v>9820.5736250323625</v>
      </c>
    </row>
    <row r="61" spans="1:34" ht="15" customHeight="1" x14ac:dyDescent="0.2">
      <c r="A61" t="s">
        <v>315</v>
      </c>
      <c r="B61" t="s">
        <v>284</v>
      </c>
      <c r="D61">
        <f t="shared" ref="D61:AH61" si="15">(D46+D49+D52+D65)/D5</f>
        <v>0.86080866055647021</v>
      </c>
      <c r="E61">
        <f t="shared" si="15"/>
        <v>0.86386563100364944</v>
      </c>
      <c r="F61">
        <f t="shared" si="15"/>
        <v>0.86674448127989001</v>
      </c>
      <c r="G61">
        <f t="shared" si="15"/>
        <v>0.86945487281163714</v>
      </c>
      <c r="H61">
        <f t="shared" si="15"/>
        <v>0.87200580614125078</v>
      </c>
      <c r="I61">
        <f t="shared" si="15"/>
        <v>0.87440567785211809</v>
      </c>
      <c r="J61">
        <f t="shared" si="15"/>
        <v>0.87666233176868591</v>
      </c>
      <c r="K61">
        <f t="shared" si="15"/>
        <v>0.87772966982681877</v>
      </c>
      <c r="L61">
        <f t="shared" si="15"/>
        <v>0.87430643071867598</v>
      </c>
      <c r="M61">
        <f t="shared" si="15"/>
        <v>0.8709401957183438</v>
      </c>
      <c r="N61">
        <f t="shared" si="15"/>
        <v>0.86762874430558401</v>
      </c>
      <c r="O61">
        <f t="shared" si="15"/>
        <v>0.86437005715889637</v>
      </c>
      <c r="P61">
        <f t="shared" si="15"/>
        <v>0.86116229687752643</v>
      </c>
      <c r="Q61">
        <f t="shared" si="15"/>
        <v>0.85800379091524581</v>
      </c>
      <c r="R61">
        <f t="shared" si="15"/>
        <v>0.85489301643398341</v>
      </c>
      <c r="S61">
        <f t="shared" si="15"/>
        <v>0.85182858682848972</v>
      </c>
      <c r="T61">
        <f t="shared" si="15"/>
        <v>0.84880923970928446</v>
      </c>
      <c r="U61">
        <f t="shared" si="15"/>
        <v>0.85102031869456751</v>
      </c>
      <c r="V61">
        <f t="shared" si="15"/>
        <v>0.85315598230202616</v>
      </c>
      <c r="W61">
        <f t="shared" si="15"/>
        <v>0.85521989049565361</v>
      </c>
      <c r="X61">
        <f t="shared" si="15"/>
        <v>0.85721551615821179</v>
      </c>
      <c r="Y61">
        <f t="shared" si="15"/>
        <v>0.8591461571144372</v>
      </c>
      <c r="Z61">
        <f t="shared" si="15"/>
        <v>0.86101494722346161</v>
      </c>
      <c r="AA61">
        <f t="shared" si="15"/>
        <v>0.86282486662211288</v>
      </c>
      <c r="AB61">
        <f t="shared" si="15"/>
        <v>0.86457875119262639</v>
      </c>
      <c r="AC61">
        <f t="shared" si="15"/>
        <v>0.86627930132107467</v>
      </c>
      <c r="AD61">
        <f t="shared" si="15"/>
        <v>0.86792909000637797</v>
      </c>
      <c r="AE61">
        <f t="shared" si="15"/>
        <v>0.86953057037402715</v>
      </c>
      <c r="AF61">
        <f t="shared" si="15"/>
        <v>0.87108608264351028</v>
      </c>
      <c r="AG61">
        <f t="shared" si="15"/>
        <v>0.87259786059386224</v>
      </c>
      <c r="AH61">
        <f t="shared" si="15"/>
        <v>0.87406803756763507</v>
      </c>
    </row>
    <row r="62" spans="1:34" ht="15" customHeight="1" x14ac:dyDescent="0.2">
      <c r="A62" t="s">
        <v>316</v>
      </c>
      <c r="B62" t="s">
        <v>284</v>
      </c>
      <c r="D62">
        <f t="shared" ref="D62:AH62" si="16">(D47+D50+D53)/D5</f>
        <v>0.12955402309736702</v>
      </c>
      <c r="E62">
        <f t="shared" si="16"/>
        <v>0.12541934162747551</v>
      </c>
      <c r="F62">
        <f t="shared" si="16"/>
        <v>0.12145315378039295</v>
      </c>
      <c r="G62">
        <f t="shared" si="16"/>
        <v>0.11764628227797075</v>
      </c>
      <c r="H62">
        <f t="shared" si="16"/>
        <v>0.11399019084053155</v>
      </c>
      <c r="I62">
        <f t="shared" si="16"/>
        <v>0.11047692944578058</v>
      </c>
      <c r="J62">
        <f t="shared" si="16"/>
        <v>0.10709908510168351</v>
      </c>
      <c r="K62">
        <f t="shared" si="16"/>
        <v>0.10310926344654832</v>
      </c>
      <c r="L62">
        <f t="shared" si="16"/>
        <v>9.9310749307017276E-2</v>
      </c>
      <c r="M62">
        <f t="shared" si="16"/>
        <v>9.569135277352124E-2</v>
      </c>
      <c r="N62">
        <f t="shared" si="16"/>
        <v>9.2239879448443529E-2</v>
      </c>
      <c r="O62">
        <f t="shared" si="16"/>
        <v>8.8946031156409811E-2</v>
      </c>
      <c r="P62">
        <f t="shared" si="16"/>
        <v>8.5800318301490264E-2</v>
      </c>
      <c r="Q62">
        <f t="shared" si="16"/>
        <v>8.2793982308007288E-2</v>
      </c>
      <c r="R62">
        <f t="shared" si="16"/>
        <v>7.9918926816940086E-2</v>
      </c>
      <c r="S62">
        <f t="shared" si="16"/>
        <v>7.7167656506108351E-2</v>
      </c>
      <c r="T62">
        <f t="shared" si="16"/>
        <v>7.4533222566493501E-2</v>
      </c>
      <c r="U62">
        <f t="shared" si="16"/>
        <v>7.2450720596862694E-2</v>
      </c>
      <c r="V62">
        <f t="shared" si="16"/>
        <v>7.0436135460066857E-2</v>
      </c>
      <c r="W62">
        <f t="shared" si="16"/>
        <v>6.8486622825666033E-2</v>
      </c>
      <c r="X62">
        <f t="shared" si="16"/>
        <v>6.6599489554507396E-2</v>
      </c>
      <c r="Y62">
        <f t="shared" si="16"/>
        <v>6.4772183917723047E-2</v>
      </c>
      <c r="Z62">
        <f t="shared" si="16"/>
        <v>6.3002286564533161E-2</v>
      </c>
      <c r="AA62">
        <f t="shared" si="16"/>
        <v>6.1287502172807068E-2</v>
      </c>
      <c r="AB62">
        <f t="shared" si="16"/>
        <v>5.9625651722905196E-2</v>
      </c>
      <c r="AC62">
        <f t="shared" si="16"/>
        <v>5.8014665341170828E-2</v>
      </c>
      <c r="AD62">
        <f t="shared" si="16"/>
        <v>5.6452575664646641E-2</v>
      </c>
      <c r="AE62">
        <f t="shared" si="16"/>
        <v>5.4937511683236337E-2</v>
      </c>
      <c r="AF62">
        <f t="shared" si="16"/>
        <v>5.3467693019680081E-2</v>
      </c>
      <c r="AG62">
        <f t="shared" si="16"/>
        <v>5.204142461142551E-2</v>
      </c>
      <c r="AH62">
        <f t="shared" si="16"/>
        <v>5.0657091761800506E-2</v>
      </c>
    </row>
    <row r="63" spans="1:34" ht="15" customHeight="1" x14ac:dyDescent="0.2">
      <c r="A63" t="s">
        <v>317</v>
      </c>
      <c r="B63" t="s">
        <v>284</v>
      </c>
      <c r="D63">
        <f>D57/Supply!D5</f>
        <v>0</v>
      </c>
      <c r="E63">
        <f>E57/Supply!E5</f>
        <v>0</v>
      </c>
      <c r="F63">
        <f>F57/Supply!F5</f>
        <v>0</v>
      </c>
      <c r="G63">
        <f>G57/Supply!G5</f>
        <v>0</v>
      </c>
      <c r="H63">
        <f>H57/Supply!H5</f>
        <v>0</v>
      </c>
      <c r="I63">
        <f>I57/Supply!I5</f>
        <v>0</v>
      </c>
      <c r="J63">
        <f>J57/Supply!J5</f>
        <v>0</v>
      </c>
      <c r="K63">
        <f>K57/Supply!K5</f>
        <v>1.9177413991307254E-3</v>
      </c>
      <c r="L63">
        <f>L57/Supply!L5</f>
        <v>8.1394327481779643E-3</v>
      </c>
      <c r="M63">
        <f>M57/Supply!M5</f>
        <v>1.4129667992697428E-2</v>
      </c>
      <c r="N63">
        <f>N57/Supply!N5</f>
        <v>1.9901860115333986E-2</v>
      </c>
      <c r="O63">
        <f>O57/Supply!O5</f>
        <v>2.5468336320243531E-2</v>
      </c>
      <c r="P63">
        <f>P57/Supply!P5</f>
        <v>3.0840443970574744E-2</v>
      </c>
      <c r="Q63">
        <f>Q57/Supply!Q5</f>
        <v>3.6028644341958661E-2</v>
      </c>
      <c r="R63">
        <f>R57/Supply!R5</f>
        <v>4.1042595797033773E-2</v>
      </c>
      <c r="S63">
        <f>S57/Supply!S5</f>
        <v>4.5891227748932777E-2</v>
      </c>
      <c r="T63">
        <f>T57/Supply!T5</f>
        <v>5.0582806583247444E-2</v>
      </c>
      <c r="U63">
        <f>U57/Supply!U5</f>
        <v>4.9331200288901353E-2</v>
      </c>
      <c r="V63">
        <f>V57/Supply!V5</f>
        <v>4.8083144928584211E-2</v>
      </c>
      <c r="W63">
        <f>W57/Supply!W5</f>
        <v>4.6838167915744258E-2</v>
      </c>
      <c r="X63">
        <f>X57/Supply!X5</f>
        <v>4.5595830621595113E-2</v>
      </c>
      <c r="Y63">
        <f>Y57/Supply!Y5</f>
        <v>4.4355726672241941E-2</v>
      </c>
      <c r="Z63">
        <f>Z57/Supply!Z5</f>
        <v>4.3117480386936989E-2</v>
      </c>
      <c r="AA63">
        <f>AA57/Supply!AA5</f>
        <v>4.1880745344784261E-2</v>
      </c>
      <c r="AB63">
        <f>AB57/Supply!AB5</f>
        <v>4.0645203068436137E-2</v>
      </c>
      <c r="AC63">
        <f>AC57/Supply!AC5</f>
        <v>3.9410561814410758E-2</v>
      </c>
      <c r="AD63">
        <f>AD57/Supply!AD5</f>
        <v>3.8176555460624761E-2</v>
      </c>
      <c r="AE63">
        <f>AE57/Supply!AE5</f>
        <v>3.694294248259547E-2</v>
      </c>
      <c r="AF63">
        <f>AF57/Supply!AF5</f>
        <v>3.5709505010532425E-2</v>
      </c>
      <c r="AG63">
        <f>AG57/Supply!AG5</f>
        <v>3.4476047960222113E-2</v>
      </c>
      <c r="AH63">
        <f>AH57/Supply!AH5</f>
        <v>3.3242398231220133E-2</v>
      </c>
    </row>
    <row r="64" spans="1:34" ht="15" customHeight="1" x14ac:dyDescent="0.2">
      <c r="A64" t="s">
        <v>318</v>
      </c>
      <c r="B64" t="s">
        <v>284</v>
      </c>
      <c r="D64">
        <f>D59/Supply!D5</f>
        <v>1.1140253529150226E-3</v>
      </c>
      <c r="E64">
        <f>E59/Supply!E5</f>
        <v>2.3795582354701264E-3</v>
      </c>
      <c r="F64">
        <f>F59/Supply!F5</f>
        <v>3.6481257507168111E-3</v>
      </c>
      <c r="G64">
        <f>G59/Supply!G5</f>
        <v>4.9195966715384603E-3</v>
      </c>
      <c r="H64">
        <f>H59/Supply!H5</f>
        <v>6.1938351515058521E-3</v>
      </c>
      <c r="I64">
        <f>I59/Supply!I5</f>
        <v>7.4707006308857137E-3</v>
      </c>
      <c r="J64">
        <f>J59/Supply!J5</f>
        <v>8.7500477431582627E-3</v>
      </c>
      <c r="K64">
        <f>K59/Supply!K5</f>
        <v>9.960197558608247E-3</v>
      </c>
      <c r="L64">
        <f>L59/Supply!L5</f>
        <v>1.1156987894436674E-2</v>
      </c>
      <c r="M64">
        <f>M59/Supply!M5</f>
        <v>1.2340974328432029E-2</v>
      </c>
      <c r="N64">
        <f>N59/Supply!N5</f>
        <v>1.3512655644439493E-2</v>
      </c>
      <c r="O64">
        <f>O59/Supply!O5</f>
        <v>1.4672479334321213E-2</v>
      </c>
      <c r="P64">
        <f>P59/Supply!P5</f>
        <v>1.5820846456073248E-2</v>
      </c>
      <c r="Q64">
        <f>Q59/Supply!Q5</f>
        <v>1.6958115934745596E-2</v>
      </c>
      <c r="R64">
        <f>R59/Supply!R5</f>
        <v>1.8084608379780348E-2</v>
      </c>
      <c r="S64">
        <f>S59/Supply!S5</f>
        <v>1.9200609481516865E-2</v>
      </c>
      <c r="T64">
        <f>T59/Supply!T5</f>
        <v>2.0306373040520451E-2</v>
      </c>
      <c r="U64">
        <f>U59/Supply!U5</f>
        <v>2.1533357437287393E-2</v>
      </c>
      <c r="V64">
        <f>V59/Supply!V5</f>
        <v>2.2761647484678668E-2</v>
      </c>
      <c r="W64">
        <f>W59/Supply!W5</f>
        <v>2.399100759743749E-2</v>
      </c>
      <c r="X64">
        <f>X59/Supply!X5</f>
        <v>2.5221198477433922E-2</v>
      </c>
      <c r="Y64">
        <f>Y59/Supply!Y5</f>
        <v>2.6451976936487473E-2</v>
      </c>
      <c r="Z64">
        <f>Z59/Supply!Z5</f>
        <v>2.7683095732222641E-2</v>
      </c>
      <c r="AA64">
        <f>AA59/Supply!AA5</f>
        <v>2.8914303416476866E-2</v>
      </c>
      <c r="AB64">
        <f>AB59/Supply!AB5</f>
        <v>3.0145344195869311E-2</v>
      </c>
      <c r="AC64">
        <f>AC59/Supply!AC5</f>
        <v>3.1375957804219354E-2</v>
      </c>
      <c r="AD64">
        <f>AD59/Supply!AD5</f>
        <v>3.2605879386575887E-2</v>
      </c>
      <c r="AE64">
        <f>AE59/Supply!AE5</f>
        <v>3.3834839394683555E-2</v>
      </c>
      <c r="AF64">
        <f>AF59/Supply!AF5</f>
        <v>3.506256349377046E-2</v>
      </c>
      <c r="AG64">
        <f>AG59/Supply!AG5</f>
        <v>3.6288772480594901E-2</v>
      </c>
      <c r="AH64">
        <f>AH59/Supply!AH5</f>
        <v>3.7513182212736015E-2</v>
      </c>
    </row>
    <row r="65" spans="1:34" ht="15" customHeight="1" x14ac:dyDescent="0.2">
      <c r="A65" s="53" t="s">
        <v>319</v>
      </c>
      <c r="B65" t="s">
        <v>95</v>
      </c>
      <c r="C65" t="s">
        <v>320</v>
      </c>
      <c r="D65" s="53">
        <f t="shared" ref="D65:AH65" si="17">MAX(MAX(D14-D45-D58,0)-D52-D53,0)</f>
        <v>59.69216283995047</v>
      </c>
      <c r="E65" s="53">
        <f t="shared" si="17"/>
        <v>246.056445098425</v>
      </c>
      <c r="F65" s="53">
        <f t="shared" si="17"/>
        <v>429.35896067169858</v>
      </c>
      <c r="G65" s="53">
        <f t="shared" si="17"/>
        <v>609.65954288095327</v>
      </c>
      <c r="H65" s="53">
        <f t="shared" si="17"/>
        <v>787.01752801619136</v>
      </c>
      <c r="I65" s="53">
        <f t="shared" si="17"/>
        <v>961.49176960382385</v>
      </c>
      <c r="J65" s="53">
        <f t="shared" si="17"/>
        <v>1133.1406526141113</v>
      </c>
      <c r="K65" s="53">
        <f t="shared" si="17"/>
        <v>1342.0466185556402</v>
      </c>
      <c r="L65" s="53">
        <f t="shared" si="17"/>
        <v>1514.1017946592551</v>
      </c>
      <c r="M65" s="53">
        <f t="shared" si="17"/>
        <v>1683.6857898861017</v>
      </c>
      <c r="N65" s="53">
        <f t="shared" si="17"/>
        <v>1850.8552401719808</v>
      </c>
      <c r="O65" s="53">
        <f t="shared" si="17"/>
        <v>2015.6663532757248</v>
      </c>
      <c r="P65" s="53">
        <f t="shared" si="17"/>
        <v>2178.1749232204838</v>
      </c>
      <c r="Q65" s="53">
        <f t="shared" si="17"/>
        <v>2338.4363446986736</v>
      </c>
      <c r="R65" s="53">
        <f t="shared" si="17"/>
        <v>2496.5056274448471</v>
      </c>
      <c r="S65" s="53">
        <f t="shared" si="17"/>
        <v>2652.4374105807706</v>
      </c>
      <c r="T65" s="53">
        <f t="shared" si="17"/>
        <v>2806.2859769369952</v>
      </c>
      <c r="U65" s="53">
        <f t="shared" si="17"/>
        <v>2958.1052673552267</v>
      </c>
      <c r="V65" s="53">
        <f t="shared" si="17"/>
        <v>3107.9488949757542</v>
      </c>
      <c r="W65" s="53">
        <f t="shared" si="17"/>
        <v>3255.8701595143284</v>
      </c>
      <c r="X65" s="53">
        <f t="shared" si="17"/>
        <v>3401.922061532734</v>
      </c>
      <c r="Y65" s="53">
        <f t="shared" si="17"/>
        <v>3546.157316707443</v>
      </c>
      <c r="Z65" s="53">
        <f t="shared" si="17"/>
        <v>3688.6283701007164</v>
      </c>
      <c r="AA65" s="53">
        <f t="shared" si="17"/>
        <v>3829.3874104384818</v>
      </c>
      <c r="AB65" s="53">
        <f t="shared" si="17"/>
        <v>3968.4863843994226</v>
      </c>
      <c r="AC65" s="53">
        <f t="shared" si="17"/>
        <v>4105.9770109196725</v>
      </c>
      <c r="AD65" s="53">
        <f t="shared" si="17"/>
        <v>4241.9107955175505</v>
      </c>
      <c r="AE65" s="53">
        <f t="shared" si="17"/>
        <v>4376.3390446427829</v>
      </c>
      <c r="AF65" s="53">
        <f t="shared" si="17"/>
        <v>4509.3128800547202</v>
      </c>
      <c r="AG65" s="53">
        <f t="shared" si="17"/>
        <v>4640.8832532340311</v>
      </c>
      <c r="AH65" s="53">
        <f t="shared" si="17"/>
        <v>4771.1009598324154</v>
      </c>
    </row>
    <row r="66" spans="1:34" ht="15" customHeight="1" x14ac:dyDescent="0.2">
      <c r="A66" s="32" t="s">
        <v>289</v>
      </c>
      <c r="B66" s="33" t="s">
        <v>95</v>
      </c>
      <c r="C66" s="34" t="s">
        <v>290</v>
      </c>
      <c r="D66" s="56">
        <f>D60-Supply!D5</f>
        <v>0</v>
      </c>
      <c r="E66" s="56">
        <f>E60-Supply!E5</f>
        <v>0</v>
      </c>
      <c r="F66" s="56">
        <f>F60-Supply!F5</f>
        <v>0</v>
      </c>
      <c r="G66" s="56">
        <f>G60-Supply!G5</f>
        <v>0</v>
      </c>
      <c r="H66" s="56">
        <f>H60-Supply!H5</f>
        <v>0</v>
      </c>
      <c r="I66" s="56">
        <f>I60-Supply!I5</f>
        <v>0</v>
      </c>
      <c r="J66" s="56">
        <f>J60-Supply!J5</f>
        <v>0</v>
      </c>
      <c r="K66" s="56">
        <f>K60-Supply!K5</f>
        <v>0</v>
      </c>
      <c r="L66" s="56">
        <f>L60-Supply!L5</f>
        <v>0</v>
      </c>
      <c r="M66" s="56">
        <f>M60-Supply!M5</f>
        <v>0</v>
      </c>
      <c r="N66" s="56">
        <f>N60-Supply!N5</f>
        <v>0</v>
      </c>
      <c r="O66" s="56">
        <f>O60-Supply!O5</f>
        <v>0</v>
      </c>
      <c r="P66" s="56">
        <f>P60-Supply!P5</f>
        <v>0</v>
      </c>
      <c r="Q66" s="56">
        <f>Q60-Supply!Q5</f>
        <v>0</v>
      </c>
      <c r="R66" s="56">
        <f>R60-Supply!R5</f>
        <v>0</v>
      </c>
      <c r="S66" s="56">
        <f>S60-Supply!S5</f>
        <v>0</v>
      </c>
      <c r="T66" s="56">
        <f>T60-Supply!T5</f>
        <v>0</v>
      </c>
      <c r="U66" s="56">
        <f>U60-Supply!U5</f>
        <v>0</v>
      </c>
      <c r="V66" s="56">
        <f>V60-Supply!V5</f>
        <v>0</v>
      </c>
      <c r="W66" s="56">
        <f>W60-Supply!W5</f>
        <v>0</v>
      </c>
      <c r="X66" s="56">
        <f>X60-Supply!X5</f>
        <v>0</v>
      </c>
      <c r="Y66" s="56">
        <f>Y60-Supply!Y5</f>
        <v>0</v>
      </c>
      <c r="Z66" s="56">
        <f>Z60-Supply!Z5</f>
        <v>0</v>
      </c>
      <c r="AA66" s="56">
        <f>AA60-Supply!AA5</f>
        <v>0</v>
      </c>
      <c r="AB66" s="56">
        <f>AB60-Supply!AB5</f>
        <v>0</v>
      </c>
      <c r="AC66" s="56">
        <f>AC60-Supply!AC5</f>
        <v>0</v>
      </c>
      <c r="AD66" s="56">
        <f>AD60-Supply!AD5</f>
        <v>0</v>
      </c>
      <c r="AE66" s="56">
        <f>AE60-Supply!AE5</f>
        <v>0</v>
      </c>
      <c r="AF66" s="56">
        <f>AF60-Supply!AF5</f>
        <v>0</v>
      </c>
      <c r="AG66" s="56">
        <f>AG60-Supply!AG5</f>
        <v>0</v>
      </c>
      <c r="AH66" s="56">
        <f>AH60-Supply!AH5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2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2" sqref="D12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34.1640625" customWidth="1"/>
    <col min="4" max="34" width="10" customWidth="1"/>
  </cols>
  <sheetData>
    <row r="1" spans="1:34" ht="17.25" customHeight="1" x14ac:dyDescent="0.2">
      <c r="A1" s="12" t="s">
        <v>321</v>
      </c>
    </row>
    <row r="3" spans="1:34" ht="15" customHeight="1" x14ac:dyDescent="0.2">
      <c r="A3" s="30" t="s">
        <v>196</v>
      </c>
      <c r="B3" s="30" t="s">
        <v>62</v>
      </c>
      <c r="C3" s="30" t="s">
        <v>197</v>
      </c>
      <c r="D3" s="31">
        <v>2020</v>
      </c>
      <c r="E3" s="31">
        <v>2021</v>
      </c>
      <c r="F3" s="31">
        <v>2022</v>
      </c>
      <c r="G3" s="31">
        <v>2023</v>
      </c>
      <c r="H3" s="31">
        <v>2024</v>
      </c>
      <c r="I3" s="31">
        <v>2025</v>
      </c>
      <c r="J3" s="31">
        <v>2026</v>
      </c>
      <c r="K3" s="31">
        <v>2027</v>
      </c>
      <c r="L3" s="31">
        <v>2028</v>
      </c>
      <c r="M3" s="31">
        <v>2029</v>
      </c>
      <c r="N3" s="31">
        <v>2030</v>
      </c>
      <c r="O3" s="31">
        <v>2031</v>
      </c>
      <c r="P3" s="31">
        <v>2032</v>
      </c>
      <c r="Q3" s="31">
        <v>2033</v>
      </c>
      <c r="R3" s="31">
        <v>2034</v>
      </c>
      <c r="S3" s="31">
        <v>2035</v>
      </c>
      <c r="T3" s="31">
        <v>2036</v>
      </c>
      <c r="U3" s="31">
        <v>2037</v>
      </c>
      <c r="V3" s="31">
        <v>2038</v>
      </c>
      <c r="W3" s="31">
        <v>2039</v>
      </c>
      <c r="X3" s="31">
        <v>2040</v>
      </c>
      <c r="Y3" s="31">
        <v>2041</v>
      </c>
      <c r="Z3" s="31">
        <v>2042</v>
      </c>
      <c r="AA3" s="31">
        <v>2043</v>
      </c>
      <c r="AB3" s="31">
        <v>2044</v>
      </c>
      <c r="AC3" s="31">
        <v>2045</v>
      </c>
      <c r="AD3" s="31">
        <v>2046</v>
      </c>
      <c r="AE3" s="31">
        <v>2047</v>
      </c>
      <c r="AF3" s="31">
        <v>2048</v>
      </c>
      <c r="AG3" s="31">
        <v>2049</v>
      </c>
      <c r="AH3" s="31">
        <v>2050</v>
      </c>
    </row>
    <row r="5" spans="1:34" ht="15" customHeight="1" x14ac:dyDescent="0.2">
      <c r="A5" s="32" t="s">
        <v>322</v>
      </c>
      <c r="B5" s="33" t="s">
        <v>108</v>
      </c>
      <c r="C5" s="34" t="s">
        <v>323</v>
      </c>
      <c r="D5" s="57">
        <f>Inputs!$B$26*(1+Inputs!$B$27)^(D$3-2020)</f>
        <v>0.35</v>
      </c>
      <c r="E5" s="57">
        <f>Inputs!$B$26*(1+Inputs!$B$27)^(E$3-2020)</f>
        <v>0.35524999999999995</v>
      </c>
      <c r="F5" s="57">
        <f>Inputs!$B$26*(1+Inputs!$B$27)^(F$3-2020)</f>
        <v>0.36057874999999989</v>
      </c>
      <c r="G5" s="57">
        <f>Inputs!$B$26*(1+Inputs!$B$27)^(G$3-2020)</f>
        <v>0.36598743124999983</v>
      </c>
      <c r="H5" s="57">
        <f>Inputs!$B$26*(1+Inputs!$B$27)^(H$3-2020)</f>
        <v>0.37147724271874977</v>
      </c>
      <c r="I5" s="57">
        <f>Inputs!$B$26*(1+Inputs!$B$27)^(I$3-2020)</f>
        <v>0.37704940135953097</v>
      </c>
      <c r="J5" s="57">
        <f>Inputs!$B$26*(1+Inputs!$B$27)^(J$3-2020)</f>
        <v>0.38270514237992387</v>
      </c>
      <c r="K5" s="57">
        <f>Inputs!$B$26*(1+Inputs!$B$27)^(K$3-2020)</f>
        <v>0.38844571951562268</v>
      </c>
      <c r="L5" s="57">
        <f>Inputs!$B$26*(1+Inputs!$B$27)^(L$3-2020)</f>
        <v>0.394272405308357</v>
      </c>
      <c r="M5" s="57">
        <f>Inputs!$B$26*(1+Inputs!$B$27)^(M$3-2020)</f>
        <v>0.40018649138798229</v>
      </c>
      <c r="N5" s="57">
        <f>Inputs!$B$26*(1+Inputs!$B$27)^(N$3-2020)</f>
        <v>0.40618928875880195</v>
      </c>
      <c r="O5" s="57">
        <f>Inputs!$B$26*(1+Inputs!$B$27)^(O$3-2020)</f>
        <v>0.41228212809018394</v>
      </c>
      <c r="P5" s="57">
        <f>Inputs!$B$26*(1+Inputs!$B$27)^(P$3-2020)</f>
        <v>0.41846636001153664</v>
      </c>
      <c r="Q5" s="57">
        <f>Inputs!$B$26*(1+Inputs!$B$27)^(Q$3-2020)</f>
        <v>0.42474335541170966</v>
      </c>
      <c r="R5" s="57">
        <f>Inputs!$B$26*(1+Inputs!$B$27)^(R$3-2020)</f>
        <v>0.43111450574288518</v>
      </c>
      <c r="S5" s="57">
        <f>Inputs!$B$26*(1+Inputs!$B$27)^(S$3-2020)</f>
        <v>0.43758122332902838</v>
      </c>
      <c r="T5" s="57">
        <f>Inputs!$B$26*(1+Inputs!$B$27)^(T$3-2020)</f>
        <v>0.44414494167896373</v>
      </c>
      <c r="U5" s="57">
        <f>Inputs!$B$26*(1+Inputs!$B$27)^(U$3-2020)</f>
        <v>0.45080711580414817</v>
      </c>
      <c r="V5" s="57">
        <f>Inputs!$B$26*(1+Inputs!$B$27)^(V$3-2020)</f>
        <v>0.45756922254121035</v>
      </c>
      <c r="W5" s="57">
        <f>Inputs!$B$26*(1+Inputs!$B$27)^(W$3-2020)</f>
        <v>0.46443276087932844</v>
      </c>
      <c r="X5" s="57">
        <f>Inputs!$B$26*(1+Inputs!$B$27)^(X$3-2020)</f>
        <v>0.47139925229251822</v>
      </c>
      <c r="Y5" s="57">
        <f>Inputs!$B$26*(1+Inputs!$B$27)^(Y$3-2020)</f>
        <v>0.47847024107690594</v>
      </c>
      <c r="Z5" s="57">
        <f>Inputs!$B$26*(1+Inputs!$B$27)^(Z$3-2020)</f>
        <v>0.48564729469305945</v>
      </c>
      <c r="AA5" s="57">
        <f>Inputs!$B$26*(1+Inputs!$B$27)^(AA$3-2020)</f>
        <v>0.49293200411345534</v>
      </c>
      <c r="AB5" s="57">
        <f>Inputs!$B$26*(1+Inputs!$B$27)^(AB$3-2020)</f>
        <v>0.50032598417515706</v>
      </c>
      <c r="AC5" s="57">
        <f>Inputs!$B$26*(1+Inputs!$B$27)^(AC$3-2020)</f>
        <v>0.50783087393778437</v>
      </c>
      <c r="AD5" s="57">
        <f>Inputs!$B$26*(1+Inputs!$B$27)^(AD$3-2020)</f>
        <v>0.51544833704685111</v>
      </c>
      <c r="AE5" s="57">
        <f>Inputs!$B$26*(1+Inputs!$B$27)^(AE$3-2020)</f>
        <v>0.52318006210255386</v>
      </c>
      <c r="AF5" s="57">
        <f>Inputs!$B$26*(1+Inputs!$B$27)^(AF$3-2020)</f>
        <v>0.53102776303409194</v>
      </c>
      <c r="AG5" s="57">
        <f>Inputs!$B$26*(1+Inputs!$B$27)^(AG$3-2020)</f>
        <v>0.53899317947960335</v>
      </c>
      <c r="AH5" s="57">
        <f>Inputs!$B$26*(1+Inputs!$B$27)^(AH$3-2020)</f>
        <v>0.54707807717179724</v>
      </c>
    </row>
    <row r="6" spans="1:34" ht="15" customHeight="1" x14ac:dyDescent="0.2">
      <c r="A6" s="32" t="s">
        <v>324</v>
      </c>
      <c r="B6" s="33" t="s">
        <v>108</v>
      </c>
      <c r="C6" s="34" t="s">
        <v>325</v>
      </c>
      <c r="D6" s="57">
        <f>Inputs!$B$28*(1+Inputs!$B$29)^(D$3-2020)</f>
        <v>1.8</v>
      </c>
      <c r="E6" s="57">
        <f>Inputs!$B$28*(1+Inputs!$B$29)^(E$3-2020)</f>
        <v>1.8180000000000001</v>
      </c>
      <c r="F6" s="57">
        <f>Inputs!$B$28*(1+Inputs!$B$29)^(F$3-2020)</f>
        <v>1.8361800000000001</v>
      </c>
      <c r="G6" s="57">
        <f>Inputs!$B$28*(1+Inputs!$B$29)^(G$3-2020)</f>
        <v>1.8545417999999998</v>
      </c>
      <c r="H6" s="57">
        <f>Inputs!$B$28*(1+Inputs!$B$29)^(H$3-2020)</f>
        <v>1.873087218</v>
      </c>
      <c r="I6" s="57">
        <f>Inputs!$B$28*(1+Inputs!$B$29)^(I$3-2020)</f>
        <v>1.8918180901799999</v>
      </c>
      <c r="J6" s="57">
        <f>Inputs!$B$28*(1+Inputs!$B$29)^(J$3-2020)</f>
        <v>1.9107362710818003</v>
      </c>
      <c r="K6" s="57">
        <f>Inputs!$B$28*(1+Inputs!$B$29)^(K$3-2020)</f>
        <v>1.9298436337926177</v>
      </c>
      <c r="L6" s="57">
        <f>Inputs!$B$28*(1+Inputs!$B$29)^(L$3-2020)</f>
        <v>1.9491420701305444</v>
      </c>
      <c r="M6" s="57">
        <f>Inputs!$B$28*(1+Inputs!$B$29)^(M$3-2020)</f>
        <v>1.9686334908318501</v>
      </c>
      <c r="N6" s="57">
        <f>Inputs!$B$28*(1+Inputs!$B$29)^(N$3-2020)</f>
        <v>1.9883198257401686</v>
      </c>
      <c r="O6" s="57">
        <f>Inputs!$B$28*(1+Inputs!$B$29)^(O$3-2020)</f>
        <v>2.0082030239975697</v>
      </c>
      <c r="P6" s="57">
        <f>Inputs!$B$28*(1+Inputs!$B$29)^(P$3-2020)</f>
        <v>2.0282850542375455</v>
      </c>
      <c r="Q6" s="57">
        <f>Inputs!$B$28*(1+Inputs!$B$29)^(Q$3-2020)</f>
        <v>2.048567904779921</v>
      </c>
      <c r="R6" s="57">
        <f>Inputs!$B$28*(1+Inputs!$B$29)^(R$3-2020)</f>
        <v>2.0690535838277206</v>
      </c>
      <c r="S6" s="57">
        <f>Inputs!$B$28*(1+Inputs!$B$29)^(S$3-2020)</f>
        <v>2.0897441196659972</v>
      </c>
      <c r="T6" s="57">
        <f>Inputs!$B$28*(1+Inputs!$B$29)^(T$3-2020)</f>
        <v>2.1106415608626579</v>
      </c>
      <c r="U6" s="57">
        <f>Inputs!$B$28*(1+Inputs!$B$29)^(U$3-2020)</f>
        <v>2.1317479764712846</v>
      </c>
      <c r="V6" s="57">
        <f>Inputs!$B$28*(1+Inputs!$B$29)^(V$3-2020)</f>
        <v>2.1530654562359977</v>
      </c>
      <c r="W6" s="57">
        <f>Inputs!$B$28*(1+Inputs!$B$29)^(W$3-2020)</f>
        <v>2.1745961107983569</v>
      </c>
      <c r="X6" s="57">
        <f>Inputs!$B$28*(1+Inputs!$B$29)^(X$3-2020)</f>
        <v>2.1963420719063409</v>
      </c>
      <c r="Y6" s="57">
        <f>Inputs!$B$28*(1+Inputs!$B$29)^(Y$3-2020)</f>
        <v>2.218305492625404</v>
      </c>
      <c r="Z6" s="57">
        <f>Inputs!$B$28*(1+Inputs!$B$29)^(Z$3-2020)</f>
        <v>2.2404885475516587</v>
      </c>
      <c r="AA6" s="57">
        <f>Inputs!$B$28*(1+Inputs!$B$29)^(AA$3-2020)</f>
        <v>2.2628934330271746</v>
      </c>
      <c r="AB6" s="57">
        <f>Inputs!$B$28*(1+Inputs!$B$29)^(AB$3-2020)</f>
        <v>2.285522367357447</v>
      </c>
      <c r="AC6" s="57">
        <f>Inputs!$B$28*(1+Inputs!$B$29)^(AC$3-2020)</f>
        <v>2.3083775910310216</v>
      </c>
      <c r="AD6" s="57">
        <f>Inputs!$B$28*(1+Inputs!$B$29)^(AD$3-2020)</f>
        <v>2.331461366941332</v>
      </c>
      <c r="AE6" s="57">
        <f>Inputs!$B$28*(1+Inputs!$B$29)^(AE$3-2020)</f>
        <v>2.3547759806107442</v>
      </c>
      <c r="AF6" s="57">
        <f>Inputs!$B$28*(1+Inputs!$B$29)^(AF$3-2020)</f>
        <v>2.3783237404168522</v>
      </c>
      <c r="AG6" s="57">
        <f>Inputs!$B$28*(1+Inputs!$B$29)^(AG$3-2020)</f>
        <v>2.4021069778210209</v>
      </c>
      <c r="AH6" s="57">
        <f>Inputs!$B$28*(1+Inputs!$B$29)^(AH$3-2020)</f>
        <v>2.4261280475992315</v>
      </c>
    </row>
    <row r="7" spans="1:34" ht="15" customHeight="1" x14ac:dyDescent="0.2">
      <c r="A7" s="32" t="s">
        <v>326</v>
      </c>
      <c r="B7" s="33" t="s">
        <v>108</v>
      </c>
      <c r="C7" s="34" t="s">
        <v>327</v>
      </c>
      <c r="D7" s="37">
        <f>Inputs!$B$30+(Inputs!$B$31-Inputs!$B$30)*(D$3-2020)/30</f>
        <v>3.5</v>
      </c>
      <c r="E7" s="37">
        <f>Inputs!$B$30+(Inputs!$B$31-Inputs!$B$30)*(E$3-2020)/30</f>
        <v>3.4833333333333334</v>
      </c>
      <c r="F7" s="37">
        <f>Inputs!$B$30+(Inputs!$B$31-Inputs!$B$30)*(F$3-2020)/30</f>
        <v>3.4666666666666668</v>
      </c>
      <c r="G7" s="37">
        <f>Inputs!$B$30+(Inputs!$B$31-Inputs!$B$30)*(G$3-2020)/30</f>
        <v>3.45</v>
      </c>
      <c r="H7" s="37">
        <f>Inputs!$B$30+(Inputs!$B$31-Inputs!$B$30)*(H$3-2020)/30</f>
        <v>3.4333333333333331</v>
      </c>
      <c r="I7" s="37">
        <f>Inputs!$B$30+(Inputs!$B$31-Inputs!$B$30)*(I$3-2020)/30</f>
        <v>3.4166666666666665</v>
      </c>
      <c r="J7" s="37">
        <f>Inputs!$B$30+(Inputs!$B$31-Inputs!$B$30)*(J$3-2020)/30</f>
        <v>3.4</v>
      </c>
      <c r="K7" s="37">
        <f>Inputs!$B$30+(Inputs!$B$31-Inputs!$B$30)*(K$3-2020)/30</f>
        <v>3.3833333333333333</v>
      </c>
      <c r="L7" s="37">
        <f>Inputs!$B$30+(Inputs!$B$31-Inputs!$B$30)*(L$3-2020)/30</f>
        <v>3.3666666666666667</v>
      </c>
      <c r="M7" s="37">
        <f>Inputs!$B$30+(Inputs!$B$31-Inputs!$B$30)*(M$3-2020)/30</f>
        <v>3.35</v>
      </c>
      <c r="N7" s="37">
        <f>Inputs!$B$30+(Inputs!$B$31-Inputs!$B$30)*(N$3-2020)/30</f>
        <v>3.3333333333333335</v>
      </c>
      <c r="O7" s="37">
        <f>Inputs!$B$30+(Inputs!$B$31-Inputs!$B$30)*(O$3-2020)/30</f>
        <v>3.3166666666666669</v>
      </c>
      <c r="P7" s="37">
        <f>Inputs!$B$30+(Inputs!$B$31-Inputs!$B$30)*(P$3-2020)/30</f>
        <v>3.3</v>
      </c>
      <c r="Q7" s="37">
        <f>Inputs!$B$30+(Inputs!$B$31-Inputs!$B$30)*(Q$3-2020)/30</f>
        <v>3.2833333333333332</v>
      </c>
      <c r="R7" s="37">
        <f>Inputs!$B$30+(Inputs!$B$31-Inputs!$B$30)*(R$3-2020)/30</f>
        <v>3.2666666666666666</v>
      </c>
      <c r="S7" s="37">
        <f>Inputs!$B$30+(Inputs!$B$31-Inputs!$B$30)*(S$3-2020)/30</f>
        <v>3.25</v>
      </c>
      <c r="T7" s="37">
        <f>Inputs!$B$30+(Inputs!$B$31-Inputs!$B$30)*(T$3-2020)/30</f>
        <v>3.2333333333333334</v>
      </c>
      <c r="U7" s="37">
        <f>Inputs!$B$30+(Inputs!$B$31-Inputs!$B$30)*(U$3-2020)/30</f>
        <v>3.2166666666666668</v>
      </c>
      <c r="V7" s="37">
        <f>Inputs!$B$30+(Inputs!$B$31-Inputs!$B$30)*(V$3-2020)/30</f>
        <v>3.2</v>
      </c>
      <c r="W7" s="37">
        <f>Inputs!$B$30+(Inputs!$B$31-Inputs!$B$30)*(W$3-2020)/30</f>
        <v>3.1833333333333336</v>
      </c>
      <c r="X7" s="37">
        <f>Inputs!$B$30+(Inputs!$B$31-Inputs!$B$30)*(X$3-2020)/30</f>
        <v>3.1666666666666665</v>
      </c>
      <c r="Y7" s="37">
        <f>Inputs!$B$30+(Inputs!$B$31-Inputs!$B$30)*(Y$3-2020)/30</f>
        <v>3.15</v>
      </c>
      <c r="Z7" s="37">
        <f>Inputs!$B$30+(Inputs!$B$31-Inputs!$B$30)*(Z$3-2020)/30</f>
        <v>3.1333333333333333</v>
      </c>
      <c r="AA7" s="37">
        <f>Inputs!$B$30+(Inputs!$B$31-Inputs!$B$30)*(AA$3-2020)/30</f>
        <v>3.1166666666666667</v>
      </c>
      <c r="AB7" s="37">
        <f>Inputs!$B$30+(Inputs!$B$31-Inputs!$B$30)*(AB$3-2020)/30</f>
        <v>3.1</v>
      </c>
      <c r="AC7" s="37">
        <f>Inputs!$B$30+(Inputs!$B$31-Inputs!$B$30)*(AC$3-2020)/30</f>
        <v>3.0833333333333335</v>
      </c>
      <c r="AD7" s="37">
        <f>Inputs!$B$30+(Inputs!$B$31-Inputs!$B$30)*(AD$3-2020)/30</f>
        <v>3.0666666666666664</v>
      </c>
      <c r="AE7" s="37">
        <f>Inputs!$B$30+(Inputs!$B$31-Inputs!$B$30)*(AE$3-2020)/30</f>
        <v>3.05</v>
      </c>
      <c r="AF7" s="37">
        <f>Inputs!$B$30+(Inputs!$B$31-Inputs!$B$30)*(AF$3-2020)/30</f>
        <v>3.0333333333333332</v>
      </c>
      <c r="AG7" s="37">
        <f>Inputs!$B$30+(Inputs!$B$31-Inputs!$B$30)*(AG$3-2020)/30</f>
        <v>3.0166666666666666</v>
      </c>
      <c r="AH7" s="37">
        <f>Inputs!$B$30+(Inputs!$B$31-Inputs!$B$30)*(AH$3-2020)/30</f>
        <v>3</v>
      </c>
    </row>
    <row r="8" spans="1:34" ht="15" customHeight="1" x14ac:dyDescent="0.2">
      <c r="A8" t="s">
        <v>328</v>
      </c>
      <c r="B8" t="s">
        <v>187</v>
      </c>
      <c r="C8" t="s">
        <v>329</v>
      </c>
      <c r="D8" s="39">
        <f>0.2*Supply!D7</f>
        <v>12</v>
      </c>
      <c r="E8" s="39">
        <f>0.2*Supply!E7</f>
        <v>11.88</v>
      </c>
      <c r="F8" s="39">
        <f>0.2*Supply!F7</f>
        <v>11.761200000000001</v>
      </c>
      <c r="G8" s="39">
        <f>0.2*Supply!G7</f>
        <v>11.643587999999999</v>
      </c>
      <c r="H8" s="39">
        <f>0.2*Supply!H7</f>
        <v>11.52715212</v>
      </c>
      <c r="I8" s="39">
        <f>0.2*Supply!I7</f>
        <v>11.4118805988</v>
      </c>
      <c r="J8" s="39">
        <f>0.2*Supply!J7</f>
        <v>11.297761792811999</v>
      </c>
      <c r="K8" s="39">
        <f>0.2*Supply!K7</f>
        <v>11.18478417488388</v>
      </c>
      <c r="L8" s="39">
        <f>0.2*Supply!L7</f>
        <v>11.07293633313504</v>
      </c>
      <c r="M8" s="39">
        <f>0.2*Supply!M7</f>
        <v>10.962206969803688</v>
      </c>
      <c r="N8" s="39">
        <f>0.2*Supply!N7</f>
        <v>10.852584900105652</v>
      </c>
      <c r="O8" s="39">
        <f>0.2*Supply!O7</f>
        <v>10.744059051104596</v>
      </c>
      <c r="P8" s="39">
        <f>0.2*Supply!P7</f>
        <v>10.636618460593551</v>
      </c>
      <c r="Q8" s="39">
        <f>0.2*Supply!Q7</f>
        <v>10.530252275987614</v>
      </c>
      <c r="R8" s="39">
        <f>0.2*Supply!R7</f>
        <v>10.424949753227738</v>
      </c>
      <c r="S8" s="39">
        <f>0.2*Supply!S7</f>
        <v>10.32070025569546</v>
      </c>
      <c r="T8" s="39">
        <f>0.2*Supply!T7</f>
        <v>10.217493253138507</v>
      </c>
      <c r="U8" s="39">
        <f>0.2*Supply!U7</f>
        <v>10.11531832060712</v>
      </c>
      <c r="V8" s="39">
        <f>0.2*Supply!V7</f>
        <v>10.014165137401049</v>
      </c>
      <c r="W8" s="39">
        <f>0.2*Supply!W7</f>
        <v>9.9140234860270375</v>
      </c>
      <c r="X8" s="39">
        <f>0.2*Supply!X7</f>
        <v>9.8148832511667692</v>
      </c>
      <c r="Y8" s="39">
        <f>0.2*Supply!Y7</f>
        <v>9.7167344186551006</v>
      </c>
      <c r="Z8" s="39">
        <f>0.2*Supply!Z7</f>
        <v>9.6195670744685486</v>
      </c>
      <c r="AA8" s="39">
        <f>0.2*Supply!AA7</f>
        <v>9.5233714037238624</v>
      </c>
      <c r="AB8" s="39">
        <f>0.2*Supply!AB7</f>
        <v>9.4281376896866238</v>
      </c>
      <c r="AC8" s="39">
        <f>0.2*Supply!AC7</f>
        <v>9.3338563127897576</v>
      </c>
      <c r="AD8" s="39">
        <f>0.2*Supply!AD7</f>
        <v>9.2405177496618602</v>
      </c>
      <c r="AE8" s="39">
        <f>0.2*Supply!AE7</f>
        <v>9.1481125721652425</v>
      </c>
      <c r="AF8" s="39">
        <f>0.2*Supply!AF7</f>
        <v>9.0566314464435873</v>
      </c>
      <c r="AG8" s="39">
        <f>0.2*Supply!AG7</f>
        <v>8.9660651319791516</v>
      </c>
      <c r="AH8" s="39">
        <f>0.2*Supply!AH7</f>
        <v>8.8764044806593621</v>
      </c>
    </row>
    <row r="9" spans="1:34" ht="15" customHeight="1" x14ac:dyDescent="0.2">
      <c r="A9" s="58" t="s">
        <v>330</v>
      </c>
      <c r="B9" s="59" t="s">
        <v>187</v>
      </c>
      <c r="C9" s="60" t="s">
        <v>331</v>
      </c>
      <c r="D9" s="39">
        <f>D5*(Supply!D18+Supply!D21+Supply!D24+Supply!D39)</f>
        <v>2120.8922569939828</v>
      </c>
      <c r="E9" s="39">
        <f>E5*(Supply!E18+Supply!E21+Supply!E24+Supply!E39)</f>
        <v>2189.9040023099938</v>
      </c>
      <c r="F9" s="39">
        <f>F5*(Supply!F18+Supply!F21+Supply!F24+Supply!F39)</f>
        <v>2259.9713175803299</v>
      </c>
      <c r="G9" s="39">
        <f>G5*(Supply!G18+Supply!G21+Supply!G24+Supply!G39)</f>
        <v>2331.1153238460179</v>
      </c>
      <c r="H9" s="39">
        <f>H5*(Supply!H18+Supply!H21+Supply!H24+Supply!H39)</f>
        <v>2403.3577522881751</v>
      </c>
      <c r="I9" s="39">
        <f>I5*(Supply!I18+Supply!I21+Supply!I24+Supply!I39)</f>
        <v>2476.7209657616536</v>
      </c>
      <c r="J9" s="39">
        <f>J5*(Supply!J18+Supply!J21+Supply!J24+Supply!J39)</f>
        <v>2551.2279811260501</v>
      </c>
      <c r="K9" s="39">
        <f>K5*(Supply!K18+Supply!K21+Supply!K24+Supply!K39)</f>
        <v>2629.2895035426818</v>
      </c>
      <c r="L9" s="39">
        <f>L5*(Supply!L18+Supply!L21+Supply!L24+Supply!L39)</f>
        <v>2706.310435878524</v>
      </c>
      <c r="M9" s="39">
        <f>M5*(Supply!M18+Supply!M21+Supply!M24+Supply!M39)</f>
        <v>2784.5503062037728</v>
      </c>
      <c r="N9" s="39">
        <f>N5*(Supply!N18+Supply!N21+Supply!N24+Supply!N39)</f>
        <v>2864.0348132037248</v>
      </c>
      <c r="O9" s="39">
        <f>O5*(Supply!O18+Supply!O21+Supply!O24+Supply!O39)</f>
        <v>2944.7904267721815</v>
      </c>
      <c r="P9" s="39">
        <f>P5*(Supply!P18+Supply!P21+Supply!P24+Supply!P39)</f>
        <v>3026.8444155986485</v>
      </c>
      <c r="Q9" s="39">
        <f>Q5*(Supply!Q18+Supply!Q21+Supply!Q24+Supply!Q39)</f>
        <v>3110.2248757802618</v>
      </c>
      <c r="R9" s="39">
        <f>R5*(Supply!R18+Supply!R21+Supply!R24+Supply!R39)</f>
        <v>3194.9607604963794</v>
      </c>
      <c r="S9" s="39">
        <f>S5*(Supply!S18+Supply!S21+Supply!S24+Supply!S39)</f>
        <v>3281.0819107852221</v>
      </c>
      <c r="T9" s="39">
        <f>T5*(Supply!T18+Supply!T21+Supply!T24+Supply!T39)</f>
        <v>3368.6190874633348</v>
      </c>
      <c r="U9" s="39">
        <f>U5*(Supply!U18+Supply!U21+Supply!U24+Supply!U39)</f>
        <v>3457.6040042301997</v>
      </c>
      <c r="V9" s="39">
        <f>V5*(Supply!V18+Supply!V21+Supply!V24+Supply!V39)</f>
        <v>3548.0693620018046</v>
      </c>
      <c r="W9" s="39">
        <f>W5*(Supply!W18+Supply!W21+Supply!W24+Supply!W39)</f>
        <v>3640.0488845186624</v>
      </c>
      <c r="X9" s="39">
        <f>X5*(Supply!X18+Supply!X21+Supply!X24+Supply!X39)</f>
        <v>3733.5773552753622</v>
      </c>
      <c r="Y9" s="39">
        <f>Y5*(Supply!Y18+Supply!Y21+Supply!Y24+Supply!Y39)</f>
        <v>3828.6906558205069</v>
      </c>
      <c r="Z9" s="39">
        <f>Z5*(Supply!Z18+Supply!Z21+Supply!Z24+Supply!Z39)</f>
        <v>3925.4258054776637</v>
      </c>
      <c r="AA9" s="39">
        <f>AA5*(Supply!AA18+Supply!AA21+Supply!AA24+Supply!AA39)</f>
        <v>4023.8210025398052</v>
      </c>
      <c r="AB9" s="39">
        <f>AB5*(Supply!AB18+Supply!AB21+Supply!AB24+Supply!AB39)</f>
        <v>4123.9156669916365</v>
      </c>
      <c r="AC9" s="39">
        <f>AC5*(Supply!AC18+Supply!AC21+Supply!AC24+Supply!AC39)</f>
        <v>4225.7504848161907</v>
      </c>
      <c r="AD9" s="39">
        <f>AD5*(Supply!AD18+Supply!AD21+Supply!AD24+Supply!AD39)</f>
        <v>4329.3674539441572</v>
      </c>
      <c r="AE9" s="39">
        <f>AE5*(Supply!AE18+Supply!AE21+Supply!AE24+Supply!AE39)</f>
        <v>4434.8099319064859</v>
      </c>
      <c r="AF9" s="39">
        <f>AF5*(Supply!AF18+Supply!AF21+Supply!AF24+Supply!AF39)</f>
        <v>4542.1226852531008</v>
      </c>
      <c r="AG9" s="39">
        <f>AG5*(Supply!AG18+Supply!AG21+Supply!AG24+Supply!AG39)</f>
        <v>4651.351940802796</v>
      </c>
      <c r="AH9" s="39">
        <f>AH5*(Supply!AH18+Supply!AH21+Supply!AH24+Supply!AH39)</f>
        <v>4762.5454387917362</v>
      </c>
    </row>
    <row r="10" spans="1:34" ht="15" customHeight="1" x14ac:dyDescent="0.2">
      <c r="A10" s="58" t="s">
        <v>332</v>
      </c>
      <c r="B10" s="59" t="s">
        <v>187</v>
      </c>
      <c r="C10" s="60" t="s">
        <v>333</v>
      </c>
      <c r="D10" s="39">
        <f>D6*(Supply!D19+Supply!D22+Supply!D25)</f>
        <v>1641.6000000000001</v>
      </c>
      <c r="E10" s="39">
        <f>E6*(Supply!E19+Supply!E22+Supply!E25)</f>
        <v>1624.8556800000001</v>
      </c>
      <c r="F10" s="39">
        <f>F6*(Supply!F19+Supply!F22+Supply!F25)</f>
        <v>1608.282152064</v>
      </c>
      <c r="G10" s="39">
        <f>G6*(Supply!G19+Supply!G22+Supply!G25)</f>
        <v>1591.8776741129468</v>
      </c>
      <c r="H10" s="39">
        <f>H6*(Supply!H19+Supply!H22+Supply!H25)</f>
        <v>1575.640521836995</v>
      </c>
      <c r="I10" s="39">
        <f>I6*(Supply!I19+Supply!I22+Supply!I25)</f>
        <v>1559.5689885142574</v>
      </c>
      <c r="J10" s="39">
        <f>J6*(Supply!J19+Supply!J22+Supply!J25)</f>
        <v>1543.6613848314123</v>
      </c>
      <c r="K10" s="39">
        <f>K6*(Supply!K19+Supply!K22+Supply!K25)</f>
        <v>1527.9160387061313</v>
      </c>
      <c r="L10" s="39">
        <f>L6*(Supply!L19+Supply!L22+Supply!L25)</f>
        <v>1512.3312951113292</v>
      </c>
      <c r="M10" s="39">
        <f>M6*(Supply!M19+Supply!M22+Supply!M25)</f>
        <v>1496.9055159011939</v>
      </c>
      <c r="N10" s="39">
        <f>N6*(Supply!N19+Supply!N22+Supply!N25)</f>
        <v>1481.6370796390015</v>
      </c>
      <c r="O10" s="39">
        <f>O6*(Supply!O19+Supply!O22+Supply!O25)</f>
        <v>1466.5243814266832</v>
      </c>
      <c r="P10" s="39">
        <f>P6*(Supply!P19+Supply!P22+Supply!P25)</f>
        <v>1451.5658327361309</v>
      </c>
      <c r="Q10" s="39">
        <f>Q6*(Supply!Q19+Supply!Q22+Supply!Q25)</f>
        <v>1436.7598612422223</v>
      </c>
      <c r="R10" s="39">
        <f>R6*(Supply!R19+Supply!R22+Supply!R25)</f>
        <v>1422.1049106575522</v>
      </c>
      <c r="S10" s="39">
        <f>S6*(Supply!S19+Supply!S22+Supply!S25)</f>
        <v>1407.5994405688446</v>
      </c>
      <c r="T10" s="39">
        <f>T6*(Supply!T19+Supply!T22+Supply!T25)</f>
        <v>1393.2419262750429</v>
      </c>
      <c r="U10" s="39">
        <f>U6*(Supply!U19+Supply!U22+Supply!U25)</f>
        <v>1379.0308586270376</v>
      </c>
      <c r="V10" s="39">
        <f>V6*(Supply!V19+Supply!V22+Supply!V25)</f>
        <v>1364.9647438690417</v>
      </c>
      <c r="W10" s="39">
        <f>W6*(Supply!W19+Supply!W22+Supply!W25)</f>
        <v>1351.0421034815772</v>
      </c>
      <c r="X10" s="39">
        <f>X6*(Supply!X19+Supply!X22+Supply!X25)</f>
        <v>1337.2614740260653</v>
      </c>
      <c r="Y10" s="39">
        <f>Y6*(Supply!Y19+Supply!Y22+Supply!Y25)</f>
        <v>1323.621406990999</v>
      </c>
      <c r="Z10" s="39">
        <f>Z6*(Supply!Z19+Supply!Z22+Supply!Z25)</f>
        <v>1310.1204686396914</v>
      </c>
      <c r="AA10" s="39">
        <f>AA6*(Supply!AA19+Supply!AA22+Supply!AA25)</f>
        <v>1296.757239859566</v>
      </c>
      <c r="AB10" s="39">
        <f>AB6*(Supply!AB19+Supply!AB22+Supply!AB25)</f>
        <v>1283.5303160129988</v>
      </c>
      <c r="AC10" s="39">
        <f>AC6*(Supply!AC19+Supply!AC22+Supply!AC25)</f>
        <v>1270.4383067896663</v>
      </c>
      <c r="AD10" s="39">
        <f>AD6*(Supply!AD19+Supply!AD22+Supply!AD25)</f>
        <v>1257.4798360604116</v>
      </c>
      <c r="AE10" s="39">
        <f>AE6*(Supply!AE19+Supply!AE22+Supply!AE25)</f>
        <v>1244.6535417325947</v>
      </c>
      <c r="AF10" s="39">
        <f>AF6*(Supply!AF19+Supply!AF22+Supply!AF25)</f>
        <v>1231.9580756069226</v>
      </c>
      <c r="AG10" s="39">
        <f>AG6*(Supply!AG19+Supply!AG22+Supply!AG25)</f>
        <v>1219.3921032357321</v>
      </c>
      <c r="AH10" s="39">
        <f>AH6*(Supply!AH19+Supply!AH22+Supply!AH25)</f>
        <v>1206.9543037827277</v>
      </c>
    </row>
    <row r="11" spans="1:34" ht="15" customHeight="1" x14ac:dyDescent="0.2">
      <c r="A11" s="32" t="s">
        <v>334</v>
      </c>
      <c r="B11" s="33" t="s">
        <v>187</v>
      </c>
      <c r="C11" s="34" t="s">
        <v>333</v>
      </c>
      <c r="D11" s="39">
        <f>D7*Supply!D29</f>
        <v>0</v>
      </c>
      <c r="E11" s="39">
        <f>E7*Supply!E29</f>
        <v>0</v>
      </c>
      <c r="F11" s="39">
        <f>F7*Supply!F29</f>
        <v>0</v>
      </c>
      <c r="G11" s="39">
        <f>G7*Supply!G29</f>
        <v>0</v>
      </c>
      <c r="H11" s="39">
        <f>H7*Supply!H29</f>
        <v>0</v>
      </c>
      <c r="I11" s="39">
        <f>I7*Supply!I29</f>
        <v>0</v>
      </c>
      <c r="J11" s="39">
        <f>J7*Supply!J29</f>
        <v>0</v>
      </c>
      <c r="K11" s="39">
        <f>K7*Supply!K29</f>
        <v>164.44681046984405</v>
      </c>
      <c r="L11" s="39">
        <f>L7*Supply!L29</f>
        <v>346.94794443335218</v>
      </c>
      <c r="M11" s="39">
        <f>M7*Supply!M29</f>
        <v>527.65230816079179</v>
      </c>
      <c r="N11" s="39">
        <f>N7*Supply!N29</f>
        <v>706.56098342015969</v>
      </c>
      <c r="O11" s="39">
        <f>O7*Supply!O29</f>
        <v>883.67499579339164</v>
      </c>
      <c r="P11" s="39">
        <f>P7*Supply!P29</f>
        <v>1058.995315778199</v>
      </c>
      <c r="Q11" s="39">
        <f>Q7*Supply!Q29</f>
        <v>1232.5228598749668</v>
      </c>
      <c r="R11" s="39">
        <f>R7*Supply!R29</f>
        <v>1404.2584916588783</v>
      </c>
      <c r="S11" s="39">
        <f>S7*Supply!S29</f>
        <v>1574.2030228374347</v>
      </c>
      <c r="T11" s="39">
        <f>T7*Supply!T29</f>
        <v>1742.3572142935222</v>
      </c>
      <c r="U11" s="39">
        <f>U7*Supply!U29</f>
        <v>1732.6092771141953</v>
      </c>
      <c r="V11" s="39">
        <f>V7*Supply!V29</f>
        <v>1722.8973736053297</v>
      </c>
      <c r="W11" s="39">
        <f>W7*Supply!W29</f>
        <v>1713.2221182923035</v>
      </c>
      <c r="X11" s="39">
        <f>X7*Supply!X29</f>
        <v>1703.5840789068593</v>
      </c>
      <c r="Y11" s="39">
        <f>Y7*Supply!Y29</f>
        <v>1693.9837773603087</v>
      </c>
      <c r="Z11" s="39">
        <f>Z7*Supply!Z29</f>
        <v>1684.4216907032201</v>
      </c>
      <c r="AA11" s="39">
        <f>AA7*Supply!AA29</f>
        <v>1674.8982520717514</v>
      </c>
      <c r="AB11" s="39">
        <f>AB7*Supply!AB29</f>
        <v>1665.4138516207718</v>
      </c>
      <c r="AC11" s="39">
        <f>AC7*Supply!AC29</f>
        <v>1655.9688374439197</v>
      </c>
      <c r="AD11" s="39">
        <f>AD7*Supply!AD29</f>
        <v>1646.5635164807468</v>
      </c>
      <c r="AE11" s="39">
        <f>AE7*Supply!AE29</f>
        <v>1637.1981554110921</v>
      </c>
      <c r="AF11" s="39">
        <f>AF7*Supply!AF29</f>
        <v>1627.872981536827</v>
      </c>
      <c r="AG11" s="39">
        <f>AG7*Supply!AG29</f>
        <v>1618.5881836511198</v>
      </c>
      <c r="AH11" s="39">
        <f>AH7*Supply!AH29</f>
        <v>1609.3439128953514</v>
      </c>
    </row>
    <row r="12" spans="1:34" ht="15" customHeight="1" x14ac:dyDescent="0.2">
      <c r="A12" s="32" t="s">
        <v>335</v>
      </c>
      <c r="B12" s="33" t="s">
        <v>187</v>
      </c>
      <c r="C12" s="34" t="s">
        <v>336</v>
      </c>
      <c r="D12" s="61">
        <f>D7*Supply!D31</f>
        <v>0</v>
      </c>
      <c r="E12" s="61">
        <f>E7*Supply!E31</f>
        <v>0</v>
      </c>
      <c r="F12" s="61">
        <f>F7*Supply!F31</f>
        <v>0</v>
      </c>
      <c r="G12" s="61">
        <f>G7*Supply!G31</f>
        <v>0</v>
      </c>
      <c r="H12" s="61">
        <f>H7*Supply!H31</f>
        <v>0</v>
      </c>
      <c r="I12" s="61">
        <f>I7*Supply!I31</f>
        <v>0</v>
      </c>
      <c r="J12" s="61">
        <f>J7*Supply!J31</f>
        <v>0</v>
      </c>
      <c r="K12" s="61">
        <f>K7*Supply!K31</f>
        <v>164.44681046984405</v>
      </c>
      <c r="L12" s="41">
        <f>L7*Supply!L31</f>
        <v>346.94794443335218</v>
      </c>
      <c r="M12" s="41">
        <f>M7*Supply!M31</f>
        <v>527.65230816079179</v>
      </c>
      <c r="N12" s="41">
        <f>N7*Supply!N31</f>
        <v>706.56098342015969</v>
      </c>
      <c r="O12" s="41">
        <f>O7*Supply!O31</f>
        <v>883.67499579339164</v>
      </c>
      <c r="P12" s="41">
        <f>P7*Supply!P31</f>
        <v>1058.995315778199</v>
      </c>
      <c r="Q12" s="41">
        <f>Q7*Supply!Q31</f>
        <v>1232.5228598749668</v>
      </c>
      <c r="R12" s="41">
        <f>R7*Supply!R31</f>
        <v>1404.2584916588783</v>
      </c>
      <c r="S12" s="41">
        <f>S7*Supply!S31</f>
        <v>1574.2030228374347</v>
      </c>
      <c r="T12" s="41">
        <f>T7*Supply!T31</f>
        <v>1742.3572142935222</v>
      </c>
      <c r="U12" s="41">
        <f>U7*Supply!U31</f>
        <v>1732.6092771141953</v>
      </c>
      <c r="V12" s="41">
        <f>V7*Supply!V31</f>
        <v>1722.8973736053297</v>
      </c>
      <c r="W12" s="41">
        <f>W7*Supply!W31</f>
        <v>1713.2221182923035</v>
      </c>
      <c r="X12" s="41">
        <f>X7*Supply!X31</f>
        <v>1703.5840789068593</v>
      </c>
      <c r="Y12" s="41">
        <f>Y7*Supply!Y31</f>
        <v>1693.9837773603087</v>
      </c>
      <c r="Z12" s="41">
        <f>Z7*Supply!Z31</f>
        <v>1684.4216907032201</v>
      </c>
      <c r="AA12" s="41">
        <f>AA7*Supply!AA31</f>
        <v>1674.8982520717514</v>
      </c>
      <c r="AB12" s="41">
        <f>AB7*Supply!AB31</f>
        <v>1665.4138516207718</v>
      </c>
      <c r="AC12" s="41">
        <f>AC7*Supply!AC31</f>
        <v>1655.9688374439197</v>
      </c>
      <c r="AD12" s="41">
        <f>AD7*Supply!AD31</f>
        <v>1646.5635164807468</v>
      </c>
      <c r="AE12" s="41">
        <f>AE7*Supply!AE31</f>
        <v>1637.1981554110921</v>
      </c>
      <c r="AF12" s="41">
        <f>AF7*Supply!AF31</f>
        <v>1627.872981536827</v>
      </c>
      <c r="AG12" s="41">
        <f>AG7*Supply!AG31</f>
        <v>1618.5881836511198</v>
      </c>
      <c r="AH12" s="41">
        <f>AH7*Supply!AH31</f>
        <v>1609.3439128953514</v>
      </c>
    </row>
    <row r="13" spans="1:34" ht="15" customHeight="1" x14ac:dyDescent="0.2">
      <c r="A13" t="s">
        <v>337</v>
      </c>
      <c r="B13" t="s">
        <v>108</v>
      </c>
      <c r="C13" t="s">
        <v>327</v>
      </c>
      <c r="D13">
        <f>Inputs!B45+(Inputs!B46-Inputs!B45)*(D3-2020)/30</f>
        <v>0.8</v>
      </c>
      <c r="E13">
        <f>Inputs!B45+(Inputs!B46-Inputs!B45)*(E3-2020)/30</f>
        <v>0.79500000000000004</v>
      </c>
      <c r="F13">
        <f>Inputs!B45+(Inputs!B46-Inputs!B45)*(F3-2020)/30</f>
        <v>0.79</v>
      </c>
      <c r="G13">
        <f>Inputs!B45+(Inputs!B46-Inputs!B45)*(G3-2020)/30</f>
        <v>0.78500000000000003</v>
      </c>
      <c r="H13">
        <f>Inputs!B45+(Inputs!B46-Inputs!B45)*(H3-2020)/30</f>
        <v>0.78</v>
      </c>
      <c r="I13">
        <f>Inputs!B45+(Inputs!B46-Inputs!B45)*(I3-2020)/30</f>
        <v>0.77500000000000002</v>
      </c>
      <c r="J13">
        <f>Inputs!B45+(Inputs!B46-Inputs!B45)*(J3-2020)/30</f>
        <v>0.77</v>
      </c>
      <c r="K13">
        <f>Inputs!B45+(Inputs!B46-Inputs!B45)*(K3-2020)/30</f>
        <v>0.76500000000000001</v>
      </c>
      <c r="L13">
        <f>Inputs!B45+(Inputs!B46-Inputs!B45)*(L3-2020)/30</f>
        <v>0.76</v>
      </c>
      <c r="M13">
        <f>Inputs!B45+(Inputs!B46-Inputs!B45)*(M3-2020)/30</f>
        <v>0.755</v>
      </c>
      <c r="N13">
        <f>Inputs!B45+(Inputs!B46-Inputs!B45)*(N3-2020)/30</f>
        <v>0.75</v>
      </c>
      <c r="O13">
        <f>Inputs!B45+(Inputs!B46-Inputs!B45)*(O3-2020)/30</f>
        <v>0.745</v>
      </c>
      <c r="P13">
        <f>Inputs!B45+(Inputs!B46-Inputs!B45)*(P3-2020)/30</f>
        <v>0.74</v>
      </c>
      <c r="Q13">
        <f>Inputs!B45+(Inputs!B46-Inputs!B45)*(Q3-2020)/30</f>
        <v>0.7350000000000001</v>
      </c>
      <c r="R13">
        <f>Inputs!B45+(Inputs!B46-Inputs!B45)*(R3-2020)/30</f>
        <v>0.73</v>
      </c>
      <c r="S13">
        <f>Inputs!B45+(Inputs!B46-Inputs!B45)*(S3-2020)/30</f>
        <v>0.72500000000000009</v>
      </c>
      <c r="T13">
        <f>Inputs!B45+(Inputs!B46-Inputs!B45)*(T3-2020)/30</f>
        <v>0.72</v>
      </c>
      <c r="U13">
        <f>Inputs!B45+(Inputs!B46-Inputs!B45)*(U3-2020)/30</f>
        <v>0.71500000000000008</v>
      </c>
      <c r="V13">
        <f>Inputs!B45+(Inputs!B46-Inputs!B45)*(V3-2020)/30</f>
        <v>0.71000000000000008</v>
      </c>
      <c r="W13">
        <f>Inputs!B45+(Inputs!B46-Inputs!B45)*(W3-2020)/30</f>
        <v>0.70500000000000007</v>
      </c>
      <c r="X13">
        <f>Inputs!B45+(Inputs!B46-Inputs!B45)*(X3-2020)/30</f>
        <v>0.70000000000000007</v>
      </c>
      <c r="Y13">
        <f>Inputs!B45+(Inputs!B46-Inputs!B45)*(Y3-2020)/30</f>
        <v>0.69500000000000006</v>
      </c>
      <c r="Z13">
        <f>Inputs!B45+(Inputs!B46-Inputs!B45)*(Z3-2020)/30</f>
        <v>0.69000000000000006</v>
      </c>
      <c r="AA13">
        <f>Inputs!B45+(Inputs!B46-Inputs!B45)*(AA3-2020)/30</f>
        <v>0.68500000000000005</v>
      </c>
      <c r="AB13">
        <f>Inputs!B45+(Inputs!B46-Inputs!B45)*(AB3-2020)/30</f>
        <v>0.68</v>
      </c>
      <c r="AC13">
        <f>Inputs!B45+(Inputs!B46-Inputs!B45)*(AC3-2020)/30</f>
        <v>0.67500000000000004</v>
      </c>
      <c r="AD13">
        <f>Inputs!B45+(Inputs!B46-Inputs!B45)*(AD3-2020)/30</f>
        <v>0.67</v>
      </c>
      <c r="AE13">
        <f>Inputs!B45+(Inputs!B46-Inputs!B45)*(AE3-2020)/30</f>
        <v>0.66500000000000004</v>
      </c>
      <c r="AF13">
        <f>Inputs!B45+(Inputs!B46-Inputs!B45)*(AF3-2020)/30</f>
        <v>0.66</v>
      </c>
      <c r="AG13">
        <f>Inputs!B45+(Inputs!B46-Inputs!B45)*(AG3-2020)/30</f>
        <v>0.65500000000000003</v>
      </c>
      <c r="AH13">
        <f>Inputs!B45+(Inputs!B46-Inputs!B45)*(AH3-2020)/30</f>
        <v>0.65</v>
      </c>
    </row>
    <row r="14" spans="1:34" ht="15" customHeight="1" x14ac:dyDescent="0.2">
      <c r="A14" s="62" t="s">
        <v>338</v>
      </c>
      <c r="B14" s="62" t="s">
        <v>187</v>
      </c>
      <c r="C14" s="62" t="s">
        <v>339</v>
      </c>
      <c r="D14" s="39">
        <f>D13*(Supply!D16+Supply!D17)</f>
        <v>6.2737758199600009</v>
      </c>
      <c r="E14" s="39">
        <f>E13*(Supply!E16+Supply!E17)</f>
        <v>6.845784927007835</v>
      </c>
      <c r="F14" s="39">
        <f>F13*(Supply!F16+Supply!F17)</f>
        <v>7.4229588508731181</v>
      </c>
      <c r="G14" s="39">
        <f>G13*(Supply!G16+Supply!G17)</f>
        <v>8.0048159339521856</v>
      </c>
      <c r="H14" s="39">
        <f>H13*(Supply!H16+Supply!H17)</f>
        <v>8.5908830871452615</v>
      </c>
      <c r="I14" s="39">
        <f>I13*(Supply!I16+Supply!I17)</f>
        <v>9.180695687795108</v>
      </c>
      <c r="J14" s="39">
        <f>J13*(Supply!J16+Supply!J17)</f>
        <v>9.7737974786192172</v>
      </c>
      <c r="K14" s="39">
        <f>K13*(Supply!K16+Supply!K17)</f>
        <v>10.369740467627032</v>
      </c>
      <c r="L14" s="39">
        <f>L13*(Supply!L16+Supply!L17)</f>
        <v>10.968084829013684</v>
      </c>
      <c r="M14" s="39">
        <f>M13*(Supply!M16+Supply!M17)</f>
        <v>11.568398805021825</v>
      </c>
      <c r="N14" s="39">
        <f>N13*(Supply!N16+Supply!N17)</f>
        <v>12.170258608763302</v>
      </c>
      <c r="O14" s="39">
        <f>O13*(Supply!O16+Supply!O17)</f>
        <v>12.773248327992246</v>
      </c>
      <c r="P14" s="39">
        <f>P13*(Supply!P16+Supply!P17)</f>
        <v>13.376959829821514</v>
      </c>
      <c r="Q14" s="39">
        <f>Q13*(Supply!Q16+Supply!Q17)</f>
        <v>13.980992666374235</v>
      </c>
      <c r="R14" s="39">
        <f>R13*(Supply!R16+Supply!R17)</f>
        <v>14.584953981362393</v>
      </c>
      <c r="S14" s="39">
        <f>S13*(Supply!S16+Supply!S17)</f>
        <v>15.188458417584519</v>
      </c>
      <c r="T14" s="39">
        <f>T13*(Supply!T16+Supply!T17)</f>
        <v>15.791128025334372</v>
      </c>
      <c r="U14" s="39">
        <f>U13*(Supply!U16+Supply!U17)</f>
        <v>16.392592171712881</v>
      </c>
      <c r="V14" s="39">
        <f>V13*(Supply!V16+Supply!V17)</f>
        <v>16.992487450835412</v>
      </c>
      <c r="W14" s="39">
        <f>W13*(Supply!W16+Supply!W17)</f>
        <v>17.59045759492664</v>
      </c>
      <c r="X14" s="39">
        <f>X13*(Supply!X16+Supply!X17)</f>
        <v>18.18615338629531</v>
      </c>
      <c r="Y14" s="39">
        <f>Y13*(Supply!Y16+Supply!Y17)</f>
        <v>18.779232570181215</v>
      </c>
      <c r="Z14" s="39">
        <f>Z13*(Supply!Z16+Supply!Z17)</f>
        <v>19.369359768466914</v>
      </c>
      <c r="AA14" s="39">
        <f>AA13*(Supply!AA16+Supply!AA17)</f>
        <v>19.956206394246482</v>
      </c>
      <c r="AB14" s="39">
        <f>AB13*(Supply!AB16+Supply!AB17)</f>
        <v>20.539450567244046</v>
      </c>
      <c r="AC14" s="39">
        <f>AC13*(Supply!AC16+Supply!AC17)</f>
        <v>21.118777030074465</v>
      </c>
      <c r="AD14" s="39">
        <f>AD13*(Supply!AD16+Supply!AD17)</f>
        <v>21.693877065339077</v>
      </c>
      <c r="AE14" s="39">
        <f>AE13*(Supply!AE16+Supply!AE17)</f>
        <v>22.264448413549008</v>
      </c>
      <c r="AF14" s="39">
        <f>AF13*(Supply!AF16+Supply!AF17)</f>
        <v>22.83019519186891</v>
      </c>
      <c r="AG14" s="39">
        <f>AG13*(Supply!AG16+Supply!AG17)</f>
        <v>23.39082781367393</v>
      </c>
      <c r="AH14" s="39">
        <f>AH13*(Supply!AH16+Supply!AH17)</f>
        <v>23.946062908912843</v>
      </c>
    </row>
    <row r="15" spans="1:34" ht="15" customHeight="1" x14ac:dyDescent="0.2">
      <c r="A15" s="42" t="s">
        <v>340</v>
      </c>
      <c r="B15" s="33" t="s">
        <v>187</v>
      </c>
      <c r="C15" s="34" t="s">
        <v>341</v>
      </c>
      <c r="D15" s="43">
        <f t="shared" ref="D15:AH15" si="0">D8+D9+D10+D11+D14</f>
        <v>3780.7660328139427</v>
      </c>
      <c r="E15" s="43">
        <f t="shared" si="0"/>
        <v>3833.485467237002</v>
      </c>
      <c r="F15" s="43">
        <f t="shared" si="0"/>
        <v>3887.4376284952032</v>
      </c>
      <c r="G15" s="43">
        <f t="shared" si="0"/>
        <v>3942.6414018929167</v>
      </c>
      <c r="H15" s="43">
        <f t="shared" si="0"/>
        <v>3999.1163093323157</v>
      </c>
      <c r="I15" s="43">
        <f t="shared" si="0"/>
        <v>4056.882530562506</v>
      </c>
      <c r="J15" s="43">
        <f t="shared" si="0"/>
        <v>4115.9609252288938</v>
      </c>
      <c r="K15" s="43">
        <f t="shared" si="0"/>
        <v>4343.2068773611682</v>
      </c>
      <c r="L15" s="43">
        <f t="shared" si="0"/>
        <v>4587.6306965853537</v>
      </c>
      <c r="M15" s="43">
        <f t="shared" si="0"/>
        <v>4831.6387360405843</v>
      </c>
      <c r="N15" s="43">
        <f t="shared" si="0"/>
        <v>5075.2557197717551</v>
      </c>
      <c r="O15" s="43">
        <f t="shared" si="0"/>
        <v>5318.5071113713529</v>
      </c>
      <c r="P15" s="43">
        <f t="shared" si="0"/>
        <v>5561.4191424033934</v>
      </c>
      <c r="Q15" s="43">
        <f t="shared" si="0"/>
        <v>5804.0188418398129</v>
      </c>
      <c r="R15" s="43">
        <f t="shared" si="0"/>
        <v>6046.3340665474007</v>
      </c>
      <c r="S15" s="43">
        <f t="shared" si="0"/>
        <v>6288.3935328647804</v>
      </c>
      <c r="T15" s="43">
        <f t="shared" si="0"/>
        <v>6530.2268493103738</v>
      </c>
      <c r="U15" s="43">
        <f t="shared" si="0"/>
        <v>6595.7520504637523</v>
      </c>
      <c r="V15" s="43">
        <f t="shared" si="0"/>
        <v>6662.9381320644115</v>
      </c>
      <c r="W15" s="43">
        <f t="shared" si="0"/>
        <v>6731.8175873734963</v>
      </c>
      <c r="X15" s="43">
        <f t="shared" si="0"/>
        <v>6802.4239448457502</v>
      </c>
      <c r="Y15" s="43">
        <f t="shared" si="0"/>
        <v>6874.7918071606509</v>
      </c>
      <c r="Z15" s="43">
        <f t="shared" si="0"/>
        <v>6948.9568916635108</v>
      </c>
      <c r="AA15" s="43">
        <f t="shared" si="0"/>
        <v>7024.9560722690931</v>
      </c>
      <c r="AB15" s="43">
        <f t="shared" si="0"/>
        <v>7102.8274228823384</v>
      </c>
      <c r="AC15" s="43">
        <f t="shared" si="0"/>
        <v>7182.6102623926417</v>
      </c>
      <c r="AD15" s="43">
        <f t="shared" si="0"/>
        <v>7264.3452013003161</v>
      </c>
      <c r="AE15" s="43">
        <f t="shared" si="0"/>
        <v>7348.0741900358862</v>
      </c>
      <c r="AF15" s="43">
        <f t="shared" si="0"/>
        <v>7433.8405690351628</v>
      </c>
      <c r="AG15" s="43">
        <f t="shared" si="0"/>
        <v>7521.6891206353012</v>
      </c>
      <c r="AH15" s="43">
        <f t="shared" si="0"/>
        <v>7611.6661228593875</v>
      </c>
    </row>
    <row r="16" spans="1:34" ht="15" customHeight="1" x14ac:dyDescent="0.2">
      <c r="A16" s="42" t="s">
        <v>340</v>
      </c>
      <c r="B16" s="33" t="s">
        <v>342</v>
      </c>
      <c r="C16" s="34" t="s">
        <v>343</v>
      </c>
      <c r="D16" s="63">
        <f t="shared" ref="D16:AH16" si="1">D15/1000</f>
        <v>3.7807660328139425</v>
      </c>
      <c r="E16" s="63">
        <f t="shared" si="1"/>
        <v>3.833485467237002</v>
      </c>
      <c r="F16" s="63">
        <f t="shared" si="1"/>
        <v>3.8874376284952032</v>
      </c>
      <c r="G16" s="63">
        <f t="shared" si="1"/>
        <v>3.9426414018929168</v>
      </c>
      <c r="H16" s="63">
        <f t="shared" si="1"/>
        <v>3.9991163093323157</v>
      </c>
      <c r="I16" s="63">
        <f t="shared" si="1"/>
        <v>4.0568825305625058</v>
      </c>
      <c r="J16" s="63">
        <f t="shared" si="1"/>
        <v>4.1159609252288938</v>
      </c>
      <c r="K16" s="63">
        <f t="shared" si="1"/>
        <v>4.3432068773611681</v>
      </c>
      <c r="L16" s="63">
        <f t="shared" si="1"/>
        <v>4.5876306965853537</v>
      </c>
      <c r="M16" s="63">
        <f t="shared" si="1"/>
        <v>4.8316387360405839</v>
      </c>
      <c r="N16" s="63">
        <f t="shared" si="1"/>
        <v>5.0752557197717554</v>
      </c>
      <c r="O16" s="63">
        <f t="shared" si="1"/>
        <v>5.3185071113713533</v>
      </c>
      <c r="P16" s="63">
        <f t="shared" si="1"/>
        <v>5.561419142403393</v>
      </c>
      <c r="Q16" s="63">
        <f t="shared" si="1"/>
        <v>5.8040188418398131</v>
      </c>
      <c r="R16" s="63">
        <f t="shared" si="1"/>
        <v>6.0463340665474004</v>
      </c>
      <c r="S16" s="63">
        <f t="shared" si="1"/>
        <v>6.28839353286478</v>
      </c>
      <c r="T16" s="63">
        <f t="shared" si="1"/>
        <v>6.5302268493103739</v>
      </c>
      <c r="U16" s="63">
        <f t="shared" si="1"/>
        <v>6.5957520504637523</v>
      </c>
      <c r="V16" s="63">
        <f t="shared" si="1"/>
        <v>6.6629381320644114</v>
      </c>
      <c r="W16" s="63">
        <f t="shared" si="1"/>
        <v>6.731817587373496</v>
      </c>
      <c r="X16" s="63">
        <f t="shared" si="1"/>
        <v>6.8024239448457502</v>
      </c>
      <c r="Y16" s="63">
        <f t="shared" si="1"/>
        <v>6.8747918071606513</v>
      </c>
      <c r="Z16" s="63">
        <f t="shared" si="1"/>
        <v>6.9489568916635109</v>
      </c>
      <c r="AA16" s="63">
        <f t="shared" si="1"/>
        <v>7.0249560722690934</v>
      </c>
      <c r="AB16" s="63">
        <f t="shared" si="1"/>
        <v>7.1028274228823385</v>
      </c>
      <c r="AC16" s="63">
        <f t="shared" si="1"/>
        <v>7.1826102623926413</v>
      </c>
      <c r="AD16" s="63">
        <f t="shared" si="1"/>
        <v>7.2643452013003165</v>
      </c>
      <c r="AE16" s="63">
        <f t="shared" si="1"/>
        <v>7.3480741900358861</v>
      </c>
      <c r="AF16" s="63">
        <f t="shared" si="1"/>
        <v>7.433840569035163</v>
      </c>
      <c r="AG16" s="63">
        <f t="shared" si="1"/>
        <v>7.5216891206353012</v>
      </c>
      <c r="AH16" s="63">
        <f t="shared" si="1"/>
        <v>7.6116661228593872</v>
      </c>
    </row>
    <row r="17" spans="1:35" ht="15" customHeight="1" x14ac:dyDescent="0.2">
      <c r="A17" s="42"/>
      <c r="B17" s="64" t="s">
        <v>344</v>
      </c>
      <c r="C17" s="65" t="s">
        <v>345</v>
      </c>
      <c r="D17" s="63">
        <f>+D15*Inputs!$B$64</f>
        <v>13.610757718130193</v>
      </c>
      <c r="E17" s="63">
        <f>+E15*Inputs!$B$64</f>
        <v>13.800547682053207</v>
      </c>
      <c r="F17" s="63">
        <f>+F15*Inputs!$B$64</f>
        <v>13.994775462582732</v>
      </c>
      <c r="G17" s="63">
        <f>+G15*Inputs!$B$64</f>
        <v>14.1935090468145</v>
      </c>
      <c r="H17" s="63">
        <f>+H15*Inputs!$B$64</f>
        <v>14.396818713596335</v>
      </c>
      <c r="I17" s="63">
        <f>+I15*Inputs!$B$64</f>
        <v>14.604777110025021</v>
      </c>
      <c r="J17" s="63">
        <f>+J15*Inputs!$B$64</f>
        <v>14.817459330824017</v>
      </c>
      <c r="K17" s="63">
        <f>+K15*Inputs!$B$64</f>
        <v>15.635544758500204</v>
      </c>
      <c r="L17" s="63">
        <f>+L15*Inputs!$B$64</f>
        <v>16.515470507707274</v>
      </c>
      <c r="M17" s="63">
        <f>+M15*Inputs!$B$64</f>
        <v>17.393899449746105</v>
      </c>
      <c r="N17" s="63">
        <f>+N15*Inputs!$B$64</f>
        <v>18.270920591178317</v>
      </c>
      <c r="O17" s="63">
        <f>+O15*Inputs!$B$64</f>
        <v>19.146625600936868</v>
      </c>
      <c r="P17" s="63">
        <f>+P15*Inputs!$B$64</f>
        <v>20.021108912652217</v>
      </c>
      <c r="Q17" s="63">
        <f>+Q15*Inputs!$B$64</f>
        <v>20.894467830623327</v>
      </c>
      <c r="R17" s="63">
        <f>+R15*Inputs!$B$64</f>
        <v>21.766802639570642</v>
      </c>
      <c r="S17" s="63">
        <f>+S15*Inputs!$B$64</f>
        <v>22.63821671831321</v>
      </c>
      <c r="T17" s="63">
        <f>+T15*Inputs!$B$64</f>
        <v>23.508816657517347</v>
      </c>
      <c r="U17" s="63">
        <f>+U15*Inputs!$B$64</f>
        <v>23.744707381669507</v>
      </c>
      <c r="V17" s="63">
        <f>+V15*Inputs!$B$64</f>
        <v>23.98657727543188</v>
      </c>
      <c r="W17" s="63">
        <f>+W15*Inputs!$B$64</f>
        <v>24.234543314544585</v>
      </c>
      <c r="X17" s="63">
        <f>+X15*Inputs!$B$64</f>
        <v>24.488726201444699</v>
      </c>
      <c r="Y17" s="63">
        <f>+Y15*Inputs!$B$64</f>
        <v>24.749250505778342</v>
      </c>
      <c r="Z17" s="63">
        <f>+Z15*Inputs!$B$64</f>
        <v>25.016244809988638</v>
      </c>
      <c r="AA17" s="63">
        <f>+AA15*Inputs!$B$64</f>
        <v>25.289841860168735</v>
      </c>
      <c r="AB17" s="63">
        <f>+AB15*Inputs!$B$64</f>
        <v>25.570178722376419</v>
      </c>
      <c r="AC17" s="63">
        <f>+AC15*Inputs!$B$64</f>
        <v>25.857396944613509</v>
      </c>
      <c r="AD17" s="63">
        <f>+AD15*Inputs!$B$64</f>
        <v>26.151642724681139</v>
      </c>
      <c r="AE17" s="63">
        <f>+AE15*Inputs!$B$64</f>
        <v>26.453067084129188</v>
      </c>
      <c r="AF17" s="63">
        <f>+AF15*Inputs!$B$64</f>
        <v>26.761826048526586</v>
      </c>
      <c r="AG17" s="63">
        <f>+AG15*Inputs!$B$64</f>
        <v>27.078080834287082</v>
      </c>
      <c r="AH17" s="63">
        <f>+AH15*Inputs!$B$64</f>
        <v>27.401998042293794</v>
      </c>
    </row>
    <row r="18" spans="1:35" ht="15" customHeight="1" x14ac:dyDescent="0.2">
      <c r="A18" s="42"/>
      <c r="B18" s="33"/>
      <c r="C18" s="34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</row>
    <row r="19" spans="1:35" ht="15" customHeight="1" x14ac:dyDescent="0.2">
      <c r="A19" s="67" t="s">
        <v>346</v>
      </c>
      <c r="B19" s="64" t="s">
        <v>344</v>
      </c>
      <c r="C19" s="60" t="s">
        <v>347</v>
      </c>
      <c r="D19" s="68">
        <f>+(D8+D9+D10+(D11-D12)+D14)*Inputs!$B$64</f>
        <v>13.610757718130193</v>
      </c>
      <c r="E19" s="68">
        <f>+(E8+E9+E10+(E11-E12)+E14)*Inputs!$B$64</f>
        <v>13.800547682053207</v>
      </c>
      <c r="F19" s="68">
        <f>+(F8+F9+F10+(F11-F12)+F14)*Inputs!$B$64</f>
        <v>13.994775462582732</v>
      </c>
      <c r="G19" s="68">
        <f>+(G8+G9+G10+(G11-G12)+G14)*Inputs!$B$64</f>
        <v>14.1935090468145</v>
      </c>
      <c r="H19" s="68">
        <f>+(H8+H9+H10+(H11-H12)+H14)*Inputs!$B$64</f>
        <v>14.396818713596335</v>
      </c>
      <c r="I19" s="68">
        <f>+(I8+I9+I10+(I11-I12)+I14)*Inputs!$B$64</f>
        <v>14.604777110025021</v>
      </c>
      <c r="J19" s="68">
        <f>+(J8+J9+J10+(J11-J12)+J14)*Inputs!$B$64</f>
        <v>14.817459330824017</v>
      </c>
      <c r="K19" s="68">
        <f>+(K8+K9+K10+(K11-K12)+K14)*Inputs!$B$64</f>
        <v>15.043536240808765</v>
      </c>
      <c r="L19" s="68">
        <f>+(L8+L9+L10+(L11-L12)+L14)*Inputs!$B$64</f>
        <v>15.266457907747206</v>
      </c>
      <c r="M19" s="68">
        <f>+(M8+M9+M10+(M11-M12)+M14)*Inputs!$B$64</f>
        <v>15.494351140367252</v>
      </c>
      <c r="N19" s="68">
        <f>+(N8+N9+N10+(N11-N12)+N14)*Inputs!$B$64</f>
        <v>15.727301050865744</v>
      </c>
      <c r="O19" s="68">
        <f>+(O8+O9+O10+(O11-O12)+O14)*Inputs!$B$64</f>
        <v>15.965395616080659</v>
      </c>
      <c r="P19" s="68">
        <f>+(P8+P9+P10+(P11-P12)+P14)*Inputs!$B$64</f>
        <v>16.208725775850699</v>
      </c>
      <c r="Q19" s="68">
        <f>+(Q8+Q9+Q10+(Q11-Q12)+Q14)*Inputs!$B$64</f>
        <v>16.457385535073445</v>
      </c>
      <c r="R19" s="68">
        <f>+(R8+R9+R10+(R11-R12)+R14)*Inputs!$B$64</f>
        <v>16.711472069598678</v>
      </c>
      <c r="S19" s="68">
        <f>+(S8+S9+S10+(S11-S12)+S14)*Inputs!$B$64</f>
        <v>16.971085836098446</v>
      </c>
      <c r="T19" s="68">
        <f>+(T8+T9+T10+(T11-T12)+T14)*Inputs!$B$64</f>
        <v>17.236330686060665</v>
      </c>
      <c r="U19" s="68">
        <f>+(U8+U9+U10+(U11-U12)+U14)*Inputs!$B$64</f>
        <v>17.507313984058403</v>
      </c>
      <c r="V19" s="68">
        <f>+(V8+V9+V10+(V11-V12)+V14)*Inputs!$B$64</f>
        <v>17.784146730452694</v>
      </c>
      <c r="W19" s="68">
        <f>+(W8+W9+W10+(W11-W12)+W14)*Inputs!$B$64</f>
        <v>18.066943688692291</v>
      </c>
      <c r="X19" s="68">
        <f>+(X8+X9+X10+(X11-X12)+X14)*Inputs!$B$64</f>
        <v>18.355823517380006</v>
      </c>
      <c r="Y19" s="68">
        <f>+(Y8+Y9+Y10+(Y11-Y12)+Y14)*Inputs!$B$64</f>
        <v>18.650908907281231</v>
      </c>
      <c r="Z19" s="68">
        <f>+(Z8+Z9+Z10+(Z11-Z12)+Z14)*Inputs!$B$64</f>
        <v>18.952326723457045</v>
      </c>
      <c r="AA19" s="68">
        <f>+(AA8+AA9+AA10+(AA11-AA12)+AA14)*Inputs!$B$64</f>
        <v>19.26020815271043</v>
      </c>
      <c r="AB19" s="68">
        <f>+(AB8+AB9+AB10+(AB11-AB12)+AB14)*Inputs!$B$64</f>
        <v>19.574688856541638</v>
      </c>
      <c r="AC19" s="68">
        <f>+(AC8+AC9+AC10+(AC11-AC12)+AC14)*Inputs!$B$64</f>
        <v>19.895909129815397</v>
      </c>
      <c r="AD19" s="68">
        <f>+(AD8+AD9+AD10+(AD11-AD12)+AD14)*Inputs!$B$64</f>
        <v>20.224014065350453</v>
      </c>
      <c r="AE19" s="68">
        <f>+(AE8+AE9+AE10+(AE11-AE12)+AE14)*Inputs!$B$64</f>
        <v>20.55915372464926</v>
      </c>
      <c r="AF19" s="68">
        <f>+(AF8+AF9+AF10+(AF11-AF12)+AF14)*Inputs!$B$64</f>
        <v>20.90148331499401</v>
      </c>
      <c r="AG19" s="68">
        <f>+(AG8+AG9+AG10+(AG11-AG12)+AG14)*Inputs!$B$64</f>
        <v>21.251163373143051</v>
      </c>
      <c r="AH19" s="68">
        <f>+(AH8+AH9+AH10+(AH11-AH12)+AH14)*Inputs!$B$64</f>
        <v>21.608359955870529</v>
      </c>
    </row>
    <row r="20" spans="1:35" ht="15" customHeight="1" x14ac:dyDescent="0.2">
      <c r="A20" s="67" t="s">
        <v>348</v>
      </c>
      <c r="B20" s="64" t="s">
        <v>344</v>
      </c>
      <c r="C20" s="60" t="s">
        <v>349</v>
      </c>
      <c r="D20" s="68">
        <f>+(D8+D9+D10+D11+D14)*Inputs!$B$64</f>
        <v>13.610757718130193</v>
      </c>
      <c r="E20" s="68">
        <f>+(E8+E9+E10+E11+E14)*Inputs!$B$64</f>
        <v>13.800547682053207</v>
      </c>
      <c r="F20" s="68">
        <f>+(F8+F9+F10+F11+F14)*Inputs!$B$64</f>
        <v>13.994775462582732</v>
      </c>
      <c r="G20" s="68">
        <f>+(G8+G9+G10+G11+G14)*Inputs!$B$64</f>
        <v>14.1935090468145</v>
      </c>
      <c r="H20" s="68">
        <f>+(H8+H9+H10+H11+H14)*Inputs!$B$64</f>
        <v>14.396818713596335</v>
      </c>
      <c r="I20" s="68">
        <f>+(I8+I9+I10+I11+I14)*Inputs!$B$64</f>
        <v>14.604777110025021</v>
      </c>
      <c r="J20" s="68">
        <f>+(J8+J9+J10+J11+J14)*Inputs!$B$64</f>
        <v>14.817459330824017</v>
      </c>
      <c r="K20" s="68">
        <f>+(K8+K9+K10+K11+K14)*Inputs!$B$64</f>
        <v>15.635544758500204</v>
      </c>
      <c r="L20" s="68">
        <f>+(L8+L9+L10+L11+L14)*Inputs!$B$64</f>
        <v>16.515470507707274</v>
      </c>
      <c r="M20" s="68">
        <f>+(M8+M9+M10+M11+M14)*Inputs!$B$64</f>
        <v>17.393899449746105</v>
      </c>
      <c r="N20" s="68">
        <f>+(N8+N9+N10+N11+N14)*Inputs!$B$64</f>
        <v>18.270920591178317</v>
      </c>
      <c r="O20" s="68">
        <f>+(O8+O9+O10+O11+O14)*Inputs!$B$64</f>
        <v>19.146625600936868</v>
      </c>
      <c r="P20" s="68">
        <f>+(P8+P9+P10+P11+P14)*Inputs!$B$64</f>
        <v>20.021108912652217</v>
      </c>
      <c r="Q20" s="68">
        <f>+(Q8+Q9+Q10+Q11+Q14)*Inputs!$B$64</f>
        <v>20.894467830623327</v>
      </c>
      <c r="R20" s="68">
        <f>+(R8+R9+R10+R11+R14)*Inputs!$B$64</f>
        <v>21.766802639570642</v>
      </c>
      <c r="S20" s="68">
        <f>+(S8+S9+S10+S11+S14)*Inputs!$B$64</f>
        <v>22.63821671831321</v>
      </c>
      <c r="T20" s="68">
        <f>+(T8+T9+T10+T11+T14)*Inputs!$B$64</f>
        <v>23.508816657517347</v>
      </c>
      <c r="U20" s="68">
        <f>+(U8+U9+U10+U11+U14)*Inputs!$B$64</f>
        <v>23.744707381669507</v>
      </c>
      <c r="V20" s="68">
        <f>+(V8+V9+V10+V11+V14)*Inputs!$B$64</f>
        <v>23.98657727543188</v>
      </c>
      <c r="W20" s="68">
        <f>+(W8+W9+W10+W11+W14)*Inputs!$B$64</f>
        <v>24.234543314544585</v>
      </c>
      <c r="X20" s="68">
        <f>+(X8+X9+X10+X11+X14)*Inputs!$B$64</f>
        <v>24.488726201444699</v>
      </c>
      <c r="Y20" s="68">
        <f>+(Y8+Y9+Y10+Y11+Y14)*Inputs!$B$64</f>
        <v>24.749250505778342</v>
      </c>
      <c r="Z20" s="68">
        <f>+(Z8+Z9+Z10+Z11+Z14)*Inputs!$B$64</f>
        <v>25.016244809988638</v>
      </c>
      <c r="AA20" s="68">
        <f>+(AA8+AA9+AA10+AA11+AA14)*Inputs!$B$64</f>
        <v>25.289841860168735</v>
      </c>
      <c r="AB20" s="68">
        <f>+(AB8+AB9+AB10+AB11+AB14)*Inputs!$B$64</f>
        <v>25.570178722376419</v>
      </c>
      <c r="AC20" s="68">
        <f>+(AC8+AC9+AC10+AC11+AC14)*Inputs!$B$64</f>
        <v>25.857396944613509</v>
      </c>
      <c r="AD20" s="68">
        <f>+(AD8+AD9+AD10+AD11+AD14)*Inputs!$B$64</f>
        <v>26.151642724681139</v>
      </c>
      <c r="AE20" s="68">
        <f>+(AE8+AE9+AE10+AE11+AE14)*Inputs!$B$64</f>
        <v>26.453067084129188</v>
      </c>
      <c r="AF20" s="68">
        <f>+(AF8+AF9+AF10+AF11+AF14)*Inputs!$B$64</f>
        <v>26.761826048526586</v>
      </c>
      <c r="AG20" s="68">
        <f>+(AG8+AG9+AG10+AG11+AG14)*Inputs!$B$64</f>
        <v>27.078080834287082</v>
      </c>
      <c r="AH20" s="68">
        <f>+(AH8+AH9+AH10+AH11+AH14)*Inputs!$B$64</f>
        <v>27.401998042293794</v>
      </c>
      <c r="AI20" s="69"/>
    </row>
    <row r="21" spans="1:35" ht="15" customHeight="1" x14ac:dyDescent="0.2">
      <c r="A21" s="67" t="s">
        <v>350</v>
      </c>
      <c r="B21" s="64" t="s">
        <v>344</v>
      </c>
      <c r="C21" s="60" t="s">
        <v>349</v>
      </c>
      <c r="D21" s="68">
        <f>+(D8+D9+D10+D11+D14)*Inputs!$B$64</f>
        <v>13.610757718130193</v>
      </c>
      <c r="E21" s="68">
        <f>+(E8+E9+E10+E11+E14)*Inputs!$B$64</f>
        <v>13.800547682053207</v>
      </c>
      <c r="F21" s="68">
        <f>+(F8+F9+F10+F11+F14)*Inputs!$B$64</f>
        <v>13.994775462582732</v>
      </c>
      <c r="G21" s="68">
        <f>+(G8+G9+G10+G11+G14)*Inputs!$B$64</f>
        <v>14.1935090468145</v>
      </c>
      <c r="H21" s="68">
        <f>+(H8+H9+H10+H11+H14)*Inputs!$B$64</f>
        <v>14.396818713596335</v>
      </c>
      <c r="I21" s="68">
        <f>+(I8+I9+I10+I11+I14)*Inputs!$B$64</f>
        <v>14.604777110025021</v>
      </c>
      <c r="J21" s="68">
        <f>+(J8+J9+J10+J11+J14)*Inputs!$B$64</f>
        <v>14.817459330824017</v>
      </c>
      <c r="K21" s="68">
        <f>+(K8+K9+K10+K11+K14)*Inputs!$B$64</f>
        <v>15.635544758500204</v>
      </c>
      <c r="L21" s="68">
        <f>+(L8+L9+L10+L11+L14)*Inputs!$B$64</f>
        <v>16.515470507707274</v>
      </c>
      <c r="M21" s="68">
        <f>+(M8+M9+M10+M11+M14)*Inputs!$B$64</f>
        <v>17.393899449746105</v>
      </c>
      <c r="N21" s="68">
        <f>+(N8+N9+N10+N11+N14)*Inputs!$B$64</f>
        <v>18.270920591178317</v>
      </c>
      <c r="O21" s="68">
        <f>+(O8+O9+O10+O11+O14)*Inputs!$B$64</f>
        <v>19.146625600936868</v>
      </c>
      <c r="P21" s="68">
        <f>+(P8+P9+P10+P11+P14)*Inputs!$B$64</f>
        <v>20.021108912652217</v>
      </c>
      <c r="Q21" s="68">
        <f>+(Q8+Q9+Q10+Q11+Q14)*Inputs!$B$64</f>
        <v>20.894467830623327</v>
      </c>
      <c r="R21" s="68">
        <f>+(R8+R9+R10+R11+R14)*Inputs!$B$64</f>
        <v>21.766802639570642</v>
      </c>
      <c r="S21" s="68">
        <f>+(S8+S9+S10+S11+S14)*Inputs!$B$64</f>
        <v>22.63821671831321</v>
      </c>
      <c r="T21" s="68">
        <f>+(T8+T9+T10+T11+T14)*Inputs!$B$64</f>
        <v>23.508816657517347</v>
      </c>
      <c r="U21" s="68">
        <f>+(U8+U9+U10+U11+U14)*Inputs!$B$64</f>
        <v>23.744707381669507</v>
      </c>
      <c r="V21" s="68">
        <f>+(V8+V9+V10+V11+V14)*Inputs!$B$64</f>
        <v>23.98657727543188</v>
      </c>
      <c r="W21" s="68">
        <f>+(W8+W9+W10+W11+W14)*Inputs!$B$64</f>
        <v>24.234543314544585</v>
      </c>
      <c r="X21" s="68">
        <f>+(X8+X9+X10+X11+X14)*Inputs!$B$64</f>
        <v>24.488726201444699</v>
      </c>
      <c r="Y21" s="68">
        <f>+(Y8+Y9+Y10+Y11+Y14)*Inputs!$B$64</f>
        <v>24.749250505778342</v>
      </c>
      <c r="Z21" s="68">
        <f>+(Z8+Z9+Z10+Z11+Z14)*Inputs!$B$64</f>
        <v>25.016244809988638</v>
      </c>
      <c r="AA21" s="68">
        <f>+(AA8+AA9+AA10+AA11+AA14)*Inputs!$B$64</f>
        <v>25.289841860168735</v>
      </c>
      <c r="AB21" s="68">
        <f>+(AB8+AB9+AB10+AB11+AB14)*Inputs!$B$64</f>
        <v>25.570178722376419</v>
      </c>
      <c r="AC21" s="68">
        <f>+(AC8+AC9+AC10+AC11+AC14)*Inputs!$B$64</f>
        <v>25.857396944613509</v>
      </c>
      <c r="AD21" s="68">
        <f>+(AD8+AD9+AD10+AD11+AD14)*Inputs!$B$64</f>
        <v>26.151642724681139</v>
      </c>
      <c r="AE21" s="68">
        <f>+(AE8+AE9+AE10+AE11+AE14)*Inputs!$B$64</f>
        <v>26.453067084129188</v>
      </c>
      <c r="AF21" s="68">
        <f>+(AF8+AF9+AF10+AF11+AF14)*Inputs!$B$64</f>
        <v>26.761826048526586</v>
      </c>
      <c r="AG21" s="68">
        <f>+(AG8+AG9+AG10+AG11+AG14)*Inputs!$B$64</f>
        <v>27.078080834287082</v>
      </c>
      <c r="AH21" s="68">
        <f>+(AH8+AH9+AH10+AH11+AH14)*Inputs!$B$64</f>
        <v>27.401998042293794</v>
      </c>
    </row>
    <row r="22" spans="1:35" ht="15" customHeight="1" x14ac:dyDescent="0.2"/>
    <row r="23" spans="1:35" ht="15" customHeight="1" x14ac:dyDescent="0.2">
      <c r="A23" s="32" t="s">
        <v>351</v>
      </c>
      <c r="B23" s="33" t="s">
        <v>108</v>
      </c>
      <c r="C23" s="34" t="s">
        <v>352</v>
      </c>
      <c r="D23" s="70">
        <f>D15/Supply!D5</f>
        <v>0.53707615125100683</v>
      </c>
      <c r="E23" s="70">
        <f>E15/Supply!E5</f>
        <v>0.53794444083351245</v>
      </c>
      <c r="F23" s="70">
        <f>F15/Supply!F5</f>
        <v>0.53904527182720152</v>
      </c>
      <c r="G23" s="70">
        <f>G15/Supply!G5</f>
        <v>0.54037148106727595</v>
      </c>
      <c r="H23" s="70">
        <f>H15/Supply!H5</f>
        <v>0.54191650061073871</v>
      </c>
      <c r="I23" s="70">
        <f>I15/Supply!I5</f>
        <v>0.54367430874745704</v>
      </c>
      <c r="J23" s="70">
        <f>J15/Supply!J5</f>
        <v>0.54563938598041117</v>
      </c>
      <c r="K23" s="70">
        <f>K15/Supply!K5</f>
        <v>0.56562791234885168</v>
      </c>
      <c r="L23" s="70">
        <f>L15/Supply!L5</f>
        <v>0.58719353429406129</v>
      </c>
      <c r="M23" s="70">
        <f>M15/Supply!M5</f>
        <v>0.60804767057503228</v>
      </c>
      <c r="N23" s="70">
        <f>N15/Supply!N5</f>
        <v>0.62823345618163584</v>
      </c>
      <c r="O23" s="70">
        <f>O15/Supply!O5</f>
        <v>0.6477906087653047</v>
      </c>
      <c r="P23" s="70">
        <f>P15/Supply!P5</f>
        <v>0.66675576546813464</v>
      </c>
      <c r="Q23" s="70">
        <f>Q15/Supply!Q5</f>
        <v>0.6851627811298362</v>
      </c>
      <c r="R23" s="70">
        <f>R15/Supply!R5</f>
        <v>0.70304299296303652</v>
      </c>
      <c r="S23" s="70">
        <f>S15/Supply!S5</f>
        <v>0.72042545603543717</v>
      </c>
      <c r="T23" s="70">
        <f>T15/Supply!T5</f>
        <v>0.73733715326805327</v>
      </c>
      <c r="U23" s="70">
        <f>U15/Supply!U5</f>
        <v>0.73870137155407856</v>
      </c>
      <c r="V23" s="70">
        <f>V15/Supply!V5</f>
        <v>0.74028184708645917</v>
      </c>
      <c r="W23" s="70">
        <f>W15/Supply!W5</f>
        <v>0.74207502248971546</v>
      </c>
      <c r="X23" s="70">
        <f>X15/Supply!X5</f>
        <v>0.7440776216532331</v>
      </c>
      <c r="Y23" s="70">
        <f>Y15/Supply!Y5</f>
        <v>0.74628663359433978</v>
      </c>
      <c r="Z23" s="70">
        <f>Z15/Supply!Z5</f>
        <v>0.74869929760490228</v>
      </c>
      <c r="AA23" s="70">
        <f>AA15/Supply!AA5</f>
        <v>0.751313089569279</v>
      </c>
      <c r="AB23" s="70">
        <f>AB15/Supply!AB5</f>
        <v>0.75412570935263024</v>
      </c>
      <c r="AC23" s="70">
        <f>AC15/Supply!AC5</f>
        <v>0.75713506916850026</v>
      </c>
      <c r="AD23" s="70">
        <f>AD15/Supply!AD5</f>
        <v>0.76033928284343477</v>
      </c>
      <c r="AE23" s="70">
        <f>AE15/Supply!AE5</f>
        <v>0.76373665590427287</v>
      </c>
      <c r="AF23" s="70">
        <f>AF15/Supply!AF5</f>
        <v>0.76732567642078875</v>
      </c>
      <c r="AG23" s="70">
        <f>AG15/Supply!AG5</f>
        <v>0.77110500654266445</v>
      </c>
      <c r="AH23" s="70">
        <f>AH15/Supply!AH5</f>
        <v>0.77507347467539645</v>
      </c>
    </row>
    <row r="24" spans="1:35" ht="15" customHeight="1" x14ac:dyDescent="0.2">
      <c r="A24" s="32" t="s">
        <v>353</v>
      </c>
      <c r="B24" s="33" t="s">
        <v>354</v>
      </c>
      <c r="C24" s="34" t="s">
        <v>355</v>
      </c>
      <c r="D24" s="36">
        <f>D15*1000000/Demand!D5</f>
        <v>561.33786818477438</v>
      </c>
      <c r="E24" s="36">
        <f>E15*1000000/Demand!E5</f>
        <v>558.73571587303013</v>
      </c>
      <c r="F24" s="36">
        <f>F15*1000000/Demand!F5</f>
        <v>556.40365088165856</v>
      </c>
      <c r="G24" s="36">
        <f>G15*1000000/Demand!G5</f>
        <v>554.33000593437555</v>
      </c>
      <c r="H24" s="36">
        <f>H15*1000000/Demand!H5</f>
        <v>552.50401231863202</v>
      </c>
      <c r="I24" s="36">
        <f>I15*1000000/Demand!I5</f>
        <v>550.91572606602881</v>
      </c>
      <c r="J24" s="36">
        <f>J15*1000000/Demand!J5</f>
        <v>549.55596167450244</v>
      </c>
      <c r="K24" s="36">
        <f>K15*1000000/Demand!K5</f>
        <v>570.32384819881099</v>
      </c>
      <c r="L24" s="36">
        <f>L15*1000000/Demand!L5</f>
        <v>592.63621190043602</v>
      </c>
      <c r="M24" s="36">
        <f>M15*1000000/Demand!M5</f>
        <v>614.18255539520135</v>
      </c>
      <c r="N24" s="36">
        <f>N15*1000000/Demand!N5</f>
        <v>635.00212070910402</v>
      </c>
      <c r="O24" s="36">
        <f>O15*1000000/Demand!O5</f>
        <v>655.13181008622678</v>
      </c>
      <c r="P24" s="36">
        <f>P15*1000000/Demand!P5</f>
        <v>674.60636784823987</v>
      </c>
      <c r="Q24" s="36">
        <f>Q15*1000000/Demand!Q5</f>
        <v>693.45854598438007</v>
      </c>
      <c r="R24" s="36">
        <f>R15*1000000/Demand!R5</f>
        <v>711.71925516178658</v>
      </c>
      <c r="S24" s="36">
        <f>S15*1000000/Demand!S5</f>
        <v>729.41770264909258</v>
      </c>
      <c r="T24" s="36">
        <f>T15*1000000/Demand!T5</f>
        <v>746.58151847466399</v>
      </c>
      <c r="U24" s="36">
        <f>U15*1000000/Demand!U5</f>
        <v>743.38775079093614</v>
      </c>
      <c r="V24" s="36">
        <f>V15*1000000/Demand!V5</f>
        <v>740.46780619505046</v>
      </c>
      <c r="W24" s="36">
        <f>W15*1000000/Demand!W5</f>
        <v>737.81392670000287</v>
      </c>
      <c r="X24" s="36">
        <f>X15*1000000/Demand!X5</f>
        <v>735.41888802185724</v>
      </c>
      <c r="Y24" s="36">
        <f>Y15*1000000/Demand!Y5</f>
        <v>733.27596795872569</v>
      </c>
      <c r="Z24" s="36">
        <f>Z15*1000000/Demand!Z5</f>
        <v>731.37891742866145</v>
      </c>
      <c r="AA24" s="36">
        <f>AA15*1000000/Demand!AA5</f>
        <v>729.72193392885868</v>
      </c>
      <c r="AB24" s="36">
        <f>AB15*1000000/Demand!AB5</f>
        <v>728.29963720325929</v>
      </c>
      <c r="AC24" s="36">
        <f>AC15*1000000/Demand!AC5</f>
        <v>727.107046927537</v>
      </c>
      <c r="AD24" s="36">
        <f>AD15*1000000/Demand!AD5</f>
        <v>726.13956223984974</v>
      </c>
      <c r="AE24" s="36">
        <f>AE15*1000000/Demand!AE5</f>
        <v>725.39294296299056</v>
      </c>
      <c r="AF24" s="36">
        <f>AF15*1000000/Demand!AF5</f>
        <v>724.86329237892994</v>
      </c>
      <c r="AG24" s="36">
        <f>AG15*1000000/Demand!AG5</f>
        <v>724.54704143043</v>
      </c>
      <c r="AH24" s="36">
        <f>AH15*1000000/Demand!AH5</f>
        <v>724.44093423662616</v>
      </c>
    </row>
    <row r="25" spans="1:35" ht="15" customHeight="1" x14ac:dyDescent="0.2">
      <c r="A25" s="32" t="s">
        <v>356</v>
      </c>
      <c r="B25" s="33" t="s">
        <v>284</v>
      </c>
      <c r="C25" s="34"/>
      <c r="D25" s="52">
        <f t="shared" ref="D25:AH25" si="2">D11/D15</f>
        <v>0</v>
      </c>
      <c r="E25" s="52">
        <f t="shared" si="2"/>
        <v>0</v>
      </c>
      <c r="F25" s="52">
        <f t="shared" si="2"/>
        <v>0</v>
      </c>
      <c r="G25" s="52">
        <f t="shared" si="2"/>
        <v>0</v>
      </c>
      <c r="H25" s="52">
        <f t="shared" si="2"/>
        <v>0</v>
      </c>
      <c r="I25" s="52">
        <f t="shared" si="2"/>
        <v>0</v>
      </c>
      <c r="J25" s="52">
        <f t="shared" si="2"/>
        <v>0</v>
      </c>
      <c r="K25" s="52">
        <f t="shared" si="2"/>
        <v>3.7862992740920996E-2</v>
      </c>
      <c r="L25" s="52">
        <f t="shared" si="2"/>
        <v>7.5626825126004812E-2</v>
      </c>
      <c r="M25" s="52">
        <f t="shared" si="2"/>
        <v>0.10920773199057317</v>
      </c>
      <c r="N25" s="52">
        <f t="shared" si="2"/>
        <v>0.13921682422180201</v>
      </c>
      <c r="O25" s="52">
        <f t="shared" si="2"/>
        <v>0.16615094749126696</v>
      </c>
      <c r="P25" s="52">
        <f t="shared" si="2"/>
        <v>0.19041818080277784</v>
      </c>
      <c r="Q25" s="52">
        <f t="shared" si="2"/>
        <v>0.21235679853242345</v>
      </c>
      <c r="R25" s="52">
        <f t="shared" si="2"/>
        <v>0.23224957076523942</v>
      </c>
      <c r="S25" s="52">
        <f t="shared" si="2"/>
        <v>0.25033468637263878</v>
      </c>
      <c r="T25" s="52">
        <f t="shared" si="2"/>
        <v>0.26681419413133012</v>
      </c>
      <c r="U25" s="52">
        <f t="shared" si="2"/>
        <v>0.2626856291531417</v>
      </c>
      <c r="V25" s="52">
        <f t="shared" si="2"/>
        <v>0.2585792242785715</v>
      </c>
      <c r="W25" s="52">
        <f t="shared" si="2"/>
        <v>0.25449621830301833</v>
      </c>
      <c r="X25" s="52">
        <f t="shared" si="2"/>
        <v>0.25043779874932354</v>
      </c>
      <c r="Y25" s="52">
        <f t="shared" si="2"/>
        <v>0.24640510212918562</v>
      </c>
      <c r="Z25" s="52">
        <f t="shared" si="2"/>
        <v>0.24239921429415953</v>
      </c>
      <c r="AA25" s="52">
        <f t="shared" si="2"/>
        <v>0.23842117087157125</v>
      </c>
      <c r="AB25" s="52">
        <f t="shared" si="2"/>
        <v>0.23447195778057411</v>
      </c>
      <c r="AC25" s="52">
        <f t="shared" si="2"/>
        <v>0.23055251182350664</v>
      </c>
      <c r="AD25" s="52">
        <f t="shared" si="2"/>
        <v>0.22666372134766011</v>
      </c>
      <c r="AE25" s="52">
        <f t="shared" si="2"/>
        <v>0.22280642697254754</v>
      </c>
      <c r="AF25" s="52">
        <f t="shared" si="2"/>
        <v>0.21898142237776139</v>
      </c>
      <c r="AG25" s="52">
        <f t="shared" si="2"/>
        <v>0.21518945514653359</v>
      </c>
      <c r="AH25" s="52">
        <f t="shared" si="2"/>
        <v>0.21143122766015224</v>
      </c>
    </row>
    <row r="30" spans="1:35" ht="15" customHeight="1" x14ac:dyDescent="0.2">
      <c r="D30" s="71">
        <f>+D19/D31</f>
        <v>0.11203597560641092</v>
      </c>
    </row>
    <row r="31" spans="1:35" ht="15" customHeight="1" x14ac:dyDescent="0.2">
      <c r="D31" s="69">
        <f>33746*Inputs!$B$64</f>
        <v>121.48559999999999</v>
      </c>
      <c r="E31" s="69"/>
    </row>
    <row r="32" spans="1:35" ht="15" customHeight="1" x14ac:dyDescent="0.2">
      <c r="E32" s="69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9"/>
  <sheetViews>
    <sheetView showGridLines="0" tabSelected="1" topLeftCell="G56" zoomScaleNormal="100" workbookViewId="0">
      <selection activeCell="I63" sqref="I63"/>
    </sheetView>
  </sheetViews>
  <sheetFormatPr baseColWidth="10" defaultColWidth="8.6640625" defaultRowHeight="15" x14ac:dyDescent="0.2"/>
  <cols>
    <col min="1" max="1" width="32" customWidth="1"/>
    <col min="2" max="2" width="13" customWidth="1"/>
    <col min="3" max="3" width="30" customWidth="1"/>
    <col min="4" max="34" width="9" customWidth="1"/>
  </cols>
  <sheetData>
    <row r="1" spans="1:9" ht="21.75" customHeight="1" x14ac:dyDescent="0.2">
      <c r="A1" s="5" t="s">
        <v>357</v>
      </c>
      <c r="B1" s="5"/>
      <c r="C1" s="5"/>
      <c r="D1" s="5"/>
      <c r="E1" s="5"/>
      <c r="F1" s="5"/>
      <c r="G1" s="5"/>
      <c r="H1" s="5"/>
    </row>
    <row r="2" spans="1:9" ht="15" customHeight="1" x14ac:dyDescent="0.2">
      <c r="A2" s="4"/>
      <c r="B2" s="4"/>
      <c r="C2" s="4"/>
      <c r="D2" s="4"/>
      <c r="E2" s="4"/>
      <c r="F2" s="4"/>
      <c r="G2" s="4"/>
      <c r="H2" s="4"/>
    </row>
    <row r="4" spans="1:9" ht="15" customHeight="1" x14ac:dyDescent="0.2">
      <c r="A4" s="3" t="s">
        <v>358</v>
      </c>
      <c r="B4" s="3"/>
      <c r="C4" s="3"/>
      <c r="D4" s="3"/>
      <c r="F4" s="2"/>
      <c r="G4" s="2"/>
      <c r="H4" s="2"/>
      <c r="I4" s="2"/>
    </row>
    <row r="5" spans="1:9" ht="15" customHeight="1" x14ac:dyDescent="0.2">
      <c r="A5" s="73" t="s">
        <v>60</v>
      </c>
      <c r="B5" s="73" t="s">
        <v>61</v>
      </c>
      <c r="C5" s="73" t="s">
        <v>62</v>
      </c>
      <c r="D5" s="73" t="s">
        <v>63</v>
      </c>
      <c r="F5" s="74"/>
      <c r="G5" s="74"/>
      <c r="H5" s="74"/>
      <c r="I5" s="74"/>
    </row>
    <row r="6" spans="1:9" ht="15" customHeight="1" x14ac:dyDescent="0.2">
      <c r="A6" t="s">
        <v>361</v>
      </c>
      <c r="B6" s="75">
        <v>0.20699999999999999</v>
      </c>
      <c r="C6" t="s">
        <v>362</v>
      </c>
      <c r="D6" s="72" t="s">
        <v>363</v>
      </c>
      <c r="G6" s="76"/>
      <c r="H6" s="76"/>
      <c r="I6" s="77"/>
    </row>
    <row r="7" spans="1:9" ht="15" customHeight="1" x14ac:dyDescent="0.2">
      <c r="A7" t="s">
        <v>364</v>
      </c>
      <c r="B7" s="75">
        <v>1.3</v>
      </c>
      <c r="C7" t="s">
        <v>365</v>
      </c>
      <c r="D7" s="72" t="s">
        <v>366</v>
      </c>
      <c r="G7" s="76"/>
      <c r="H7" s="76"/>
      <c r="I7" s="77"/>
    </row>
    <row r="8" spans="1:9" ht="15" customHeight="1" x14ac:dyDescent="0.2">
      <c r="A8" t="s">
        <v>367</v>
      </c>
      <c r="B8" s="75">
        <v>0.06</v>
      </c>
      <c r="C8" t="s">
        <v>75</v>
      </c>
      <c r="D8" s="72" t="s">
        <v>368</v>
      </c>
      <c r="G8" s="76"/>
      <c r="H8" s="76"/>
      <c r="I8" s="77"/>
    </row>
    <row r="9" spans="1:9" ht="15" customHeight="1" x14ac:dyDescent="0.2">
      <c r="A9" t="s">
        <v>369</v>
      </c>
      <c r="B9" s="75">
        <v>2025</v>
      </c>
      <c r="C9" t="s">
        <v>125</v>
      </c>
      <c r="D9" s="72" t="s">
        <v>370</v>
      </c>
      <c r="G9" s="76"/>
      <c r="H9" s="76"/>
      <c r="I9" s="77"/>
    </row>
    <row r="10" spans="1:9" ht="15" customHeight="1" x14ac:dyDescent="0.2">
      <c r="A10" t="s">
        <v>371</v>
      </c>
      <c r="B10" s="75">
        <v>2050</v>
      </c>
      <c r="C10" t="s">
        <v>125</v>
      </c>
      <c r="D10" s="72" t="s">
        <v>372</v>
      </c>
      <c r="G10" s="78"/>
      <c r="H10" s="78"/>
      <c r="I10" s="79"/>
    </row>
    <row r="11" spans="1:9" ht="15" customHeight="1" x14ac:dyDescent="0.2">
      <c r="F11" s="4" t="s">
        <v>373</v>
      </c>
      <c r="G11" s="4"/>
      <c r="H11" s="4"/>
      <c r="I11" s="4"/>
    </row>
    <row r="12" spans="1:9" ht="15" customHeight="1" x14ac:dyDescent="0.2">
      <c r="A12" s="3" t="s">
        <v>374</v>
      </c>
      <c r="B12" s="3"/>
      <c r="C12" s="3"/>
      <c r="D12" s="3"/>
      <c r="E12" s="3"/>
      <c r="F12" s="3"/>
    </row>
    <row r="13" spans="1:9" ht="15" customHeight="1" x14ac:dyDescent="0.2">
      <c r="A13" s="73" t="s">
        <v>375</v>
      </c>
      <c r="B13" s="73" t="s">
        <v>376</v>
      </c>
      <c r="C13" s="73" t="s">
        <v>377</v>
      </c>
      <c r="D13" s="73" t="s">
        <v>378</v>
      </c>
      <c r="E13" s="73" t="s">
        <v>379</v>
      </c>
      <c r="F13" s="73" t="s">
        <v>63</v>
      </c>
    </row>
    <row r="14" spans="1:9" ht="15" customHeight="1" x14ac:dyDescent="0.2">
      <c r="B14" s="80" t="s">
        <v>380</v>
      </c>
      <c r="C14" s="80" t="s">
        <v>381</v>
      </c>
      <c r="D14" s="80" t="s">
        <v>128</v>
      </c>
      <c r="E14" s="80" t="s">
        <v>382</v>
      </c>
    </row>
    <row r="15" spans="1:9" ht="60" customHeight="1" x14ac:dyDescent="0.2">
      <c r="A15" s="81" t="s">
        <v>383</v>
      </c>
      <c r="B15" s="82">
        <v>2000</v>
      </c>
      <c r="C15" s="83">
        <v>0.65</v>
      </c>
      <c r="D15" s="75">
        <v>25</v>
      </c>
      <c r="E15" s="83">
        <v>0.85</v>
      </c>
      <c r="F15" s="84" t="s">
        <v>384</v>
      </c>
    </row>
    <row r="16" spans="1:9" ht="60" customHeight="1" x14ac:dyDescent="0.2">
      <c r="A16" s="81" t="s">
        <v>385</v>
      </c>
      <c r="B16" s="82">
        <v>3000</v>
      </c>
      <c r="C16" s="83">
        <v>0.3</v>
      </c>
      <c r="D16" s="75">
        <v>50</v>
      </c>
      <c r="E16" s="83">
        <v>0.8</v>
      </c>
      <c r="F16" s="84" t="s">
        <v>386</v>
      </c>
    </row>
    <row r="17" spans="1:6" ht="60" customHeight="1" x14ac:dyDescent="0.2">
      <c r="A17" s="81" t="s">
        <v>387</v>
      </c>
      <c r="B17" s="82">
        <v>500</v>
      </c>
      <c r="C17" s="83">
        <v>0.15</v>
      </c>
      <c r="D17" s="75">
        <v>35</v>
      </c>
      <c r="E17" s="83">
        <v>0.7</v>
      </c>
      <c r="F17" s="84" t="s">
        <v>388</v>
      </c>
    </row>
    <row r="18" spans="1:6" ht="60" customHeight="1" x14ac:dyDescent="0.2">
      <c r="A18" s="81" t="s">
        <v>389</v>
      </c>
      <c r="B18" s="82">
        <v>2200</v>
      </c>
      <c r="C18" s="83">
        <v>0.55000000000000004</v>
      </c>
      <c r="D18" s="75">
        <v>28</v>
      </c>
      <c r="E18" s="83">
        <v>0.85</v>
      </c>
      <c r="F18" s="84" t="s">
        <v>390</v>
      </c>
    </row>
    <row r="19" spans="1:6" ht="60" customHeight="1" x14ac:dyDescent="0.2">
      <c r="A19" s="81" t="s">
        <v>391</v>
      </c>
      <c r="B19" s="82">
        <v>1000</v>
      </c>
      <c r="C19" s="83">
        <v>0.2</v>
      </c>
      <c r="D19" s="75">
        <v>60</v>
      </c>
      <c r="E19" s="83">
        <v>0.55000000000000004</v>
      </c>
      <c r="F19" s="84" t="s">
        <v>392</v>
      </c>
    </row>
    <row r="21" spans="1:6" ht="15" customHeight="1" x14ac:dyDescent="0.2">
      <c r="A21" s="3" t="s">
        <v>393</v>
      </c>
      <c r="B21" s="3"/>
      <c r="C21" s="3"/>
      <c r="D21" s="3"/>
      <c r="E21" s="3"/>
      <c r="F21" s="3"/>
    </row>
    <row r="22" spans="1:6" ht="15" customHeight="1" x14ac:dyDescent="0.2">
      <c r="A22" s="73" t="s">
        <v>394</v>
      </c>
      <c r="B22" s="73" t="s">
        <v>395</v>
      </c>
      <c r="C22" s="73" t="s">
        <v>396</v>
      </c>
      <c r="D22" s="73" t="s">
        <v>397</v>
      </c>
      <c r="E22" s="73" t="s">
        <v>398</v>
      </c>
    </row>
    <row r="23" spans="1:6" ht="15" customHeight="1" x14ac:dyDescent="0.2">
      <c r="A23" t="s">
        <v>399</v>
      </c>
      <c r="B23" s="85">
        <v>1400</v>
      </c>
      <c r="C23" s="86">
        <f t="shared" ref="C23:C34" si="0">B23*$B$6</f>
        <v>289.8</v>
      </c>
      <c r="D23" s="80" t="s">
        <v>400</v>
      </c>
      <c r="E23" s="72" t="s">
        <v>401</v>
      </c>
    </row>
    <row r="24" spans="1:6" ht="15" customHeight="1" x14ac:dyDescent="0.2">
      <c r="A24" t="s">
        <v>402</v>
      </c>
      <c r="B24" s="85">
        <v>270</v>
      </c>
      <c r="C24" s="86">
        <f t="shared" si="0"/>
        <v>55.89</v>
      </c>
      <c r="D24" s="80" t="s">
        <v>400</v>
      </c>
      <c r="E24" s="72" t="s">
        <v>403</v>
      </c>
    </row>
    <row r="25" spans="1:6" ht="15" customHeight="1" x14ac:dyDescent="0.2">
      <c r="A25" t="s">
        <v>404</v>
      </c>
      <c r="B25" s="85">
        <v>54</v>
      </c>
      <c r="C25" s="86">
        <f t="shared" si="0"/>
        <v>11.177999999999999</v>
      </c>
      <c r="D25" s="80" t="s">
        <v>400</v>
      </c>
      <c r="E25" s="72" t="s">
        <v>405</v>
      </c>
    </row>
    <row r="26" spans="1:6" ht="15" customHeight="1" x14ac:dyDescent="0.2">
      <c r="A26" t="s">
        <v>406</v>
      </c>
      <c r="B26" s="85">
        <v>273</v>
      </c>
      <c r="C26" s="86">
        <f t="shared" si="0"/>
        <v>56.510999999999996</v>
      </c>
      <c r="D26" s="80" t="s">
        <v>400</v>
      </c>
      <c r="E26" s="72" t="s">
        <v>407</v>
      </c>
    </row>
    <row r="27" spans="1:6" ht="15" customHeight="1" x14ac:dyDescent="0.2">
      <c r="A27" t="s">
        <v>408</v>
      </c>
      <c r="B27" s="85">
        <v>750</v>
      </c>
      <c r="C27" s="86">
        <f t="shared" si="0"/>
        <v>155.25</v>
      </c>
      <c r="D27" s="80" t="s">
        <v>409</v>
      </c>
      <c r="E27" s="72" t="s">
        <v>410</v>
      </c>
    </row>
    <row r="28" spans="1:6" ht="15" customHeight="1" x14ac:dyDescent="0.2">
      <c r="A28" t="s">
        <v>411</v>
      </c>
      <c r="B28" s="85">
        <v>117</v>
      </c>
      <c r="C28" s="86">
        <f t="shared" si="0"/>
        <v>24.218999999999998</v>
      </c>
      <c r="D28" s="80" t="s">
        <v>409</v>
      </c>
      <c r="E28" s="72" t="s">
        <v>412</v>
      </c>
    </row>
    <row r="29" spans="1:6" ht="15" customHeight="1" x14ac:dyDescent="0.2">
      <c r="A29" t="s">
        <v>413</v>
      </c>
      <c r="B29" s="85">
        <v>396</v>
      </c>
      <c r="C29" s="86">
        <f t="shared" si="0"/>
        <v>81.971999999999994</v>
      </c>
      <c r="D29" s="80" t="s">
        <v>409</v>
      </c>
      <c r="E29" s="72" t="s">
        <v>414</v>
      </c>
    </row>
    <row r="30" spans="1:6" ht="15" customHeight="1" x14ac:dyDescent="0.2">
      <c r="A30" t="s">
        <v>415</v>
      </c>
      <c r="B30" s="85">
        <v>72</v>
      </c>
      <c r="C30" s="86">
        <f t="shared" si="0"/>
        <v>14.904</v>
      </c>
      <c r="D30" s="80" t="s">
        <v>409</v>
      </c>
      <c r="E30" s="72" t="s">
        <v>416</v>
      </c>
    </row>
    <row r="31" spans="1:6" ht="15" customHeight="1" x14ac:dyDescent="0.2">
      <c r="A31" t="s">
        <v>417</v>
      </c>
      <c r="B31" s="85">
        <v>883</v>
      </c>
      <c r="C31" s="86">
        <f t="shared" si="0"/>
        <v>182.78099999999998</v>
      </c>
      <c r="D31" s="80" t="s">
        <v>409</v>
      </c>
      <c r="E31" s="72" t="s">
        <v>418</v>
      </c>
    </row>
    <row r="32" spans="1:6" ht="15" customHeight="1" x14ac:dyDescent="0.2">
      <c r="A32" t="s">
        <v>419</v>
      </c>
      <c r="B32" s="85">
        <v>1700</v>
      </c>
      <c r="C32" s="86">
        <f t="shared" si="0"/>
        <v>351.9</v>
      </c>
      <c r="D32" s="80" t="s">
        <v>409</v>
      </c>
      <c r="E32" s="72" t="s">
        <v>420</v>
      </c>
    </row>
    <row r="33" spans="1:34" ht="15" customHeight="1" x14ac:dyDescent="0.2">
      <c r="A33" t="s">
        <v>421</v>
      </c>
      <c r="B33" s="85">
        <v>2500</v>
      </c>
      <c r="C33" s="86">
        <f t="shared" si="0"/>
        <v>517.5</v>
      </c>
      <c r="D33" s="80" t="s">
        <v>409</v>
      </c>
      <c r="E33" s="72" t="s">
        <v>422</v>
      </c>
    </row>
    <row r="34" spans="1:34" ht="15" customHeight="1" x14ac:dyDescent="0.2">
      <c r="A34" t="s">
        <v>423</v>
      </c>
      <c r="B34" s="85">
        <v>3905</v>
      </c>
      <c r="C34" s="86">
        <f t="shared" si="0"/>
        <v>808.33499999999992</v>
      </c>
      <c r="D34" s="80" t="s">
        <v>424</v>
      </c>
      <c r="E34" s="72" t="s">
        <v>425</v>
      </c>
    </row>
    <row r="35" spans="1:34" ht="15" customHeight="1" x14ac:dyDescent="0.2">
      <c r="A35" s="87" t="s">
        <v>426</v>
      </c>
      <c r="B35" s="88">
        <f>SUM(B23:B34)</f>
        <v>12320</v>
      </c>
      <c r="C35" s="88">
        <f>SUM(C23:C34)</f>
        <v>2550.2399999999998</v>
      </c>
      <c r="E35" s="72"/>
    </row>
    <row r="38" spans="1:34" ht="15" customHeight="1" x14ac:dyDescent="0.2">
      <c r="A38" s="3" t="s">
        <v>427</v>
      </c>
      <c r="B38" s="3"/>
      <c r="C38" s="3"/>
      <c r="D38" s="3"/>
      <c r="E38" s="3"/>
      <c r="F38" s="3"/>
    </row>
    <row r="40" spans="1:34" ht="15" customHeight="1" x14ac:dyDescent="0.2">
      <c r="A40" s="73" t="s">
        <v>196</v>
      </c>
      <c r="B40" s="73" t="s">
        <v>62</v>
      </c>
      <c r="C40" s="73" t="s">
        <v>375</v>
      </c>
      <c r="D40" s="89">
        <v>2020</v>
      </c>
      <c r="E40" s="89">
        <v>2021</v>
      </c>
      <c r="F40" s="89">
        <v>2022</v>
      </c>
      <c r="G40" s="89">
        <v>2023</v>
      </c>
      <c r="H40" s="89">
        <v>2024</v>
      </c>
      <c r="I40" s="89">
        <v>2025</v>
      </c>
      <c r="J40" s="89">
        <v>2026</v>
      </c>
      <c r="K40" s="89">
        <v>2027</v>
      </c>
      <c r="L40" s="89">
        <v>2028</v>
      </c>
      <c r="M40" s="89">
        <v>2029</v>
      </c>
      <c r="N40" s="89">
        <v>2030</v>
      </c>
      <c r="O40" s="89">
        <v>2031</v>
      </c>
      <c r="P40" s="89">
        <v>2032</v>
      </c>
      <c r="Q40" s="89">
        <v>2033</v>
      </c>
      <c r="R40" s="89">
        <v>2034</v>
      </c>
      <c r="S40" s="89">
        <v>2035</v>
      </c>
      <c r="T40" s="89">
        <v>2036</v>
      </c>
      <c r="U40" s="89">
        <v>2037</v>
      </c>
      <c r="V40" s="89">
        <v>2038</v>
      </c>
      <c r="W40" s="89">
        <v>2039</v>
      </c>
      <c r="X40" s="89">
        <v>2040</v>
      </c>
      <c r="Y40" s="89">
        <v>2041</v>
      </c>
      <c r="Z40" s="89">
        <v>2042</v>
      </c>
      <c r="AA40" s="89">
        <v>2043</v>
      </c>
      <c r="AB40" s="89">
        <v>2044</v>
      </c>
      <c r="AC40" s="89">
        <v>2045</v>
      </c>
      <c r="AD40" s="89">
        <v>2046</v>
      </c>
      <c r="AE40" s="89">
        <v>2047</v>
      </c>
      <c r="AF40" s="89">
        <v>2048</v>
      </c>
      <c r="AG40" s="89">
        <v>2049</v>
      </c>
      <c r="AH40" s="89">
        <v>2050</v>
      </c>
    </row>
    <row r="42" spans="1:34" ht="15" customHeight="1" x14ac:dyDescent="0.2">
      <c r="A42" s="73" t="s">
        <v>428</v>
      </c>
    </row>
    <row r="43" spans="1:34" ht="15" customHeight="1" x14ac:dyDescent="0.2">
      <c r="A43" t="s">
        <v>429</v>
      </c>
      <c r="B43" t="s">
        <v>95</v>
      </c>
      <c r="C43" s="72" t="s">
        <v>430</v>
      </c>
      <c r="D43" s="85">
        <f>Supply!D30</f>
        <v>0</v>
      </c>
      <c r="E43" s="85">
        <f>Supply!E30</f>
        <v>0</v>
      </c>
      <c r="F43" s="85">
        <f>Supply!F30</f>
        <v>0</v>
      </c>
      <c r="G43" s="85">
        <f>Supply!G30</f>
        <v>0</v>
      </c>
      <c r="H43" s="85">
        <f>Supply!H30</f>
        <v>0</v>
      </c>
      <c r="I43" s="85">
        <f>Supply!I30</f>
        <v>0</v>
      </c>
      <c r="J43" s="85">
        <f>Supply!J30</f>
        <v>0</v>
      </c>
      <c r="K43" s="85">
        <f>Supply!K30</f>
        <v>0</v>
      </c>
      <c r="L43" s="85">
        <f>Supply!L30</f>
        <v>0</v>
      </c>
      <c r="M43" s="85">
        <f>Supply!M30</f>
        <v>0</v>
      </c>
      <c r="N43" s="85">
        <f>Supply!N30</f>
        <v>0</v>
      </c>
      <c r="O43" s="85">
        <f>Supply!O30</f>
        <v>0</v>
      </c>
      <c r="P43" s="85">
        <f>Supply!P30</f>
        <v>0</v>
      </c>
      <c r="Q43" s="85">
        <f>Supply!Q30</f>
        <v>0</v>
      </c>
      <c r="R43" s="85">
        <f>Supply!R30</f>
        <v>0</v>
      </c>
      <c r="S43" s="85">
        <f>Supply!S30</f>
        <v>0</v>
      </c>
      <c r="T43" s="85">
        <f>Supply!T30</f>
        <v>0</v>
      </c>
      <c r="U43" s="85">
        <f>Supply!U30</f>
        <v>0</v>
      </c>
      <c r="V43" s="85">
        <f>Supply!V30</f>
        <v>0</v>
      </c>
      <c r="W43" s="85">
        <f>Supply!W30</f>
        <v>0</v>
      </c>
      <c r="X43" s="85">
        <f>Supply!X30</f>
        <v>0</v>
      </c>
      <c r="Y43" s="85">
        <f>Supply!Y30</f>
        <v>0</v>
      </c>
      <c r="Z43" s="85">
        <f>Supply!Z30</f>
        <v>0</v>
      </c>
      <c r="AA43" s="85">
        <f>Supply!AA30</f>
        <v>0</v>
      </c>
      <c r="AB43" s="85">
        <f>Supply!AB30</f>
        <v>0</v>
      </c>
      <c r="AC43" s="85">
        <f>Supply!AC30</f>
        <v>0</v>
      </c>
      <c r="AD43" s="85">
        <f>Supply!AD30</f>
        <v>0</v>
      </c>
      <c r="AE43" s="85">
        <f>Supply!AE30</f>
        <v>0</v>
      </c>
      <c r="AF43" s="85">
        <f>Supply!AF30</f>
        <v>0</v>
      </c>
      <c r="AG43" s="85">
        <f>Supply!AG30</f>
        <v>0</v>
      </c>
      <c r="AH43" s="85">
        <f>Supply!AH30</f>
        <v>0</v>
      </c>
    </row>
    <row r="44" spans="1:34" ht="15" customHeight="1" x14ac:dyDescent="0.2">
      <c r="A44" t="s">
        <v>431</v>
      </c>
      <c r="B44" t="s">
        <v>432</v>
      </c>
      <c r="C44" s="72" t="s">
        <v>433</v>
      </c>
      <c r="D44" s="86">
        <f>D43*1000/365/$E15</f>
        <v>0</v>
      </c>
      <c r="E44" s="86">
        <f>E43*1000/365/$E15</f>
        <v>0</v>
      </c>
      <c r="F44" s="86">
        <f>F43*1000/365/$E15</f>
        <v>0</v>
      </c>
      <c r="G44" s="86">
        <f>G43*1000/365/$E15</f>
        <v>0</v>
      </c>
      <c r="H44" s="86">
        <f>H43*1000/365/$E15</f>
        <v>0</v>
      </c>
      <c r="I44" s="86">
        <f>I43*1000/365/$E15</f>
        <v>0</v>
      </c>
      <c r="J44" s="86">
        <f>J43*1000/365/$E15</f>
        <v>0</v>
      </c>
      <c r="K44" s="86">
        <f>K43*1000/365/$E15</f>
        <v>0</v>
      </c>
      <c r="L44" s="86">
        <f>L43*1000/365/$E15</f>
        <v>0</v>
      </c>
      <c r="M44" s="86">
        <f>M43*1000/365/$E15</f>
        <v>0</v>
      </c>
      <c r="N44" s="86">
        <f>N43*1000/365/$E15</f>
        <v>0</v>
      </c>
      <c r="O44" s="86">
        <f>O43*1000/365/$E15</f>
        <v>0</v>
      </c>
      <c r="P44" s="86">
        <f>P43*1000/365/$E15</f>
        <v>0</v>
      </c>
      <c r="Q44" s="86">
        <f>Q43*1000/365/$E15</f>
        <v>0</v>
      </c>
      <c r="R44" s="86">
        <f>R43*1000/365/$E15</f>
        <v>0</v>
      </c>
      <c r="S44" s="86">
        <f>S43*1000/365/$E15</f>
        <v>0</v>
      </c>
      <c r="T44" s="86">
        <f>T43*1000/365/$E15</f>
        <v>0</v>
      </c>
      <c r="U44" s="86">
        <f>U43*1000/365/$E15</f>
        <v>0</v>
      </c>
      <c r="V44" s="86">
        <f>V43*1000/365/$E15</f>
        <v>0</v>
      </c>
      <c r="W44" s="86">
        <f>W43*1000/365/$E15</f>
        <v>0</v>
      </c>
      <c r="X44" s="86">
        <f>X43*1000/365/$E15</f>
        <v>0</v>
      </c>
      <c r="Y44" s="86">
        <f>Y43*1000/365/$E15</f>
        <v>0</v>
      </c>
      <c r="Z44" s="86">
        <f>Z43*1000/365/$E15</f>
        <v>0</v>
      </c>
      <c r="AA44" s="86">
        <f>AA43*1000/365/$E15</f>
        <v>0</v>
      </c>
      <c r="AB44" s="86">
        <f>AB43*1000/365/$E15</f>
        <v>0</v>
      </c>
      <c r="AC44" s="86">
        <f>AC43*1000/365/$E15</f>
        <v>0</v>
      </c>
      <c r="AD44" s="86">
        <f>AD43*1000/365/$E15</f>
        <v>0</v>
      </c>
      <c r="AE44" s="86">
        <f>AE43*1000/365/$E15</f>
        <v>0</v>
      </c>
      <c r="AF44" s="86">
        <f>AF43*1000/365/$E15</f>
        <v>0</v>
      </c>
      <c r="AG44" s="86">
        <f>AG43*1000/365/$E15</f>
        <v>0</v>
      </c>
      <c r="AH44" s="86">
        <f>AH43*1000/365/$E15</f>
        <v>0</v>
      </c>
    </row>
    <row r="45" spans="1:34" ht="15" customHeight="1" x14ac:dyDescent="0.2">
      <c r="A45" t="s">
        <v>434</v>
      </c>
      <c r="B45" t="s">
        <v>435</v>
      </c>
      <c r="C45" s="72" t="s">
        <v>436</v>
      </c>
      <c r="D45" s="90">
        <f>IF(D$40&lt;$B$9,0,D44*1000*$B15*($B$8*(1+$B$8)^$D15/((1+$B$8)^$D15-1))*$B$7/1000000)</f>
        <v>0</v>
      </c>
      <c r="E45" s="90">
        <f>IF(E$40&lt;$B$9,0,E44*1000*$B15*($B$8*(1+$B$8)^$D15/((1+$B$8)^$D15-1))*$B$7/1000000)</f>
        <v>0</v>
      </c>
      <c r="F45" s="90">
        <f>IF(F$40&lt;$B$9,0,F44*1000*$B15*($B$8*(1+$B$8)^$D15/((1+$B$8)^$D15-1))*$B$7/1000000)</f>
        <v>0</v>
      </c>
      <c r="G45" s="90">
        <f>IF(G$40&lt;$B$9,0,G44*1000*$B15*($B$8*(1+$B$8)^$D15/((1+$B$8)^$D15-1))*$B$7/1000000)</f>
        <v>0</v>
      </c>
      <c r="H45" s="90">
        <f>IF(H$40&lt;$B$9,0,H44*1000*$B15*($B$8*(1+$B$8)^$D15/((1+$B$8)^$D15-1))*$B$7/1000000)</f>
        <v>0</v>
      </c>
      <c r="I45" s="90">
        <f>IF(I$40&lt;$B$9,0,I44*1000*$B15*($B$8*(1+$B$8)^$D15/((1+$B$8)^$D15-1))*$B$7/1000000)</f>
        <v>0</v>
      </c>
      <c r="J45" s="90">
        <f>IF(J$40&lt;$B$9,0,J44*1000*$B15*($B$8*(1+$B$8)^$D15/((1+$B$8)^$D15-1))*$B$7/1000000)</f>
        <v>0</v>
      </c>
      <c r="K45" s="90">
        <f>IF(K$40&lt;$B$9,0,K44*1000*$B15*($B$8*(1+$B$8)^$D15/((1+$B$8)^$D15-1))*$B$7/1000000)</f>
        <v>0</v>
      </c>
      <c r="L45" s="90">
        <f>IF(L$40&lt;$B$9,0,L44*1000*$B15*($B$8*(1+$B$8)^$D15/((1+$B$8)^$D15-1))*$B$7/1000000)</f>
        <v>0</v>
      </c>
      <c r="M45" s="90">
        <f>IF(M$40&lt;$B$9,0,M44*1000*$B15*($B$8*(1+$B$8)^$D15/((1+$B$8)^$D15-1))*$B$7/1000000)</f>
        <v>0</v>
      </c>
      <c r="N45" s="90">
        <f>IF(N$40&lt;$B$9,0,N44*1000*$B15*($B$8*(1+$B$8)^$D15/((1+$B$8)^$D15-1))*$B$7/1000000)</f>
        <v>0</v>
      </c>
      <c r="O45" s="90">
        <f>IF(O$40&lt;$B$9,0,O44*1000*$B15*($B$8*(1+$B$8)^$D15/((1+$B$8)^$D15-1))*$B$7/1000000)</f>
        <v>0</v>
      </c>
      <c r="P45" s="90">
        <f>IF(P$40&lt;$B$9,0,P44*1000*$B15*($B$8*(1+$B$8)^$D15/((1+$B$8)^$D15-1))*$B$7/1000000)</f>
        <v>0</v>
      </c>
      <c r="Q45" s="90">
        <f>IF(Q$40&lt;$B$9,0,Q44*1000*$B15*($B$8*(1+$B$8)^$D15/((1+$B$8)^$D15-1))*$B$7/1000000)</f>
        <v>0</v>
      </c>
      <c r="R45" s="90">
        <f>IF(R$40&lt;$B$9,0,R44*1000*$B15*($B$8*(1+$B$8)^$D15/((1+$B$8)^$D15-1))*$B$7/1000000)</f>
        <v>0</v>
      </c>
      <c r="S45" s="90">
        <f>IF(S$40&lt;$B$9,0,S44*1000*$B15*($B$8*(1+$B$8)^$D15/((1+$B$8)^$D15-1))*$B$7/1000000)</f>
        <v>0</v>
      </c>
      <c r="T45" s="90">
        <f>IF(T$40&lt;$B$9,0,T44*1000*$B15*($B$8*(1+$B$8)^$D15/((1+$B$8)^$D15-1))*$B$7/1000000)</f>
        <v>0</v>
      </c>
      <c r="U45" s="90">
        <f>IF(U$40&lt;$B$9,0,U44*1000*$B15*($B$8*(1+$B$8)^$D15/((1+$B$8)^$D15-1))*$B$7/1000000)</f>
        <v>0</v>
      </c>
      <c r="V45" s="90">
        <f>IF(V$40&lt;$B$9,0,V44*1000*$B15*($B$8*(1+$B$8)^$D15/((1+$B$8)^$D15-1))*$B$7/1000000)</f>
        <v>0</v>
      </c>
      <c r="W45" s="90">
        <f>IF(W$40&lt;$B$9,0,W44*1000*$B15*($B$8*(1+$B$8)^$D15/((1+$B$8)^$D15-1))*$B$7/1000000)</f>
        <v>0</v>
      </c>
      <c r="X45" s="90">
        <f>IF(X$40&lt;$B$9,0,X44*1000*$B15*($B$8*(1+$B$8)^$D15/((1+$B$8)^$D15-1))*$B$7/1000000)</f>
        <v>0</v>
      </c>
      <c r="Y45" s="90">
        <f>IF(Y$40&lt;$B$9,0,Y44*1000*$B15*($B$8*(1+$B$8)^$D15/((1+$B$8)^$D15-1))*$B$7/1000000)</f>
        <v>0</v>
      </c>
      <c r="Z45" s="90">
        <f>IF(Z$40&lt;$B$9,0,Z44*1000*$B15*($B$8*(1+$B$8)^$D15/((1+$B$8)^$D15-1))*$B$7/1000000)</f>
        <v>0</v>
      </c>
      <c r="AA45" s="90">
        <f>IF(AA$40&lt;$B$9,0,AA44*1000*$B15*($B$8*(1+$B$8)^$D15/((1+$B$8)^$D15-1))*$B$7/1000000)</f>
        <v>0</v>
      </c>
      <c r="AB45" s="90">
        <f>IF(AB$40&lt;$B$9,0,AB44*1000*$B15*($B$8*(1+$B$8)^$D15/((1+$B$8)^$D15-1))*$B$7/1000000)</f>
        <v>0</v>
      </c>
      <c r="AC45" s="90">
        <f>IF(AC$40&lt;$B$9,0,AC44*1000*$B15*($B$8*(1+$B$8)^$D15/((1+$B$8)^$D15-1))*$B$7/1000000)</f>
        <v>0</v>
      </c>
      <c r="AD45" s="90">
        <f>IF(AD$40&lt;$B$9,0,AD44*1000*$B15*($B$8*(1+$B$8)^$D15/((1+$B$8)^$D15-1))*$B$7/1000000)</f>
        <v>0</v>
      </c>
      <c r="AE45" s="90">
        <f>IF(AE$40&lt;$B$9,0,AE44*1000*$B15*($B$8*(1+$B$8)^$D15/((1+$B$8)^$D15-1))*$B$7/1000000)</f>
        <v>0</v>
      </c>
      <c r="AF45" s="90">
        <f>IF(AF$40&lt;$B$9,0,AF44*1000*$B15*($B$8*(1+$B$8)^$D15/((1+$B$8)^$D15-1))*$B$7/1000000)</f>
        <v>0</v>
      </c>
      <c r="AG45" s="90">
        <f>IF(AG$40&lt;$B$9,0,AG44*1000*$B15*($B$8*(1+$B$8)^$D15/((1+$B$8)^$D15-1))*$B$7/1000000)</f>
        <v>0</v>
      </c>
      <c r="AH45" s="90">
        <f>IF(AH$40&lt;$B$9,0,AH44*1000*$B15*($B$8*(1+$B$8)^$D15/((1+$B$8)^$D15-1))*$B$7/1000000)</f>
        <v>0</v>
      </c>
    </row>
    <row r="46" spans="1:34" ht="15" customHeight="1" x14ac:dyDescent="0.2">
      <c r="A46" t="s">
        <v>439</v>
      </c>
      <c r="B46" t="s">
        <v>435</v>
      </c>
      <c r="C46" s="72" t="s">
        <v>440</v>
      </c>
      <c r="D46" s="90">
        <f>IF(D$40&lt;$B$9,0,D43*$C15*$B$7)</f>
        <v>0</v>
      </c>
      <c r="E46" s="90">
        <f>IF(E$40&lt;$B$9,0,E43*$C15*$B$7)</f>
        <v>0</v>
      </c>
      <c r="F46" s="90">
        <f>IF(F$40&lt;$B$9,0,F43*$C15*$B$7)</f>
        <v>0</v>
      </c>
      <c r="G46" s="90">
        <f>IF(G$40&lt;$B$9,0,G43*$C15*$B$7)</f>
        <v>0</v>
      </c>
      <c r="H46" s="90">
        <f>IF(H$40&lt;$B$9,0,H43*$C15*$B$7)</f>
        <v>0</v>
      </c>
      <c r="I46" s="90">
        <f>IF(I$40&lt;$B$9,0,I43*$C15*$B$7)</f>
        <v>0</v>
      </c>
      <c r="J46" s="90">
        <f>IF(J$40&lt;$B$9,0,J43*$C15*$B$7)</f>
        <v>0</v>
      </c>
      <c r="K46" s="90">
        <f>IF(K$40&lt;$B$9,0,K43*$C15*$B$7)</f>
        <v>0</v>
      </c>
      <c r="L46" s="90">
        <f>IF(L$40&lt;$B$9,0,L43*$C15*$B$7)</f>
        <v>0</v>
      </c>
      <c r="M46" s="90">
        <f>IF(M$40&lt;$B$9,0,M43*$C15*$B$7)</f>
        <v>0</v>
      </c>
      <c r="N46" s="90">
        <f>IF(N$40&lt;$B$9,0,N43*$C15*$B$7)</f>
        <v>0</v>
      </c>
      <c r="O46" s="90">
        <f>IF(O$40&lt;$B$9,0,O43*$C15*$B$7)</f>
        <v>0</v>
      </c>
      <c r="P46" s="90">
        <f>IF(P$40&lt;$B$9,0,P43*$C15*$B$7)</f>
        <v>0</v>
      </c>
      <c r="Q46" s="90">
        <f>IF(Q$40&lt;$B$9,0,Q43*$C15*$B$7)</f>
        <v>0</v>
      </c>
      <c r="R46" s="90">
        <f>IF(R$40&lt;$B$9,0,R43*$C15*$B$7)</f>
        <v>0</v>
      </c>
      <c r="S46" s="90">
        <f>IF(S$40&lt;$B$9,0,S43*$C15*$B$7)</f>
        <v>0</v>
      </c>
      <c r="T46" s="90">
        <f>IF(T$40&lt;$B$9,0,T43*$C15*$B$7)</f>
        <v>0</v>
      </c>
      <c r="U46" s="90">
        <f>IF(U$40&lt;$B$9,0,U43*$C15*$B$7)</f>
        <v>0</v>
      </c>
      <c r="V46" s="90">
        <f>IF(V$40&lt;$B$9,0,V43*$C15*$B$7)</f>
        <v>0</v>
      </c>
      <c r="W46" s="90">
        <f>IF(W$40&lt;$B$9,0,W43*$C15*$B$7)</f>
        <v>0</v>
      </c>
      <c r="X46" s="90">
        <f>IF(X$40&lt;$B$9,0,X43*$C15*$B$7)</f>
        <v>0</v>
      </c>
      <c r="Y46" s="90">
        <f>IF(Y$40&lt;$B$9,0,Y43*$C15*$B$7)</f>
        <v>0</v>
      </c>
      <c r="Z46" s="90">
        <f>IF(Z$40&lt;$B$9,0,Z43*$C15*$B$7)</f>
        <v>0</v>
      </c>
      <c r="AA46" s="90">
        <f>IF(AA$40&lt;$B$9,0,AA43*$C15*$B$7)</f>
        <v>0</v>
      </c>
      <c r="AB46" s="90">
        <f>IF(AB$40&lt;$B$9,0,AB43*$C15*$B$7)</f>
        <v>0</v>
      </c>
      <c r="AC46" s="90">
        <f>IF(AC$40&lt;$B$9,0,AC43*$C15*$B$7)</f>
        <v>0</v>
      </c>
      <c r="AD46" s="90">
        <f>IF(AD$40&lt;$B$9,0,AD43*$C15*$B$7)</f>
        <v>0</v>
      </c>
      <c r="AE46" s="90">
        <f>IF(AE$40&lt;$B$9,0,AE43*$C15*$B$7)</f>
        <v>0</v>
      </c>
      <c r="AF46" s="90">
        <f>IF(AF$40&lt;$B$9,0,AF43*$C15*$B$7)</f>
        <v>0</v>
      </c>
      <c r="AG46" s="90">
        <f>IF(AG$40&lt;$B$9,0,AG43*$C15*$B$7)</f>
        <v>0</v>
      </c>
      <c r="AH46" s="90">
        <f>IF(AH$40&lt;$B$9,0,AH43*$C15*$B$7)</f>
        <v>0</v>
      </c>
    </row>
    <row r="47" spans="1:34" ht="15" customHeight="1" x14ac:dyDescent="0.2">
      <c r="A47" s="81" t="s">
        <v>441</v>
      </c>
      <c r="B47" s="81" t="s">
        <v>435</v>
      </c>
      <c r="C47" s="72" t="s">
        <v>442</v>
      </c>
      <c r="D47" s="91">
        <f>D45+D46</f>
        <v>0</v>
      </c>
      <c r="E47" s="91">
        <f>E45+E46</f>
        <v>0</v>
      </c>
      <c r="F47" s="91">
        <f>F45+F46</f>
        <v>0</v>
      </c>
      <c r="G47" s="91">
        <f>G45+G46</f>
        <v>0</v>
      </c>
      <c r="H47" s="91">
        <f>H45+H46</f>
        <v>0</v>
      </c>
      <c r="I47" s="91">
        <f>I45+I46</f>
        <v>0</v>
      </c>
      <c r="J47" s="91">
        <f>J45+J46</f>
        <v>0</v>
      </c>
      <c r="K47" s="91">
        <f>K45+K46</f>
        <v>0</v>
      </c>
      <c r="L47" s="91">
        <f>L45+L46</f>
        <v>0</v>
      </c>
      <c r="M47" s="91">
        <f>M45+M46</f>
        <v>0</v>
      </c>
      <c r="N47" s="91">
        <f>N45+N46</f>
        <v>0</v>
      </c>
      <c r="O47" s="91">
        <f>O45+O46</f>
        <v>0</v>
      </c>
      <c r="P47" s="91">
        <f>P45+P46</f>
        <v>0</v>
      </c>
      <c r="Q47" s="91">
        <f>Q45+Q46</f>
        <v>0</v>
      </c>
      <c r="R47" s="91">
        <f>R45+R46</f>
        <v>0</v>
      </c>
      <c r="S47" s="91">
        <f>S45+S46</f>
        <v>0</v>
      </c>
      <c r="T47" s="91">
        <f>T45+T46</f>
        <v>0</v>
      </c>
      <c r="U47" s="91">
        <f>U45+U46</f>
        <v>0</v>
      </c>
      <c r="V47" s="91">
        <f>V45+V46</f>
        <v>0</v>
      </c>
      <c r="W47" s="91">
        <f>W45+W46</f>
        <v>0</v>
      </c>
      <c r="X47" s="91">
        <f>X45+X46</f>
        <v>0</v>
      </c>
      <c r="Y47" s="91">
        <f>Y45+Y46</f>
        <v>0</v>
      </c>
      <c r="Z47" s="91">
        <f>Z45+Z46</f>
        <v>0</v>
      </c>
      <c r="AA47" s="91">
        <f>AA45+AA46</f>
        <v>0</v>
      </c>
      <c r="AB47" s="91">
        <f>AB45+AB46</f>
        <v>0</v>
      </c>
      <c r="AC47" s="91">
        <f>AC45+AC46</f>
        <v>0</v>
      </c>
      <c r="AD47" s="91">
        <f>AD45+AD46</f>
        <v>0</v>
      </c>
      <c r="AE47" s="91">
        <f>AE45+AE46</f>
        <v>0</v>
      </c>
      <c r="AF47" s="91">
        <f>AF45+AF46</f>
        <v>0</v>
      </c>
      <c r="AG47" s="91">
        <f>AG45+AG46</f>
        <v>0</v>
      </c>
      <c r="AH47" s="91">
        <f>AH45+AH46</f>
        <v>0</v>
      </c>
    </row>
    <row r="49" spans="1:34" ht="15" customHeight="1" x14ac:dyDescent="0.2">
      <c r="A49" s="73" t="s">
        <v>443</v>
      </c>
    </row>
    <row r="50" spans="1:34" ht="15" customHeight="1" x14ac:dyDescent="0.2">
      <c r="A50" t="s">
        <v>429</v>
      </c>
      <c r="B50" t="s">
        <v>95</v>
      </c>
      <c r="C50" s="72" t="s">
        <v>430</v>
      </c>
      <c r="D50" s="85">
        <f>Supply!D19+Supply!D22+Supply!D25</f>
        <v>912</v>
      </c>
      <c r="E50" s="85">
        <f>Supply!E19+Supply!E22+Supply!E25</f>
        <v>893.76</v>
      </c>
      <c r="F50" s="85">
        <f>Supply!F19+Supply!F22+Supply!F25</f>
        <v>875.88479999999993</v>
      </c>
      <c r="G50" s="85">
        <f>Supply!G19+Supply!G22+Supply!G25</f>
        <v>858.36710399999993</v>
      </c>
      <c r="H50" s="85">
        <f>Supply!H19+Supply!H22+Supply!H25</f>
        <v>841.1997619199999</v>
      </c>
      <c r="I50" s="85">
        <f>Supply!I19+Supply!I22+Supply!I25</f>
        <v>824.37576668159988</v>
      </c>
      <c r="J50" s="85">
        <f>Supply!J19+Supply!J22+Supply!J25</f>
        <v>807.88825134796787</v>
      </c>
      <c r="K50" s="85">
        <f>Supply!K19+Supply!K22+Supply!K25</f>
        <v>791.73048632100847</v>
      </c>
      <c r="L50" s="85">
        <f>Supply!L19+Supply!L22+Supply!L25</f>
        <v>775.89587659458823</v>
      </c>
      <c r="M50" s="85">
        <f>Supply!M19+Supply!M22+Supply!M25</f>
        <v>760.3779590626965</v>
      </c>
      <c r="N50" s="85">
        <f>Supply!N19+Supply!N22+Supply!N25</f>
        <v>745.17039988144245</v>
      </c>
      <c r="O50" s="85">
        <f>Supply!O19+Supply!O22+Supply!O25</f>
        <v>730.2669918838136</v>
      </c>
      <c r="P50" s="85">
        <f>Supply!P19+Supply!P22+Supply!P25</f>
        <v>715.66165204613731</v>
      </c>
      <c r="Q50" s="85">
        <f>Supply!Q19+Supply!Q22+Supply!Q25</f>
        <v>701.34841900521451</v>
      </c>
      <c r="R50" s="85">
        <f>Supply!R19+Supply!R22+Supply!R25</f>
        <v>687.32145062511029</v>
      </c>
      <c r="S50" s="85">
        <f>Supply!S19+Supply!S22+Supply!S25</f>
        <v>673.575021612608</v>
      </c>
      <c r="T50" s="85">
        <f>Supply!T19+Supply!T22+Supply!T25</f>
        <v>660.10352118035587</v>
      </c>
      <c r="U50" s="85">
        <f>Supply!U19+Supply!U22+Supply!U25</f>
        <v>646.90145075674877</v>
      </c>
      <c r="V50" s="85">
        <f>Supply!V19+Supply!V22+Supply!V25</f>
        <v>633.96342174161373</v>
      </c>
      <c r="W50" s="85">
        <f>Supply!W19+Supply!W22+Supply!W25</f>
        <v>621.28415330678149</v>
      </c>
      <c r="X50" s="85">
        <f>Supply!X19+Supply!X22+Supply!X25</f>
        <v>608.85847024064583</v>
      </c>
      <c r="Y50" s="85">
        <f>Supply!Y19+Supply!Y22+Supply!Y25</f>
        <v>596.68130083583287</v>
      </c>
      <c r="Z50" s="85">
        <f>Supply!Z19+Supply!Z22+Supply!Z25</f>
        <v>584.74767481911624</v>
      </c>
      <c r="AA50" s="85">
        <f>Supply!AA19+Supply!AA22+Supply!AA25</f>
        <v>573.05272132273387</v>
      </c>
      <c r="AB50" s="85">
        <f>Supply!AB19+Supply!AB22+Supply!AB25</f>
        <v>561.59166689627921</v>
      </c>
      <c r="AC50" s="85">
        <f>Supply!AC19+Supply!AC22+Supply!AC25</f>
        <v>550.35983355835356</v>
      </c>
      <c r="AD50" s="85">
        <f>Supply!AD19+Supply!AD22+Supply!AD25</f>
        <v>539.35263688718646</v>
      </c>
      <c r="AE50" s="85">
        <f>Supply!AE19+Supply!AE22+Supply!AE25</f>
        <v>528.56558414944266</v>
      </c>
      <c r="AF50" s="85">
        <f>Supply!AF19+Supply!AF22+Supply!AF25</f>
        <v>517.99427246645382</v>
      </c>
      <c r="AG50" s="85">
        <f>Supply!AG19+Supply!AG22+Supply!AG25</f>
        <v>507.63438701712477</v>
      </c>
      <c r="AH50" s="85">
        <f>Supply!AH19+Supply!AH22+Supply!AH25</f>
        <v>497.48169927678225</v>
      </c>
    </row>
    <row r="51" spans="1:34" ht="15" customHeight="1" x14ac:dyDescent="0.2">
      <c r="A51" t="s">
        <v>431</v>
      </c>
      <c r="B51" t="s">
        <v>432</v>
      </c>
      <c r="C51" s="72" t="s">
        <v>433</v>
      </c>
      <c r="D51" s="86">
        <f>D50*1000/365/$E16</f>
        <v>3123.2876712328766</v>
      </c>
      <c r="E51" s="86">
        <f>E50*1000/365/$E16</f>
        <v>3060.821917808219</v>
      </c>
      <c r="F51" s="86">
        <f>F50*1000/365/$E16</f>
        <v>2999.6054794520546</v>
      </c>
      <c r="G51" s="86">
        <f>G50*1000/365/$E16</f>
        <v>2939.6133698630128</v>
      </c>
      <c r="H51" s="86">
        <f>H50*1000/365/$E16</f>
        <v>2880.8211024657526</v>
      </c>
      <c r="I51" s="86">
        <f>I50*1000/365/$E16</f>
        <v>2823.2046804164374</v>
      </c>
      <c r="J51" s="86">
        <f>J50*1000/365/$E16</f>
        <v>2766.7405868081087</v>
      </c>
      <c r="K51" s="86">
        <f>K50*1000/365/$E16</f>
        <v>2711.4057750719467</v>
      </c>
      <c r="L51" s="86">
        <f>L50*1000/365/$E16</f>
        <v>2657.1776595705078</v>
      </c>
      <c r="M51" s="86">
        <f>M50*1000/365/$E16</f>
        <v>2604.0341063790975</v>
      </c>
      <c r="N51" s="86">
        <f>N50*1000/365/$E16</f>
        <v>2551.9534242515151</v>
      </c>
      <c r="O51" s="86">
        <f>O50*1000/365/$E16</f>
        <v>2500.9143557664847</v>
      </c>
      <c r="P51" s="86">
        <f>P50*1000/365/$E16</f>
        <v>2450.8960686511546</v>
      </c>
      <c r="Q51" s="86">
        <f>Q50*1000/365/$E16</f>
        <v>2401.8781472781316</v>
      </c>
      <c r="R51" s="86">
        <f>R50*1000/365/$E16</f>
        <v>2353.8405843325691</v>
      </c>
      <c r="S51" s="86">
        <f>S50*1000/365/$E16</f>
        <v>2306.7637726459175</v>
      </c>
      <c r="T51" s="86">
        <f>T50*1000/365/$E16</f>
        <v>2260.6284971929995</v>
      </c>
      <c r="U51" s="86">
        <f>U50*1000/365/$E16</f>
        <v>2215.4159272491397</v>
      </c>
      <c r="V51" s="86">
        <f>V50*1000/365/$E16</f>
        <v>2171.1076087041565</v>
      </c>
      <c r="W51" s="86">
        <f>W50*1000/365/$E16</f>
        <v>2127.6854565300737</v>
      </c>
      <c r="X51" s="86">
        <f>X50*1000/365/$E16</f>
        <v>2085.1317473994718</v>
      </c>
      <c r="Y51" s="86">
        <f>Y50*1000/365/$E16</f>
        <v>2043.4291124514823</v>
      </c>
      <c r="Z51" s="86">
        <f>Z50*1000/365/$E16</f>
        <v>2002.560530202453</v>
      </c>
      <c r="AA51" s="86">
        <f>AA50*1000/365/$E16</f>
        <v>1962.5093195984039</v>
      </c>
      <c r="AB51" s="86">
        <f>AB50*1000/365/$E16</f>
        <v>1923.2591332064355</v>
      </c>
      <c r="AC51" s="86">
        <f>AC50*1000/365/$E16</f>
        <v>1884.7939505423067</v>
      </c>
      <c r="AD51" s="86">
        <f>AD50*1000/365/$E16</f>
        <v>1847.0980715314604</v>
      </c>
      <c r="AE51" s="86">
        <f>AE50*1000/365/$E16</f>
        <v>1810.1561101008308</v>
      </c>
      <c r="AF51" s="86">
        <f>AF50*1000/365/$E16</f>
        <v>1773.9529878988144</v>
      </c>
      <c r="AG51" s="86">
        <f>AG50*1000/365/$E16</f>
        <v>1738.4739281408379</v>
      </c>
      <c r="AH51" s="86">
        <f>AH50*1000/365/$E16</f>
        <v>1703.7044495780212</v>
      </c>
    </row>
    <row r="52" spans="1:34" x14ac:dyDescent="0.2">
      <c r="A52" t="s">
        <v>434</v>
      </c>
      <c r="B52" t="s">
        <v>435</v>
      </c>
      <c r="C52" s="72" t="s">
        <v>436</v>
      </c>
      <c r="D52" s="90">
        <f>IF(D$40&lt;$B$9,0,D51*1000*$B16*($B$8*(1+$B$8)^$D16/((1+$B$8)^$D16-1))*$B$7/1000000)</f>
        <v>0</v>
      </c>
      <c r="E52" s="90">
        <f>IF(E$40&lt;$B$9,0,E51*1000*$B16*($B$8*(1+$B$8)^$D16/((1+$B$8)^$D16-1))*$B$7/1000000)</f>
        <v>0</v>
      </c>
      <c r="F52" s="90">
        <f>IF(F$40&lt;$B$9,0,F51*1000*$B16*($B$8*(1+$B$8)^$D16/((1+$B$8)^$D16-1))*$B$7/1000000)</f>
        <v>0</v>
      </c>
      <c r="G52" s="90">
        <f>IF(G$40&lt;$B$9,0,G51*1000*$B16*($B$8*(1+$B$8)^$D16/((1+$B$8)^$D16-1))*$B$7/1000000)</f>
        <v>0</v>
      </c>
      <c r="H52" s="90">
        <f>IF(H$40&lt;$B$9,0,H51*1000*$B16*($B$8*(1+$B$8)^$D16/((1+$B$8)^$D16-1))*$B$7/1000000)</f>
        <v>0</v>
      </c>
      <c r="I52" s="90">
        <f>IF(I$40&lt;$B$9,0,I51*1000*$B16*($B$8*(1+$B$8)^$D16/((1+$B$8)^$D16-1))*$B$7/1000000)</f>
        <v>698.55320432188125</v>
      </c>
      <c r="J52" s="90">
        <f>IF(J$40&lt;$B$9,0,J51*1000*$B16*($B$8*(1+$B$8)^$D16/((1+$B$8)^$D16-1))*$B$7/1000000)</f>
        <v>684.58214023544372</v>
      </c>
      <c r="K52" s="90">
        <f>IF(K$40&lt;$B$9,0,K51*1000*$B16*($B$8*(1+$B$8)^$D16/((1+$B$8)^$D16-1))*$B$7/1000000)</f>
        <v>670.89049743073485</v>
      </c>
      <c r="L52" s="90">
        <f>IF(L$40&lt;$B$9,0,L51*1000*$B16*($B$8*(1+$B$8)^$D16/((1+$B$8)^$D16-1))*$B$7/1000000)</f>
        <v>657.47268748212014</v>
      </c>
      <c r="M52" s="90">
        <f>IF(M$40&lt;$B$9,0,M51*1000*$B16*($B$8*(1+$B$8)^$D16/((1+$B$8)^$D16-1))*$B$7/1000000)</f>
        <v>644.32323373247777</v>
      </c>
      <c r="N52" s="90">
        <f>IF(N$40&lt;$B$9,0,N51*1000*$B16*($B$8*(1+$B$8)^$D16/((1+$B$8)^$D16-1))*$B$7/1000000)</f>
        <v>631.43676905782809</v>
      </c>
      <c r="O52" s="90">
        <f>IF(O$40&lt;$B$9,0,O51*1000*$B16*($B$8*(1+$B$8)^$D16/((1+$B$8)^$D16-1))*$B$7/1000000)</f>
        <v>618.80803367667147</v>
      </c>
      <c r="P52" s="90">
        <f>IF(P$40&lt;$B$9,0,P51*1000*$B16*($B$8*(1+$B$8)^$D16/((1+$B$8)^$D16-1))*$B$7/1000000)</f>
        <v>606.43187300313798</v>
      </c>
      <c r="Q52" s="90">
        <f>IF(Q$40&lt;$B$9,0,Q51*1000*$B16*($B$8*(1+$B$8)^$D16/((1+$B$8)^$D16-1))*$B$7/1000000)</f>
        <v>594.30323554307517</v>
      </c>
      <c r="R52" s="90">
        <f>IF(R$40&lt;$B$9,0,R51*1000*$B16*($B$8*(1+$B$8)^$D16/((1+$B$8)^$D16-1))*$B$7/1000000)</f>
        <v>582.41717083221374</v>
      </c>
      <c r="S52" s="90">
        <f>IF(S$40&lt;$B$9,0,S51*1000*$B16*($B$8*(1+$B$8)^$D16/((1+$B$8)^$D16-1))*$B$7/1000000)</f>
        <v>570.76882741556938</v>
      </c>
      <c r="T52" s="90">
        <f>IF(T$40&lt;$B$9,0,T51*1000*$B16*($B$8*(1+$B$8)^$D16/((1+$B$8)^$D16-1))*$B$7/1000000)</f>
        <v>559.35345086725806</v>
      </c>
      <c r="U52" s="90">
        <f>IF(U$40&lt;$B$9,0,U51*1000*$B16*($B$8*(1+$B$8)^$D16/((1+$B$8)^$D16-1))*$B$7/1000000)</f>
        <v>548.16638184991314</v>
      </c>
      <c r="V52" s="90">
        <f>IF(V$40&lt;$B$9,0,V51*1000*$B16*($B$8*(1+$B$8)^$D16/((1+$B$8)^$D16-1))*$B$7/1000000)</f>
        <v>537.20305421291471</v>
      </c>
      <c r="W52" s="90">
        <f>IF(W$40&lt;$B$9,0,W51*1000*$B16*($B$8*(1+$B$8)^$D16/((1+$B$8)^$D16-1))*$B$7/1000000)</f>
        <v>526.45899312865652</v>
      </c>
      <c r="X52" s="90">
        <f>IF(X$40&lt;$B$9,0,X51*1000*$B16*($B$8*(1+$B$8)^$D16/((1+$B$8)^$D16-1))*$B$7/1000000)</f>
        <v>515.92981326608322</v>
      </c>
      <c r="Y52" s="90">
        <f>IF(Y$40&lt;$B$9,0,Y51*1000*$B16*($B$8*(1+$B$8)^$D16/((1+$B$8)^$D16-1))*$B$7/1000000)</f>
        <v>505.61121700076154</v>
      </c>
      <c r="Z52" s="90">
        <f>IF(Z$40&lt;$B$9,0,Z51*1000*$B16*($B$8*(1+$B$8)^$D16/((1+$B$8)^$D16-1))*$B$7/1000000)</f>
        <v>495.49899266074641</v>
      </c>
      <c r="AA52" s="90">
        <f>IF(AA$40&lt;$B$9,0,AA51*1000*$B16*($B$8*(1+$B$8)^$D16/((1+$B$8)^$D16-1))*$B$7/1000000)</f>
        <v>485.58901280753139</v>
      </c>
      <c r="AB52" s="90">
        <f>IF(AB$40&lt;$B$9,0,AB51*1000*$B16*($B$8*(1+$B$8)^$D16/((1+$B$8)^$D16-1))*$B$7/1000000)</f>
        <v>475.87723255138081</v>
      </c>
      <c r="AC52" s="90">
        <f>IF(AC$40&lt;$B$9,0,AC51*1000*$B16*($B$8*(1+$B$8)^$D16/((1+$B$8)^$D16-1))*$B$7/1000000)</f>
        <v>466.35968790035315</v>
      </c>
      <c r="AD52" s="90">
        <f>IF(AD$40&lt;$B$9,0,AD51*1000*$B16*($B$8*(1+$B$8)^$D16/((1+$B$8)^$D16-1))*$B$7/1000000)</f>
        <v>457.03249414234608</v>
      </c>
      <c r="AE52" s="90">
        <f>IF(AE$40&lt;$B$9,0,AE51*1000*$B16*($B$8*(1+$B$8)^$D16/((1+$B$8)^$D16-1))*$B$7/1000000)</f>
        <v>447.89184425949907</v>
      </c>
      <c r="AF52" s="90">
        <f>IF(AF$40&lt;$B$9,0,AF51*1000*$B16*($B$8*(1+$B$8)^$D16/((1+$B$8)^$D16-1))*$B$7/1000000)</f>
        <v>438.93400737430915</v>
      </c>
      <c r="AG52" s="90">
        <f>IF(AG$40&lt;$B$9,0,AG51*1000*$B16*($B$8*(1+$B$8)^$D16/((1+$B$8)^$D16-1))*$B$7/1000000)</f>
        <v>430.15532722682286</v>
      </c>
      <c r="AH52" s="90">
        <f>IF(AH$40&lt;$B$9,0,AH51*1000*$B16*($B$8*(1+$B$8)^$D16/((1+$B$8)^$D16-1))*$B$7/1000000)</f>
        <v>421.55222068228636</v>
      </c>
    </row>
    <row r="53" spans="1:34" ht="15" customHeight="1" x14ac:dyDescent="0.2">
      <c r="A53" t="s">
        <v>439</v>
      </c>
      <c r="B53" t="s">
        <v>435</v>
      </c>
      <c r="C53" s="72" t="s">
        <v>440</v>
      </c>
      <c r="D53" s="90">
        <f>IF(D$40&lt;$B$9,0,D50*$C16*$B$7)</f>
        <v>0</v>
      </c>
      <c r="E53" s="90">
        <f>IF(E$40&lt;$B$9,0,E50*$C16*$B$7)</f>
        <v>0</v>
      </c>
      <c r="F53" s="90">
        <f>IF(F$40&lt;$B$9,0,F50*$C16*$B$7)</f>
        <v>0</v>
      </c>
      <c r="G53" s="90">
        <f>IF(G$40&lt;$B$9,0,G50*$C16*$B$7)</f>
        <v>0</v>
      </c>
      <c r="H53" s="90">
        <f>IF(H$40&lt;$B$9,0,H50*$C16*$B$7)</f>
        <v>0</v>
      </c>
      <c r="I53" s="90">
        <f>IF(I$40&lt;$B$9,0,I50*$C16*$B$7)</f>
        <v>321.50654900582396</v>
      </c>
      <c r="J53" s="90">
        <f>IF(J$40&lt;$B$9,0,J50*$C16*$B$7)</f>
        <v>315.07641802570748</v>
      </c>
      <c r="K53" s="90">
        <f>IF(K$40&lt;$B$9,0,K50*$C16*$B$7)</f>
        <v>308.77488966519326</v>
      </c>
      <c r="L53" s="90">
        <f>IF(L$40&lt;$B$9,0,L50*$C16*$B$7)</f>
        <v>302.5993918718894</v>
      </c>
      <c r="M53" s="90">
        <f>IF(M$40&lt;$B$9,0,M50*$C16*$B$7)</f>
        <v>296.54740403445163</v>
      </c>
      <c r="N53" s="90">
        <f>IF(N$40&lt;$B$9,0,N50*$C16*$B$7)</f>
        <v>290.61645595376257</v>
      </c>
      <c r="O53" s="90">
        <f>IF(O$40&lt;$B$9,0,O50*$C16*$B$7)</f>
        <v>284.80412683468734</v>
      </c>
      <c r="P53" s="90">
        <f>IF(P$40&lt;$B$9,0,P50*$C16*$B$7)</f>
        <v>279.10804429799356</v>
      </c>
      <c r="Q53" s="90">
        <f>IF(Q$40&lt;$B$9,0,Q50*$C16*$B$7)</f>
        <v>273.52588341203369</v>
      </c>
      <c r="R53" s="90">
        <f>IF(R$40&lt;$B$9,0,R50*$C16*$B$7)</f>
        <v>268.055365743793</v>
      </c>
      <c r="S53" s="90">
        <f>IF(S$40&lt;$B$9,0,S50*$C16*$B$7)</f>
        <v>262.69425842891712</v>
      </c>
      <c r="T53" s="90">
        <f>IF(T$40&lt;$B$9,0,T50*$C16*$B$7)</f>
        <v>257.44037326033879</v>
      </c>
      <c r="U53" s="90">
        <f>IF(U$40&lt;$B$9,0,U50*$C16*$B$7)</f>
        <v>252.29156579513204</v>
      </c>
      <c r="V53" s="90">
        <f>IF(V$40&lt;$B$9,0,V50*$C16*$B$7)</f>
        <v>247.24573447922936</v>
      </c>
      <c r="W53" s="90">
        <f>IF(W$40&lt;$B$9,0,W50*$C16*$B$7)</f>
        <v>242.30081978964478</v>
      </c>
      <c r="X53" s="90">
        <f>IF(X$40&lt;$B$9,0,X50*$C16*$B$7)</f>
        <v>237.45480339385188</v>
      </c>
      <c r="Y53" s="90">
        <f>IF(Y$40&lt;$B$9,0,Y50*$C16*$B$7)</f>
        <v>232.7057073259748</v>
      </c>
      <c r="Z53" s="90">
        <f>IF(Z$40&lt;$B$9,0,Z50*$C16*$B$7)</f>
        <v>228.05159317945532</v>
      </c>
      <c r="AA53" s="90">
        <f>IF(AA$40&lt;$B$9,0,AA50*$C16*$B$7)</f>
        <v>223.49056131586622</v>
      </c>
      <c r="AB53" s="90">
        <f>IF(AB$40&lt;$B$9,0,AB50*$C16*$B$7)</f>
        <v>219.0207500895489</v>
      </c>
      <c r="AC53" s="90">
        <f>IF(AC$40&lt;$B$9,0,AC50*$C16*$B$7)</f>
        <v>214.6403350877579</v>
      </c>
      <c r="AD53" s="90">
        <f>IF(AD$40&lt;$B$9,0,AD50*$C16*$B$7)</f>
        <v>210.34752838600272</v>
      </c>
      <c r="AE53" s="90">
        <f>IF(AE$40&lt;$B$9,0,AE50*$C16*$B$7)</f>
        <v>206.14057781828262</v>
      </c>
      <c r="AF53" s="90">
        <f>IF(AF$40&lt;$B$9,0,AF50*$C16*$B$7)</f>
        <v>202.01776626191702</v>
      </c>
      <c r="AG53" s="90">
        <f>IF(AG$40&lt;$B$9,0,AG50*$C16*$B$7)</f>
        <v>197.97741093667867</v>
      </c>
      <c r="AH53" s="90">
        <f>IF(AH$40&lt;$B$9,0,AH50*$C16*$B$7)</f>
        <v>194.01786271794506</v>
      </c>
    </row>
    <row r="54" spans="1:34" ht="15" customHeight="1" x14ac:dyDescent="0.2">
      <c r="A54" s="81" t="s">
        <v>441</v>
      </c>
      <c r="B54" s="81" t="s">
        <v>435</v>
      </c>
      <c r="C54" s="72" t="s">
        <v>442</v>
      </c>
      <c r="D54" s="91">
        <f>D52+D53</f>
        <v>0</v>
      </c>
      <c r="E54" s="91">
        <f>E52+E53</f>
        <v>0</v>
      </c>
      <c r="F54" s="91">
        <f>F52+F53</f>
        <v>0</v>
      </c>
      <c r="G54" s="91">
        <f>G52+G53</f>
        <v>0</v>
      </c>
      <c r="H54" s="91">
        <f>H52+H53</f>
        <v>0</v>
      </c>
      <c r="I54" s="91">
        <f>I52+I53</f>
        <v>1020.0597533277053</v>
      </c>
      <c r="J54" s="91">
        <f>J52+J53</f>
        <v>999.65855826115126</v>
      </c>
      <c r="K54" s="91">
        <f>K52+K53</f>
        <v>979.66538709592805</v>
      </c>
      <c r="L54" s="91">
        <f>L52+L53</f>
        <v>960.07207935400947</v>
      </c>
      <c r="M54" s="91">
        <f>M52+M53</f>
        <v>940.87063776692935</v>
      </c>
      <c r="N54" s="91">
        <f>N52+N53</f>
        <v>922.05322501159071</v>
      </c>
      <c r="O54" s="91">
        <f>O52+O53</f>
        <v>903.61216051135875</v>
      </c>
      <c r="P54" s="91">
        <f>P52+P53</f>
        <v>885.53991730113148</v>
      </c>
      <c r="Q54" s="91">
        <f>Q52+Q53</f>
        <v>867.82911895510892</v>
      </c>
      <c r="R54" s="91">
        <f>R52+R53</f>
        <v>850.47253657600675</v>
      </c>
      <c r="S54" s="91">
        <f>S52+S53</f>
        <v>833.4630858444865</v>
      </c>
      <c r="T54" s="91">
        <f>T52+T53</f>
        <v>816.79382412759685</v>
      </c>
      <c r="U54" s="91">
        <f>U52+U53</f>
        <v>800.45794764504512</v>
      </c>
      <c r="V54" s="91">
        <f>V52+V53</f>
        <v>784.44878869214403</v>
      </c>
      <c r="W54" s="91">
        <f>W52+W53</f>
        <v>768.75981291830135</v>
      </c>
      <c r="X54" s="91">
        <f>X52+X53</f>
        <v>753.38461665993509</v>
      </c>
      <c r="Y54" s="91">
        <f>Y52+Y53</f>
        <v>738.3169243267364</v>
      </c>
      <c r="Z54" s="91">
        <f>Z52+Z53</f>
        <v>723.55058584020173</v>
      </c>
      <c r="AA54" s="91">
        <f>AA52+AA53</f>
        <v>709.07957412339761</v>
      </c>
      <c r="AB54" s="91">
        <f>AB52+AB53</f>
        <v>694.89798264092974</v>
      </c>
      <c r="AC54" s="91">
        <f>AC52+AC53</f>
        <v>681.00002298811103</v>
      </c>
      <c r="AD54" s="91">
        <f>AD52+AD53</f>
        <v>667.38002252834883</v>
      </c>
      <c r="AE54" s="91">
        <f>AE52+AE53</f>
        <v>654.03242207778169</v>
      </c>
      <c r="AF54" s="91">
        <f>AF52+AF53</f>
        <v>640.95177363622611</v>
      </c>
      <c r="AG54" s="91">
        <f>AG52+AG53</f>
        <v>628.13273816350147</v>
      </c>
      <c r="AH54" s="91">
        <f>AH52+AH53</f>
        <v>615.5700834002314</v>
      </c>
    </row>
    <row r="56" spans="1:34" ht="15" customHeight="1" x14ac:dyDescent="0.2">
      <c r="A56" s="73" t="s">
        <v>444</v>
      </c>
    </row>
    <row r="57" spans="1:34" ht="15" customHeight="1" x14ac:dyDescent="0.2">
      <c r="A57" t="s">
        <v>429</v>
      </c>
      <c r="B57" t="s">
        <v>95</v>
      </c>
      <c r="C57" s="72" t="s">
        <v>430</v>
      </c>
      <c r="D57" s="85">
        <f>Supply!D18+Supply!D21+Supply!D24+Supply!D39</f>
        <v>6059.6921628399505</v>
      </c>
      <c r="E57" s="85">
        <f>Supply!E18+Supply!E21+Supply!E24+Supply!E39</f>
        <v>6164.4025399296106</v>
      </c>
      <c r="F57" s="85">
        <f>Supply!F18+Supply!F21+Supply!F24+Supply!F39</f>
        <v>6267.6220314711572</v>
      </c>
      <c r="G57" s="85">
        <f>Supply!G18+Supply!G21+Supply!G24+Supply!G39</f>
        <v>6369.3862816116016</v>
      </c>
      <c r="H57" s="85">
        <f>Supply!H18+Supply!H21+Supply!H24+Supply!H39</f>
        <v>6469.7307826950482</v>
      </c>
      <c r="I57" s="85">
        <f>Supply!I18+Supply!I21+Supply!I24+Supply!I39</f>
        <v>6568.6908846196675</v>
      </c>
      <c r="J57" s="85">
        <f>Supply!J18+Supply!J21+Supply!J24+Supply!J39</f>
        <v>6666.3018042056065</v>
      </c>
      <c r="K57" s="85">
        <f>Supply!K18+Supply!K21+Supply!K24+Supply!K39</f>
        <v>6768.7436659652412</v>
      </c>
      <c r="L57" s="85">
        <f>Supply!L18+Supply!L21+Supply!L24+Supply!L39</f>
        <v>6864.062509680185</v>
      </c>
      <c r="M57" s="85">
        <f>Supply!M18+Supply!M21+Supply!M24+Supply!M39</f>
        <v>6958.1316864195223</v>
      </c>
      <c r="N57" s="85">
        <f>Supply!N18+Supply!N21+Supply!N24+Supply!N39</f>
        <v>7050.9855687120507</v>
      </c>
      <c r="O57" s="85">
        <f>Supply!O18+Supply!O21+Supply!O24+Supply!O39</f>
        <v>7142.6584519036642</v>
      </c>
      <c r="P57" s="85">
        <f>Supply!P18+Supply!P21+Supply!P24+Supply!P39</f>
        <v>7233.1845635458058</v>
      </c>
      <c r="Q57" s="85">
        <f>Supply!Q18+Supply!Q21+Supply!Q24+Supply!Q39</f>
        <v>7322.5980728185314</v>
      </c>
      <c r="R57" s="85">
        <f>Supply!R18+Supply!R21+Supply!R24+Supply!R39</f>
        <v>7410.9330999913982</v>
      </c>
      <c r="S57" s="85">
        <f>Supply!S18+Supply!S21+Supply!S24+Supply!S39</f>
        <v>7498.2237259254925</v>
      </c>
      <c r="T57" s="85">
        <f>Supply!T18+Supply!T21+Supply!T24+Supply!T39</f>
        <v>7584.5040016198936</v>
      </c>
      <c r="U57" s="85">
        <f>Supply!U18+Supply!U21+Supply!U24+Supply!U39</f>
        <v>7669.8079578059405</v>
      </c>
      <c r="V57" s="85">
        <f>Supply!V18+Supply!V21+Supply!V24+Supply!V39</f>
        <v>7754.1696145925825</v>
      </c>
      <c r="W57" s="85">
        <f>Supply!W18+Supply!W21+Supply!W24+Supply!W39</f>
        <v>7837.622991166294</v>
      </c>
      <c r="X57" s="85">
        <f>Supply!X18+Supply!X21+Supply!X24+Supply!X39</f>
        <v>7920.2021155488783</v>
      </c>
      <c r="Y57" s="85">
        <f>Supply!Y18+Supply!Y21+Supply!Y24+Supply!Y39</f>
        <v>8001.9410344166208</v>
      </c>
      <c r="Z57" s="85">
        <f>Supply!Z18+Supply!Z21+Supply!Z24+Supply!Z39</f>
        <v>8082.873822984282</v>
      </c>
      <c r="AA57" s="85">
        <f>Supply!AA18+Supply!AA21+Supply!AA24+Supply!AA39</f>
        <v>8163.0345949573712</v>
      </c>
      <c r="AB57" s="85">
        <f>Supply!AB18+Supply!AB21+Supply!AB24+Supply!AB39</f>
        <v>8242.4575125562769</v>
      </c>
      <c r="AC57" s="85">
        <f>Supply!AC18+Supply!AC21+Supply!AC24+Supply!AC39</f>
        <v>8321.1767966157531</v>
      </c>
      <c r="AD57" s="85">
        <f>Supply!AD18+Supply!AD21+Supply!AD24+Supply!AD39</f>
        <v>8399.2267367634249</v>
      </c>
      <c r="AE57" s="85">
        <f>Supply!AE18+Supply!AE21+Supply!AE24+Supply!AE39</f>
        <v>8476.6417016808518</v>
      </c>
      <c r="AF57" s="85">
        <f>Supply!AF18+Supply!AF21+Supply!AF24+Supply!AF39</f>
        <v>8553.4561494508853</v>
      </c>
      <c r="AG57" s="85">
        <f>Supply!AG18+Supply!AG21+Supply!AG24+Supply!AG39</f>
        <v>8629.7046379949843</v>
      </c>
      <c r="AH57" s="85">
        <f>Supply!AH18+Supply!AH21+Supply!AH24+Supply!AH39</f>
        <v>8705.4218356042238</v>
      </c>
    </row>
    <row r="58" spans="1:34" ht="15" customHeight="1" x14ac:dyDescent="0.2">
      <c r="A58" t="s">
        <v>431</v>
      </c>
      <c r="B58" t="s">
        <v>432</v>
      </c>
      <c r="C58" s="72" t="s">
        <v>433</v>
      </c>
      <c r="D58" s="86">
        <f>D57*1000/365/$E17</f>
        <v>23716.994766496871</v>
      </c>
      <c r="E58" s="86">
        <f>E57*1000/365/$E17</f>
        <v>24126.820117141335</v>
      </c>
      <c r="F58" s="86">
        <f>F57*1000/365/$E17</f>
        <v>24530.810299300028</v>
      </c>
      <c r="G58" s="86">
        <f>G57*1000/365/$E17</f>
        <v>24929.104820397661</v>
      </c>
      <c r="H58" s="86">
        <f>H57*1000/365/$E17</f>
        <v>25321.842593718389</v>
      </c>
      <c r="I58" s="86">
        <f>I57*1000/365/$E17</f>
        <v>25709.161975028055</v>
      </c>
      <c r="J58" s="86">
        <f>J57*1000/365/$E17</f>
        <v>26091.200799239166</v>
      </c>
      <c r="K58" s="86">
        <f>K57*1000/365/$E17</f>
        <v>26492.147420607602</v>
      </c>
      <c r="L58" s="86">
        <f>L57*1000/365/$E17</f>
        <v>26865.215302075092</v>
      </c>
      <c r="M58" s="86">
        <f>M57*1000/365/$E17</f>
        <v>27233.392119058801</v>
      </c>
      <c r="N58" s="86">
        <f>N57*1000/365/$E17</f>
        <v>27596.812402004114</v>
      </c>
      <c r="O58" s="86">
        <f>O57*1000/365/$E17</f>
        <v>27955.610379270704</v>
      </c>
      <c r="P58" s="86">
        <f>P57*1000/365/$E17</f>
        <v>28309.920013877909</v>
      </c>
      <c r="Q58" s="86">
        <f>Q57*1000/365/$E17</f>
        <v>28659.875040385643</v>
      </c>
      <c r="R58" s="86">
        <f>R57*1000/365/$E17</f>
        <v>29005.60900192328</v>
      </c>
      <c r="S58" s="86">
        <f>S57*1000/365/$E17</f>
        <v>29347.255287379616</v>
      </c>
      <c r="T58" s="86">
        <f>T57*1000/365/$E17</f>
        <v>29684.94716876671</v>
      </c>
      <c r="U58" s="86">
        <f>U57*1000/365/$E17</f>
        <v>30018.817838770807</v>
      </c>
      <c r="V58" s="86">
        <f>V57*1000/365/$E17</f>
        <v>30349.000448503259</v>
      </c>
      <c r="W58" s="86">
        <f>W57*1000/365/$E17</f>
        <v>30675.628145464947</v>
      </c>
      <c r="X58" s="86">
        <f>X57*1000/365/$E17</f>
        <v>30998.834111737291</v>
      </c>
      <c r="Y58" s="86">
        <f>Y57*1000/365/$E17</f>
        <v>31318.751602413391</v>
      </c>
      <c r="Z58" s="86">
        <f>Z57*1000/365/$E17</f>
        <v>31635.513984282908</v>
      </c>
      <c r="AA58" s="86">
        <f>AA57*1000/365/$E17</f>
        <v>31949.254774784233</v>
      </c>
      <c r="AB58" s="86">
        <f>AB57*1000/365/$E17</f>
        <v>32260.107681237878</v>
      </c>
      <c r="AC58" s="86">
        <f>AC57*1000/365/$E17</f>
        <v>32568.20664037477</v>
      </c>
      <c r="AD58" s="86">
        <f>AD57*1000/365/$E17</f>
        <v>32873.685858173878</v>
      </c>
      <c r="AE58" s="86">
        <f>AE57*1000/365/$E17</f>
        <v>33176.679850022905</v>
      </c>
      <c r="AF58" s="86">
        <f>AF57*1000/365/$E17</f>
        <v>33477.323481216772</v>
      </c>
      <c r="AG58" s="86">
        <f>AG57*1000/365/$E17</f>
        <v>33775.752007808158</v>
      </c>
      <c r="AH58" s="86">
        <f>AH57*1000/365/$E17</f>
        <v>34072.101117824757</v>
      </c>
    </row>
    <row r="59" spans="1:34" ht="11" customHeight="1" x14ac:dyDescent="0.2">
      <c r="A59" t="s">
        <v>434</v>
      </c>
      <c r="B59" t="s">
        <v>435</v>
      </c>
      <c r="C59" s="72" t="s">
        <v>436</v>
      </c>
      <c r="D59" s="90">
        <f>IF(D$40&lt;$B$9,0,D58*1000*$B17*($B$8*(1+$B$8)^$D17/((1+$B$8)^$D17-1))*$B$7/1000000)</f>
        <v>0</v>
      </c>
      <c r="E59" s="90">
        <f>IF(E$40&lt;$B$9,0,E58*1000*$B17*($B$8*(1+$B$8)^$D17/((1+$B$8)^$D17-1))*$B$7/1000000)</f>
        <v>0</v>
      </c>
      <c r="F59" s="90">
        <f>IF(F$40&lt;$B$9,0,F58*1000*$B17*($B$8*(1+$B$8)^$D17/((1+$B$8)^$D17-1))*$B$7/1000000)</f>
        <v>0</v>
      </c>
      <c r="G59" s="90">
        <f>IF(G$40&lt;$B$9,0,G58*1000*$B17*($B$8*(1+$B$8)^$D17/((1+$B$8)^$D17-1))*$B$7/1000000)</f>
        <v>0</v>
      </c>
      <c r="H59" s="90">
        <f>IF(H$40&lt;$B$9,0,H58*1000*$B17*($B$8*(1+$B$8)^$D17/((1+$B$8)^$D17-1))*$B$7/1000000)</f>
        <v>0</v>
      </c>
      <c r="I59" s="90">
        <f>IF(I$40&lt;$B$9,0,I58*1000*$B17*($B$8*(1+$B$8)^$D17/((1+$B$8)^$D17-1))*$B$7/1000000)</f>
        <v>1152.6190731580887</v>
      </c>
      <c r="J59" s="90">
        <f>IF(J$40&lt;$B$9,0,J58*1000*$B17*($B$8*(1+$B$8)^$D17/((1+$B$8)^$D17-1))*$B$7/1000000)</f>
        <v>1169.7470229489193</v>
      </c>
      <c r="K59" s="90">
        <f>IF(K$40&lt;$B$9,0,K58*1000*$B17*($B$8*(1+$B$8)^$D17/((1+$B$8)^$D17-1))*$B$7/1000000)</f>
        <v>1187.7226661673349</v>
      </c>
      <c r="L59" s="90">
        <f>IF(L$40&lt;$B$9,0,L58*1000*$B17*($B$8*(1+$B$8)^$D17/((1+$B$8)^$D17-1))*$B$7/1000000)</f>
        <v>1204.448421607352</v>
      </c>
      <c r="M59" s="90">
        <f>IF(M$40&lt;$B$9,0,M58*1000*$B17*($B$8*(1+$B$8)^$D17/((1+$B$8)^$D17-1))*$B$7/1000000)</f>
        <v>1220.9548959125921</v>
      </c>
      <c r="N59" s="90">
        <f>IF(N$40&lt;$B$9,0,N58*1000*$B17*($B$8*(1+$B$8)^$D17/((1+$B$8)^$D17-1))*$B$7/1000000)</f>
        <v>1237.2481204876349</v>
      </c>
      <c r="O59" s="90">
        <f>IF(O$40&lt;$B$9,0,O58*1000*$B17*($B$8*(1+$B$8)^$D17/((1+$B$8)^$D17-1))*$B$7/1000000)</f>
        <v>1253.3341131936479</v>
      </c>
      <c r="P59" s="90">
        <f>IF(P$40&lt;$B$9,0,P58*1000*$B17*($B$8*(1+$B$8)^$D17/((1+$B$8)^$D17-1))*$B$7/1000000)</f>
        <v>1269.2188799957946</v>
      </c>
      <c r="Q59" s="90">
        <f>IF(Q$40&lt;$B$9,0,Q58*1000*$B17*($B$8*(1+$B$8)^$D17/((1+$B$8)^$D17-1))*$B$7/1000000)</f>
        <v>1284.9084166167142</v>
      </c>
      <c r="R59" s="90">
        <f>IF(R$40&lt;$B$9,0,R58*1000*$B17*($B$8*(1+$B$8)^$D17/((1+$B$8)^$D17-1))*$B$7/1000000)</f>
        <v>1300.4087101966395</v>
      </c>
      <c r="S59" s="90">
        <f>IF(S$40&lt;$B$9,0,S58*1000*$B17*($B$8*(1+$B$8)^$D17/((1+$B$8)^$D17-1))*$B$7/1000000)</f>
        <v>1315.7257409607337</v>
      </c>
      <c r="T59" s="90">
        <f>IF(T$40&lt;$B$9,0,T58*1000*$B17*($B$8*(1+$B$8)^$D17/((1+$B$8)^$D17-1))*$B$7/1000000)</f>
        <v>1330.8654838942248</v>
      </c>
      <c r="U59" s="90">
        <f>IF(U$40&lt;$B$9,0,U58*1000*$B17*($B$8*(1+$B$8)^$D17/((1+$B$8)^$D17-1))*$B$7/1000000)</f>
        <v>1345.8339104259248</v>
      </c>
      <c r="V59" s="90">
        <f>IF(V$40&lt;$B$9,0,V58*1000*$B17*($B$8*(1+$B$8)^$D17/((1+$B$8)^$D17-1))*$B$7/1000000)</f>
        <v>1360.6369901207202</v>
      </c>
      <c r="W59" s="90">
        <f>IF(W$40&lt;$B$9,0,W58*1000*$B17*($B$8*(1+$B$8)^$D17/((1+$B$8)^$D17-1))*$B$7/1000000)</f>
        <v>1375.280692381627</v>
      </c>
      <c r="X59" s="90">
        <f>IF(X$40&lt;$B$9,0,X58*1000*$B17*($B$8*(1+$B$8)^$D17/((1+$B$8)^$D17-1))*$B$7/1000000)</f>
        <v>1389.7709881620126</v>
      </c>
      <c r="Y59" s="90">
        <f>IF(Y$40&lt;$B$9,0,Y58*1000*$B17*($B$8*(1+$B$8)^$D17/((1+$B$8)^$D17-1))*$B$7/1000000)</f>
        <v>1404.1138516885765</v>
      </c>
      <c r="Z59" s="90">
        <f>IF(Z$40&lt;$B$9,0,Z58*1000*$B17*($B$8*(1+$B$8)^$D17/((1+$B$8)^$D17-1))*$B$7/1000000)</f>
        <v>1418.3152621957108</v>
      </c>
      <c r="AA59" s="90">
        <f>IF(AA$40&lt;$B$9,0,AA58*1000*$B17*($B$8*(1+$B$8)^$D17/((1+$B$8)^$D17-1))*$B$7/1000000)</f>
        <v>1432.381205671845</v>
      </c>
      <c r="AB59" s="90">
        <f>IF(AB$40&lt;$B$9,0,AB58*1000*$B17*($B$8*(1+$B$8)^$D17/((1+$B$8)^$D17-1))*$B$7/1000000)</f>
        <v>1446.317676618394</v>
      </c>
      <c r="AC59" s="90">
        <f>IF(AC$40&lt;$B$9,0,AC58*1000*$B17*($B$8*(1+$B$8)^$D17/((1+$B$8)^$D17-1))*$B$7/1000000)</f>
        <v>1460.1306798219316</v>
      </c>
      <c r="AD59" s="90">
        <f>IF(AD$40&lt;$B$9,0,AD58*1000*$B17*($B$8*(1+$B$8)^$D17/((1+$B$8)^$D17-1))*$B$7/1000000)</f>
        <v>1473.8262321402326</v>
      </c>
      <c r="AE59" s="90">
        <f>IF(AE$40&lt;$B$9,0,AE58*1000*$B17*($B$8*(1+$B$8)^$D17/((1+$B$8)^$D17-1))*$B$7/1000000)</f>
        <v>1487.4103643027945</v>
      </c>
      <c r="AF59" s="90">
        <f>IF(AF$40&lt;$B$9,0,AF58*1000*$B17*($B$8*(1+$B$8)^$D17/((1+$B$8)^$D17-1))*$B$7/1000000)</f>
        <v>1500.8891227265096</v>
      </c>
      <c r="AG59" s="90">
        <f>IF(AG$40&lt;$B$9,0,AG58*1000*$B17*($B$8*(1+$B$8)^$D17/((1+$B$8)^$D17-1))*$B$7/1000000)</f>
        <v>1514.2685713471144</v>
      </c>
      <c r="AH59" s="90">
        <f>IF(AH$40&lt;$B$9,0,AH58*1000*$B17*($B$8*(1+$B$8)^$D17/((1+$B$8)^$D17-1))*$B$7/1000000)</f>
        <v>1527.5547934670863</v>
      </c>
    </row>
    <row r="60" spans="1:34" ht="15" customHeight="1" x14ac:dyDescent="0.2">
      <c r="A60" t="s">
        <v>439</v>
      </c>
      <c r="B60" t="s">
        <v>435</v>
      </c>
      <c r="C60" s="72" t="s">
        <v>440</v>
      </c>
      <c r="D60" s="90">
        <f>IF(D$40&lt;$B$9,0,D57*$C17*$B$7)</f>
        <v>0</v>
      </c>
      <c r="E60" s="90">
        <f>IF(E$40&lt;$B$9,0,E57*$C17*$B$7)</f>
        <v>0</v>
      </c>
      <c r="F60" s="90">
        <f>IF(F$40&lt;$B$9,0,F57*$C17*$B$7)</f>
        <v>0</v>
      </c>
      <c r="G60" s="90">
        <f>IF(G$40&lt;$B$9,0,G57*$C17*$B$7)</f>
        <v>0</v>
      </c>
      <c r="H60" s="90">
        <f>IF(H$40&lt;$B$9,0,H57*$C17*$B$7)</f>
        <v>0</v>
      </c>
      <c r="I60" s="90">
        <f>IF(I$40&lt;$B$9,0,I57*$C17*$B$7)</f>
        <v>1280.8947225008351</v>
      </c>
      <c r="J60" s="90">
        <f>IF(J$40&lt;$B$9,0,J57*$C17*$B$7)</f>
        <v>1299.9288518200933</v>
      </c>
      <c r="K60" s="90">
        <f>IF(K$40&lt;$B$9,0,K57*$C17*$B$7)</f>
        <v>1319.905014863222</v>
      </c>
      <c r="L60" s="90">
        <f>IF(L$40&lt;$B$9,0,L57*$C17*$B$7)</f>
        <v>1338.492189387636</v>
      </c>
      <c r="M60" s="90">
        <f>IF(M$40&lt;$B$9,0,M57*$C17*$B$7)</f>
        <v>1356.835678851807</v>
      </c>
      <c r="N60" s="90">
        <f>IF(N$40&lt;$B$9,0,N57*$C17*$B$7)</f>
        <v>1374.9421858988499</v>
      </c>
      <c r="O60" s="90">
        <f>IF(O$40&lt;$B$9,0,O57*$C17*$B$7)</f>
        <v>1392.8183981212146</v>
      </c>
      <c r="P60" s="90">
        <f>IF(P$40&lt;$B$9,0,P57*$C17*$B$7)</f>
        <v>1410.4709898914323</v>
      </c>
      <c r="Q60" s="90">
        <f>IF(Q$40&lt;$B$9,0,Q57*$C17*$B$7)</f>
        <v>1427.9066241996136</v>
      </c>
      <c r="R60" s="90">
        <f>IF(R$40&lt;$B$9,0,R57*$C17*$B$7)</f>
        <v>1445.1319544983228</v>
      </c>
      <c r="S60" s="90">
        <f>IF(S$40&lt;$B$9,0,S57*$C17*$B$7)</f>
        <v>1462.153626555471</v>
      </c>
      <c r="T60" s="90">
        <f>IF(T$40&lt;$B$9,0,T57*$C17*$B$7)</f>
        <v>1478.9782803158794</v>
      </c>
      <c r="U60" s="90">
        <f>IF(U$40&lt;$B$9,0,U57*$C17*$B$7)</f>
        <v>1495.6125517721584</v>
      </c>
      <c r="V60" s="90">
        <f>IF(V$40&lt;$B$9,0,V57*$C17*$B$7)</f>
        <v>1512.0630748455535</v>
      </c>
      <c r="W60" s="90">
        <f>IF(W$40&lt;$B$9,0,W57*$C17*$B$7)</f>
        <v>1528.3364832774273</v>
      </c>
      <c r="X60" s="90">
        <f>IF(X$40&lt;$B$9,0,X57*$C17*$B$7)</f>
        <v>1544.4394125320312</v>
      </c>
      <c r="Y60" s="90">
        <f>IF(Y$40&lt;$B$9,0,Y57*$C17*$B$7)</f>
        <v>1560.3785017112411</v>
      </c>
      <c r="Z60" s="90">
        <f>IF(Z$40&lt;$B$9,0,Z57*$C17*$B$7)</f>
        <v>1576.1603954819352</v>
      </c>
      <c r="AA60" s="90">
        <f>IF(AA$40&lt;$B$9,0,AA57*$C17*$B$7)</f>
        <v>1591.7917460166875</v>
      </c>
      <c r="AB60" s="90">
        <f>IF(AB$40&lt;$B$9,0,AB57*$C17*$B$7)</f>
        <v>1607.279214948474</v>
      </c>
      <c r="AC60" s="90">
        <f>IF(AC$40&lt;$B$9,0,AC57*$C17*$B$7)</f>
        <v>1622.6294753400721</v>
      </c>
      <c r="AD60" s="90">
        <f>IF(AD$40&lt;$B$9,0,AD57*$C17*$B$7)</f>
        <v>1637.8492136688678</v>
      </c>
      <c r="AE60" s="90">
        <f>IF(AE$40&lt;$B$9,0,AE57*$C17*$B$7)</f>
        <v>1652.9451318277661</v>
      </c>
      <c r="AF60" s="90">
        <f>IF(AF$40&lt;$B$9,0,AF57*$C17*$B$7)</f>
        <v>1667.9239491429228</v>
      </c>
      <c r="AG60" s="90">
        <f>IF(AG$40&lt;$B$9,0,AG57*$C17*$B$7)</f>
        <v>1682.7924044090219</v>
      </c>
      <c r="AH60" s="90">
        <f>IF(AH$40&lt;$B$9,0,AH57*$C17*$B$7)</f>
        <v>1697.5572579428235</v>
      </c>
    </row>
    <row r="61" spans="1:34" ht="15" customHeight="1" x14ac:dyDescent="0.2">
      <c r="A61" s="81" t="s">
        <v>441</v>
      </c>
      <c r="B61" s="81" t="s">
        <v>435</v>
      </c>
      <c r="C61" s="72" t="s">
        <v>442</v>
      </c>
      <c r="D61" s="91">
        <f>D59+D60</f>
        <v>0</v>
      </c>
      <c r="E61" s="91">
        <f>E59+E60</f>
        <v>0</v>
      </c>
      <c r="F61" s="91">
        <f>F59+F60</f>
        <v>0</v>
      </c>
      <c r="G61" s="91">
        <f>G59+G60</f>
        <v>0</v>
      </c>
      <c r="H61" s="91">
        <f>H59+H60</f>
        <v>0</v>
      </c>
      <c r="I61" s="91">
        <f>I59+I60</f>
        <v>2433.5137956589238</v>
      </c>
      <c r="J61" s="91">
        <f>J59+J60</f>
        <v>2469.6758747690128</v>
      </c>
      <c r="K61" s="91">
        <f>K59+K60</f>
        <v>2507.6276810305571</v>
      </c>
      <c r="L61" s="91">
        <f>L59+L60</f>
        <v>2542.9406109949878</v>
      </c>
      <c r="M61" s="91">
        <f>M59+M60</f>
        <v>2577.790574764399</v>
      </c>
      <c r="N61" s="91">
        <f>N59+N60</f>
        <v>2612.1903063864847</v>
      </c>
      <c r="O61" s="91">
        <f>O59+O60</f>
        <v>2646.1525113148627</v>
      </c>
      <c r="P61" s="91">
        <f>P59+P60</f>
        <v>2679.6898698872269</v>
      </c>
      <c r="Q61" s="91">
        <f>Q59+Q60</f>
        <v>2712.8150408163278</v>
      </c>
      <c r="R61" s="91">
        <f>R59+R60</f>
        <v>2745.5406646949623</v>
      </c>
      <c r="S61" s="91">
        <f>S59+S60</f>
        <v>2777.8793675162046</v>
      </c>
      <c r="T61" s="91">
        <f>T59+T60</f>
        <v>2809.8437642101044</v>
      </c>
      <c r="U61" s="91">
        <f>U59+U60</f>
        <v>2841.4464621980833</v>
      </c>
      <c r="V61" s="91">
        <f>V59+V60</f>
        <v>2872.7000649662737</v>
      </c>
      <c r="W61" s="91">
        <f>W59+W60</f>
        <v>2903.6171756590543</v>
      </c>
      <c r="X61" s="91">
        <f>X59+X60</f>
        <v>2934.2104006940435</v>
      </c>
      <c r="Y61" s="91">
        <f>Y59+Y60</f>
        <v>2964.4923533998176</v>
      </c>
      <c r="Z61" s="91">
        <f>Z59+Z60</f>
        <v>2994.4756576776463</v>
      </c>
      <c r="AA61" s="91">
        <f>AA59+AA60</f>
        <v>3024.1729516885325</v>
      </c>
      <c r="AB61" s="91">
        <f>AB59+AB60</f>
        <v>3053.5968915668682</v>
      </c>
      <c r="AC61" s="91">
        <f>AC59+AC60</f>
        <v>3082.7601551620037</v>
      </c>
      <c r="AD61" s="91">
        <f>AD59+AD60</f>
        <v>3111.6754458091004</v>
      </c>
      <c r="AE61" s="91">
        <f>AE59+AE60</f>
        <v>3140.3554961305608</v>
      </c>
      <c r="AF61" s="91">
        <f>AF59+AF60</f>
        <v>3168.8130718694324</v>
      </c>
      <c r="AG61" s="91">
        <f>AG59+AG60</f>
        <v>3197.060975756136</v>
      </c>
      <c r="AH61" s="91">
        <f>AH59+AH60</f>
        <v>3225.1120514099098</v>
      </c>
    </row>
    <row r="63" spans="1:34" ht="15" customHeight="1" x14ac:dyDescent="0.2">
      <c r="A63" s="73" t="s">
        <v>445</v>
      </c>
    </row>
    <row r="64" spans="1:34" ht="15" customHeight="1" x14ac:dyDescent="0.2">
      <c r="A64" t="s">
        <v>429</v>
      </c>
      <c r="B64" t="s">
        <v>95</v>
      </c>
      <c r="C64" s="72" t="s">
        <v>430</v>
      </c>
      <c r="D64" s="85">
        <f>Supply!D34</f>
        <v>7.8422197749500002</v>
      </c>
      <c r="E64" s="85">
        <f>Supply!E34</f>
        <v>8.6110502226513645</v>
      </c>
      <c r="F64" s="85">
        <f>Supply!F34</f>
        <v>9.3961504441431867</v>
      </c>
      <c r="G64" s="85">
        <f>Supply!G34</f>
        <v>10.197217750257561</v>
      </c>
      <c r="H64" s="85">
        <f>Supply!H34</f>
        <v>11.013952675827259</v>
      </c>
      <c r="I64" s="85">
        <f>Supply!I34</f>
        <v>11.846058951993687</v>
      </c>
      <c r="J64" s="85">
        <f>Supply!J34</f>
        <v>12.693243478726256</v>
      </c>
      <c r="K64" s="85">
        <f>Supply!K34</f>
        <v>13.555216297551675</v>
      </c>
      <c r="L64" s="85">
        <f>Supply!L34</f>
        <v>14.431690564491689</v>
      </c>
      <c r="M64" s="85">
        <f>Supply!M34</f>
        <v>15.322382523207715</v>
      </c>
      <c r="N64" s="85">
        <f>Supply!N34</f>
        <v>16.22701147835107</v>
      </c>
      <c r="O64" s="85">
        <f>Supply!O34</f>
        <v>17.145299769117109</v>
      </c>
      <c r="P64" s="85">
        <f>Supply!P34</f>
        <v>18.076972743002045</v>
      </c>
      <c r="Q64" s="85">
        <f>Supply!Q34</f>
        <v>19.021758729760862</v>
      </c>
      <c r="R64" s="85">
        <f>Supply!R34</f>
        <v>19.979389015564923</v>
      </c>
      <c r="S64" s="85">
        <f>Supply!S34</f>
        <v>20.949597817357954</v>
      </c>
      <c r="T64" s="85">
        <f>Supply!T34</f>
        <v>21.932122257408849</v>
      </c>
      <c r="U64" s="85">
        <f>Supply!U34</f>
        <v>22.926702338059972</v>
      </c>
      <c r="V64" s="85">
        <f>Supply!V34</f>
        <v>23.933080916669592</v>
      </c>
      <c r="W64" s="85">
        <f>Supply!W34</f>
        <v>24.951003680747007</v>
      </c>
      <c r="X64" s="85">
        <f>Supply!X34</f>
        <v>25.980219123279014</v>
      </c>
      <c r="Y64" s="85">
        <f>Supply!Y34</f>
        <v>27.02047851824635</v>
      </c>
      <c r="Z64" s="85">
        <f>Supply!Z34</f>
        <v>28.071535896328861</v>
      </c>
      <c r="AA64" s="85">
        <f>Supply!AA34</f>
        <v>29.133148020797783</v>
      </c>
      <c r="AB64" s="85">
        <f>Supply!AB34</f>
        <v>30.205074363594186</v>
      </c>
      <c r="AC64" s="85">
        <f>Supply!AC34</f>
        <v>31.2870770815918</v>
      </c>
      <c r="AD64" s="85">
        <f>Supply!AD34</f>
        <v>32.378920993043394</v>
      </c>
      <c r="AE64" s="85">
        <f>Supply!AE34</f>
        <v>33.480373554209031</v>
      </c>
      <c r="AF64" s="85">
        <f>Supply!AF34</f>
        <v>34.591204836165012</v>
      </c>
      <c r="AG64" s="85">
        <f>Supply!AG34</f>
        <v>35.71118750179226</v>
      </c>
      <c r="AH64" s="85">
        <f>Supply!AH34</f>
        <v>36.840096782942837</v>
      </c>
    </row>
    <row r="65" spans="1:34" ht="15" customHeight="1" x14ac:dyDescent="0.2">
      <c r="A65" t="s">
        <v>431</v>
      </c>
      <c r="B65" t="s">
        <v>432</v>
      </c>
      <c r="C65" s="72" t="s">
        <v>433</v>
      </c>
      <c r="D65" s="86">
        <f>D64*1000/365/$E18</f>
        <v>25.277098388235295</v>
      </c>
      <c r="E65" s="86">
        <f>E64*1000/365/$E18</f>
        <v>27.755198139085785</v>
      </c>
      <c r="F65" s="86">
        <f>F64*1000/365/$E18</f>
        <v>30.285738740187544</v>
      </c>
      <c r="G65" s="86">
        <f>G64*1000/365/$E18</f>
        <v>32.867744561668211</v>
      </c>
      <c r="H65" s="86">
        <f>H64*1000/365/$E18</f>
        <v>35.500250365277225</v>
      </c>
      <c r="I65" s="86">
        <f>I64*1000/365/$E18</f>
        <v>38.182301215128732</v>
      </c>
      <c r="J65" s="86">
        <f>J64*1000/365/$E18</f>
        <v>40.912952389125728</v>
      </c>
      <c r="K65" s="86">
        <f>K64*1000/365/$E18</f>
        <v>43.691269291061005</v>
      </c>
      <c r="L65" s="86">
        <f>L64*1000/365/$E18</f>
        <v>46.516327363389813</v>
      </c>
      <c r="M65" s="86">
        <f>M64*1000/365/$E18</f>
        <v>49.387212000669507</v>
      </c>
      <c r="N65" s="86">
        <f>N64*1000/365/$E18</f>
        <v>52.303018463661793</v>
      </c>
      <c r="O65" s="86">
        <f>O64*1000/365/$E18</f>
        <v>55.262851794092214</v>
      </c>
      <c r="P65" s="86">
        <f>P64*1000/365/$E18</f>
        <v>58.265826730063004</v>
      </c>
      <c r="Q65" s="86">
        <f>Q64*1000/365/$E18</f>
        <v>61.311067622113981</v>
      </c>
      <c r="R65" s="86">
        <f>R64*1000/365/$E18</f>
        <v>64.397708349927242</v>
      </c>
      <c r="S65" s="86">
        <f>S64*1000/365/$E18</f>
        <v>67.52489223967109</v>
      </c>
      <c r="T65" s="86">
        <f>T64*1000/365/$E18</f>
        <v>70.691771981978562</v>
      </c>
      <c r="U65" s="86">
        <f>U64*1000/365/$E18</f>
        <v>73.89750955055591</v>
      </c>
      <c r="V65" s="86">
        <f>V64*1000/365/$E18</f>
        <v>77.141276121416894</v>
      </c>
      <c r="W65" s="86">
        <f>W64*1000/365/$E18</f>
        <v>80.42225199273814</v>
      </c>
      <c r="X65" s="86">
        <f>X64*1000/365/$E18</f>
        <v>83.739626505331231</v>
      </c>
      <c r="Y65" s="86">
        <f>Y64*1000/365/$E18</f>
        <v>87.092597963727158</v>
      </c>
      <c r="Z65" s="86">
        <f>Z64*1000/365/$E18</f>
        <v>90.480373557869015</v>
      </c>
      <c r="AA65" s="86">
        <f>AA64*1000/365/$E18</f>
        <v>93.902169285407851</v>
      </c>
      <c r="AB65" s="86">
        <f>AB64*1000/365/$E18</f>
        <v>97.35720987459851</v>
      </c>
      <c r="AC65" s="86">
        <f>AC64*1000/365/$E18</f>
        <v>100.84472870778986</v>
      </c>
      <c r="AD65" s="86">
        <f>AD64*1000/365/$E18</f>
        <v>104.36396774550651</v>
      </c>
      <c r="AE65" s="86">
        <f>AE64*1000/365/$E18</f>
        <v>107.91417745111694</v>
      </c>
      <c r="AF65" s="86">
        <f>AF64*1000/365/$E18</f>
        <v>111.49461671608384</v>
      </c>
      <c r="AG65" s="86">
        <f>AG64*1000/365/$E18</f>
        <v>115.10455278579293</v>
      </c>
      <c r="AH65" s="86">
        <f>AH64*1000/365/$E18</f>
        <v>118.74326118595594</v>
      </c>
    </row>
    <row r="66" spans="1:34" ht="15" customHeight="1" x14ac:dyDescent="0.2">
      <c r="A66" t="s">
        <v>434</v>
      </c>
      <c r="B66" t="s">
        <v>435</v>
      </c>
      <c r="C66" s="72" t="s">
        <v>436</v>
      </c>
      <c r="D66" s="90">
        <f>IF(D$40&lt;$B$9,0,D65*1000*$B18*($B$8*(1+$B$8)^$D18/((1+$B$8)^$D18-1))*$B$7/1000000)</f>
        <v>0</v>
      </c>
      <c r="E66" s="90">
        <f>IF(E$40&lt;$B$9,0,E65*1000*$B18*($B$8*(1+$B$8)^$D18/((1+$B$8)^$D18-1))*$B$7/1000000)</f>
        <v>0</v>
      </c>
      <c r="F66" s="90">
        <f>IF(F$40&lt;$B$9,0,F65*1000*$B18*($B$8*(1+$B$8)^$D18/((1+$B$8)^$D18-1))*$B$7/1000000)</f>
        <v>0</v>
      </c>
      <c r="G66" s="90">
        <f>IF(G$40&lt;$B$9,0,G65*1000*$B18*($B$8*(1+$B$8)^$D18/((1+$B$8)^$D18-1))*$B$7/1000000)</f>
        <v>0</v>
      </c>
      <c r="H66" s="90">
        <f>IF(H$40&lt;$B$9,0,H65*1000*$B18*($B$8*(1+$B$8)^$D18/((1+$B$8)^$D18-1))*$B$7/1000000)</f>
        <v>0</v>
      </c>
      <c r="I66" s="90">
        <f>IF(I$40&lt;$B$9,0,I65*1000*$B18*($B$8*(1+$B$8)^$D18/((1+$B$8)^$D18-1))*$B$7/1000000)</f>
        <v>8.145609674752988</v>
      </c>
      <c r="J66" s="90">
        <f>IF(J$40&lt;$B$9,0,J65*1000*$B18*($B$8*(1+$B$8)^$D18/((1+$B$8)^$D18-1))*$B$7/1000000)</f>
        <v>8.7281523165902062</v>
      </c>
      <c r="K66" s="90">
        <f>IF(K$40&lt;$B$9,0,K65*1000*$B18*($B$8*(1+$B$8)^$D18/((1+$B$8)^$D18-1))*$B$7/1000000)</f>
        <v>9.320863712072228</v>
      </c>
      <c r="L66" s="90">
        <f>IF(L$40&lt;$B$9,0,L65*1000*$B18*($B$8*(1+$B$8)^$D18/((1+$B$8)^$D18-1))*$B$7/1000000)</f>
        <v>9.9235466209950314</v>
      </c>
      <c r="M66" s="90">
        <f>IF(M$40&lt;$B$9,0,M65*1000*$B18*($B$8*(1+$B$8)^$D18/((1+$B$8)^$D18-1))*$B$7/1000000)</f>
        <v>10.5360059262833</v>
      </c>
      <c r="N66" s="90">
        <f>IF(N$40&lt;$B$9,0,N65*1000*$B18*($B$8*(1+$B$8)^$D18/((1+$B$8)^$D18-1))*$B$7/1000000)</f>
        <v>11.158048615665434</v>
      </c>
      <c r="O66" s="90">
        <f>IF(O$40&lt;$B$9,0,O65*1000*$B18*($B$8*(1+$B$8)^$D18/((1+$B$8)^$D18-1))*$B$7/1000000)</f>
        <v>11.789483763488777</v>
      </c>
      <c r="P66" s="90">
        <f>IF(P$40&lt;$B$9,0,P65*1000*$B18*($B$8*(1+$B$8)^$D18/((1+$B$8)^$D18-1))*$B$7/1000000)</f>
        <v>12.430122512674288</v>
      </c>
      <c r="Q66" s="90">
        <f>IF(Q$40&lt;$B$9,0,Q65*1000*$B18*($B$8*(1+$B$8)^$D18/((1+$B$8)^$D18-1))*$B$7/1000000)</f>
        <v>13.079778056809365</v>
      </c>
      <c r="R66" s="90">
        <f>IF(R$40&lt;$B$9,0,R65*1000*$B18*($B$8*(1+$B$8)^$D18/((1+$B$8)^$D18-1))*$B$7/1000000)</f>
        <v>13.738265622378101</v>
      </c>
      <c r="S66" s="90">
        <f>IF(S$40&lt;$B$9,0,S65*1000*$B18*($B$8*(1+$B$8)^$D18/((1+$B$8)^$D18-1))*$B$7/1000000)</f>
        <v>14.405402451127861</v>
      </c>
      <c r="T66" s="90">
        <f>IF(T$40&lt;$B$9,0,T65*1000*$B18*($B$8*(1+$B$8)^$D18/((1+$B$8)^$D18-1))*$B$7/1000000)</f>
        <v>15.081007782571266</v>
      </c>
      <c r="U66" s="90">
        <f>IF(U$40&lt;$B$9,0,U65*1000*$B18*($B$8*(1+$B$8)^$D18/((1+$B$8)^$D18-1))*$B$7/1000000)</f>
        <v>15.764902836622552</v>
      </c>
      <c r="V66" s="90">
        <f>IF(V$40&lt;$B$9,0,V65*1000*$B18*($B$8*(1+$B$8)^$D18/((1+$B$8)^$D18-1))*$B$7/1000000)</f>
        <v>16.456910796367428</v>
      </c>
      <c r="W66" s="90">
        <f>IF(W$40&lt;$B$9,0,W65*1000*$B18*($B$8*(1+$B$8)^$D18/((1+$B$8)^$D18-1))*$B$7/1000000)</f>
        <v>17.15685679096547</v>
      </c>
      <c r="X66" s="90">
        <f>IF(X$40&lt;$B$9,0,X65*1000*$B18*($B$8*(1+$B$8)^$D18/((1+$B$8)^$D18-1))*$B$7/1000000)</f>
        <v>17.864567878684053</v>
      </c>
      <c r="Y66" s="90">
        <f>IF(Y$40&lt;$B$9,0,Y65*1000*$B18*($B$8*(1+$B$8)^$D18/((1+$B$8)^$D18-1))*$B$7/1000000)</f>
        <v>18.579873030062902</v>
      </c>
      <c r="Z66" s="90">
        <f>IF(Z$40&lt;$B$9,0,Z65*1000*$B18*($B$8*(1+$B$8)^$D18/((1+$B$8)^$D18-1))*$B$7/1000000)</f>
        <v>19.302603111208455</v>
      </c>
      <c r="AA66" s="90">
        <f>IF(AA$40&lt;$B$9,0,AA65*1000*$B18*($B$8*(1+$B$8)^$D18/((1+$B$8)^$D18-1))*$B$7/1000000)</f>
        <v>20.032590867216864</v>
      </c>
      <c r="AB66" s="90">
        <f>IF(AB$40&lt;$B$9,0,AB65*1000*$B18*($B$8*(1+$B$8)^$D18/((1+$B$8)^$D18-1))*$B$7/1000000)</f>
        <v>20.769670905724983</v>
      </c>
      <c r="AC66" s="90">
        <f>IF(AC$40&lt;$B$9,0,AC65*1000*$B18*($B$8*(1+$B$8)^$D18/((1+$B$8)^$D18-1))*$B$7/1000000)</f>
        <v>21.513679680588208</v>
      </c>
      <c r="AD66" s="90">
        <f>IF(AD$40&lt;$B$9,0,AD65*1000*$B18*($B$8*(1+$B$8)^$D18/((1+$B$8)^$D18-1))*$B$7/1000000)</f>
        <v>22.264455475684468</v>
      </c>
      <c r="AE66" s="90">
        <f>IF(AE$40&lt;$B$9,0,AE65*1000*$B18*($B$8*(1+$B$8)^$D18/((1+$B$8)^$D18-1))*$B$7/1000000)</f>
        <v>23.021838388843303</v>
      </c>
      <c r="AF66" s="90">
        <f>IF(AF$40&lt;$B$9,0,AF65*1000*$B18*($B$8*(1+$B$8)^$D18/((1+$B$8)^$D18-1))*$B$7/1000000)</f>
        <v>23.785670315899186</v>
      </c>
      <c r="AG66" s="90">
        <f>IF(AG$40&lt;$B$9,0,AG65*1000*$B18*($B$8*(1+$B$8)^$D18/((1+$B$8)^$D18-1))*$B$7/1000000)</f>
        <v>24.555794934868221</v>
      </c>
      <c r="AH66" s="90">
        <f>IF(AH$40&lt;$B$9,0,AH65*1000*$B18*($B$8*(1+$B$8)^$D18/((1+$B$8)^$D18-1))*$B$7/1000000)</f>
        <v>25.332057690247382</v>
      </c>
    </row>
    <row r="67" spans="1:34" ht="15" customHeight="1" x14ac:dyDescent="0.2">
      <c r="A67" t="s">
        <v>439</v>
      </c>
      <c r="B67" t="s">
        <v>435</v>
      </c>
      <c r="C67" s="72" t="s">
        <v>440</v>
      </c>
      <c r="D67" s="90">
        <f>IF(D$40&lt;$B$9,0,D64*$C18*$B$7)</f>
        <v>0</v>
      </c>
      <c r="E67" s="90">
        <f>IF(E$40&lt;$B$9,0,E64*$C18*$B$7)</f>
        <v>0</v>
      </c>
      <c r="F67" s="90">
        <f>IF(F$40&lt;$B$9,0,F64*$C18*$B$7)</f>
        <v>0</v>
      </c>
      <c r="G67" s="90">
        <f>IF(G$40&lt;$B$9,0,G64*$C18*$B$7)</f>
        <v>0</v>
      </c>
      <c r="H67" s="90">
        <f>IF(H$40&lt;$B$9,0,H64*$C18*$B$7)</f>
        <v>0</v>
      </c>
      <c r="I67" s="90">
        <f>IF(I$40&lt;$B$9,0,I64*$C18*$B$7)</f>
        <v>8.4699321506754881</v>
      </c>
      <c r="J67" s="90">
        <f>IF(J$40&lt;$B$9,0,J64*$C18*$B$7)</f>
        <v>9.075669087289274</v>
      </c>
      <c r="K67" s="90">
        <f>IF(K$40&lt;$B$9,0,K64*$C18*$B$7)</f>
        <v>9.6919796527494491</v>
      </c>
      <c r="L67" s="90">
        <f>IF(L$40&lt;$B$9,0,L64*$C18*$B$7)</f>
        <v>10.318658753611558</v>
      </c>
      <c r="M67" s="90">
        <f>IF(M$40&lt;$B$9,0,M64*$C18*$B$7)</f>
        <v>10.955503504093517</v>
      </c>
      <c r="N67" s="90">
        <f>IF(N$40&lt;$B$9,0,N64*$C18*$B$7)</f>
        <v>11.602313207021016</v>
      </c>
      <c r="O67" s="90">
        <f>IF(O$40&lt;$B$9,0,O64*$C18*$B$7)</f>
        <v>12.258889334918734</v>
      </c>
      <c r="P67" s="90">
        <f>IF(P$40&lt;$B$9,0,P64*$C18*$B$7)</f>
        <v>12.925035511246465</v>
      </c>
      <c r="Q67" s="90">
        <f>IF(Q$40&lt;$B$9,0,Q64*$C18*$B$7)</f>
        <v>13.600557491779018</v>
      </c>
      <c r="R67" s="90">
        <f>IF(R$40&lt;$B$9,0,R64*$C18*$B$7)</f>
        <v>14.285263146128923</v>
      </c>
      <c r="S67" s="90">
        <f>IF(S$40&lt;$B$9,0,S64*$C18*$B$7)</f>
        <v>14.978962439410941</v>
      </c>
      <c r="T67" s="90">
        <f>IF(T$40&lt;$B$9,0,T64*$C18*$B$7)</f>
        <v>15.681467414047329</v>
      </c>
      <c r="U67" s="90">
        <f>IF(U$40&lt;$B$9,0,U64*$C18*$B$7)</f>
        <v>16.392592171712881</v>
      </c>
      <c r="V67" s="90">
        <f>IF(V$40&lt;$B$9,0,V64*$C18*$B$7)</f>
        <v>17.11215285541876</v>
      </c>
      <c r="W67" s="90">
        <f>IF(W$40&lt;$B$9,0,W64*$C18*$B$7)</f>
        <v>17.839967631734112</v>
      </c>
      <c r="X67" s="90">
        <f>IF(X$40&lt;$B$9,0,X64*$C18*$B$7)</f>
        <v>18.575856673144497</v>
      </c>
      <c r="Y67" s="90">
        <f>IF(Y$40&lt;$B$9,0,Y64*$C18*$B$7)</f>
        <v>19.319642140546144</v>
      </c>
      <c r="Z67" s="90">
        <f>IF(Z$40&lt;$B$9,0,Z64*$C18*$B$7)</f>
        <v>20.071148165875137</v>
      </c>
      <c r="AA67" s="90">
        <f>IF(AA$40&lt;$B$9,0,AA64*$C18*$B$7)</f>
        <v>20.830200834870418</v>
      </c>
      <c r="AB67" s="90">
        <f>IF(AB$40&lt;$B$9,0,AB64*$C18*$B$7)</f>
        <v>21.596628169969847</v>
      </c>
      <c r="AC67" s="90">
        <f>IF(AC$40&lt;$B$9,0,AC64*$C18*$B$7)</f>
        <v>22.370260113338137</v>
      </c>
      <c r="AD67" s="90">
        <f>IF(AD$40&lt;$B$9,0,AD64*$C18*$B$7)</f>
        <v>23.150928510026027</v>
      </c>
      <c r="AE67" s="90">
        <f>IF(AE$40&lt;$B$9,0,AE64*$C18*$B$7)</f>
        <v>23.938467091259461</v>
      </c>
      <c r="AF67" s="90">
        <f>IF(AF$40&lt;$B$9,0,AF64*$C18*$B$7)</f>
        <v>24.732711457857985</v>
      </c>
      <c r="AG67" s="90">
        <f>IF(AG$40&lt;$B$9,0,AG64*$C18*$B$7)</f>
        <v>25.53349906378147</v>
      </c>
      <c r="AH67" s="90">
        <f>IF(AH$40&lt;$B$9,0,AH64*$C18*$B$7)</f>
        <v>26.340669199804132</v>
      </c>
    </row>
    <row r="68" spans="1:34" ht="15" customHeight="1" x14ac:dyDescent="0.2">
      <c r="A68" s="81" t="s">
        <v>441</v>
      </c>
      <c r="B68" s="81" t="s">
        <v>435</v>
      </c>
      <c r="C68" s="72" t="s">
        <v>442</v>
      </c>
      <c r="D68" s="91">
        <f>D66+D67</f>
        <v>0</v>
      </c>
      <c r="E68" s="91">
        <f>E66+E67</f>
        <v>0</v>
      </c>
      <c r="F68" s="91">
        <f>F66+F67</f>
        <v>0</v>
      </c>
      <c r="G68" s="91">
        <f>G66+G67</f>
        <v>0</v>
      </c>
      <c r="H68" s="91">
        <f>H66+H67</f>
        <v>0</v>
      </c>
      <c r="I68" s="91">
        <f>I66+I67</f>
        <v>16.615541825428476</v>
      </c>
      <c r="J68" s="91">
        <f>J66+J67</f>
        <v>17.803821403879482</v>
      </c>
      <c r="K68" s="91">
        <f>K66+K67</f>
        <v>19.012843364821677</v>
      </c>
      <c r="L68" s="91">
        <f>L66+L67</f>
        <v>20.242205374606591</v>
      </c>
      <c r="M68" s="91">
        <f>M66+M67</f>
        <v>21.491509430376816</v>
      </c>
      <c r="N68" s="91">
        <f>N66+N67</f>
        <v>22.760361822686448</v>
      </c>
      <c r="O68" s="91">
        <f>O66+O67</f>
        <v>24.048373098407509</v>
      </c>
      <c r="P68" s="91">
        <f>P66+P67</f>
        <v>25.355158023920751</v>
      </c>
      <c r="Q68" s="91">
        <f>Q66+Q67</f>
        <v>26.680335548588381</v>
      </c>
      <c r="R68" s="91">
        <f>R66+R67</f>
        <v>28.023528768507024</v>
      </c>
      <c r="S68" s="91">
        <f>S66+S67</f>
        <v>29.384364890538802</v>
      </c>
      <c r="T68" s="91">
        <f>T66+T67</f>
        <v>30.762475196618595</v>
      </c>
      <c r="U68" s="91">
        <f>U66+U67</f>
        <v>32.157495008335431</v>
      </c>
      <c r="V68" s="91">
        <f>V66+V67</f>
        <v>33.569063651786188</v>
      </c>
      <c r="W68" s="91">
        <f>W66+W67</f>
        <v>34.996824422699582</v>
      </c>
      <c r="X68" s="91">
        <f>X66+X67</f>
        <v>36.440424551828549</v>
      </c>
      <c r="Y68" s="91">
        <f>Y66+Y67</f>
        <v>37.89951517060905</v>
      </c>
      <c r="Z68" s="91">
        <f>Z66+Z67</f>
        <v>39.373751277083592</v>
      </c>
      <c r="AA68" s="91">
        <f>AA66+AA67</f>
        <v>40.862791702087279</v>
      </c>
      <c r="AB68" s="91">
        <f>AB66+AB67</f>
        <v>42.366299075694826</v>
      </c>
      <c r="AC68" s="91">
        <f>AC66+AC67</f>
        <v>43.883939793926345</v>
      </c>
      <c r="AD68" s="91">
        <f>AD66+AD67</f>
        <v>45.415383985710491</v>
      </c>
      <c r="AE68" s="91">
        <f>AE66+AE67</f>
        <v>46.960305480102761</v>
      </c>
      <c r="AF68" s="91">
        <f>AF66+AF67</f>
        <v>48.51838177375717</v>
      </c>
      <c r="AG68" s="91">
        <f>AG66+AG67</f>
        <v>50.089293998649694</v>
      </c>
      <c r="AH68" s="91">
        <f>AH66+AH67</f>
        <v>51.672726890051514</v>
      </c>
    </row>
    <row r="70" spans="1:34" ht="15" customHeight="1" x14ac:dyDescent="0.2">
      <c r="A70" s="73" t="s">
        <v>446</v>
      </c>
    </row>
    <row r="71" spans="1:34" ht="15" customHeight="1" x14ac:dyDescent="0.2">
      <c r="A71" t="s">
        <v>429</v>
      </c>
      <c r="B71" t="s">
        <v>95</v>
      </c>
      <c r="C71" s="72" t="s">
        <v>430</v>
      </c>
      <c r="D71" s="85">
        <f>Supply!D7</f>
        <v>60</v>
      </c>
      <c r="E71" s="85">
        <f>Supply!E7</f>
        <v>59.4</v>
      </c>
      <c r="F71" s="85">
        <f>Supply!F7</f>
        <v>58.805999999999997</v>
      </c>
      <c r="G71" s="85">
        <f>Supply!G7</f>
        <v>58.217939999999992</v>
      </c>
      <c r="H71" s="85">
        <f>Supply!H7</f>
        <v>57.635760599999998</v>
      </c>
      <c r="I71" s="85">
        <f>Supply!I7</f>
        <v>57.059402993999996</v>
      </c>
      <c r="J71" s="85">
        <f>Supply!J7</f>
        <v>56.488808964059992</v>
      </c>
      <c r="K71" s="85">
        <f>Supply!K7</f>
        <v>55.923920874419395</v>
      </c>
      <c r="L71" s="85">
        <f>Supply!L7</f>
        <v>55.364681665675199</v>
      </c>
      <c r="M71" s="85">
        <f>Supply!M7</f>
        <v>54.811034849018441</v>
      </c>
      <c r="N71" s="85">
        <f>Supply!N7</f>
        <v>54.262924500528257</v>
      </c>
      <c r="O71" s="85">
        <f>Supply!O7</f>
        <v>53.720295255522977</v>
      </c>
      <c r="P71" s="85">
        <f>Supply!P7</f>
        <v>53.183092302967751</v>
      </c>
      <c r="Q71" s="85">
        <f>Supply!Q7</f>
        <v>52.651261379938063</v>
      </c>
      <c r="R71" s="85">
        <f>Supply!R7</f>
        <v>52.124748766138687</v>
      </c>
      <c r="S71" s="85">
        <f>Supply!S7</f>
        <v>51.603501278477296</v>
      </c>
      <c r="T71" s="85">
        <f>Supply!T7</f>
        <v>51.087466265692527</v>
      </c>
      <c r="U71" s="85">
        <f>Supply!U7</f>
        <v>50.576591603035595</v>
      </c>
      <c r="V71" s="85">
        <f>Supply!V7</f>
        <v>50.07082568700524</v>
      </c>
      <c r="W71" s="85">
        <f>Supply!W7</f>
        <v>49.570117430135184</v>
      </c>
      <c r="X71" s="85">
        <f>Supply!X7</f>
        <v>49.074416255833839</v>
      </c>
      <c r="Y71" s="85">
        <f>Supply!Y7</f>
        <v>48.583672093275496</v>
      </c>
      <c r="Z71" s="85">
        <f>Supply!Z7</f>
        <v>48.097835372342736</v>
      </c>
      <c r="AA71" s="85">
        <f>Supply!AA7</f>
        <v>47.616857018619314</v>
      </c>
      <c r="AB71" s="85">
        <f>Supply!AB7</f>
        <v>47.140688448433117</v>
      </c>
      <c r="AC71" s="85">
        <f>Supply!AC7</f>
        <v>46.669281563948786</v>
      </c>
      <c r="AD71" s="85">
        <f>Supply!AD7</f>
        <v>46.202588748309296</v>
      </c>
      <c r="AE71" s="85">
        <f>Supply!AE7</f>
        <v>45.740562860826209</v>
      </c>
      <c r="AF71" s="85">
        <f>Supply!AF7</f>
        <v>45.283157232217938</v>
      </c>
      <c r="AG71" s="85">
        <f>Supply!AG7</f>
        <v>44.830325659895756</v>
      </c>
      <c r="AH71" s="85">
        <f>Supply!AH7</f>
        <v>44.382022403296808</v>
      </c>
    </row>
    <row r="72" spans="1:34" ht="15" customHeight="1" x14ac:dyDescent="0.2">
      <c r="A72" t="s">
        <v>431</v>
      </c>
      <c r="B72" t="s">
        <v>432</v>
      </c>
      <c r="C72" s="72" t="s">
        <v>433</v>
      </c>
      <c r="D72" s="86">
        <f>D71*1000/365/$E19</f>
        <v>298.87920298879197</v>
      </c>
      <c r="E72" s="86">
        <f>E71*1000/365/$E19</f>
        <v>295.89041095890411</v>
      </c>
      <c r="F72" s="86">
        <f>F71*1000/365/$E19</f>
        <v>292.93150684931504</v>
      </c>
      <c r="G72" s="86">
        <f>G71*1000/365/$E19</f>
        <v>290.00219178082187</v>
      </c>
      <c r="H72" s="86">
        <f>H71*1000/365/$E19</f>
        <v>287.10216986301367</v>
      </c>
      <c r="I72" s="86">
        <f>I71*1000/365/$E19</f>
        <v>284.23114816438351</v>
      </c>
      <c r="J72" s="86">
        <f>J71*1000/365/$E19</f>
        <v>281.38883668273968</v>
      </c>
      <c r="K72" s="86">
        <f>K71*1000/365/$E19</f>
        <v>278.57494831591231</v>
      </c>
      <c r="L72" s="86">
        <f>L71*1000/365/$E19</f>
        <v>275.78919883275319</v>
      </c>
      <c r="M72" s="86">
        <f>M71*1000/365/$E19</f>
        <v>273.03130684442561</v>
      </c>
      <c r="N72" s="86">
        <f>N71*1000/365/$E19</f>
        <v>270.30099377598134</v>
      </c>
      <c r="O72" s="86">
        <f>O71*1000/365/$E19</f>
        <v>267.59798383822158</v>
      </c>
      <c r="P72" s="86">
        <f>P71*1000/365/$E19</f>
        <v>264.92200399983932</v>
      </c>
      <c r="Q72" s="86">
        <f>Q71*1000/365/$E19</f>
        <v>262.27278395984087</v>
      </c>
      <c r="R72" s="86">
        <f>R71*1000/365/$E19</f>
        <v>259.65005612024248</v>
      </c>
      <c r="S72" s="86">
        <f>S71*1000/365/$E19</f>
        <v>257.05355555904009</v>
      </c>
      <c r="T72" s="86">
        <f>T71*1000/365/$E19</f>
        <v>254.48302000344967</v>
      </c>
      <c r="U72" s="86">
        <f>U71*1000/365/$E19</f>
        <v>251.93818980341516</v>
      </c>
      <c r="V72" s="86">
        <f>V71*1000/365/$E19</f>
        <v>249.41880790538099</v>
      </c>
      <c r="W72" s="86">
        <f>W71*1000/365/$E19</f>
        <v>246.92461982632719</v>
      </c>
      <c r="X72" s="86">
        <f>X71*1000/365/$E19</f>
        <v>244.45537362806391</v>
      </c>
      <c r="Y72" s="86">
        <f>Y71*1000/365/$E19</f>
        <v>242.01081989178329</v>
      </c>
      <c r="Z72" s="86">
        <f>Z71*1000/365/$E19</f>
        <v>239.5907116928654</v>
      </c>
      <c r="AA72" s="86">
        <f>AA71*1000/365/$E19</f>
        <v>237.19480457593676</v>
      </c>
      <c r="AB72" s="86">
        <f>AB71*1000/365/$E19</f>
        <v>234.82285653017743</v>
      </c>
      <c r="AC72" s="86">
        <f>AC71*1000/365/$E19</f>
        <v>232.47462796487565</v>
      </c>
      <c r="AD72" s="86">
        <f>AD71*1000/365/$E19</f>
        <v>230.14988168522686</v>
      </c>
      <c r="AE72" s="86">
        <f>AE71*1000/365/$E19</f>
        <v>227.84838286837464</v>
      </c>
      <c r="AF72" s="86">
        <f>AF71*1000/365/$E19</f>
        <v>225.56989903969085</v>
      </c>
      <c r="AG72" s="86">
        <f>AG71*1000/365/$E19</f>
        <v>223.31420004929393</v>
      </c>
      <c r="AH72" s="86">
        <f>AH71*1000/365/$E19</f>
        <v>221.08105804880103</v>
      </c>
    </row>
    <row r="73" spans="1:34" ht="15" customHeight="1" x14ac:dyDescent="0.2">
      <c r="A73" t="s">
        <v>434</v>
      </c>
      <c r="B73" t="s">
        <v>435</v>
      </c>
      <c r="C73" s="72" t="s">
        <v>436</v>
      </c>
      <c r="D73" s="90">
        <f>IF(D$40&lt;$B$9,0,D72*1000*$B19*($B$8*(1+$B$8)^$D19/((1+$B$8)^$D19-1))*$B$7/1000000)</f>
        <v>0</v>
      </c>
      <c r="E73" s="90">
        <f>IF(E$40&lt;$B$9,0,E72*1000*$B19*($B$8*(1+$B$8)^$D19/((1+$B$8)^$D19-1))*$B$7/1000000)</f>
        <v>0</v>
      </c>
      <c r="F73" s="90">
        <f>IF(F$40&lt;$B$9,0,F72*1000*$B19*($B$8*(1+$B$8)^$D19/((1+$B$8)^$D19-1))*$B$7/1000000)</f>
        <v>0</v>
      </c>
      <c r="G73" s="90">
        <f>IF(G$40&lt;$B$9,0,G72*1000*$B19*($B$8*(1+$B$8)^$D19/((1+$B$8)^$D19-1))*$B$7/1000000)</f>
        <v>0</v>
      </c>
      <c r="H73" s="90">
        <f>IF(H$40&lt;$B$9,0,H72*1000*$B19*($B$8*(1+$B$8)^$D19/((1+$B$8)^$D19-1))*$B$7/1000000)</f>
        <v>0</v>
      </c>
      <c r="I73" s="90">
        <f>IF(I$40&lt;$B$9,0,I72*1000*$B19*($B$8*(1+$B$8)^$D19/((1+$B$8)^$D19-1))*$B$7/1000000)</f>
        <v>22.863109581212363</v>
      </c>
      <c r="J73" s="90">
        <f>IF(J$40&lt;$B$9,0,J72*1000*$B19*($B$8*(1+$B$8)^$D19/((1+$B$8)^$D19-1))*$B$7/1000000)</f>
        <v>22.634478485400241</v>
      </c>
      <c r="K73" s="90">
        <f>IF(K$40&lt;$B$9,0,K72*1000*$B19*($B$8*(1+$B$8)^$D19/((1+$B$8)^$D19-1))*$B$7/1000000)</f>
        <v>22.408133700546237</v>
      </c>
      <c r="L73" s="90">
        <f>IF(L$40&lt;$B$9,0,L72*1000*$B19*($B$8*(1+$B$8)^$D19/((1+$B$8)^$D19-1))*$B$7/1000000)</f>
        <v>22.184052363540776</v>
      </c>
      <c r="M73" s="90">
        <f>IF(M$40&lt;$B$9,0,M72*1000*$B19*($B$8*(1+$B$8)^$D19/((1+$B$8)^$D19-1))*$B$7/1000000)</f>
        <v>21.962211839905365</v>
      </c>
      <c r="N73" s="90">
        <f>IF(N$40&lt;$B$9,0,N72*1000*$B19*($B$8*(1+$B$8)^$D19/((1+$B$8)^$D19-1))*$B$7/1000000)</f>
        <v>21.742589721506313</v>
      </c>
      <c r="O73" s="90">
        <f>IF(O$40&lt;$B$9,0,O72*1000*$B19*($B$8*(1+$B$8)^$D19/((1+$B$8)^$D19-1))*$B$7/1000000)</f>
        <v>21.525163824291255</v>
      </c>
      <c r="P73" s="90">
        <f>IF(P$40&lt;$B$9,0,P72*1000*$B19*($B$8*(1+$B$8)^$D19/((1+$B$8)^$D19-1))*$B$7/1000000)</f>
        <v>21.309912186048336</v>
      </c>
      <c r="Q73" s="90">
        <f>IF(Q$40&lt;$B$9,0,Q72*1000*$B19*($B$8*(1+$B$8)^$D19/((1+$B$8)^$D19-1))*$B$7/1000000)</f>
        <v>21.096813064187852</v>
      </c>
      <c r="R73" s="90">
        <f>IF(R$40&lt;$B$9,0,R72*1000*$B19*($B$8*(1+$B$8)^$D19/((1+$B$8)^$D19-1))*$B$7/1000000)</f>
        <v>20.885844933545972</v>
      </c>
      <c r="S73" s="90">
        <f>IF(S$40&lt;$B$9,0,S72*1000*$B19*($B$8*(1+$B$8)^$D19/((1+$B$8)^$D19-1))*$B$7/1000000)</f>
        <v>20.676986484210516</v>
      </c>
      <c r="T73" s="90">
        <f>IF(T$40&lt;$B$9,0,T72*1000*$B19*($B$8*(1+$B$8)^$D19/((1+$B$8)^$D19-1))*$B$7/1000000)</f>
        <v>20.470216619368408</v>
      </c>
      <c r="U73" s="90">
        <f>IF(U$40&lt;$B$9,0,U72*1000*$B19*($B$8*(1+$B$8)^$D19/((1+$B$8)^$D19-1))*$B$7/1000000)</f>
        <v>20.26551445317472</v>
      </c>
      <c r="V73" s="90">
        <f>IF(V$40&lt;$B$9,0,V72*1000*$B19*($B$8*(1+$B$8)^$D19/((1+$B$8)^$D19-1))*$B$7/1000000)</f>
        <v>20.062859308642977</v>
      </c>
      <c r="W73" s="90">
        <f>IF(W$40&lt;$B$9,0,W72*1000*$B19*($B$8*(1+$B$8)^$D19/((1+$B$8)^$D19-1))*$B$7/1000000)</f>
        <v>19.862230715556546</v>
      </c>
      <c r="X73" s="90">
        <f>IF(X$40&lt;$B$9,0,X72*1000*$B19*($B$8*(1+$B$8)^$D19/((1+$B$8)^$D19-1))*$B$7/1000000)</f>
        <v>19.663608408400979</v>
      </c>
      <c r="Y73" s="90">
        <f>IF(Y$40&lt;$B$9,0,Y72*1000*$B19*($B$8*(1+$B$8)^$D19/((1+$B$8)^$D19-1))*$B$7/1000000)</f>
        <v>19.466972324316973</v>
      </c>
      <c r="Z73" s="90">
        <f>IF(Z$40&lt;$B$9,0,Z72*1000*$B19*($B$8*(1+$B$8)^$D19/((1+$B$8)^$D19-1))*$B$7/1000000)</f>
        <v>19.272302601073793</v>
      </c>
      <c r="AA73" s="90">
        <f>IF(AA$40&lt;$B$9,0,AA72*1000*$B19*($B$8*(1+$B$8)^$D19/((1+$B$8)^$D19-1))*$B$7/1000000)</f>
        <v>19.079579575063061</v>
      </c>
      <c r="AB73" s="90">
        <f>IF(AB$40&lt;$B$9,0,AB72*1000*$B19*($B$8*(1+$B$8)^$D19/((1+$B$8)^$D19-1))*$B$7/1000000)</f>
        <v>18.888783779312437</v>
      </c>
      <c r="AC73" s="90">
        <f>IF(AC$40&lt;$B$9,0,AC72*1000*$B19*($B$8*(1+$B$8)^$D19/((1+$B$8)^$D19-1))*$B$7/1000000)</f>
        <v>18.699895941519308</v>
      </c>
      <c r="AD73" s="90">
        <f>IF(AD$40&lt;$B$9,0,AD72*1000*$B19*($B$8*(1+$B$8)^$D19/((1+$B$8)^$D19-1))*$B$7/1000000)</f>
        <v>18.512896982104113</v>
      </c>
      <c r="AE73" s="90">
        <f>IF(AE$40&lt;$B$9,0,AE72*1000*$B19*($B$8*(1+$B$8)^$D19/((1+$B$8)^$D19-1))*$B$7/1000000)</f>
        <v>18.327768012283077</v>
      </c>
      <c r="AF73" s="90">
        <f>IF(AF$40&lt;$B$9,0,AF72*1000*$B19*($B$8*(1+$B$8)^$D19/((1+$B$8)^$D19-1))*$B$7/1000000)</f>
        <v>18.144490332160242</v>
      </c>
      <c r="AG73" s="90">
        <f>IF(AG$40&lt;$B$9,0,AG72*1000*$B19*($B$8*(1+$B$8)^$D19/((1+$B$8)^$D19-1))*$B$7/1000000)</f>
        <v>17.963045428838637</v>
      </c>
      <c r="AH73" s="90">
        <f>IF(AH$40&lt;$B$9,0,AH72*1000*$B19*($B$8*(1+$B$8)^$D19/((1+$B$8)^$D19-1))*$B$7/1000000)</f>
        <v>17.783414974550254</v>
      </c>
    </row>
    <row r="74" spans="1:34" ht="15" hidden="1" customHeight="1" x14ac:dyDescent="0.2">
      <c r="A74" s="72" t="s">
        <v>437</v>
      </c>
      <c r="C74" s="72" t="s">
        <v>438</v>
      </c>
      <c r="D74" s="90">
        <v>0</v>
      </c>
      <c r="E74" s="90">
        <v>0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  <c r="AC74" s="90">
        <v>0</v>
      </c>
      <c r="AD74" s="90">
        <v>0</v>
      </c>
      <c r="AE74" s="90">
        <v>0</v>
      </c>
      <c r="AF74" s="90">
        <v>0</v>
      </c>
      <c r="AG74" s="90">
        <v>0</v>
      </c>
      <c r="AH74" s="90">
        <v>0</v>
      </c>
    </row>
    <row r="75" spans="1:34" ht="15" customHeight="1" x14ac:dyDescent="0.2">
      <c r="A75" t="s">
        <v>439</v>
      </c>
      <c r="B75" t="s">
        <v>435</v>
      </c>
      <c r="C75" s="72" t="s">
        <v>440</v>
      </c>
      <c r="D75" s="90">
        <f>IF(D$40&lt;$B$9,0,D71*$C19*$B$7)</f>
        <v>0</v>
      </c>
      <c r="E75" s="90">
        <f>IF(E$40&lt;$B$9,0,E71*$C19*$B$7)</f>
        <v>0</v>
      </c>
      <c r="F75" s="90">
        <f>IF(F$40&lt;$B$9,0,F71*$C19*$B$7)</f>
        <v>0</v>
      </c>
      <c r="G75" s="90">
        <f>IF(G$40&lt;$B$9,0,G71*$C19*$B$7)</f>
        <v>0</v>
      </c>
      <c r="H75" s="90">
        <f>IF(H$40&lt;$B$9,0,H71*$C19*$B$7)</f>
        <v>0</v>
      </c>
      <c r="I75" s="90">
        <f>IF(I$40&lt;$B$9,0,I71*$C19*$B$7)</f>
        <v>14.835444778439999</v>
      </c>
      <c r="J75" s="90">
        <f>IF(J$40&lt;$B$9,0,J71*$C19*$B$7)</f>
        <v>14.687090330655598</v>
      </c>
      <c r="K75" s="90">
        <f>IF(K$40&lt;$B$9,0,K71*$C19*$B$7)</f>
        <v>14.540219427349045</v>
      </c>
      <c r="L75" s="90">
        <f>IF(L$40&lt;$B$9,0,L71*$C19*$B$7)</f>
        <v>14.394817233075551</v>
      </c>
      <c r="M75" s="90">
        <f>IF(M$40&lt;$B$9,0,M71*$C19*$B$7)</f>
        <v>14.250869060744796</v>
      </c>
      <c r="N75" s="90">
        <f>IF(N$40&lt;$B$9,0,N71*$C19*$B$7)</f>
        <v>14.108360370137349</v>
      </c>
      <c r="O75" s="90">
        <f>IF(O$40&lt;$B$9,0,O71*$C19*$B$7)</f>
        <v>13.967276766435976</v>
      </c>
      <c r="P75" s="90">
        <f>IF(P$40&lt;$B$9,0,P71*$C19*$B$7)</f>
        <v>13.827603998771616</v>
      </c>
      <c r="Q75" s="90">
        <f>IF(Q$40&lt;$B$9,0,Q71*$C19*$B$7)</f>
        <v>13.689327958783899</v>
      </c>
      <c r="R75" s="90">
        <f>IF(R$40&lt;$B$9,0,R71*$C19*$B$7)</f>
        <v>13.552434679196059</v>
      </c>
      <c r="S75" s="90">
        <f>IF(S$40&lt;$B$9,0,S71*$C19*$B$7)</f>
        <v>13.416910332404099</v>
      </c>
      <c r="T75" s="90">
        <f>IF(T$40&lt;$B$9,0,T71*$C19*$B$7)</f>
        <v>13.282741229080059</v>
      </c>
      <c r="U75" s="90">
        <f>IF(U$40&lt;$B$9,0,U71*$C19*$B$7)</f>
        <v>13.149913816789256</v>
      </c>
      <c r="V75" s="90">
        <f>IF(V$40&lt;$B$9,0,V71*$C19*$B$7)</f>
        <v>13.018414678621363</v>
      </c>
      <c r="W75" s="90">
        <f>IF(W$40&lt;$B$9,0,W71*$C19*$B$7)</f>
        <v>12.888230531835148</v>
      </c>
      <c r="X75" s="90">
        <f>IF(X$40&lt;$B$9,0,X71*$C19*$B$7)</f>
        <v>12.759348226516801</v>
      </c>
      <c r="Y75" s="90">
        <f>IF(Y$40&lt;$B$9,0,Y71*$C19*$B$7)</f>
        <v>12.631754744251632</v>
      </c>
      <c r="Z75" s="90">
        <f>IF(Z$40&lt;$B$9,0,Z71*$C19*$B$7)</f>
        <v>12.505437196809114</v>
      </c>
      <c r="AA75" s="90">
        <f>IF(AA$40&lt;$B$9,0,AA71*$C19*$B$7)</f>
        <v>12.380382824841021</v>
      </c>
      <c r="AB75" s="90">
        <f>IF(AB$40&lt;$B$9,0,AB71*$C19*$B$7)</f>
        <v>12.256578996592612</v>
      </c>
      <c r="AC75" s="90">
        <f>IF(AC$40&lt;$B$9,0,AC71*$C19*$B$7)</f>
        <v>12.134013206626685</v>
      </c>
      <c r="AD75" s="90">
        <f>IF(AD$40&lt;$B$9,0,AD71*$C19*$B$7)</f>
        <v>12.01267307456042</v>
      </c>
      <c r="AE75" s="90">
        <f>IF(AE$40&lt;$B$9,0,AE71*$C19*$B$7)</f>
        <v>11.892546343814816</v>
      </c>
      <c r="AF75" s="90">
        <f>IF(AF$40&lt;$B$9,0,AF71*$C19*$B$7)</f>
        <v>11.773620880376663</v>
      </c>
      <c r="AG75" s="90">
        <f>IF(AG$40&lt;$B$9,0,AG71*$C19*$B$7)</f>
        <v>11.655884671572897</v>
      </c>
      <c r="AH75" s="90">
        <f>IF(AH$40&lt;$B$9,0,AH71*$C19*$B$7)</f>
        <v>11.539325824857171</v>
      </c>
    </row>
    <row r="76" spans="1:34" ht="15" customHeight="1" x14ac:dyDescent="0.2">
      <c r="A76" s="81" t="s">
        <v>441</v>
      </c>
      <c r="B76" s="81" t="s">
        <v>435</v>
      </c>
      <c r="C76" s="72" t="s">
        <v>442</v>
      </c>
      <c r="D76" s="91">
        <f t="shared" ref="D76:AH76" si="1">D73+D75</f>
        <v>0</v>
      </c>
      <c r="E76" s="91">
        <f t="shared" si="1"/>
        <v>0</v>
      </c>
      <c r="F76" s="91">
        <f t="shared" si="1"/>
        <v>0</v>
      </c>
      <c r="G76" s="91">
        <f t="shared" si="1"/>
        <v>0</v>
      </c>
      <c r="H76" s="91">
        <f t="shared" si="1"/>
        <v>0</v>
      </c>
      <c r="I76" s="91">
        <f t="shared" si="1"/>
        <v>37.698554359652363</v>
      </c>
      <c r="J76" s="91">
        <f t="shared" si="1"/>
        <v>37.321568816055837</v>
      </c>
      <c r="K76" s="91">
        <f t="shared" si="1"/>
        <v>36.948353127895281</v>
      </c>
      <c r="L76" s="91">
        <f t="shared" si="1"/>
        <v>36.578869596616329</v>
      </c>
      <c r="M76" s="91">
        <f t="shared" si="1"/>
        <v>36.213080900650162</v>
      </c>
      <c r="N76" s="91">
        <f t="shared" si="1"/>
        <v>35.850950091643661</v>
      </c>
      <c r="O76" s="91">
        <f t="shared" si="1"/>
        <v>35.492440590727227</v>
      </c>
      <c r="P76" s="91">
        <f t="shared" si="1"/>
        <v>35.137516184819951</v>
      </c>
      <c r="Q76" s="91">
        <f t="shared" si="1"/>
        <v>34.786141022971748</v>
      </c>
      <c r="R76" s="91">
        <f t="shared" si="1"/>
        <v>34.438279612742029</v>
      </c>
      <c r="S76" s="91">
        <f t="shared" si="1"/>
        <v>34.093896816614617</v>
      </c>
      <c r="T76" s="91">
        <f t="shared" si="1"/>
        <v>33.752957848448467</v>
      </c>
      <c r="U76" s="91">
        <f t="shared" si="1"/>
        <v>33.415428269963975</v>
      </c>
      <c r="V76" s="91">
        <f t="shared" si="1"/>
        <v>33.081273987264339</v>
      </c>
      <c r="W76" s="91">
        <f t="shared" si="1"/>
        <v>32.750461247391698</v>
      </c>
      <c r="X76" s="91">
        <f t="shared" si="1"/>
        <v>32.422956634917782</v>
      </c>
      <c r="Y76" s="91">
        <f t="shared" si="1"/>
        <v>32.098727068568607</v>
      </c>
      <c r="Z76" s="91">
        <f t="shared" si="1"/>
        <v>31.777739797882909</v>
      </c>
      <c r="AA76" s="91">
        <f t="shared" si="1"/>
        <v>31.459962399904082</v>
      </c>
      <c r="AB76" s="91">
        <f t="shared" si="1"/>
        <v>31.145362775905049</v>
      </c>
      <c r="AC76" s="91">
        <f t="shared" si="1"/>
        <v>30.833909148145992</v>
      </c>
      <c r="AD76" s="91">
        <f t="shared" si="1"/>
        <v>30.525570056664534</v>
      </c>
      <c r="AE76" s="91">
        <f t="shared" si="1"/>
        <v>30.220314356097894</v>
      </c>
      <c r="AF76" s="91">
        <f t="shared" si="1"/>
        <v>29.918111212536907</v>
      </c>
      <c r="AG76" s="91">
        <f t="shared" si="1"/>
        <v>29.618930100411532</v>
      </c>
      <c r="AH76" s="91">
        <f t="shared" si="1"/>
        <v>29.322740799407427</v>
      </c>
    </row>
    <row r="78" spans="1:34" ht="15" customHeight="1" x14ac:dyDescent="0.2">
      <c r="A78" s="3" t="s">
        <v>447</v>
      </c>
      <c r="B78" s="3"/>
      <c r="C78" s="3"/>
      <c r="D78" s="3"/>
      <c r="E78" s="3"/>
      <c r="F78" s="3"/>
    </row>
    <row r="80" spans="1:34" ht="15" customHeight="1" x14ac:dyDescent="0.2">
      <c r="A80" t="s">
        <v>448</v>
      </c>
      <c r="B80" t="s">
        <v>435</v>
      </c>
      <c r="D80" s="90">
        <f>SUM(D45,D52,D59,D66,D73)</f>
        <v>0</v>
      </c>
      <c r="E80" s="90">
        <f>SUM(E45,E52,E59,E66,E73)</f>
        <v>0</v>
      </c>
      <c r="F80" s="90">
        <f>SUM(F45,F52,F59,F66,F73)</f>
        <v>0</v>
      </c>
      <c r="G80" s="90">
        <f>SUM(G45,G52,G59,G66,G73)</f>
        <v>0</v>
      </c>
      <c r="H80" s="90">
        <f>SUM(H45,H52,H59,H66,H73)</f>
        <v>0</v>
      </c>
      <c r="I80" s="90">
        <f>SUM(I45,I52,I59,I66,I73)</f>
        <v>1882.1809967359352</v>
      </c>
      <c r="J80" s="90">
        <f>SUM(J45,J52,J59,J66,J73)</f>
        <v>1885.6917939863536</v>
      </c>
      <c r="K80" s="90">
        <f>SUM(K45,K52,K59,K66,K73)</f>
        <v>1890.342161010688</v>
      </c>
      <c r="L80" s="90">
        <f>SUM(L45,L52,L59,L66,L73)</f>
        <v>1894.0287080740079</v>
      </c>
      <c r="M80" s="90">
        <f>SUM(M45,M52,M59,M66,M73)</f>
        <v>1897.7763474112585</v>
      </c>
      <c r="N80" s="90">
        <f>SUM(N45,N52,N59,N66,N73)</f>
        <v>1901.5855278826348</v>
      </c>
      <c r="O80" s="90">
        <f>SUM(O45,O52,O59,O66,O73)</f>
        <v>1905.4567944580992</v>
      </c>
      <c r="P80" s="90">
        <f>SUM(P45,P52,P59,P66,P73)</f>
        <v>1909.390787697655</v>
      </c>
      <c r="Q80" s="90">
        <f>SUM(Q45,Q52,Q59,Q66,Q73)</f>
        <v>1913.3882432807868</v>
      </c>
      <c r="R80" s="90">
        <f>SUM(R45,R52,R59,R66,R73)</f>
        <v>1917.4499915847773</v>
      </c>
      <c r="S80" s="90">
        <f>SUM(S45,S52,S59,S66,S73)</f>
        <v>1921.5769573116415</v>
      </c>
      <c r="T80" s="90">
        <f>SUM(T45,T52,T59,T66,T73)</f>
        <v>1925.7701591634225</v>
      </c>
      <c r="U80" s="90">
        <f>SUM(U45,U52,U59,U66,U73)</f>
        <v>1930.0307095656353</v>
      </c>
      <c r="V80" s="90">
        <f>SUM(V45,V52,V59,V66,V73)</f>
        <v>1934.3598144386456</v>
      </c>
      <c r="W80" s="90">
        <f>SUM(W45,W52,W59,W66,W73)</f>
        <v>1938.7587730168054</v>
      </c>
      <c r="X80" s="90">
        <f>SUM(X45,X52,X59,X66,X73)</f>
        <v>1943.2289777151809</v>
      </c>
      <c r="Y80" s="90">
        <f>SUM(Y45,Y52,Y59,Y66,Y73)</f>
        <v>1947.7719140437177</v>
      </c>
      <c r="Z80" s="90">
        <f>SUM(Z45,Z52,Z59,Z66,Z73)</f>
        <v>1952.3891605687395</v>
      </c>
      <c r="AA80" s="90">
        <f>SUM(AA45,AA52,AA59,AA66,AA73)</f>
        <v>1957.0823889216563</v>
      </c>
      <c r="AB80" s="90">
        <f>SUM(AB45,AB52,AB59,AB66,AB73)</f>
        <v>1961.8533638548122</v>
      </c>
      <c r="AC80" s="90">
        <f>SUM(AC45,AC52,AC59,AC66,AC73)</f>
        <v>1966.7039433443922</v>
      </c>
      <c r="AD80" s="90">
        <f>SUM(AD45,AD52,AD59,AD66,AD73)</f>
        <v>1971.6360787403671</v>
      </c>
      <c r="AE80" s="90">
        <f>SUM(AE45,AE52,AE59,AE66,AE73)</f>
        <v>1976.6518149634198</v>
      </c>
      <c r="AF80" s="90">
        <f>SUM(AF45,AF52,AF59,AF66,AF73)</f>
        <v>1981.7532907488783</v>
      </c>
      <c r="AG80" s="90">
        <f>SUM(AG45,AG52,AG59,AG66,AG73)</f>
        <v>1986.942738937644</v>
      </c>
      <c r="AH80" s="90">
        <f>SUM(AH45,AH52,AH59,AH66,AH73)</f>
        <v>1992.2224868141702</v>
      </c>
    </row>
    <row r="81" spans="1:34" ht="15" customHeight="1" x14ac:dyDescent="0.2">
      <c r="A81" t="s">
        <v>449</v>
      </c>
      <c r="B81" t="s">
        <v>435</v>
      </c>
      <c r="D81" s="90">
        <f>SUM(D46,D53,D60,D67,D75)</f>
        <v>0</v>
      </c>
      <c r="E81" s="90">
        <f>SUM(E46,E53,E60,E67,E75)</f>
        <v>0</v>
      </c>
      <c r="F81" s="90">
        <f>SUM(F46,F53,F60,F67,F75)</f>
        <v>0</v>
      </c>
      <c r="G81" s="90">
        <f>SUM(G46,G53,G60,G67,G75)</f>
        <v>0</v>
      </c>
      <c r="H81" s="90">
        <f>SUM(H46,H53,H60,H67,H75)</f>
        <v>0</v>
      </c>
      <c r="I81" s="90">
        <f>SUM(I46,I53,I60,I67,I75)</f>
        <v>1625.7066484357745</v>
      </c>
      <c r="J81" s="90">
        <f>SUM(J46,J53,J60,J67,J75)</f>
        <v>1638.7680292637456</v>
      </c>
      <c r="K81" s="90">
        <f>SUM(K46,K53,K60,K67,K75)</f>
        <v>1652.9121036085139</v>
      </c>
      <c r="L81" s="90">
        <f>SUM(L46,L53,L60,L67,L75)</f>
        <v>1665.8050572462125</v>
      </c>
      <c r="M81" s="90">
        <f>SUM(M46,M53,M60,M67,M75)</f>
        <v>1678.5894554510969</v>
      </c>
      <c r="N81" s="90">
        <f>SUM(N46,N53,N60,N67,N75)</f>
        <v>1691.269315429771</v>
      </c>
      <c r="O81" s="90">
        <f>SUM(O46,O53,O60,O67,O75)</f>
        <v>1703.8486910572567</v>
      </c>
      <c r="P81" s="90">
        <f>SUM(P46,P53,P60,P67,P75)</f>
        <v>1716.3316736994439</v>
      </c>
      <c r="Q81" s="90">
        <f>SUM(Q46,Q53,Q60,Q67,Q75)</f>
        <v>1728.7223930622101</v>
      </c>
      <c r="R81" s="90">
        <f>SUM(R46,R53,R60,R67,R75)</f>
        <v>1741.0250180674407</v>
      </c>
      <c r="S81" s="90">
        <f>SUM(S46,S53,S60,S67,S75)</f>
        <v>1753.2437577562032</v>
      </c>
      <c r="T81" s="90">
        <f>SUM(T46,T53,T60,T67,T75)</f>
        <v>1765.3828622193457</v>
      </c>
      <c r="U81" s="90">
        <f>SUM(U46,U53,U60,U67,U75)</f>
        <v>1777.4466235557927</v>
      </c>
      <c r="V81" s="90">
        <f>SUM(V46,V53,V60,V67,V75)</f>
        <v>1789.4393768588232</v>
      </c>
      <c r="W81" s="90">
        <f>SUM(W46,W53,W60,W67,W75)</f>
        <v>1801.3655012306413</v>
      </c>
      <c r="X81" s="90">
        <f>SUM(X46,X53,X60,X67,X75)</f>
        <v>1813.2294208255444</v>
      </c>
      <c r="Y81" s="90">
        <f>SUM(Y46,Y53,Y60,Y67,Y75)</f>
        <v>1825.0356059220137</v>
      </c>
      <c r="Z81" s="90">
        <f>SUM(Z46,Z53,Z60,Z67,Z75)</f>
        <v>1836.7885740240749</v>
      </c>
      <c r="AA81" s="90">
        <f>SUM(AA46,AA53,AA60,AA67,AA75)</f>
        <v>1848.4928909922651</v>
      </c>
      <c r="AB81" s="90">
        <f>SUM(AB46,AB53,AB60,AB67,AB75)</f>
        <v>1860.1531722045854</v>
      </c>
      <c r="AC81" s="90">
        <f>SUM(AC46,AC53,AC60,AC67,AC75)</f>
        <v>1871.7740837477947</v>
      </c>
      <c r="AD81" s="90">
        <f>SUM(AD46,AD53,AD60,AD67,AD75)</f>
        <v>1883.3603436394569</v>
      </c>
      <c r="AE81" s="90">
        <f>SUM(AE46,AE53,AE60,AE67,AE75)</f>
        <v>1894.9167230811229</v>
      </c>
      <c r="AF81" s="90">
        <f>SUM(AF46,AF53,AF60,AF67,AF75)</f>
        <v>1906.4480477430743</v>
      </c>
      <c r="AG81" s="90">
        <f>SUM(AG46,AG53,AG60,AG67,AG75)</f>
        <v>1917.9591990810547</v>
      </c>
      <c r="AH81" s="90">
        <f>SUM(AH46,AH53,AH60,AH67,AH75)</f>
        <v>1929.4551156854297</v>
      </c>
    </row>
    <row r="82" spans="1:34" ht="15" customHeight="1" x14ac:dyDescent="0.2">
      <c r="A82" s="81" t="s">
        <v>450</v>
      </c>
      <c r="B82" s="81" t="s">
        <v>435</v>
      </c>
      <c r="D82" s="91">
        <f>D80+D81</f>
        <v>0</v>
      </c>
      <c r="E82" s="91">
        <f>E80+E81</f>
        <v>0</v>
      </c>
      <c r="F82" s="91">
        <f>F80+F81</f>
        <v>0</v>
      </c>
      <c r="G82" s="91">
        <f>G80+G81</f>
        <v>0</v>
      </c>
      <c r="H82" s="91">
        <f>H80+H81</f>
        <v>0</v>
      </c>
      <c r="I82" s="91">
        <f>I80+I81</f>
        <v>3507.8876451717097</v>
      </c>
      <c r="J82" s="91">
        <f>J80+J81</f>
        <v>3524.4598232500994</v>
      </c>
      <c r="K82" s="91">
        <f>K80+K81</f>
        <v>3543.2542646192019</v>
      </c>
      <c r="L82" s="91">
        <f>L80+L81</f>
        <v>3559.8337653202207</v>
      </c>
      <c r="M82" s="91">
        <f>M80+M81</f>
        <v>3576.3658028623554</v>
      </c>
      <c r="N82" s="91">
        <f>N80+N81</f>
        <v>3592.854843312406</v>
      </c>
      <c r="O82" s="91">
        <f>O80+O81</f>
        <v>3609.3054855153559</v>
      </c>
      <c r="P82" s="91">
        <f>P80+P81</f>
        <v>3625.7224613970989</v>
      </c>
      <c r="Q82" s="91">
        <f>Q80+Q81</f>
        <v>3642.1106363429972</v>
      </c>
      <c r="R82" s="91">
        <f>R80+R81</f>
        <v>3658.475009652218</v>
      </c>
      <c r="S82" s="91">
        <f>S80+S81</f>
        <v>3674.8207150678445</v>
      </c>
      <c r="T82" s="91">
        <f>T80+T81</f>
        <v>3691.1530213827682</v>
      </c>
      <c r="U82" s="91">
        <f>U80+U81</f>
        <v>3707.4773331214283</v>
      </c>
      <c r="V82" s="91">
        <f>V80+V81</f>
        <v>3723.7991912974685</v>
      </c>
      <c r="W82" s="91">
        <f>W80+W81</f>
        <v>3740.1242742474469</v>
      </c>
      <c r="X82" s="91">
        <f>X80+X81</f>
        <v>3756.4583985407253</v>
      </c>
      <c r="Y82" s="91">
        <f>Y80+Y81</f>
        <v>3772.8075199657314</v>
      </c>
      <c r="Z82" s="91">
        <f>Z80+Z81</f>
        <v>3789.1777345928144</v>
      </c>
      <c r="AA82" s="91">
        <f>AA80+AA81</f>
        <v>3805.5752799139213</v>
      </c>
      <c r="AB82" s="91">
        <f>AB80+AB81</f>
        <v>3822.0065360593976</v>
      </c>
      <c r="AC82" s="91">
        <f>AC80+AC81</f>
        <v>3838.4780270921869</v>
      </c>
      <c r="AD82" s="91">
        <f>AD80+AD81</f>
        <v>3854.9964223798243</v>
      </c>
      <c r="AE82" s="91">
        <f>AE80+AE81</f>
        <v>3871.5685380445429</v>
      </c>
      <c r="AF82" s="91">
        <f>AF80+AF81</f>
        <v>3888.2013384919528</v>
      </c>
      <c r="AG82" s="91">
        <f>AG80+AG81</f>
        <v>3904.9019380186987</v>
      </c>
      <c r="AH82" s="91">
        <f>AH80+AH81</f>
        <v>3921.6776024995997</v>
      </c>
    </row>
    <row r="84" spans="1:34" ht="15" customHeight="1" x14ac:dyDescent="0.2">
      <c r="A84" s="81" t="s">
        <v>451</v>
      </c>
      <c r="B84" t="s">
        <v>435</v>
      </c>
      <c r="D84" s="76">
        <f>D80</f>
        <v>0</v>
      </c>
      <c r="E84" s="76">
        <f>D84+E80</f>
        <v>0</v>
      </c>
      <c r="F84" s="76">
        <f>E84+F80</f>
        <v>0</v>
      </c>
      <c r="G84" s="76">
        <f>F84+G80</f>
        <v>0</v>
      </c>
      <c r="H84" s="76">
        <f>G84+H80</f>
        <v>0</v>
      </c>
      <c r="I84" s="76">
        <f>H84+I80</f>
        <v>1882.1809967359352</v>
      </c>
      <c r="J84" s="76">
        <f>I84+J80</f>
        <v>3767.8727907222888</v>
      </c>
      <c r="K84" s="76">
        <f>J84+K80</f>
        <v>5658.2149517329763</v>
      </c>
      <c r="L84" s="76">
        <f>K84+L80</f>
        <v>7552.2436598069844</v>
      </c>
      <c r="M84" s="76">
        <f>L84+M80</f>
        <v>9450.0200072182433</v>
      </c>
      <c r="N84" s="76">
        <f>M84+N80</f>
        <v>11351.605535100878</v>
      </c>
      <c r="O84" s="76">
        <f>N84+O80</f>
        <v>13257.062329558978</v>
      </c>
      <c r="P84" s="76">
        <f>O84+P80</f>
        <v>15166.453117256633</v>
      </c>
      <c r="Q84" s="76">
        <f>P84+Q80</f>
        <v>17079.841360537419</v>
      </c>
      <c r="R84" s="76">
        <f>Q84+R80</f>
        <v>18997.291352122196</v>
      </c>
      <c r="S84" s="76">
        <f>R84+S80</f>
        <v>20918.868309433838</v>
      </c>
      <c r="T84" s="76">
        <f>S84+T80</f>
        <v>22844.638468597259</v>
      </c>
      <c r="U84" s="76">
        <f>T84+U80</f>
        <v>24774.669178162894</v>
      </c>
      <c r="V84" s="76">
        <f>U84+V80</f>
        <v>26709.028992601539</v>
      </c>
      <c r="W84" s="76">
        <f>V84+W80</f>
        <v>28647.787765618345</v>
      </c>
      <c r="X84" s="76">
        <f>W84+X80</f>
        <v>30591.016743333526</v>
      </c>
      <c r="Y84" s="76">
        <f>X84+Y80</f>
        <v>32538.788657377245</v>
      </c>
      <c r="Z84" s="76">
        <f>Y84+Z80</f>
        <v>34491.177817945987</v>
      </c>
      <c r="AA84" s="76">
        <f>Z84+AA80</f>
        <v>36448.260206867642</v>
      </c>
      <c r="AB84" s="76">
        <f>AA84+AB80</f>
        <v>38410.113570722453</v>
      </c>
      <c r="AC84" s="76">
        <f>AB84+AC80</f>
        <v>40376.817514066846</v>
      </c>
      <c r="AD84" s="76">
        <f>AC84+AD80</f>
        <v>42348.453592807215</v>
      </c>
      <c r="AE84" s="76">
        <f>AD84+AE80</f>
        <v>44325.105407770636</v>
      </c>
      <c r="AF84" s="76">
        <f>AE84+AF80</f>
        <v>46306.858698519514</v>
      </c>
      <c r="AG84" s="76">
        <f>AF84+AG80</f>
        <v>48293.801437457158</v>
      </c>
      <c r="AH84" s="76">
        <f>AG84+AH80</f>
        <v>50286.023924271329</v>
      </c>
    </row>
    <row r="87" spans="1:34" ht="15" customHeight="1" x14ac:dyDescent="0.2">
      <c r="A87" s="2" t="s">
        <v>455</v>
      </c>
      <c r="B87" s="2"/>
      <c r="C87" s="2"/>
      <c r="D87" s="2"/>
      <c r="E87" s="2"/>
      <c r="F87" s="2"/>
    </row>
    <row r="89" spans="1:34" ht="15" customHeight="1" x14ac:dyDescent="0.2">
      <c r="A89" s="74" t="s">
        <v>196</v>
      </c>
      <c r="B89" s="74" t="s">
        <v>62</v>
      </c>
      <c r="C89" s="74" t="s">
        <v>375</v>
      </c>
      <c r="D89" s="92">
        <v>2020</v>
      </c>
      <c r="E89" s="92">
        <v>2021</v>
      </c>
      <c r="F89" s="92">
        <v>2022</v>
      </c>
      <c r="G89" s="92">
        <v>2023</v>
      </c>
      <c r="H89" s="92">
        <v>2024</v>
      </c>
      <c r="I89" s="92">
        <v>2025</v>
      </c>
      <c r="J89" s="92">
        <v>2026</v>
      </c>
      <c r="K89" s="92">
        <v>2027</v>
      </c>
      <c r="L89" s="92">
        <v>2028</v>
      </c>
      <c r="M89" s="92">
        <v>2029</v>
      </c>
      <c r="N89" s="92">
        <v>2030</v>
      </c>
      <c r="O89" s="92">
        <v>2031</v>
      </c>
      <c r="P89" s="92">
        <v>2032</v>
      </c>
      <c r="Q89" s="92">
        <v>2033</v>
      </c>
      <c r="R89" s="92">
        <v>2034</v>
      </c>
      <c r="S89" s="92">
        <v>2035</v>
      </c>
      <c r="T89" s="92">
        <v>2036</v>
      </c>
      <c r="U89" s="92">
        <v>2037</v>
      </c>
      <c r="V89" s="92">
        <v>2038</v>
      </c>
      <c r="W89" s="92">
        <v>2039</v>
      </c>
      <c r="X89" s="92">
        <v>2040</v>
      </c>
      <c r="Y89" s="92">
        <v>2041</v>
      </c>
      <c r="Z89" s="92">
        <v>2042</v>
      </c>
      <c r="AA89" s="92">
        <v>2043</v>
      </c>
      <c r="AB89" s="92">
        <v>2044</v>
      </c>
      <c r="AC89" s="92">
        <v>2045</v>
      </c>
      <c r="AD89" s="92">
        <v>2046</v>
      </c>
      <c r="AE89" s="92">
        <v>2047</v>
      </c>
      <c r="AF89" s="92">
        <v>2048</v>
      </c>
      <c r="AG89" s="92">
        <v>2049</v>
      </c>
      <c r="AH89" s="92">
        <v>2050</v>
      </c>
    </row>
    <row r="91" spans="1:34" ht="15" customHeight="1" x14ac:dyDescent="0.2">
      <c r="A91" s="74" t="s">
        <v>428</v>
      </c>
    </row>
    <row r="92" spans="1:34" ht="15" customHeight="1" x14ac:dyDescent="0.2">
      <c r="A92" t="s">
        <v>429</v>
      </c>
      <c r="B92" t="s">
        <v>95</v>
      </c>
      <c r="C92" s="72" t="s">
        <v>456</v>
      </c>
      <c r="D92" s="85">
        <f>Supply!D57</f>
        <v>0</v>
      </c>
      <c r="E92" s="85">
        <f>Supply!E57</f>
        <v>0</v>
      </c>
      <c r="F92" s="85">
        <f>Supply!F57</f>
        <v>0</v>
      </c>
      <c r="G92" s="85">
        <f>Supply!G57</f>
        <v>0</v>
      </c>
      <c r="H92" s="85">
        <f>Supply!H57</f>
        <v>0</v>
      </c>
      <c r="I92" s="85">
        <f>Supply!I57</f>
        <v>0</v>
      </c>
      <c r="J92" s="85">
        <f>Supply!J57</f>
        <v>0</v>
      </c>
      <c r="K92" s="85">
        <f>Supply!K57</f>
        <v>14.725489057137942</v>
      </c>
      <c r="L92" s="85">
        <f>Supply!L57</f>
        <v>63.591830201647646</v>
      </c>
      <c r="M92" s="85">
        <f>Supply!M57</f>
        <v>112.27647848127944</v>
      </c>
      <c r="N92" s="85">
        <f>Supply!N57</f>
        <v>160.77944972615859</v>
      </c>
      <c r="O92" s="85">
        <f>Supply!O57</f>
        <v>209.10078967058243</v>
      </c>
      <c r="P92" s="85">
        <f>Supply!P57</f>
        <v>257.24057344708592</v>
      </c>
      <c r="Q92" s="85">
        <f>Supply!Q57</f>
        <v>305.19890508624633</v>
      </c>
      <c r="R92" s="85">
        <f>Supply!R57</f>
        <v>352.97591702217233</v>
      </c>
      <c r="S92" s="85">
        <f>Supply!S57</f>
        <v>400.571769603625</v>
      </c>
      <c r="T92" s="85">
        <f>Supply!T57</f>
        <v>447.98665061071688</v>
      </c>
      <c r="U92" s="85">
        <f>Supply!U57</f>
        <v>440.47077477713759</v>
      </c>
      <c r="V92" s="85">
        <f>Supply!V57</f>
        <v>432.77438331785265</v>
      </c>
      <c r="W92" s="85">
        <f>Supply!W57</f>
        <v>424.89774346222532</v>
      </c>
      <c r="X92" s="85">
        <f>Supply!X57</f>
        <v>416.84114799250932</v>
      </c>
      <c r="Y92" s="85">
        <f>Supply!Y57</f>
        <v>408.60491478766164</v>
      </c>
      <c r="Z92" s="85">
        <f>Supply!Z57</f>
        <v>400.18938637242582</v>
      </c>
      <c r="AA92" s="85">
        <f>Supply!AA57</f>
        <v>391.59492947163466</v>
      </c>
      <c r="AB92" s="85">
        <f>Supply!AB57</f>
        <v>382.82193456968452</v>
      </c>
      <c r="AC92" s="85">
        <f>Supply!AC57</f>
        <v>373.8708154751302</v>
      </c>
      <c r="AD92" s="85">
        <f>Supply!AD57</f>
        <v>364.74200889035319</v>
      </c>
      <c r="AE92" s="85">
        <f>Supply!AE57</f>
        <v>355.43597398625434</v>
      </c>
      <c r="AF92" s="85">
        <f>Supply!AF57</f>
        <v>345.9531919819234</v>
      </c>
      <c r="AG92" s="85">
        <f>Supply!AG57</f>
        <v>336.29416572923748</v>
      </c>
      <c r="AH92" s="85">
        <f>Supply!AH57</f>
        <v>326.45941930234289</v>
      </c>
    </row>
    <row r="93" spans="1:34" ht="15" customHeight="1" x14ac:dyDescent="0.2">
      <c r="A93" t="s">
        <v>431</v>
      </c>
      <c r="B93" t="s">
        <v>432</v>
      </c>
      <c r="C93" s="72" t="s">
        <v>433</v>
      </c>
      <c r="D93" s="86">
        <f>D92*1000/365/$E15</f>
        <v>0</v>
      </c>
      <c r="E93" s="86">
        <f>E92*1000/365/$E15</f>
        <v>0</v>
      </c>
      <c r="F93" s="86">
        <f>F92*1000/365/$E15</f>
        <v>0</v>
      </c>
      <c r="G93" s="86">
        <f>G92*1000/365/$E15</f>
        <v>0</v>
      </c>
      <c r="H93" s="86">
        <f>H92*1000/365/$E15</f>
        <v>0</v>
      </c>
      <c r="I93" s="86">
        <f>I92*1000/365/$E15</f>
        <v>0</v>
      </c>
      <c r="J93" s="86">
        <f>J92*1000/365/$E15</f>
        <v>0</v>
      </c>
      <c r="K93" s="86">
        <f>K92*1000/365/$E15</f>
        <v>47.463300748228669</v>
      </c>
      <c r="L93" s="86">
        <f>L92*1000/365/$E15</f>
        <v>204.96963803915438</v>
      </c>
      <c r="M93" s="86">
        <f>M92*1000/365/$E15</f>
        <v>361.89034159961142</v>
      </c>
      <c r="N93" s="86">
        <f>N92*1000/365/$E15</f>
        <v>518.22546245337173</v>
      </c>
      <c r="O93" s="86">
        <f>O92*1000/365/$E15</f>
        <v>673.97514801154693</v>
      </c>
      <c r="P93" s="86">
        <f>P92*1000/365/$E15</f>
        <v>829.13964044185639</v>
      </c>
      <c r="Q93" s="86">
        <f>Q92*1000/365/$E15</f>
        <v>983.71927505639439</v>
      </c>
      <c r="R93" s="86">
        <f>R92*1000/365/$E15</f>
        <v>1137.714478717719</v>
      </c>
      <c r="S93" s="86">
        <f>S92*1000/365/$E15</f>
        <v>1291.1257682630942</v>
      </c>
      <c r="T93" s="86">
        <f>T92*1000/365/$E15</f>
        <v>1443.9537489467104</v>
      </c>
      <c r="U93" s="86">
        <f>U92*1000/365/$E15</f>
        <v>1419.7285246644242</v>
      </c>
      <c r="V93" s="86">
        <f>V92*1000/365/$E15</f>
        <v>1394.9214611373172</v>
      </c>
      <c r="W93" s="86">
        <f>W92*1000/365/$E15</f>
        <v>1369.5334197009679</v>
      </c>
      <c r="X93" s="86">
        <f>X92*1000/365/$E15</f>
        <v>1343.565344053213</v>
      </c>
      <c r="Y93" s="86">
        <f>Y92*1000/365/$E15</f>
        <v>1317.0182587837605</v>
      </c>
      <c r="Z93" s="86">
        <f>Z92*1000/365/$E15</f>
        <v>1289.8932679207924</v>
      </c>
      <c r="AA93" s="86">
        <f>AA92*1000/365/$E15</f>
        <v>1262.1915534943905</v>
      </c>
      <c r="AB93" s="86">
        <f>AB92*1000/365/$E15</f>
        <v>1233.9143741166301</v>
      </c>
      <c r="AC93" s="86">
        <f>AC92*1000/365/$E15</f>
        <v>1205.0630635781797</v>
      </c>
      <c r="AD93" s="86">
        <f>AD92*1000/365/$E15</f>
        <v>1175.6390294612513</v>
      </c>
      <c r="AE93" s="86">
        <f>AE92*1000/365/$E15</f>
        <v>1145.6437517687491</v>
      </c>
      <c r="AF93" s="86">
        <f>AF92*1000/365/$E15</f>
        <v>1115.078781569455</v>
      </c>
      <c r="AG93" s="86">
        <f>AG92*1000/365/$E15</f>
        <v>1083.9457396591056</v>
      </c>
      <c r="AH93" s="86">
        <f>AH92*1000/365/$E15</f>
        <v>1052.2463152372052</v>
      </c>
    </row>
    <row r="94" spans="1:34" x14ac:dyDescent="0.2">
      <c r="A94" t="s">
        <v>434</v>
      </c>
      <c r="B94" t="s">
        <v>435</v>
      </c>
      <c r="C94" s="72" t="s">
        <v>436</v>
      </c>
      <c r="D94" s="90">
        <f>IF(D$89&lt;$B$9,0,D93*1000*$B15*($B$8*(1+$B$8)^$D15/((1+$B$8)^$D15-1))*$B$7/1000000)</f>
        <v>0</v>
      </c>
      <c r="E94" s="90">
        <f>IF(E$89&lt;$B$9,0,E93*1000*$B15*($B$8*(1+$B$8)^$D15/((1+$B$8)^$D15-1))*$B$7/1000000)</f>
        <v>0</v>
      </c>
      <c r="F94" s="90">
        <f>IF(F$89&lt;$B$9,0,F93*1000*$B15*($B$8*(1+$B$8)^$D15/((1+$B$8)^$D15-1))*$B$7/1000000)</f>
        <v>0</v>
      </c>
      <c r="G94" s="90">
        <f>IF(G$89&lt;$B$9,0,G93*1000*$B15*($B$8*(1+$B$8)^$D15/((1+$B$8)^$D15-1))*$B$7/1000000)</f>
        <v>0</v>
      </c>
      <c r="H94" s="90">
        <f>IF(H$89&lt;$B$9,0,H93*1000*$B15*($B$8*(1+$B$8)^$D15/((1+$B$8)^$D15-1))*$B$7/1000000)</f>
        <v>0</v>
      </c>
      <c r="I94" s="90">
        <f>IF(I$89&lt;$B$9,0,I93*1000*$B15*($B$8*(1+$B$8)^$D15/((1+$B$8)^$D15-1))*$B$7/1000000)</f>
        <v>0</v>
      </c>
      <c r="J94" s="90">
        <f>IF(J$89&lt;$B$9,0,J93*1000*$B15*($B$8*(1+$B$8)^$D15/((1+$B$8)^$D15-1))*$B$7/1000000)</f>
        <v>0</v>
      </c>
      <c r="K94" s="90">
        <f>IF(K$89&lt;$B$9,0,K93*1000*$B15*($B$8*(1+$B$8)^$D15/((1+$B$8)^$D15-1))*$B$7/1000000)</f>
        <v>9.6535354579458481</v>
      </c>
      <c r="L94" s="90">
        <f>IF(L$89&lt;$B$9,0,L93*1000*$B15*($B$8*(1+$B$8)^$D15/((1+$B$8)^$D15-1))*$B$7/1000000)</f>
        <v>41.688665504097862</v>
      </c>
      <c r="M94" s="90">
        <f>IF(M$89&lt;$B$9,0,M93*1000*$B15*($B$8*(1+$B$8)^$D15/((1+$B$8)^$D15-1))*$B$7/1000000)</f>
        <v>73.604683817746533</v>
      </c>
      <c r="N94" s="90">
        <f>IF(N$89&lt;$B$9,0,N93*1000*$B15*($B$8*(1+$B$8)^$D15/((1+$B$8)^$D15-1))*$B$7/1000000)</f>
        <v>105.40160077658969</v>
      </c>
      <c r="O94" s="90">
        <f>IF(O$89&lt;$B$9,0,O93*1000*$B15*($B$8*(1+$B$8)^$D15/((1+$B$8)^$D15-1))*$B$7/1000000)</f>
        <v>137.07944636249476</v>
      </c>
      <c r="P94" s="90">
        <f>IF(P$89&lt;$B$9,0,P93*1000*$B15*($B$8*(1+$B$8)^$D15/((1+$B$8)^$D15-1))*$B$7/1000000)</f>
        <v>168.63826982982522</v>
      </c>
      <c r="Q94" s="90">
        <f>IF(Q$89&lt;$B$9,0,Q93*1000*$B15*($B$8*(1+$B$8)^$D15/((1+$B$8)^$D15-1))*$B$7/1000000)</f>
        <v>200.07813937752934</v>
      </c>
      <c r="R94" s="90">
        <f>IF(R$89&lt;$B$9,0,R93*1000*$B15*($B$8*(1+$B$8)^$D15/((1+$B$8)^$D15-1))*$B$7/1000000)</f>
        <v>231.39914182495539</v>
      </c>
      <c r="S94" s="90">
        <f>IF(S$89&lt;$B$9,0,S93*1000*$B15*($B$8*(1+$B$8)^$D15/((1+$B$8)^$D15-1))*$B$7/1000000)</f>
        <v>262.60138229135924</v>
      </c>
      <c r="T94" s="90">
        <f>IF(T$89&lt;$B$9,0,T93*1000*$B15*($B$8*(1+$B$8)^$D15/((1+$B$8)^$D15-1))*$B$7/1000000)</f>
        <v>293.68498387906834</v>
      </c>
      <c r="U94" s="90">
        <f>IF(U$89&lt;$B$9,0,U93*1000*$B15*($B$8*(1+$B$8)^$D15/((1+$B$8)^$D15-1))*$B$7/1000000)</f>
        <v>288.75782841581349</v>
      </c>
      <c r="V94" s="90">
        <f>IF(V$89&lt;$B$9,0,V93*1000*$B15*($B$8*(1+$B$8)^$D15/((1+$B$8)^$D15-1))*$B$7/1000000)</f>
        <v>283.71233297847016</v>
      </c>
      <c r="W94" s="90">
        <f>IF(W$89&lt;$B$9,0,W93*1000*$B15*($B$8*(1+$B$8)^$D15/((1+$B$8)^$D15-1))*$B$7/1000000)</f>
        <v>278.54867275362278</v>
      </c>
      <c r="X94" s="90">
        <f>IF(X$89&lt;$B$9,0,X93*1000*$B15*($B$8*(1+$B$8)^$D15/((1+$B$8)^$D15-1))*$B$7/1000000)</f>
        <v>273.26703967947179</v>
      </c>
      <c r="Y94" s="90">
        <f>IF(Y$89&lt;$B$9,0,Y93*1000*$B15*($B$8*(1+$B$8)^$D15/((1+$B$8)^$D15-1))*$B$7/1000000)</f>
        <v>267.86764214677203</v>
      </c>
      <c r="Z94" s="90">
        <f>IF(Z$89&lt;$B$9,0,Z93*1000*$B15*($B$8*(1+$B$8)^$D15/((1+$B$8)^$D15-1))*$B$7/1000000)</f>
        <v>262.35070470322745</v>
      </c>
      <c r="AA94" s="90">
        <f>IF(AA$89&lt;$B$9,0,AA93*1000*$B15*($B$8*(1+$B$8)^$D15/((1+$B$8)^$D15-1))*$B$7/1000000)</f>
        <v>256.71646776130677</v>
      </c>
      <c r="AB94" s="90">
        <f>IF(AB$89&lt;$B$9,0,AB93*1000*$B15*($B$8*(1+$B$8)^$D15/((1+$B$8)^$D15-1))*$B$7/1000000)</f>
        <v>250.96518730944962</v>
      </c>
      <c r="AC94" s="90">
        <f>IF(AC$89&lt;$B$9,0,AC93*1000*$B15*($B$8*(1+$B$8)^$D15/((1+$B$8)^$D15-1))*$B$7/1000000)</f>
        <v>245.09713462662958</v>
      </c>
      <c r="AD94" s="90">
        <f>IF(AD$89&lt;$B$9,0,AD93*1000*$B15*($B$8*(1+$B$8)^$D15/((1+$B$8)^$D15-1))*$B$7/1000000)</f>
        <v>239.11259600024297</v>
      </c>
      <c r="AE94" s="90">
        <f>IF(AE$89&lt;$B$9,0,AE93*1000*$B15*($B$8*(1+$B$8)^$D15/((1+$B$8)^$D15-1))*$B$7/1000000)</f>
        <v>233.01187244729229</v>
      </c>
      <c r="AF94" s="90">
        <f>IF(AF$89&lt;$B$9,0,AF93*1000*$B15*($B$8*(1+$B$8)^$D15/((1+$B$8)^$D15-1))*$B$7/1000000)</f>
        <v>226.79527943883079</v>
      </c>
      <c r="AG94" s="90">
        <f>IF(AG$89&lt;$B$9,0,AG93*1000*$B15*($B$8*(1+$B$8)^$D15/((1+$B$8)^$D15-1))*$B$7/1000000)</f>
        <v>220.4631466276401</v>
      </c>
      <c r="AH94" s="90">
        <f>IF(AH$89&lt;$B$9,0,AH93*1000*$B15*($B$8*(1+$B$8)^$D15/((1+$B$8)^$D15-1))*$B$7/1000000)</f>
        <v>214.01581757910756</v>
      </c>
    </row>
    <row r="95" spans="1:34" ht="15" customHeight="1" x14ac:dyDescent="0.2">
      <c r="A95" t="s">
        <v>439</v>
      </c>
      <c r="B95" t="s">
        <v>435</v>
      </c>
      <c r="C95" s="72" t="s">
        <v>440</v>
      </c>
      <c r="D95" s="90">
        <f>IF(D$89&lt;$B$9,0,D92*$C15*$B$7)</f>
        <v>0</v>
      </c>
      <c r="E95" s="90">
        <f>IF(E$89&lt;$B$9,0,E92*$C15*$B$7)</f>
        <v>0</v>
      </c>
      <c r="F95" s="90">
        <f>IF(F$89&lt;$B$9,0,F92*$C15*$B$7)</f>
        <v>0</v>
      </c>
      <c r="G95" s="90">
        <f>IF(G$89&lt;$B$9,0,G92*$C15*$B$7)</f>
        <v>0</v>
      </c>
      <c r="H95" s="90">
        <f>IF(H$89&lt;$B$9,0,H92*$C15*$B$7)</f>
        <v>0</v>
      </c>
      <c r="I95" s="90">
        <f>IF(I$89&lt;$B$9,0,I92*$C15*$B$7)</f>
        <v>0</v>
      </c>
      <c r="J95" s="90">
        <f>IF(J$89&lt;$B$9,0,J92*$C15*$B$7)</f>
        <v>0</v>
      </c>
      <c r="K95" s="90">
        <f>IF(K$89&lt;$B$9,0,K92*$C15*$B$7)</f>
        <v>12.443038253281562</v>
      </c>
      <c r="L95" s="90">
        <f>IF(L$89&lt;$B$9,0,L92*$C15*$B$7)</f>
        <v>53.735096520392268</v>
      </c>
      <c r="M95" s="90">
        <f>IF(M$89&lt;$B$9,0,M92*$C15*$B$7)</f>
        <v>94.873624316681145</v>
      </c>
      <c r="N95" s="90">
        <f>IF(N$89&lt;$B$9,0,N92*$C15*$B$7)</f>
        <v>135.85863501860402</v>
      </c>
      <c r="O95" s="90">
        <f>IF(O$89&lt;$B$9,0,O92*$C15*$B$7)</f>
        <v>176.69016727164217</v>
      </c>
      <c r="P95" s="90">
        <f>IF(P$89&lt;$B$9,0,P92*$C15*$B$7)</f>
        <v>217.36828456278761</v>
      </c>
      <c r="Q95" s="90">
        <f>IF(Q$89&lt;$B$9,0,Q92*$C15*$B$7)</f>
        <v>257.89307479787817</v>
      </c>
      <c r="R95" s="90">
        <f>IF(R$89&lt;$B$9,0,R92*$C15*$B$7)</f>
        <v>298.26464988373561</v>
      </c>
      <c r="S95" s="90">
        <f>IF(S$89&lt;$B$9,0,S92*$C15*$B$7)</f>
        <v>338.48314531506315</v>
      </c>
      <c r="T95" s="90">
        <f>IF(T$89&lt;$B$9,0,T92*$C15*$B$7)</f>
        <v>378.5487197660558</v>
      </c>
      <c r="U95" s="90">
        <f>IF(U$89&lt;$B$9,0,U92*$C15*$B$7)</f>
        <v>372.19780468668131</v>
      </c>
      <c r="V95" s="90">
        <f>IF(V$89&lt;$B$9,0,V92*$C15*$B$7)</f>
        <v>365.69435390358547</v>
      </c>
      <c r="W95" s="90">
        <f>IF(W$89&lt;$B$9,0,W92*$C15*$B$7)</f>
        <v>359.03859322558043</v>
      </c>
      <c r="X95" s="90">
        <f>IF(X$89&lt;$B$9,0,X92*$C15*$B$7)</f>
        <v>352.23077005367043</v>
      </c>
      <c r="Y95" s="90">
        <f>IF(Y$89&lt;$B$9,0,Y92*$C15*$B$7)</f>
        <v>345.27115299557414</v>
      </c>
      <c r="Z95" s="90">
        <f>IF(Z$89&lt;$B$9,0,Z92*$C15*$B$7)</f>
        <v>338.16003148469986</v>
      </c>
      <c r="AA95" s="90">
        <f>IF(AA$89&lt;$B$9,0,AA92*$C15*$B$7)</f>
        <v>330.89771540353132</v>
      </c>
      <c r="AB95" s="90">
        <f>IF(AB$89&lt;$B$9,0,AB92*$C15*$B$7)</f>
        <v>323.48453471138345</v>
      </c>
      <c r="AC95" s="90">
        <f>IF(AC$89&lt;$B$9,0,AC92*$C15*$B$7)</f>
        <v>315.92083907648504</v>
      </c>
      <c r="AD95" s="90">
        <f>IF(AD$89&lt;$B$9,0,AD92*$C15*$B$7)</f>
        <v>308.20699751234849</v>
      </c>
      <c r="AE95" s="90">
        <f>IF(AE$89&lt;$B$9,0,AE92*$C15*$B$7)</f>
        <v>300.34339801838496</v>
      </c>
      <c r="AF95" s="90">
        <f>IF(AF$89&lt;$B$9,0,AF92*$C15*$B$7)</f>
        <v>292.33044722472528</v>
      </c>
      <c r="AG95" s="90">
        <f>IF(AG$89&lt;$B$9,0,AG92*$C15*$B$7)</f>
        <v>284.16857004120567</v>
      </c>
      <c r="AH95" s="90">
        <f>IF(AH$89&lt;$B$9,0,AH92*$C15*$B$7)</f>
        <v>275.85820931047977</v>
      </c>
    </row>
    <row r="96" spans="1:34" ht="15" customHeight="1" x14ac:dyDescent="0.2">
      <c r="A96" s="81" t="s">
        <v>441</v>
      </c>
      <c r="B96" s="81" t="s">
        <v>435</v>
      </c>
      <c r="C96" s="72" t="s">
        <v>442</v>
      </c>
      <c r="D96" s="91">
        <f>D94+D95</f>
        <v>0</v>
      </c>
      <c r="E96" s="91">
        <f>E94+E95</f>
        <v>0</v>
      </c>
      <c r="F96" s="91">
        <f>F94+F95</f>
        <v>0</v>
      </c>
      <c r="G96" s="91">
        <f>G94+G95</f>
        <v>0</v>
      </c>
      <c r="H96" s="91">
        <f>H94+H95</f>
        <v>0</v>
      </c>
      <c r="I96" s="91">
        <f>I94+I95</f>
        <v>0</v>
      </c>
      <c r="J96" s="91">
        <f>J94+J95</f>
        <v>0</v>
      </c>
      <c r="K96" s="91">
        <f>K94+K95</f>
        <v>22.096573711227411</v>
      </c>
      <c r="L96" s="91">
        <f>L94+L95</f>
        <v>95.423762024490131</v>
      </c>
      <c r="M96" s="91">
        <f>M94+M95</f>
        <v>168.47830813442766</v>
      </c>
      <c r="N96" s="91">
        <f>N94+N95</f>
        <v>241.26023579519369</v>
      </c>
      <c r="O96" s="91">
        <f>O94+O95</f>
        <v>313.76961363413693</v>
      </c>
      <c r="P96" s="91">
        <f>P94+P95</f>
        <v>386.00655439261283</v>
      </c>
      <c r="Q96" s="91">
        <f>Q94+Q95</f>
        <v>457.97121417540751</v>
      </c>
      <c r="R96" s="91">
        <f>R94+R95</f>
        <v>529.66379170869095</v>
      </c>
      <c r="S96" s="91">
        <f>S94+S95</f>
        <v>601.0845276064224</v>
      </c>
      <c r="T96" s="91">
        <f>T94+T95</f>
        <v>672.23370364512414</v>
      </c>
      <c r="U96" s="91">
        <f>U94+U95</f>
        <v>660.95563310249486</v>
      </c>
      <c r="V96" s="91">
        <f>V94+V95</f>
        <v>649.40668688205562</v>
      </c>
      <c r="W96" s="91">
        <f>W94+W95</f>
        <v>637.58726597920327</v>
      </c>
      <c r="X96" s="91">
        <f>X94+X95</f>
        <v>625.49780973314228</v>
      </c>
      <c r="Y96" s="91">
        <f>Y94+Y95</f>
        <v>613.13879514234623</v>
      </c>
      <c r="Z96" s="91">
        <f>Z94+Z95</f>
        <v>600.51073618792725</v>
      </c>
      <c r="AA96" s="91">
        <f>AA94+AA95</f>
        <v>587.6141831648381</v>
      </c>
      <c r="AB96" s="91">
        <f>AB94+AB95</f>
        <v>574.44972202083306</v>
      </c>
      <c r="AC96" s="91">
        <f>AC94+AC95</f>
        <v>561.01797370311465</v>
      </c>
      <c r="AD96" s="91">
        <f>AD94+AD95</f>
        <v>547.3195935125915</v>
      </c>
      <c r="AE96" s="91">
        <f>AE94+AE95</f>
        <v>533.35527046567722</v>
      </c>
      <c r="AF96" s="91">
        <f>AF94+AF95</f>
        <v>519.12572666355607</v>
      </c>
      <c r="AG96" s="91">
        <f>AG94+AG95</f>
        <v>504.6317166688458</v>
      </c>
      <c r="AH96" s="91">
        <f>AH94+AH95</f>
        <v>489.8740268895873</v>
      </c>
    </row>
    <row r="98" spans="1:34" ht="15" customHeight="1" x14ac:dyDescent="0.2">
      <c r="A98" s="74" t="s">
        <v>443</v>
      </c>
    </row>
    <row r="99" spans="1:34" ht="15" customHeight="1" x14ac:dyDescent="0.2">
      <c r="A99" t="s">
        <v>429</v>
      </c>
      <c r="B99" t="s">
        <v>95</v>
      </c>
      <c r="C99" s="72" t="s">
        <v>456</v>
      </c>
      <c r="D99" s="85">
        <f>Supply!D47+Supply!D50+Supply!D53</f>
        <v>912</v>
      </c>
      <c r="E99" s="85">
        <f>Supply!E47+Supply!E50+Supply!E53</f>
        <v>893.76</v>
      </c>
      <c r="F99" s="85">
        <f>Supply!F47+Supply!F50+Supply!F53</f>
        <v>875.88479999999993</v>
      </c>
      <c r="G99" s="85">
        <f>Supply!G47+Supply!G50+Supply!G53</f>
        <v>858.36710399999993</v>
      </c>
      <c r="H99" s="85">
        <f>Supply!H47+Supply!H50+Supply!H53</f>
        <v>841.1997619199999</v>
      </c>
      <c r="I99" s="85">
        <f>Supply!I47+Supply!I50+Supply!I53</f>
        <v>824.37576668159988</v>
      </c>
      <c r="J99" s="85">
        <f>Supply!J47+Supply!J50+Supply!J53</f>
        <v>807.88825134796787</v>
      </c>
      <c r="K99" s="85">
        <f>Supply!K47+Supply!K50+Supply!K53</f>
        <v>791.73048632100847</v>
      </c>
      <c r="L99" s="85">
        <f>Supply!L47+Supply!L50+Supply!L53</f>
        <v>775.89587659458823</v>
      </c>
      <c r="M99" s="85">
        <f>Supply!M47+Supply!M50+Supply!M53</f>
        <v>760.3779590626965</v>
      </c>
      <c r="N99" s="85">
        <f>Supply!N47+Supply!N50+Supply!N53</f>
        <v>745.17039988144245</v>
      </c>
      <c r="O99" s="85">
        <f>Supply!O47+Supply!O50+Supply!O53</f>
        <v>730.2669918838136</v>
      </c>
      <c r="P99" s="85">
        <f>Supply!P47+Supply!P50+Supply!P53</f>
        <v>715.66165204613731</v>
      </c>
      <c r="Q99" s="85">
        <f>Supply!Q47+Supply!Q50+Supply!Q53</f>
        <v>701.34841900521451</v>
      </c>
      <c r="R99" s="85">
        <f>Supply!R47+Supply!R50+Supply!R53</f>
        <v>687.32145062511029</v>
      </c>
      <c r="S99" s="85">
        <f>Supply!S47+Supply!S50+Supply!S53</f>
        <v>673.575021612608</v>
      </c>
      <c r="T99" s="85">
        <f>Supply!T47+Supply!T50+Supply!T53</f>
        <v>660.10352118035587</v>
      </c>
      <c r="U99" s="85">
        <f>Supply!U47+Supply!U50+Supply!U53</f>
        <v>646.90145075674877</v>
      </c>
      <c r="V99" s="85">
        <f>Supply!V47+Supply!V50+Supply!V53</f>
        <v>633.96342174161373</v>
      </c>
      <c r="W99" s="85">
        <f>Supply!W47+Supply!W50+Supply!W53</f>
        <v>621.28415330678149</v>
      </c>
      <c r="X99" s="85">
        <f>Supply!X47+Supply!X50+Supply!X53</f>
        <v>608.85847024064583</v>
      </c>
      <c r="Y99" s="85">
        <f>Supply!Y47+Supply!Y50+Supply!Y53</f>
        <v>596.68130083583287</v>
      </c>
      <c r="Z99" s="85">
        <f>Supply!Z47+Supply!Z50+Supply!Z53</f>
        <v>584.74767481911624</v>
      </c>
      <c r="AA99" s="85">
        <f>Supply!AA47+Supply!AA50+Supply!AA53</f>
        <v>573.05272132273387</v>
      </c>
      <c r="AB99" s="85">
        <f>Supply!AB47+Supply!AB50+Supply!AB53</f>
        <v>561.59166689627921</v>
      </c>
      <c r="AC99" s="85">
        <f>Supply!AC47+Supply!AC50+Supply!AC53</f>
        <v>550.35983355835356</v>
      </c>
      <c r="AD99" s="85">
        <f>Supply!AD47+Supply!AD50+Supply!AD53</f>
        <v>539.35263688718646</v>
      </c>
      <c r="AE99" s="85">
        <f>Supply!AE47+Supply!AE50+Supply!AE53</f>
        <v>528.56558414944266</v>
      </c>
      <c r="AF99" s="85">
        <f>Supply!AF47+Supply!AF50+Supply!AF53</f>
        <v>517.99427246645382</v>
      </c>
      <c r="AG99" s="85">
        <f>Supply!AG47+Supply!AG50+Supply!AG53</f>
        <v>507.63438701712477</v>
      </c>
      <c r="AH99" s="85">
        <f>Supply!AH47+Supply!AH50+Supply!AH53</f>
        <v>497.48169927678225</v>
      </c>
    </row>
    <row r="100" spans="1:34" ht="15" customHeight="1" x14ac:dyDescent="0.2">
      <c r="A100" t="s">
        <v>431</v>
      </c>
      <c r="B100" t="s">
        <v>432</v>
      </c>
      <c r="C100" s="72" t="s">
        <v>433</v>
      </c>
      <c r="D100" s="86">
        <f>D99*1000/365/$E16</f>
        <v>3123.2876712328766</v>
      </c>
      <c r="E100" s="86">
        <f>E99*1000/365/$E16</f>
        <v>3060.821917808219</v>
      </c>
      <c r="F100" s="86">
        <f>F99*1000/365/$E16</f>
        <v>2999.6054794520546</v>
      </c>
      <c r="G100" s="86">
        <f>G99*1000/365/$E16</f>
        <v>2939.6133698630128</v>
      </c>
      <c r="H100" s="86">
        <f>H99*1000/365/$E16</f>
        <v>2880.8211024657526</v>
      </c>
      <c r="I100" s="86">
        <f>I99*1000/365/$E16</f>
        <v>2823.2046804164374</v>
      </c>
      <c r="J100" s="86">
        <f>J99*1000/365/$E16</f>
        <v>2766.7405868081087</v>
      </c>
      <c r="K100" s="86">
        <f>K99*1000/365/$E16</f>
        <v>2711.4057750719467</v>
      </c>
      <c r="L100" s="86">
        <f>L99*1000/365/$E16</f>
        <v>2657.1776595705078</v>
      </c>
      <c r="M100" s="86">
        <f>M99*1000/365/$E16</f>
        <v>2604.0341063790975</v>
      </c>
      <c r="N100" s="86">
        <f>N99*1000/365/$E16</f>
        <v>2551.9534242515151</v>
      </c>
      <c r="O100" s="86">
        <f>O99*1000/365/$E16</f>
        <v>2500.9143557664847</v>
      </c>
      <c r="P100" s="86">
        <f>P99*1000/365/$E16</f>
        <v>2450.8960686511546</v>
      </c>
      <c r="Q100" s="86">
        <f>Q99*1000/365/$E16</f>
        <v>2401.8781472781316</v>
      </c>
      <c r="R100" s="86">
        <f>R99*1000/365/$E16</f>
        <v>2353.8405843325691</v>
      </c>
      <c r="S100" s="86">
        <f>S99*1000/365/$E16</f>
        <v>2306.7637726459175</v>
      </c>
      <c r="T100" s="86">
        <f>T99*1000/365/$E16</f>
        <v>2260.6284971929995</v>
      </c>
      <c r="U100" s="86">
        <f>U99*1000/365/$E16</f>
        <v>2215.4159272491397</v>
      </c>
      <c r="V100" s="86">
        <f>V99*1000/365/$E16</f>
        <v>2171.1076087041565</v>
      </c>
      <c r="W100" s="86">
        <f>W99*1000/365/$E16</f>
        <v>2127.6854565300737</v>
      </c>
      <c r="X100" s="86">
        <f>X99*1000/365/$E16</f>
        <v>2085.1317473994718</v>
      </c>
      <c r="Y100" s="86">
        <f>Y99*1000/365/$E16</f>
        <v>2043.4291124514823</v>
      </c>
      <c r="Z100" s="86">
        <f>Z99*1000/365/$E16</f>
        <v>2002.560530202453</v>
      </c>
      <c r="AA100" s="86">
        <f>AA99*1000/365/$E16</f>
        <v>1962.5093195984039</v>
      </c>
      <c r="AB100" s="86">
        <f>AB99*1000/365/$E16</f>
        <v>1923.2591332064355</v>
      </c>
      <c r="AC100" s="86">
        <f>AC99*1000/365/$E16</f>
        <v>1884.7939505423067</v>
      </c>
      <c r="AD100" s="86">
        <f>AD99*1000/365/$E16</f>
        <v>1847.0980715314604</v>
      </c>
      <c r="AE100" s="86">
        <f>AE99*1000/365/$E16</f>
        <v>1810.1561101008308</v>
      </c>
      <c r="AF100" s="86">
        <f>AF99*1000/365/$E16</f>
        <v>1773.9529878988144</v>
      </c>
      <c r="AG100" s="86">
        <f>AG99*1000/365/$E16</f>
        <v>1738.4739281408379</v>
      </c>
      <c r="AH100" s="86">
        <f>AH99*1000/365/$E16</f>
        <v>1703.7044495780212</v>
      </c>
    </row>
    <row r="101" spans="1:34" x14ac:dyDescent="0.2">
      <c r="A101" t="s">
        <v>434</v>
      </c>
      <c r="B101" t="s">
        <v>435</v>
      </c>
      <c r="C101" s="72" t="s">
        <v>436</v>
      </c>
      <c r="D101" s="90">
        <f>IF(D$89&lt;$B$9,0,D100*1000*$B16*($B$8*(1+$B$8)^$D16/((1+$B$8)^$D16-1))*$B$7/1000000)</f>
        <v>0</v>
      </c>
      <c r="E101" s="90">
        <f>IF(E$89&lt;$B$9,0,E100*1000*$B16*($B$8*(1+$B$8)^$D16/((1+$B$8)^$D16-1))*$B$7/1000000)</f>
        <v>0</v>
      </c>
      <c r="F101" s="90">
        <f>IF(F$89&lt;$B$9,0,F100*1000*$B16*($B$8*(1+$B$8)^$D16/((1+$B$8)^$D16-1))*$B$7/1000000)</f>
        <v>0</v>
      </c>
      <c r="G101" s="90">
        <f>IF(G$89&lt;$B$9,0,G100*1000*$B16*($B$8*(1+$B$8)^$D16/((1+$B$8)^$D16-1))*$B$7/1000000)</f>
        <v>0</v>
      </c>
      <c r="H101" s="90">
        <f>IF(H$89&lt;$B$9,0,H100*1000*$B16*($B$8*(1+$B$8)^$D16/((1+$B$8)^$D16-1))*$B$7/1000000)</f>
        <v>0</v>
      </c>
      <c r="I101" s="90">
        <f>IF(I$89&lt;$B$9,0,I100*1000*$B16*($B$8*(1+$B$8)^$D16/((1+$B$8)^$D16-1))*$B$7/1000000)</f>
        <v>698.55320432188125</v>
      </c>
      <c r="J101" s="90">
        <f>IF(J$89&lt;$B$9,0,J100*1000*$B16*($B$8*(1+$B$8)^$D16/((1+$B$8)^$D16-1))*$B$7/1000000)</f>
        <v>684.58214023544372</v>
      </c>
      <c r="K101" s="90">
        <f>IF(K$89&lt;$B$9,0,K100*1000*$B16*($B$8*(1+$B$8)^$D16/((1+$B$8)^$D16-1))*$B$7/1000000)</f>
        <v>670.89049743073485</v>
      </c>
      <c r="L101" s="90">
        <f>IF(L$89&lt;$B$9,0,L100*1000*$B16*($B$8*(1+$B$8)^$D16/((1+$B$8)^$D16-1))*$B$7/1000000)</f>
        <v>657.47268748212014</v>
      </c>
      <c r="M101" s="90">
        <f>IF(M$89&lt;$B$9,0,M100*1000*$B16*($B$8*(1+$B$8)^$D16/((1+$B$8)^$D16-1))*$B$7/1000000)</f>
        <v>644.32323373247777</v>
      </c>
      <c r="N101" s="90">
        <f>IF(N$89&lt;$B$9,0,N100*1000*$B16*($B$8*(1+$B$8)^$D16/((1+$B$8)^$D16-1))*$B$7/1000000)</f>
        <v>631.43676905782809</v>
      </c>
      <c r="O101" s="90">
        <f>IF(O$89&lt;$B$9,0,O100*1000*$B16*($B$8*(1+$B$8)^$D16/((1+$B$8)^$D16-1))*$B$7/1000000)</f>
        <v>618.80803367667147</v>
      </c>
      <c r="P101" s="90">
        <f>IF(P$89&lt;$B$9,0,P100*1000*$B16*($B$8*(1+$B$8)^$D16/((1+$B$8)^$D16-1))*$B$7/1000000)</f>
        <v>606.43187300313798</v>
      </c>
      <c r="Q101" s="90">
        <f>IF(Q$89&lt;$B$9,0,Q100*1000*$B16*($B$8*(1+$B$8)^$D16/((1+$B$8)^$D16-1))*$B$7/1000000)</f>
        <v>594.30323554307517</v>
      </c>
      <c r="R101" s="90">
        <f>IF(R$89&lt;$B$9,0,R100*1000*$B16*($B$8*(1+$B$8)^$D16/((1+$B$8)^$D16-1))*$B$7/1000000)</f>
        <v>582.41717083221374</v>
      </c>
      <c r="S101" s="90">
        <f>IF(S$89&lt;$B$9,0,S100*1000*$B16*($B$8*(1+$B$8)^$D16/((1+$B$8)^$D16-1))*$B$7/1000000)</f>
        <v>570.76882741556938</v>
      </c>
      <c r="T101" s="90">
        <f>IF(T$89&lt;$B$9,0,T100*1000*$B16*($B$8*(1+$B$8)^$D16/((1+$B$8)^$D16-1))*$B$7/1000000)</f>
        <v>559.35345086725806</v>
      </c>
      <c r="U101" s="90">
        <f>IF(U$89&lt;$B$9,0,U100*1000*$B16*($B$8*(1+$B$8)^$D16/((1+$B$8)^$D16-1))*$B$7/1000000)</f>
        <v>548.16638184991314</v>
      </c>
      <c r="V101" s="90">
        <f>IF(V$89&lt;$B$9,0,V100*1000*$B16*($B$8*(1+$B$8)^$D16/((1+$B$8)^$D16-1))*$B$7/1000000)</f>
        <v>537.20305421291471</v>
      </c>
      <c r="W101" s="90">
        <f>IF(W$89&lt;$B$9,0,W100*1000*$B16*($B$8*(1+$B$8)^$D16/((1+$B$8)^$D16-1))*$B$7/1000000)</f>
        <v>526.45899312865652</v>
      </c>
      <c r="X101" s="90">
        <f>IF(X$89&lt;$B$9,0,X100*1000*$B16*($B$8*(1+$B$8)^$D16/((1+$B$8)^$D16-1))*$B$7/1000000)</f>
        <v>515.92981326608322</v>
      </c>
      <c r="Y101" s="90">
        <f>IF(Y$89&lt;$B$9,0,Y100*1000*$B16*($B$8*(1+$B$8)^$D16/((1+$B$8)^$D16-1))*$B$7/1000000)</f>
        <v>505.61121700076154</v>
      </c>
      <c r="Z101" s="90">
        <f>IF(Z$89&lt;$B$9,0,Z100*1000*$B16*($B$8*(1+$B$8)^$D16/((1+$B$8)^$D16-1))*$B$7/1000000)</f>
        <v>495.49899266074641</v>
      </c>
      <c r="AA101" s="90">
        <f>IF(AA$89&lt;$B$9,0,AA100*1000*$B16*($B$8*(1+$B$8)^$D16/((1+$B$8)^$D16-1))*$B$7/1000000)</f>
        <v>485.58901280753139</v>
      </c>
      <c r="AB101" s="90">
        <f>IF(AB$89&lt;$B$9,0,AB100*1000*$B16*($B$8*(1+$B$8)^$D16/((1+$B$8)^$D16-1))*$B$7/1000000)</f>
        <v>475.87723255138081</v>
      </c>
      <c r="AC101" s="90">
        <f>IF(AC$89&lt;$B$9,0,AC100*1000*$B16*($B$8*(1+$B$8)^$D16/((1+$B$8)^$D16-1))*$B$7/1000000)</f>
        <v>466.35968790035315</v>
      </c>
      <c r="AD101" s="90">
        <f>IF(AD$89&lt;$B$9,0,AD100*1000*$B16*($B$8*(1+$B$8)^$D16/((1+$B$8)^$D16-1))*$B$7/1000000)</f>
        <v>457.03249414234608</v>
      </c>
      <c r="AE101" s="90">
        <f>IF(AE$89&lt;$B$9,0,AE100*1000*$B16*($B$8*(1+$B$8)^$D16/((1+$B$8)^$D16-1))*$B$7/1000000)</f>
        <v>447.89184425949907</v>
      </c>
      <c r="AF101" s="90">
        <f>IF(AF$89&lt;$B$9,0,AF100*1000*$B16*($B$8*(1+$B$8)^$D16/((1+$B$8)^$D16-1))*$B$7/1000000)</f>
        <v>438.93400737430915</v>
      </c>
      <c r="AG101" s="90">
        <f>IF(AG$89&lt;$B$9,0,AG100*1000*$B16*($B$8*(1+$B$8)^$D16/((1+$B$8)^$D16-1))*$B$7/1000000)</f>
        <v>430.15532722682286</v>
      </c>
      <c r="AH101" s="90">
        <f>IF(AH$89&lt;$B$9,0,AH100*1000*$B16*($B$8*(1+$B$8)^$D16/((1+$B$8)^$D16-1))*$B$7/1000000)</f>
        <v>421.55222068228636</v>
      </c>
    </row>
    <row r="102" spans="1:34" ht="15" customHeight="1" x14ac:dyDescent="0.2">
      <c r="A102" t="s">
        <v>439</v>
      </c>
      <c r="B102" t="s">
        <v>435</v>
      </c>
      <c r="C102" s="72" t="s">
        <v>440</v>
      </c>
      <c r="D102" s="90">
        <f>IF(D$89&lt;$B$9,0,D99*$C16*$B$7)</f>
        <v>0</v>
      </c>
      <c r="E102" s="90">
        <f>IF(E$89&lt;$B$9,0,E99*$C16*$B$7)</f>
        <v>0</v>
      </c>
      <c r="F102" s="90">
        <f>IF(F$89&lt;$B$9,0,F99*$C16*$B$7)</f>
        <v>0</v>
      </c>
      <c r="G102" s="90">
        <f>IF(G$89&lt;$B$9,0,G99*$C16*$B$7)</f>
        <v>0</v>
      </c>
      <c r="H102" s="90">
        <f>IF(H$89&lt;$B$9,0,H99*$C16*$B$7)</f>
        <v>0</v>
      </c>
      <c r="I102" s="90">
        <f>IF(I$89&lt;$B$9,0,I99*$C16*$B$7)</f>
        <v>321.50654900582396</v>
      </c>
      <c r="J102" s="90">
        <f>IF(J$89&lt;$B$9,0,J99*$C16*$B$7)</f>
        <v>315.07641802570748</v>
      </c>
      <c r="K102" s="90">
        <f>IF(K$89&lt;$B$9,0,K99*$C16*$B$7)</f>
        <v>308.77488966519326</v>
      </c>
      <c r="L102" s="90">
        <f>IF(L$89&lt;$B$9,0,L99*$C16*$B$7)</f>
        <v>302.5993918718894</v>
      </c>
      <c r="M102" s="90">
        <f>IF(M$89&lt;$B$9,0,M99*$C16*$B$7)</f>
        <v>296.54740403445163</v>
      </c>
      <c r="N102" s="90">
        <f>IF(N$89&lt;$B$9,0,N99*$C16*$B$7)</f>
        <v>290.61645595376257</v>
      </c>
      <c r="O102" s="90">
        <f>IF(O$89&lt;$B$9,0,O99*$C16*$B$7)</f>
        <v>284.80412683468734</v>
      </c>
      <c r="P102" s="90">
        <f>IF(P$89&lt;$B$9,0,P99*$C16*$B$7)</f>
        <v>279.10804429799356</v>
      </c>
      <c r="Q102" s="90">
        <f>IF(Q$89&lt;$B$9,0,Q99*$C16*$B$7)</f>
        <v>273.52588341203369</v>
      </c>
      <c r="R102" s="90">
        <f>IF(R$89&lt;$B$9,0,R99*$C16*$B$7)</f>
        <v>268.055365743793</v>
      </c>
      <c r="S102" s="90">
        <f>IF(S$89&lt;$B$9,0,S99*$C16*$B$7)</f>
        <v>262.69425842891712</v>
      </c>
      <c r="T102" s="90">
        <f>IF(T$89&lt;$B$9,0,T99*$C16*$B$7)</f>
        <v>257.44037326033879</v>
      </c>
      <c r="U102" s="90">
        <f>IF(U$89&lt;$B$9,0,U99*$C16*$B$7)</f>
        <v>252.29156579513204</v>
      </c>
      <c r="V102" s="90">
        <f>IF(V$89&lt;$B$9,0,V99*$C16*$B$7)</f>
        <v>247.24573447922936</v>
      </c>
      <c r="W102" s="90">
        <f>IF(W$89&lt;$B$9,0,W99*$C16*$B$7)</f>
        <v>242.30081978964478</v>
      </c>
      <c r="X102" s="90">
        <f>IF(X$89&lt;$B$9,0,X99*$C16*$B$7)</f>
        <v>237.45480339385188</v>
      </c>
      <c r="Y102" s="90">
        <f>IF(Y$89&lt;$B$9,0,Y99*$C16*$B$7)</f>
        <v>232.7057073259748</v>
      </c>
      <c r="Z102" s="90">
        <f>IF(Z$89&lt;$B$9,0,Z99*$C16*$B$7)</f>
        <v>228.05159317945532</v>
      </c>
      <c r="AA102" s="90">
        <f>IF(AA$89&lt;$B$9,0,AA99*$C16*$B$7)</f>
        <v>223.49056131586622</v>
      </c>
      <c r="AB102" s="90">
        <f>IF(AB$89&lt;$B$9,0,AB99*$C16*$B$7)</f>
        <v>219.0207500895489</v>
      </c>
      <c r="AC102" s="90">
        <f>IF(AC$89&lt;$B$9,0,AC99*$C16*$B$7)</f>
        <v>214.6403350877579</v>
      </c>
      <c r="AD102" s="90">
        <f>IF(AD$89&lt;$B$9,0,AD99*$C16*$B$7)</f>
        <v>210.34752838600272</v>
      </c>
      <c r="AE102" s="90">
        <f>IF(AE$89&lt;$B$9,0,AE99*$C16*$B$7)</f>
        <v>206.14057781828262</v>
      </c>
      <c r="AF102" s="90">
        <f>IF(AF$89&lt;$B$9,0,AF99*$C16*$B$7)</f>
        <v>202.01776626191702</v>
      </c>
      <c r="AG102" s="90">
        <f>IF(AG$89&lt;$B$9,0,AG99*$C16*$B$7)</f>
        <v>197.97741093667867</v>
      </c>
      <c r="AH102" s="90">
        <f>IF(AH$89&lt;$B$9,0,AH99*$C16*$B$7)</f>
        <v>194.01786271794506</v>
      </c>
    </row>
    <row r="103" spans="1:34" ht="15" customHeight="1" x14ac:dyDescent="0.2">
      <c r="A103" s="81" t="s">
        <v>441</v>
      </c>
      <c r="B103" s="81" t="s">
        <v>435</v>
      </c>
      <c r="C103" s="72" t="s">
        <v>442</v>
      </c>
      <c r="D103" s="91">
        <f>D101+D102</f>
        <v>0</v>
      </c>
      <c r="E103" s="91">
        <f>E101+E102</f>
        <v>0</v>
      </c>
      <c r="F103" s="91">
        <f>F101+F102</f>
        <v>0</v>
      </c>
      <c r="G103" s="91">
        <f>G101+G102</f>
        <v>0</v>
      </c>
      <c r="H103" s="91">
        <f>H101+H102</f>
        <v>0</v>
      </c>
      <c r="I103" s="91">
        <f>I101+I102</f>
        <v>1020.0597533277053</v>
      </c>
      <c r="J103" s="91">
        <f>J101+J102</f>
        <v>999.65855826115126</v>
      </c>
      <c r="K103" s="91">
        <f>K101+K102</f>
        <v>979.66538709592805</v>
      </c>
      <c r="L103" s="91">
        <f>L101+L102</f>
        <v>960.07207935400947</v>
      </c>
      <c r="M103" s="91">
        <f>M101+M102</f>
        <v>940.87063776692935</v>
      </c>
      <c r="N103" s="91">
        <f>N101+N102</f>
        <v>922.05322501159071</v>
      </c>
      <c r="O103" s="91">
        <f>O101+O102</f>
        <v>903.61216051135875</v>
      </c>
      <c r="P103" s="91">
        <f>P101+P102</f>
        <v>885.53991730113148</v>
      </c>
      <c r="Q103" s="91">
        <f>Q101+Q102</f>
        <v>867.82911895510892</v>
      </c>
      <c r="R103" s="91">
        <f>R101+R102</f>
        <v>850.47253657600675</v>
      </c>
      <c r="S103" s="91">
        <f>S101+S102</f>
        <v>833.4630858444865</v>
      </c>
      <c r="T103" s="91">
        <f>T101+T102</f>
        <v>816.79382412759685</v>
      </c>
      <c r="U103" s="91">
        <f>U101+U102</f>
        <v>800.45794764504512</v>
      </c>
      <c r="V103" s="91">
        <f>V101+V102</f>
        <v>784.44878869214403</v>
      </c>
      <c r="W103" s="91">
        <f>W101+W102</f>
        <v>768.75981291830135</v>
      </c>
      <c r="X103" s="91">
        <f>X101+X102</f>
        <v>753.38461665993509</v>
      </c>
      <c r="Y103" s="91">
        <f>Y101+Y102</f>
        <v>738.3169243267364</v>
      </c>
      <c r="Z103" s="91">
        <f>Z101+Z102</f>
        <v>723.55058584020173</v>
      </c>
      <c r="AA103" s="91">
        <f>AA101+AA102</f>
        <v>709.07957412339761</v>
      </c>
      <c r="AB103" s="91">
        <f>AB101+AB102</f>
        <v>694.89798264092974</v>
      </c>
      <c r="AC103" s="91">
        <f>AC101+AC102</f>
        <v>681.00002298811103</v>
      </c>
      <c r="AD103" s="91">
        <f>AD101+AD102</f>
        <v>667.38002252834883</v>
      </c>
      <c r="AE103" s="91">
        <f>AE101+AE102</f>
        <v>654.03242207778169</v>
      </c>
      <c r="AF103" s="91">
        <f>AF101+AF102</f>
        <v>640.95177363622611</v>
      </c>
      <c r="AG103" s="91">
        <f>AG101+AG102</f>
        <v>628.13273816350147</v>
      </c>
      <c r="AH103" s="91">
        <f>AH101+AH102</f>
        <v>615.5700834002314</v>
      </c>
    </row>
    <row r="105" spans="1:34" ht="15" customHeight="1" x14ac:dyDescent="0.2">
      <c r="A105" s="74" t="s">
        <v>444</v>
      </c>
    </row>
    <row r="106" spans="1:34" ht="15" customHeight="1" x14ac:dyDescent="0.2">
      <c r="A106" t="s">
        <v>429</v>
      </c>
      <c r="B106" t="s">
        <v>95</v>
      </c>
      <c r="C106" s="72" t="s">
        <v>456</v>
      </c>
      <c r="D106" s="85">
        <f>Supply!D46+Supply!D49+Supply!D52+Supply!D65</f>
        <v>6059.6921628399505</v>
      </c>
      <c r="E106" s="85">
        <f>Supply!E46+Supply!E49+Supply!E52+Supply!E65</f>
        <v>6156.0564450984248</v>
      </c>
      <c r="F106" s="85">
        <f>Supply!F46+Supply!F49+Supply!F52+Supply!F65</f>
        <v>6250.7089606716991</v>
      </c>
      <c r="G106" s="85">
        <f>Supply!G46+Supply!G49+Supply!G52+Supply!G65</f>
        <v>6343.689292880953</v>
      </c>
      <c r="H106" s="85">
        <f>Supply!H46+Supply!H49+Supply!H52+Supply!H65</f>
        <v>6435.0368317661923</v>
      </c>
      <c r="I106" s="85">
        <f>Supply!I46+Supply!I49+Supply!I52+Supply!I65</f>
        <v>6524.7907837975736</v>
      </c>
      <c r="J106" s="85">
        <f>Supply!J46+Supply!J49+Supply!J52+Supply!J65</f>
        <v>6612.9901815949561</v>
      </c>
      <c r="K106" s="85">
        <f>Supply!K46+Supply!K49+Supply!K52+Supply!K65</f>
        <v>6739.6984046017715</v>
      </c>
      <c r="L106" s="85">
        <f>Supply!L46+Supply!L49+Supply!L52+Supply!L65</f>
        <v>6830.7888039146947</v>
      </c>
      <c r="M106" s="85">
        <f>Supply!M46+Supply!M49+Supply!M52+Supply!M65</f>
        <v>6920.6224940027096</v>
      </c>
      <c r="N106" s="85">
        <f>Supply!N46+Supply!N49+Supply!N52+Supply!N65</f>
        <v>7009.2378937268386</v>
      </c>
      <c r="O106" s="85">
        <f>Supply!O46+Supply!O49+Supply!O52+Supply!O65</f>
        <v>7096.6732670272604</v>
      </c>
      <c r="P106" s="85">
        <f>Supply!P46+Supply!P49+Supply!P52+Supply!P65</f>
        <v>7182.9667332657464</v>
      </c>
      <c r="Q106" s="85">
        <f>Supply!Q46+Supply!Q49+Supply!Q52+Supply!Q65</f>
        <v>7268.1562775932571</v>
      </c>
      <c r="R106" s="85">
        <f>Supply!R46+Supply!R49+Supply!R52+Supply!R65</f>
        <v>7352.2797613460125</v>
      </c>
      <c r="S106" s="85">
        <f>Supply!S46+Supply!S49+Supply!S52+Supply!S65</f>
        <v>7435.3749324734181</v>
      </c>
      <c r="T106" s="85">
        <f>Supply!T46+Supply!T49+Supply!T52+Supply!T65</f>
        <v>7517.4794360012529</v>
      </c>
      <c r="U106" s="85">
        <f>Supply!U46+Supply!U49+Supply!U52+Supply!U65</f>
        <v>7598.6308245335194</v>
      </c>
      <c r="V106" s="85">
        <f>Supply!V46+Supply!V49+Supply!V52+Supply!V65</f>
        <v>7678.866568796373</v>
      </c>
      <c r="W106" s="85">
        <f>Supply!W46+Supply!W49+Supply!W52+Supply!W65</f>
        <v>7758.2240682276388</v>
      </c>
      <c r="X106" s="85">
        <f>Supply!X46+Supply!X49+Supply!X52+Supply!X65</f>
        <v>7836.7406616153439</v>
      </c>
      <c r="Y106" s="85">
        <f>Supply!Y46+Supply!Y49+Supply!Y52+Supply!Y65</f>
        <v>7914.4536377888144</v>
      </c>
      <c r="Z106" s="85">
        <f>Supply!Z46+Supply!Z49+Supply!Z52+Supply!Z65</f>
        <v>7991.4002463658671</v>
      </c>
      <c r="AA106" s="85">
        <f>Supply!AA46+Supply!AA49+Supply!AA52+Supply!AA65</f>
        <v>8067.6177085596555</v>
      </c>
      <c r="AB106" s="85">
        <f>Supply!AB46+Supply!AB49+Supply!AB52+Supply!AB65</f>
        <v>8143.1432280487788</v>
      </c>
      <c r="AC106" s="85">
        <f>Supply!AC46+Supply!AC49+Supply!AC52+Supply!AC65</f>
        <v>8218.0140019142891</v>
      </c>
      <c r="AD106" s="85">
        <f>Supply!AD46+Supply!AD49+Supply!AD52+Supply!AD65</f>
        <v>8292.2672316472472</v>
      </c>
      <c r="AE106" s="85">
        <f>Supply!AE46+Supply!AE49+Supply!AE52+Supply!AE65</f>
        <v>8365.9401342305337</v>
      </c>
      <c r="AF106" s="85">
        <f>Supply!AF46+Supply!AF49+Supply!AF52+Supply!AF65</f>
        <v>8439.0699532986546</v>
      </c>
      <c r="AG106" s="85">
        <f>Supply!AG46+Supply!AG49+Supply!AG52+Supply!AG65</f>
        <v>8511.6939703793068</v>
      </c>
      <c r="AH106" s="85">
        <f>Supply!AH46+Supply!AH49+Supply!AH52+Supply!AH65</f>
        <v>8583.8495162205127</v>
      </c>
    </row>
    <row r="107" spans="1:34" ht="15" customHeight="1" x14ac:dyDescent="0.2">
      <c r="A107" t="s">
        <v>431</v>
      </c>
      <c r="B107" t="s">
        <v>432</v>
      </c>
      <c r="C107" s="72" t="s">
        <v>433</v>
      </c>
      <c r="D107" s="86">
        <f>D106*1000/365/$E17</f>
        <v>23716.994766496871</v>
      </c>
      <c r="E107" s="86">
        <f>E106*1000/365/$E17</f>
        <v>24094.154383946865</v>
      </c>
      <c r="F107" s="86">
        <f>F106*1000/365/$E17</f>
        <v>24464.614327482188</v>
      </c>
      <c r="G107" s="86">
        <f>G106*1000/365/$E17</f>
        <v>24828.52952203896</v>
      </c>
      <c r="H107" s="86">
        <f>H106*1000/365/$E17</f>
        <v>25186.054136071201</v>
      </c>
      <c r="I107" s="86">
        <f>I106*1000/365/$E17</f>
        <v>25537.341619559975</v>
      </c>
      <c r="J107" s="86">
        <f>J106*1000/365/$E17</f>
        <v>25882.544742054626</v>
      </c>
      <c r="K107" s="86">
        <f>K106*1000/365/$E17</f>
        <v>26378.467336993235</v>
      </c>
      <c r="L107" s="86">
        <f>L106*1000/365/$E17</f>
        <v>26734.985533912703</v>
      </c>
      <c r="M107" s="86">
        <f>M106*1000/365/$E17</f>
        <v>27086.585103728805</v>
      </c>
      <c r="N107" s="86">
        <f>N106*1000/365/$E17</f>
        <v>27433.416413803676</v>
      </c>
      <c r="O107" s="86">
        <f>O106*1000/365/$E17</f>
        <v>27775.629225155619</v>
      </c>
      <c r="P107" s="86">
        <f>P106*1000/365/$E17</f>
        <v>28113.372732938344</v>
      </c>
      <c r="Q107" s="86">
        <f>Q106*1000/365/$E17</f>
        <v>28446.795607018619</v>
      </c>
      <c r="R107" s="86">
        <f>R106*1000/365/$E17</f>
        <v>28776.04603266541</v>
      </c>
      <c r="S107" s="86">
        <f>S106*1000/365/$E17</f>
        <v>29101.271751363678</v>
      </c>
      <c r="T107" s="86">
        <f>T106*1000/365/$E17</f>
        <v>29422.620101766159</v>
      </c>
      <c r="U107" s="86">
        <f>U106*1000/365/$E17</f>
        <v>29740.238060796553</v>
      </c>
      <c r="V107" s="86">
        <f>V106*1000/365/$E17</f>
        <v>30054.272284917311</v>
      </c>
      <c r="W107" s="86">
        <f>W106*1000/365/$E17</f>
        <v>30364.869151575887</v>
      </c>
      <c r="X107" s="86">
        <f>X106*1000/365/$E17</f>
        <v>30672.174800842837</v>
      </c>
      <c r="Y107" s="86">
        <f>Y106*1000/365/$E17</f>
        <v>30976.335177255638</v>
      </c>
      <c r="Z107" s="86">
        <f>Z106*1000/365/$E17</f>
        <v>31277.496071882069</v>
      </c>
      <c r="AA107" s="86">
        <f>AA106*1000/365/$E17</f>
        <v>31575.803164617049</v>
      </c>
      <c r="AB107" s="86">
        <f>AB106*1000/365/$E17</f>
        <v>31871.402066727125</v>
      </c>
      <c r="AC107" s="86">
        <f>AC106*1000/365/$E17</f>
        <v>32164.438363656711</v>
      </c>
      <c r="AD107" s="86">
        <f>AD106*1000/365/$E17</f>
        <v>32455.05765811056</v>
      </c>
      <c r="AE107" s="86">
        <f>AE106*1000/365/$E17</f>
        <v>32743.405613426748</v>
      </c>
      <c r="AF107" s="86">
        <f>AF106*1000/365/$E17</f>
        <v>33029.627997255011</v>
      </c>
      <c r="AG107" s="86">
        <f>AG106*1000/365/$E17</f>
        <v>33313.870725555018</v>
      </c>
      <c r="AH107" s="86">
        <f>AH106*1000/365/$E17</f>
        <v>33596.279906929594</v>
      </c>
    </row>
    <row r="108" spans="1:34" ht="15" customHeight="1" x14ac:dyDescent="0.2">
      <c r="A108" t="s">
        <v>434</v>
      </c>
      <c r="B108" t="s">
        <v>435</v>
      </c>
      <c r="C108" s="72" t="s">
        <v>436</v>
      </c>
      <c r="D108" s="90">
        <f>IF(D$89&lt;$B$9,0,D107*1000*$B17*($B$8*(1+$B$8)^$D17/((1+$B$8)^$D17-1))*$B$7/1000000)</f>
        <v>0</v>
      </c>
      <c r="E108" s="90">
        <f>IF(E$89&lt;$B$9,0,E107*1000*$B17*($B$8*(1+$B$8)^$D17/((1+$B$8)^$D17-1))*$B$7/1000000)</f>
        <v>0</v>
      </c>
      <c r="F108" s="90">
        <f>IF(F$89&lt;$B$9,0,F107*1000*$B17*($B$8*(1+$B$8)^$D17/((1+$B$8)^$D17-1))*$B$7/1000000)</f>
        <v>0</v>
      </c>
      <c r="G108" s="90">
        <f>IF(G$89&lt;$B$9,0,G107*1000*$B17*($B$8*(1+$B$8)^$D17/((1+$B$8)^$D17-1))*$B$7/1000000)</f>
        <v>0</v>
      </c>
      <c r="H108" s="90">
        <f>IF(H$89&lt;$B$9,0,H107*1000*$B17*($B$8*(1+$B$8)^$D17/((1+$B$8)^$D17-1))*$B$7/1000000)</f>
        <v>0</v>
      </c>
      <c r="I108" s="90">
        <f>IF(I$89&lt;$B$9,0,I107*1000*$B17*($B$8*(1+$B$8)^$D17/((1+$B$8)^$D17-1))*$B$7/1000000)</f>
        <v>1144.9158497289595</v>
      </c>
      <c r="J108" s="90">
        <f>IF(J$89&lt;$B$9,0,J107*1000*$B17*($B$8*(1+$B$8)^$D17/((1+$B$8)^$D17-1))*$B$7/1000000)</f>
        <v>1160.3923441976451</v>
      </c>
      <c r="K108" s="90">
        <f>IF(K$89&lt;$B$9,0,K107*1000*$B17*($B$8*(1+$B$8)^$D17/((1+$B$8)^$D17-1))*$B$7/1000000)</f>
        <v>1182.6260460309261</v>
      </c>
      <c r="L108" s="90">
        <f>IF(L$89&lt;$B$9,0,L107*1000*$B17*($B$8*(1+$B$8)^$D17/((1+$B$8)^$D17-1))*$B$7/1000000)</f>
        <v>1198.6098293256307</v>
      </c>
      <c r="M108" s="90">
        <f>IF(M$89&lt;$B$9,0,M107*1000*$B17*($B$8*(1+$B$8)^$D17/((1+$B$8)^$D17-1))*$B$7/1000000)</f>
        <v>1214.3730957704047</v>
      </c>
      <c r="N108" s="90">
        <f>IF(N$89&lt;$B$9,0,N107*1000*$B17*($B$8*(1+$B$8)^$D17/((1+$B$8)^$D17-1))*$B$7/1000000)</f>
        <v>1229.9225867864477</v>
      </c>
      <c r="O108" s="90">
        <f>IF(O$89&lt;$B$9,0,O107*1000*$B17*($B$8*(1+$B$8)^$D17/((1+$B$8)^$D17-1))*$B$7/1000000)</f>
        <v>1245.2650166107426</v>
      </c>
      <c r="P108" s="90">
        <f>IF(P$89&lt;$B$9,0,P107*1000*$B17*($B$8*(1+$B$8)^$D17/((1+$B$8)^$D17-1))*$B$7/1000000)</f>
        <v>1260.4070741108596</v>
      </c>
      <c r="Q108" s="90">
        <f>IF(Q$89&lt;$B$9,0,Q107*1000*$B17*($B$8*(1+$B$8)^$D17/((1+$B$8)^$D17-1))*$B$7/1000000)</f>
        <v>1275.355424604174</v>
      </c>
      <c r="R108" s="90">
        <f>IF(R$89&lt;$B$9,0,R107*1000*$B17*($B$8*(1+$B$8)^$D17/((1+$B$8)^$D17-1))*$B$7/1000000)</f>
        <v>1290.116711682085</v>
      </c>
      <c r="S108" s="90">
        <f>IF(S$89&lt;$B$9,0,S107*1000*$B17*($B$8*(1+$B$8)^$D17/((1+$B$8)^$D17-1))*$B$7/1000000)</f>
        <v>1304.6975590398204</v>
      </c>
      <c r="T108" s="90">
        <f>IF(T$89&lt;$B$9,0,T107*1000*$B17*($B$8*(1+$B$8)^$D17/((1+$B$8)^$D17-1))*$B$7/1000000)</f>
        <v>1319.1045723124257</v>
      </c>
      <c r="U108" s="90">
        <f>IF(U$89&lt;$B$9,0,U107*1000*$B17*($B$8*(1+$B$8)^$D17/((1+$B$8)^$D17-1))*$B$7/1000000)</f>
        <v>1333.3443409175468</v>
      </c>
      <c r="V108" s="90">
        <f>IF(V$89&lt;$B$9,0,V107*1000*$B17*($B$8*(1+$B$8)^$D17/((1+$B$8)^$D17-1))*$B$7/1000000)</f>
        <v>1347.4234399055872</v>
      </c>
      <c r="W108" s="90">
        <f>IF(W$89&lt;$B$9,0,W107*1000*$B17*($B$8*(1+$B$8)^$D17/((1+$B$8)^$D17-1))*$B$7/1000000)</f>
        <v>1361.3484318178691</v>
      </c>
      <c r="X108" s="90">
        <f>IF(X$89&lt;$B$9,0,X107*1000*$B17*($B$8*(1+$B$8)^$D17/((1+$B$8)^$D17-1))*$B$7/1000000)</f>
        <v>1375.1258685533944</v>
      </c>
      <c r="Y108" s="90">
        <f>IF(Y$89&lt;$B$9,0,Y107*1000*$B17*($B$8*(1+$B$8)^$D17/((1+$B$8)^$D17-1))*$B$7/1000000)</f>
        <v>1388.7622932448278</v>
      </c>
      <c r="Z108" s="90">
        <f>IF(Z$89&lt;$B$9,0,Z107*1000*$B17*($B$8*(1+$B$8)^$D17/((1+$B$8)^$D17-1))*$B$7/1000000)</f>
        <v>1402.264242144327</v>
      </c>
      <c r="AA108" s="90">
        <f>IF(AA$89&lt;$B$9,0,AA107*1000*$B17*($B$8*(1+$B$8)^$D17/((1+$B$8)^$D17-1))*$B$7/1000000)</f>
        <v>1415.6382465198355</v>
      </c>
      <c r="AB108" s="90">
        <f>IF(AB$89&lt;$B$9,0,AB107*1000*$B17*($B$8*(1+$B$8)^$D17/((1+$B$8)^$D17-1))*$B$7/1000000)</f>
        <v>1428.8908345624798</v>
      </c>
      <c r="AC108" s="90">
        <f>IF(AC$89&lt;$B$9,0,AC107*1000*$B17*($B$8*(1+$B$8)^$D17/((1+$B$8)^$D17-1))*$B$7/1000000)</f>
        <v>1442.0285333057031</v>
      </c>
      <c r="AD108" s="90">
        <f>IF(AD$89&lt;$B$9,0,AD107*1000*$B17*($B$8*(1+$B$8)^$D17/((1+$B$8)^$D17-1))*$B$7/1000000)</f>
        <v>1455.0578705567823</v>
      </c>
      <c r="AE108" s="90">
        <f>IF(AE$89&lt;$B$9,0,AE107*1000*$B17*($B$8*(1+$B$8)^$D17/((1+$B$8)^$D17-1))*$B$7/1000000)</f>
        <v>1467.9853768413668</v>
      </c>
      <c r="AF108" s="90">
        <f>IF(AF$89&lt;$B$9,0,AF107*1000*$B17*($B$8*(1+$B$8)^$D17/((1+$B$8)^$D17-1))*$B$7/1000000)</f>
        <v>1480.8175873617124</v>
      </c>
      <c r="AG108" s="90">
        <f>IF(AG$89&lt;$B$9,0,AG107*1000*$B17*($B$8*(1+$B$8)^$D17/((1+$B$8)^$D17-1))*$B$7/1000000)</f>
        <v>1493.5610439692562</v>
      </c>
      <c r="AH108" s="90">
        <f>IF(AH$89&lt;$B$9,0,AH107*1000*$B17*($B$8*(1+$B$8)^$D17/((1+$B$8)^$D17-1))*$B$7/1000000)</f>
        <v>1506.222297152206</v>
      </c>
    </row>
    <row r="109" spans="1:34" ht="15" customHeight="1" x14ac:dyDescent="0.2">
      <c r="A109" t="s">
        <v>439</v>
      </c>
      <c r="B109" t="s">
        <v>435</v>
      </c>
      <c r="C109" s="72" t="s">
        <v>440</v>
      </c>
      <c r="D109" s="90">
        <f>IF(D$89&lt;$B$9,0,D106*$C17*$B$7)</f>
        <v>0</v>
      </c>
      <c r="E109" s="90">
        <f>IF(E$89&lt;$B$9,0,E106*$C17*$B$7)</f>
        <v>0</v>
      </c>
      <c r="F109" s="90">
        <f>IF(F$89&lt;$B$9,0,F106*$C17*$B$7)</f>
        <v>0</v>
      </c>
      <c r="G109" s="90">
        <f>IF(G$89&lt;$B$9,0,G106*$C17*$B$7)</f>
        <v>0</v>
      </c>
      <c r="H109" s="90">
        <f>IF(H$89&lt;$B$9,0,H106*$C17*$B$7)</f>
        <v>0</v>
      </c>
      <c r="I109" s="90">
        <f>IF(I$89&lt;$B$9,0,I106*$C17*$B$7)</f>
        <v>1272.3342028405268</v>
      </c>
      <c r="J109" s="90">
        <f>IF(J$89&lt;$B$9,0,J106*$C17*$B$7)</f>
        <v>1289.5330854110164</v>
      </c>
      <c r="K109" s="90">
        <f>IF(K$89&lt;$B$9,0,K106*$C17*$B$7)</f>
        <v>1314.2411888973454</v>
      </c>
      <c r="L109" s="90">
        <f>IF(L$89&lt;$B$9,0,L106*$C17*$B$7)</f>
        <v>1332.0038167633654</v>
      </c>
      <c r="M109" s="90">
        <f>IF(M$89&lt;$B$9,0,M106*$C17*$B$7)</f>
        <v>1349.5213863305285</v>
      </c>
      <c r="N109" s="90">
        <f>IF(N$89&lt;$B$9,0,N106*$C17*$B$7)</f>
        <v>1366.8013892767337</v>
      </c>
      <c r="O109" s="90">
        <f>IF(O$89&lt;$B$9,0,O106*$C17*$B$7)</f>
        <v>1383.8512870703157</v>
      </c>
      <c r="P109" s="90">
        <f>IF(P$89&lt;$B$9,0,P106*$C17*$B$7)</f>
        <v>1400.6785129868206</v>
      </c>
      <c r="Q109" s="90">
        <f>IF(Q$89&lt;$B$9,0,Q106*$C17*$B$7)</f>
        <v>1417.2904741306852</v>
      </c>
      <c r="R109" s="90">
        <f>IF(R$89&lt;$B$9,0,R106*$C17*$B$7)</f>
        <v>1433.6945534624724</v>
      </c>
      <c r="S109" s="90">
        <f>IF(S$89&lt;$B$9,0,S106*$C17*$B$7)</f>
        <v>1449.8981118323165</v>
      </c>
      <c r="T109" s="90">
        <f>IF(T$89&lt;$B$9,0,T106*$C17*$B$7)</f>
        <v>1465.9084900202442</v>
      </c>
      <c r="U109" s="90">
        <f>IF(U$89&lt;$B$9,0,U106*$C17*$B$7)</f>
        <v>1481.7330107840362</v>
      </c>
      <c r="V109" s="90">
        <f>IF(V$89&lt;$B$9,0,V106*$C17*$B$7)</f>
        <v>1497.3789809152929</v>
      </c>
      <c r="W109" s="90">
        <f>IF(W$89&lt;$B$9,0,W106*$C17*$B$7)</f>
        <v>1512.8536933043895</v>
      </c>
      <c r="X109" s="90">
        <f>IF(X$89&lt;$B$9,0,X106*$C17*$B$7)</f>
        <v>1528.164429014992</v>
      </c>
      <c r="Y109" s="90">
        <f>IF(Y$89&lt;$B$9,0,Y106*$C17*$B$7)</f>
        <v>1543.3184593688188</v>
      </c>
      <c r="Z109" s="90">
        <f>IF(Z$89&lt;$B$9,0,Z106*$C17*$B$7)</f>
        <v>1558.323048041344</v>
      </c>
      <c r="AA109" s="90">
        <f>IF(AA$89&lt;$B$9,0,AA106*$C17*$B$7)</f>
        <v>1573.1854531691329</v>
      </c>
      <c r="AB109" s="90">
        <f>IF(AB$89&lt;$B$9,0,AB106*$C17*$B$7)</f>
        <v>1587.9129294695117</v>
      </c>
      <c r="AC109" s="90">
        <f>IF(AC$89&lt;$B$9,0,AC106*$C17*$B$7)</f>
        <v>1602.5127303732863</v>
      </c>
      <c r="AD109" s="90">
        <f>IF(AD$89&lt;$B$9,0,AD106*$C17*$B$7)</f>
        <v>1616.9921101712132</v>
      </c>
      <c r="AE109" s="90">
        <f>IF(AE$89&lt;$B$9,0,AE106*$C17*$B$7)</f>
        <v>1631.3583261749541</v>
      </c>
      <c r="AF109" s="90">
        <f>IF(AF$89&lt;$B$9,0,AF106*$C17*$B$7)</f>
        <v>1645.6186408932376</v>
      </c>
      <c r="AG109" s="90">
        <f>IF(AG$89&lt;$B$9,0,AG106*$C17*$B$7)</f>
        <v>1659.7803242239647</v>
      </c>
      <c r="AH109" s="90">
        <f>IF(AH$89&lt;$B$9,0,AH106*$C17*$B$7)</f>
        <v>1673.8506556629998</v>
      </c>
    </row>
    <row r="110" spans="1:34" ht="15" customHeight="1" x14ac:dyDescent="0.2">
      <c r="A110" s="81" t="s">
        <v>441</v>
      </c>
      <c r="B110" s="81" t="s">
        <v>435</v>
      </c>
      <c r="C110" s="72" t="s">
        <v>442</v>
      </c>
      <c r="D110" s="91">
        <f>D108+D109</f>
        <v>0</v>
      </c>
      <c r="E110" s="91">
        <f>E108+E109</f>
        <v>0</v>
      </c>
      <c r="F110" s="91">
        <f>F108+F109</f>
        <v>0</v>
      </c>
      <c r="G110" s="91">
        <f>G108+G109</f>
        <v>0</v>
      </c>
      <c r="H110" s="91">
        <f>H108+H109</f>
        <v>0</v>
      </c>
      <c r="I110" s="91">
        <f>I108+I109</f>
        <v>2417.2500525694863</v>
      </c>
      <c r="J110" s="91">
        <f>J108+J109</f>
        <v>2449.9254296086615</v>
      </c>
      <c r="K110" s="91">
        <f>K108+K109</f>
        <v>2496.8672349282715</v>
      </c>
      <c r="L110" s="91">
        <f>L108+L109</f>
        <v>2530.6136460889961</v>
      </c>
      <c r="M110" s="91">
        <f>M108+M109</f>
        <v>2563.8944821009331</v>
      </c>
      <c r="N110" s="91">
        <f>N108+N109</f>
        <v>2596.7239760631815</v>
      </c>
      <c r="O110" s="91">
        <f>O108+O109</f>
        <v>2629.1163036810585</v>
      </c>
      <c r="P110" s="91">
        <f>P108+P109</f>
        <v>2661.0855870976802</v>
      </c>
      <c r="Q110" s="91">
        <f>Q108+Q109</f>
        <v>2692.6458987348592</v>
      </c>
      <c r="R110" s="91">
        <f>R108+R109</f>
        <v>2723.8112651445572</v>
      </c>
      <c r="S110" s="91">
        <f>S108+S109</f>
        <v>2754.5956708721369</v>
      </c>
      <c r="T110" s="91">
        <f>T108+T109</f>
        <v>2785.01306233267</v>
      </c>
      <c r="U110" s="91">
        <f>U108+U109</f>
        <v>2815.0773517015832</v>
      </c>
      <c r="V110" s="91">
        <f>V108+V109</f>
        <v>2844.8024208208799</v>
      </c>
      <c r="W110" s="91">
        <f>W108+W109</f>
        <v>2874.2021251222586</v>
      </c>
      <c r="X110" s="91">
        <f>X108+X109</f>
        <v>2903.2902975683864</v>
      </c>
      <c r="Y110" s="91">
        <f>Y108+Y109</f>
        <v>2932.0807526136468</v>
      </c>
      <c r="Z110" s="91">
        <f>Z108+Z109</f>
        <v>2960.587290185671</v>
      </c>
      <c r="AA110" s="91">
        <f>AA108+AA109</f>
        <v>2988.8236996889682</v>
      </c>
      <c r="AB110" s="91">
        <f>AB108+AB109</f>
        <v>3016.8037640319917</v>
      </c>
      <c r="AC110" s="91">
        <f>AC108+AC109</f>
        <v>3044.5412636789897</v>
      </c>
      <c r="AD110" s="91">
        <f>AD108+AD109</f>
        <v>3072.0499807279957</v>
      </c>
      <c r="AE110" s="91">
        <f>AE108+AE109</f>
        <v>3099.3437030163209</v>
      </c>
      <c r="AF110" s="91">
        <f>AF108+AF109</f>
        <v>3126.43622825495</v>
      </c>
      <c r="AG110" s="91">
        <f>AG108+AG109</f>
        <v>3153.3413681932207</v>
      </c>
      <c r="AH110" s="91">
        <f>AH108+AH109</f>
        <v>3180.072952815206</v>
      </c>
    </row>
    <row r="112" spans="1:34" ht="15" customHeight="1" x14ac:dyDescent="0.2">
      <c r="A112" s="74" t="s">
        <v>445</v>
      </c>
    </row>
    <row r="113" spans="1:34" ht="15" customHeight="1" x14ac:dyDescent="0.2">
      <c r="A113" t="s">
        <v>429</v>
      </c>
      <c r="B113" t="s">
        <v>95</v>
      </c>
      <c r="C113" s="72" t="s">
        <v>456</v>
      </c>
      <c r="D113" s="85">
        <f>Supply!D59</f>
        <v>7.8422197749500002</v>
      </c>
      <c r="E113" s="85">
        <f>Supply!E59</f>
        <v>16.95714505383653</v>
      </c>
      <c r="F113" s="85">
        <f>Supply!F59</f>
        <v>26.30922124360092</v>
      </c>
      <c r="G113" s="85">
        <f>Supply!G59</f>
        <v>35.894206480906618</v>
      </c>
      <c r="H113" s="85">
        <f>Supply!H59</f>
        <v>45.707903604683125</v>
      </c>
      <c r="I113" s="85">
        <f>Supply!I59</f>
        <v>55.746159774087921</v>
      </c>
      <c r="J113" s="85">
        <f>Supply!J59</f>
        <v>66.004866089376534</v>
      </c>
      <c r="K113" s="85">
        <f>Supply!K59</f>
        <v>76.479957215659979</v>
      </c>
      <c r="L113" s="85">
        <f>Supply!L59</f>
        <v>87.1674110095298</v>
      </c>
      <c r="M113" s="85">
        <f>Supply!M59</f>
        <v>98.063248148529368</v>
      </c>
      <c r="N113" s="85">
        <f>Supply!N59</f>
        <v>109.16353176345264</v>
      </c>
      <c r="O113" s="85">
        <f>Supply!O59</f>
        <v>120.4643670734489</v>
      </c>
      <c r="P113" s="85">
        <f>Supply!P59</f>
        <v>131.96190102391498</v>
      </c>
      <c r="Q113" s="85">
        <f>Supply!Q59</f>
        <v>143.65232192715405</v>
      </c>
      <c r="R113" s="85">
        <f>Supply!R59</f>
        <v>155.53185910578233</v>
      </c>
      <c r="S113" s="85">
        <f>Supply!S59</f>
        <v>167.59678253886366</v>
      </c>
      <c r="T113" s="85">
        <f>Supply!T59</f>
        <v>179.84340251075258</v>
      </c>
      <c r="U113" s="85">
        <f>Supply!U59</f>
        <v>192.26806926262711</v>
      </c>
      <c r="V113" s="85">
        <f>Supply!V59</f>
        <v>204.86717264669176</v>
      </c>
      <c r="W113" s="85">
        <f>Supply!W59</f>
        <v>217.63714178303201</v>
      </c>
      <c r="X113" s="85">
        <f>Supply!X59</f>
        <v>230.57444471910122</v>
      </c>
      <c r="Y113" s="85">
        <f>Supply!Y59</f>
        <v>243.67558809182165</v>
      </c>
      <c r="Z113" s="85">
        <f>Supply!Z59</f>
        <v>256.93711679228062</v>
      </c>
      <c r="AA113" s="85">
        <f>Supply!AA59</f>
        <v>270.35561363300349</v>
      </c>
      <c r="AB113" s="85">
        <f>Supply!AB59</f>
        <v>283.92769901778536</v>
      </c>
      <c r="AC113" s="85">
        <f>Supply!AC59</f>
        <v>297.65003061406253</v>
      </c>
      <c r="AD113" s="85">
        <f>Supply!AD59</f>
        <v>311.51930302780704</v>
      </c>
      <c r="AE113" s="85">
        <f>Supply!AE59</f>
        <v>325.53224748092481</v>
      </c>
      <c r="AF113" s="85">
        <f>Supply!AF59</f>
        <v>339.68563149114044</v>
      </c>
      <c r="AG113" s="85">
        <f>Supply!AG59</f>
        <v>353.97625855435058</v>
      </c>
      <c r="AH113" s="85">
        <f>Supply!AH59</f>
        <v>368.40096782942845</v>
      </c>
    </row>
    <row r="114" spans="1:34" ht="15" customHeight="1" x14ac:dyDescent="0.2">
      <c r="A114" t="s">
        <v>431</v>
      </c>
      <c r="B114" t="s">
        <v>432</v>
      </c>
      <c r="C114" s="72" t="s">
        <v>433</v>
      </c>
      <c r="D114" s="86">
        <f>D113*1000/365/$E18</f>
        <v>25.277098388235295</v>
      </c>
      <c r="E114" s="86">
        <f>E113*1000/365/$E18</f>
        <v>54.656390181584307</v>
      </c>
      <c r="F114" s="86">
        <f>F113*1000/365/$E18</f>
        <v>84.80006847252514</v>
      </c>
      <c r="G114" s="86">
        <f>G113*1000/365/$E18</f>
        <v>115.6944608570721</v>
      </c>
      <c r="H114" s="86">
        <f>H113*1000/365/$E18</f>
        <v>147.32603901590048</v>
      </c>
      <c r="I114" s="86">
        <f>I113*1000/365/$E18</f>
        <v>179.68141748295866</v>
      </c>
      <c r="J114" s="86">
        <f>J113*1000/365/$E18</f>
        <v>212.74735242345378</v>
      </c>
      <c r="K114" s="86">
        <f>K113*1000/365/$E18</f>
        <v>246.51074042114419</v>
      </c>
      <c r="L114" s="86">
        <f>L113*1000/365/$E18</f>
        <v>280.95861727487443</v>
      </c>
      <c r="M114" s="86">
        <f>M113*1000/365/$E18</f>
        <v>316.07815680428484</v>
      </c>
      <c r="N114" s="86">
        <f>N113*1000/365/$E18</f>
        <v>351.85666966463378</v>
      </c>
      <c r="O114" s="86">
        <f>O113*1000/365/$E18</f>
        <v>388.28160217066528</v>
      </c>
      <c r="P114" s="86">
        <f>P113*1000/365/$E18</f>
        <v>425.34053512946002</v>
      </c>
      <c r="Q114" s="86">
        <f>Q113*1000/365/$E18</f>
        <v>463.02118268220488</v>
      </c>
      <c r="R114" s="86">
        <f>R113*1000/365/$E18</f>
        <v>501.31139115481818</v>
      </c>
      <c r="S114" s="86">
        <f>S113*1000/365/$E18</f>
        <v>540.19913791736872</v>
      </c>
      <c r="T114" s="86">
        <f>T113*1000/365/$E18</f>
        <v>579.67253025222431</v>
      </c>
      <c r="U114" s="86">
        <f>U113*1000/365/$E18</f>
        <v>619.71980423086893</v>
      </c>
      <c r="V114" s="86">
        <f>V113*1000/365/$E18</f>
        <v>660.32932359932886</v>
      </c>
      <c r="W114" s="86">
        <f>W113*1000/365/$E18</f>
        <v>701.48957867214187</v>
      </c>
      <c r="X114" s="86">
        <f>X113*1000/365/$E18</f>
        <v>743.18918523481454</v>
      </c>
      <c r="Y114" s="86">
        <f>Y113*1000/365/$E18</f>
        <v>785.41688345470311</v>
      </c>
      <c r="Z114" s="86">
        <f>Z113*1000/365/$E18</f>
        <v>828.1615368002598</v>
      </c>
      <c r="AA114" s="86">
        <f>AA113*1000/365/$E18</f>
        <v>871.41213096858496</v>
      </c>
      <c r="AB114" s="86">
        <f>AB113*1000/365/$E18</f>
        <v>915.15777282122599</v>
      </c>
      <c r="AC114" s="86">
        <f>AC113*1000/365/$E18</f>
        <v>959.38768932816288</v>
      </c>
      <c r="AD114" s="86">
        <f>AD113*1000/365/$E18</f>
        <v>1004.091226519926</v>
      </c>
      <c r="AE114" s="86">
        <f>AE113*1000/365/$E18</f>
        <v>1049.2578484477835</v>
      </c>
      <c r="AF114" s="86">
        <f>AF113*1000/365/$E18</f>
        <v>1094.8771361519434</v>
      </c>
      <c r="AG114" s="86">
        <f>AG113*1000/365/$E18</f>
        <v>1140.9387866377135</v>
      </c>
      <c r="AH114" s="86">
        <f>AH113*1000/365/$E18</f>
        <v>1187.4326118595598</v>
      </c>
    </row>
    <row r="115" spans="1:34" ht="15" customHeight="1" x14ac:dyDescent="0.2">
      <c r="A115" t="s">
        <v>434</v>
      </c>
      <c r="B115" t="s">
        <v>435</v>
      </c>
      <c r="C115" s="72" t="s">
        <v>436</v>
      </c>
      <c r="D115" s="90">
        <f>IF(D$89&lt;$B$9,0,D114*1000*$B18*($B$8*(1+$B$8)^$D18/((1+$B$8)^$D18-1))*$B$7/1000000)</f>
        <v>0</v>
      </c>
      <c r="E115" s="90">
        <f>IF(E$89&lt;$B$9,0,E114*1000*$B18*($B$8*(1+$B$8)^$D18/((1+$B$8)^$D18-1))*$B$7/1000000)</f>
        <v>0</v>
      </c>
      <c r="F115" s="90">
        <f>IF(F$89&lt;$B$9,0,F114*1000*$B18*($B$8*(1+$B$8)^$D18/((1+$B$8)^$D18-1))*$B$7/1000000)</f>
        <v>0</v>
      </c>
      <c r="G115" s="90">
        <f>IF(G$89&lt;$B$9,0,G114*1000*$B18*($B$8*(1+$B$8)^$D18/((1+$B$8)^$D18-1))*$B$7/1000000)</f>
        <v>0</v>
      </c>
      <c r="H115" s="90">
        <f>IF(H$89&lt;$B$9,0,H114*1000*$B18*($B$8*(1+$B$8)^$D18/((1+$B$8)^$D18-1))*$B$7/1000000)</f>
        <v>0</v>
      </c>
      <c r="I115" s="90">
        <f>IF(I$89&lt;$B$9,0,I114*1000*$B18*($B$8*(1+$B$8)^$D18/((1+$B$8)^$D18-1))*$B$7/1000000)</f>
        <v>38.33228082236699</v>
      </c>
      <c r="J115" s="90">
        <f>IF(J$89&lt;$B$9,0,J114*1000*$B18*($B$8*(1+$B$8)^$D18/((1+$B$8)^$D18-1))*$B$7/1000000)</f>
        <v>45.386392046269073</v>
      </c>
      <c r="K115" s="90">
        <f>IF(K$89&lt;$B$9,0,K114*1000*$B18*($B$8*(1+$B$8)^$D18/((1+$B$8)^$D18-1))*$B$7/1000000)</f>
        <v>52.589294207060142</v>
      </c>
      <c r="L115" s="90">
        <f>IF(L$89&lt;$B$9,0,L114*1000*$B18*($B$8*(1+$B$8)^$D18/((1+$B$8)^$D18-1))*$B$7/1000000)</f>
        <v>59.938221590809981</v>
      </c>
      <c r="M115" s="90">
        <f>IF(M$89&lt;$B$9,0,M114*1000*$B18*($B$8*(1+$B$8)^$D18/((1+$B$8)^$D18-1))*$B$7/1000000)</f>
        <v>67.430437928213124</v>
      </c>
      <c r="N115" s="90">
        <f>IF(N$89&lt;$B$9,0,N114*1000*$B18*($B$8*(1+$B$8)^$D18/((1+$B$8)^$D18-1))*$B$7/1000000)</f>
        <v>75.063236141749258</v>
      </c>
      <c r="O115" s="90">
        <f>IF(O$89&lt;$B$9,0,O114*1000*$B18*($B$8*(1+$B$8)^$D18/((1+$B$8)^$D18-1))*$B$7/1000000)</f>
        <v>82.83393809477333</v>
      </c>
      <c r="P115" s="90">
        <f>IF(P$89&lt;$B$9,0,P114*1000*$B18*($B$8*(1+$B$8)^$D18/((1+$B$8)^$D18-1))*$B$7/1000000)</f>
        <v>90.739894342522334</v>
      </c>
      <c r="Q115" s="90">
        <f>IF(Q$89&lt;$B$9,0,Q114*1000*$B18*($B$8*(1+$B$8)^$D18/((1+$B$8)^$D18-1))*$B$7/1000000)</f>
        <v>98.778483885024343</v>
      </c>
      <c r="R115" s="90">
        <f>IF(R$89&lt;$B$9,0,R114*1000*$B18*($B$8*(1+$B$8)^$D18/((1+$B$8)^$D18-1))*$B$7/1000000)</f>
        <v>106.94711392189721</v>
      </c>
      <c r="S115" s="90">
        <f>IF(S$89&lt;$B$9,0,S114*1000*$B18*($B$8*(1+$B$8)^$D18/((1+$B$8)^$D18-1))*$B$7/1000000)</f>
        <v>115.24321960902289</v>
      </c>
      <c r="T115" s="90">
        <f>IF(T$89&lt;$B$9,0,T114*1000*$B18*($B$8*(1+$B$8)^$D18/((1+$B$8)^$D18-1))*$B$7/1000000)</f>
        <v>123.66426381708443</v>
      </c>
      <c r="U115" s="90">
        <f>IF(U$89&lt;$B$9,0,U114*1000*$B18*($B$8*(1+$B$8)^$D18/((1+$B$8)^$D18-1))*$B$7/1000000)</f>
        <v>132.2077368919519</v>
      </c>
      <c r="V115" s="90">
        <f>IF(V$89&lt;$B$9,0,V114*1000*$B18*($B$8*(1+$B$8)^$D18/((1+$B$8)^$D18-1))*$B$7/1000000)</f>
        <v>140.87115641690522</v>
      </c>
      <c r="W115" s="90">
        <f>IF(W$89&lt;$B$9,0,W114*1000*$B18*($B$8*(1+$B$8)^$D18/((1+$B$8)^$D18-1))*$B$7/1000000)</f>
        <v>149.65206697667952</v>
      </c>
      <c r="X115" s="90">
        <f>IF(X$89&lt;$B$9,0,X114*1000*$B18*($B$8*(1+$B$8)^$D18/((1+$B$8)^$D18-1))*$B$7/1000000)</f>
        <v>158.54803992332094</v>
      </c>
      <c r="Y115" s="90">
        <f>IF(Y$89&lt;$B$9,0,Y114*1000*$B18*($B$8*(1+$B$8)^$D18/((1+$B$8)^$D18-1))*$B$7/1000000)</f>
        <v>167.55667314383999</v>
      </c>
      <c r="Z115" s="90">
        <f>IF(Z$89&lt;$B$9,0,Z114*1000*$B18*($B$8*(1+$B$8)^$D18/((1+$B$8)^$D18-1))*$B$7/1000000)</f>
        <v>176.67559082964917</v>
      </c>
      <c r="AA115" s="90">
        <f>IF(AA$89&lt;$B$9,0,AA114*1000*$B18*($B$8*(1+$B$8)^$D18/((1+$B$8)^$D18-1))*$B$7/1000000)</f>
        <v>185.90244324777248</v>
      </c>
      <c r="AB115" s="90">
        <f>IF(AB$89&lt;$B$9,0,AB114*1000*$B18*($B$8*(1+$B$8)^$D18/((1+$B$8)^$D18-1))*$B$7/1000000)</f>
        <v>195.23490651381482</v>
      </c>
      <c r="AC115" s="90">
        <f>IF(AC$89&lt;$B$9,0,AC114*1000*$B18*($B$8*(1+$B$8)^$D18/((1+$B$8)^$D18-1))*$B$7/1000000)</f>
        <v>204.670682366677</v>
      </c>
      <c r="AD115" s="90">
        <f>IF(AD$89&lt;$B$9,0,AD114*1000*$B18*($B$8*(1+$B$8)^$D18/((1+$B$8)^$D18-1))*$B$7/1000000)</f>
        <v>214.20749794500642</v>
      </c>
      <c r="AE115" s="90">
        <f>IF(AE$89&lt;$B$9,0,AE114*1000*$B18*($B$8*(1+$B$8)^$D18/((1+$B$8)^$D18-1))*$B$7/1000000)</f>
        <v>223.84310556536883</v>
      </c>
      <c r="AF115" s="90">
        <f>IF(AF$89&lt;$B$9,0,AF114*1000*$B18*($B$8*(1+$B$8)^$D18/((1+$B$8)^$D18-1))*$B$7/1000000)</f>
        <v>233.57528250212999</v>
      </c>
      <c r="AG115" s="90">
        <f>IF(AG$89&lt;$B$9,0,AG114*1000*$B18*($B$8*(1+$B$8)^$D18/((1+$B$8)^$D18-1))*$B$7/1000000)</f>
        <v>243.40183076903531</v>
      </c>
      <c r="AH115" s="90">
        <f>IF(AH$89&lt;$B$9,0,AH114*1000*$B18*($B$8*(1+$B$8)^$D18/((1+$B$8)^$D18-1))*$B$7/1000000)</f>
        <v>253.3205769024739</v>
      </c>
    </row>
    <row r="116" spans="1:34" ht="15" hidden="1" customHeight="1" x14ac:dyDescent="0.2">
      <c r="A116" s="72" t="s">
        <v>437</v>
      </c>
      <c r="C116" s="72" t="s">
        <v>438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 s="90">
        <v>0</v>
      </c>
      <c r="Y116" s="90">
        <v>0</v>
      </c>
      <c r="Z116" s="90">
        <v>0</v>
      </c>
      <c r="AA116" s="90">
        <v>0</v>
      </c>
      <c r="AB116" s="90">
        <v>0</v>
      </c>
      <c r="AC116" s="90">
        <v>0</v>
      </c>
      <c r="AD116" s="90">
        <v>0</v>
      </c>
      <c r="AE116" s="90">
        <v>0</v>
      </c>
      <c r="AF116" s="90">
        <v>0</v>
      </c>
      <c r="AG116" s="90">
        <v>0</v>
      </c>
      <c r="AH116" s="90">
        <v>0</v>
      </c>
    </row>
    <row r="117" spans="1:34" ht="15" customHeight="1" x14ac:dyDescent="0.2">
      <c r="A117" t="s">
        <v>439</v>
      </c>
      <c r="B117" t="s">
        <v>435</v>
      </c>
      <c r="C117" s="72" t="s">
        <v>440</v>
      </c>
      <c r="D117" s="90">
        <f>IF(D$89&lt;$B$9,0,D113*$C18*$B$7)</f>
        <v>0</v>
      </c>
      <c r="E117" s="90">
        <f>IF(E$89&lt;$B$9,0,E113*$C18*$B$7)</f>
        <v>0</v>
      </c>
      <c r="F117" s="90">
        <f>IF(F$89&lt;$B$9,0,F113*$C18*$B$7)</f>
        <v>0</v>
      </c>
      <c r="G117" s="90">
        <f>IF(G$89&lt;$B$9,0,G113*$C18*$B$7)</f>
        <v>0</v>
      </c>
      <c r="H117" s="90">
        <f>IF(H$89&lt;$B$9,0,H113*$C18*$B$7)</f>
        <v>0</v>
      </c>
      <c r="I117" s="90">
        <f>IF(I$89&lt;$B$9,0,I113*$C18*$B$7)</f>
        <v>39.858504238472868</v>
      </c>
      <c r="J117" s="90">
        <f>IF(J$89&lt;$B$9,0,J113*$C18*$B$7)</f>
        <v>47.193479253904229</v>
      </c>
      <c r="K117" s="90">
        <f>IF(K$89&lt;$B$9,0,K113*$C18*$B$7)</f>
        <v>54.683169409196893</v>
      </c>
      <c r="L117" s="90">
        <f>IF(L$89&lt;$B$9,0,L113*$C18*$B$7)</f>
        <v>62.324698871813816</v>
      </c>
      <c r="M117" s="90">
        <f>IF(M$89&lt;$B$9,0,M113*$C18*$B$7)</f>
        <v>70.1152224261985</v>
      </c>
      <c r="N117" s="90">
        <f>IF(N$89&lt;$B$9,0,N113*$C18*$B$7)</f>
        <v>78.051925210868646</v>
      </c>
      <c r="O117" s="90">
        <f>IF(O$89&lt;$B$9,0,O113*$C18*$B$7)</f>
        <v>86.132022457515973</v>
      </c>
      <c r="P117" s="90">
        <f>IF(P$89&lt;$B$9,0,P113*$C18*$B$7)</f>
        <v>94.352759232099217</v>
      </c>
      <c r="Q117" s="90">
        <f>IF(Q$89&lt;$B$9,0,Q113*$C18*$B$7)</f>
        <v>102.71141017791516</v>
      </c>
      <c r="R117" s="90">
        <f>IF(R$89&lt;$B$9,0,R113*$C18*$B$7)</f>
        <v>111.20527926063437</v>
      </c>
      <c r="S117" s="90">
        <f>IF(S$89&lt;$B$9,0,S113*$C18*$B$7)</f>
        <v>119.83169951528754</v>
      </c>
      <c r="T117" s="90">
        <f>IF(T$89&lt;$B$9,0,T113*$C18*$B$7)</f>
        <v>128.58803279518813</v>
      </c>
      <c r="U117" s="90">
        <f>IF(U$89&lt;$B$9,0,U113*$C18*$B$7)</f>
        <v>137.4716695227784</v>
      </c>
      <c r="V117" s="90">
        <f>IF(V$89&lt;$B$9,0,V113*$C18*$B$7)</f>
        <v>146.48002844238462</v>
      </c>
      <c r="W117" s="90">
        <f>IF(W$89&lt;$B$9,0,W113*$C18*$B$7)</f>
        <v>155.61055637486791</v>
      </c>
      <c r="X117" s="90">
        <f>IF(X$89&lt;$B$9,0,X113*$C18*$B$7)</f>
        <v>164.86072797415738</v>
      </c>
      <c r="Y117" s="90">
        <f>IF(Y$89&lt;$B$9,0,Y113*$C18*$B$7)</f>
        <v>174.22804548565253</v>
      </c>
      <c r="Z117" s="90">
        <f>IF(Z$89&lt;$B$9,0,Z113*$C18*$B$7)</f>
        <v>183.71003850648069</v>
      </c>
      <c r="AA117" s="90">
        <f>IF(AA$89&lt;$B$9,0,AA113*$C18*$B$7)</f>
        <v>193.3042637475975</v>
      </c>
      <c r="AB117" s="90">
        <f>IF(AB$89&lt;$B$9,0,AB113*$C18*$B$7)</f>
        <v>203.00830479771653</v>
      </c>
      <c r="AC117" s="90">
        <f>IF(AC$89&lt;$B$9,0,AC113*$C18*$B$7)</f>
        <v>212.81977188905472</v>
      </c>
      <c r="AD117" s="90">
        <f>IF(AD$89&lt;$B$9,0,AD113*$C18*$B$7)</f>
        <v>222.73630166488206</v>
      </c>
      <c r="AE117" s="90">
        <f>IF(AE$89&lt;$B$9,0,AE113*$C18*$B$7)</f>
        <v>232.75555694886128</v>
      </c>
      <c r="AF117" s="90">
        <f>IF(AF$89&lt;$B$9,0,AF113*$C18*$B$7)</f>
        <v>242.87522651616544</v>
      </c>
      <c r="AG117" s="90">
        <f>IF(AG$89&lt;$B$9,0,AG113*$C18*$B$7)</f>
        <v>253.09302486636068</v>
      </c>
      <c r="AH117" s="90">
        <f>IF(AH$89&lt;$B$9,0,AH113*$C18*$B$7)</f>
        <v>263.40669199804137</v>
      </c>
    </row>
    <row r="118" spans="1:34" ht="15" customHeight="1" x14ac:dyDescent="0.2">
      <c r="A118" s="81" t="s">
        <v>441</v>
      </c>
      <c r="B118" s="81" t="s">
        <v>435</v>
      </c>
      <c r="C118" s="72" t="s">
        <v>442</v>
      </c>
      <c r="D118" s="91">
        <f t="shared" ref="D118:AH118" si="2">D115+D117</f>
        <v>0</v>
      </c>
      <c r="E118" s="91">
        <f t="shared" si="2"/>
        <v>0</v>
      </c>
      <c r="F118" s="91">
        <f t="shared" si="2"/>
        <v>0</v>
      </c>
      <c r="G118" s="91">
        <f t="shared" si="2"/>
        <v>0</v>
      </c>
      <c r="H118" s="91">
        <f t="shared" si="2"/>
        <v>0</v>
      </c>
      <c r="I118" s="91">
        <f t="shared" si="2"/>
        <v>78.190785060839858</v>
      </c>
      <c r="J118" s="91">
        <f t="shared" si="2"/>
        <v>92.579871300173295</v>
      </c>
      <c r="K118" s="91">
        <f t="shared" si="2"/>
        <v>107.27246361625703</v>
      </c>
      <c r="L118" s="91">
        <f t="shared" si="2"/>
        <v>122.2629204626238</v>
      </c>
      <c r="M118" s="91">
        <f t="shared" si="2"/>
        <v>137.54566035441161</v>
      </c>
      <c r="N118" s="91">
        <f t="shared" si="2"/>
        <v>153.11516135261792</v>
      </c>
      <c r="O118" s="91">
        <f t="shared" si="2"/>
        <v>168.96596055228929</v>
      </c>
      <c r="P118" s="91">
        <f t="shared" si="2"/>
        <v>185.09265357462155</v>
      </c>
      <c r="Q118" s="91">
        <f t="shared" si="2"/>
        <v>201.4898940629395</v>
      </c>
      <c r="R118" s="91">
        <f t="shared" si="2"/>
        <v>218.15239318253157</v>
      </c>
      <c r="S118" s="91">
        <f t="shared" si="2"/>
        <v>235.07491912431044</v>
      </c>
      <c r="T118" s="91">
        <f t="shared" si="2"/>
        <v>252.25229661227257</v>
      </c>
      <c r="U118" s="91">
        <f t="shared" si="2"/>
        <v>269.67940641473029</v>
      </c>
      <c r="V118" s="91">
        <f t="shared" si="2"/>
        <v>287.35118485928984</v>
      </c>
      <c r="W118" s="91">
        <f t="shared" si="2"/>
        <v>305.2626233515474</v>
      </c>
      <c r="X118" s="91">
        <f t="shared" si="2"/>
        <v>323.40876789747836</v>
      </c>
      <c r="Y118" s="91">
        <f t="shared" si="2"/>
        <v>341.78471862949255</v>
      </c>
      <c r="Z118" s="91">
        <f t="shared" si="2"/>
        <v>360.38562933612985</v>
      </c>
      <c r="AA118" s="91">
        <f t="shared" si="2"/>
        <v>379.20670699536998</v>
      </c>
      <c r="AB118" s="91">
        <f t="shared" si="2"/>
        <v>398.24321131153135</v>
      </c>
      <c r="AC118" s="91">
        <f t="shared" si="2"/>
        <v>417.49045425573172</v>
      </c>
      <c r="AD118" s="91">
        <f t="shared" si="2"/>
        <v>436.94379960988852</v>
      </c>
      <c r="AE118" s="91">
        <f t="shared" si="2"/>
        <v>456.59866251423011</v>
      </c>
      <c r="AF118" s="91">
        <f t="shared" si="2"/>
        <v>476.45050901829541</v>
      </c>
      <c r="AG118" s="91">
        <f t="shared" si="2"/>
        <v>496.49485563539599</v>
      </c>
      <c r="AH118" s="91">
        <f t="shared" si="2"/>
        <v>516.72726890051524</v>
      </c>
    </row>
    <row r="120" spans="1:34" ht="15" customHeight="1" x14ac:dyDescent="0.2">
      <c r="A120" s="74" t="s">
        <v>446</v>
      </c>
    </row>
    <row r="121" spans="1:34" ht="15" customHeight="1" x14ac:dyDescent="0.2">
      <c r="A121" t="s">
        <v>429</v>
      </c>
      <c r="B121" t="s">
        <v>95</v>
      </c>
      <c r="C121" s="72" t="s">
        <v>456</v>
      </c>
      <c r="D121" s="85">
        <f>Supply!D58</f>
        <v>60</v>
      </c>
      <c r="E121" s="85">
        <f>Supply!E58</f>
        <v>59.4</v>
      </c>
      <c r="F121" s="85">
        <f>Supply!F58</f>
        <v>58.805999999999997</v>
      </c>
      <c r="G121" s="85">
        <f>Supply!G58</f>
        <v>58.217939999999992</v>
      </c>
      <c r="H121" s="85">
        <f>Supply!H58</f>
        <v>57.635760599999998</v>
      </c>
      <c r="I121" s="85">
        <f>Supply!I58</f>
        <v>57.059402993999996</v>
      </c>
      <c r="J121" s="85">
        <f>Supply!J58</f>
        <v>56.488808964059992</v>
      </c>
      <c r="K121" s="85">
        <f>Supply!K58</f>
        <v>55.923920874419395</v>
      </c>
      <c r="L121" s="85">
        <f>Supply!L58</f>
        <v>55.364681665675199</v>
      </c>
      <c r="M121" s="85">
        <f>Supply!M58</f>
        <v>54.811034849018441</v>
      </c>
      <c r="N121" s="85">
        <f>Supply!N58</f>
        <v>54.262924500528257</v>
      </c>
      <c r="O121" s="85">
        <f>Supply!O58</f>
        <v>53.720295255522977</v>
      </c>
      <c r="P121" s="85">
        <f>Supply!P58</f>
        <v>53.183092302967751</v>
      </c>
      <c r="Q121" s="85">
        <f>Supply!Q58</f>
        <v>52.651261379938063</v>
      </c>
      <c r="R121" s="85">
        <f>Supply!R58</f>
        <v>52.124748766138687</v>
      </c>
      <c r="S121" s="85">
        <f>Supply!S58</f>
        <v>51.603501278477296</v>
      </c>
      <c r="T121" s="85">
        <f>Supply!T58</f>
        <v>51.087466265692527</v>
      </c>
      <c r="U121" s="85">
        <f>Supply!U58</f>
        <v>50.576591603035595</v>
      </c>
      <c r="V121" s="85">
        <f>Supply!V58</f>
        <v>50.07082568700524</v>
      </c>
      <c r="W121" s="85">
        <f>Supply!W58</f>
        <v>49.570117430135184</v>
      </c>
      <c r="X121" s="85">
        <f>Supply!X58</f>
        <v>49.074416255833839</v>
      </c>
      <c r="Y121" s="85">
        <f>Supply!Y58</f>
        <v>48.583672093275496</v>
      </c>
      <c r="Z121" s="85">
        <f>Supply!Z58</f>
        <v>48.097835372342736</v>
      </c>
      <c r="AA121" s="85">
        <f>Supply!AA58</f>
        <v>47.616857018619314</v>
      </c>
      <c r="AB121" s="85">
        <f>Supply!AB58</f>
        <v>47.140688448433117</v>
      </c>
      <c r="AC121" s="85">
        <f>Supply!AC58</f>
        <v>46.669281563948786</v>
      </c>
      <c r="AD121" s="85">
        <f>Supply!AD58</f>
        <v>46.202588748309296</v>
      </c>
      <c r="AE121" s="85">
        <f>Supply!AE58</f>
        <v>45.740562860826209</v>
      </c>
      <c r="AF121" s="85">
        <f>Supply!AF58</f>
        <v>45.283157232217938</v>
      </c>
      <c r="AG121" s="85">
        <f>Supply!AG58</f>
        <v>44.830325659895756</v>
      </c>
      <c r="AH121" s="85">
        <f>Supply!AH58</f>
        <v>44.382022403296808</v>
      </c>
    </row>
    <row r="122" spans="1:34" ht="15" customHeight="1" x14ac:dyDescent="0.2">
      <c r="A122" t="s">
        <v>431</v>
      </c>
      <c r="B122" t="s">
        <v>432</v>
      </c>
      <c r="C122" s="72" t="s">
        <v>433</v>
      </c>
      <c r="D122" s="86">
        <f>D121*1000/365/$E19</f>
        <v>298.87920298879197</v>
      </c>
      <c r="E122" s="86">
        <f>E121*1000/365/$E19</f>
        <v>295.89041095890411</v>
      </c>
      <c r="F122" s="86">
        <f>F121*1000/365/$E19</f>
        <v>292.93150684931504</v>
      </c>
      <c r="G122" s="86">
        <f>G121*1000/365/$E19</f>
        <v>290.00219178082187</v>
      </c>
      <c r="H122" s="86">
        <f>H121*1000/365/$E19</f>
        <v>287.10216986301367</v>
      </c>
      <c r="I122" s="86">
        <f>I121*1000/365/$E19</f>
        <v>284.23114816438351</v>
      </c>
      <c r="J122" s="86">
        <f>J121*1000/365/$E19</f>
        <v>281.38883668273968</v>
      </c>
      <c r="K122" s="86">
        <f>K121*1000/365/$E19</f>
        <v>278.57494831591231</v>
      </c>
      <c r="L122" s="86">
        <f>L121*1000/365/$E19</f>
        <v>275.78919883275319</v>
      </c>
      <c r="M122" s="86">
        <f>M121*1000/365/$E19</f>
        <v>273.03130684442561</v>
      </c>
      <c r="N122" s="86">
        <f>N121*1000/365/$E19</f>
        <v>270.30099377598134</v>
      </c>
      <c r="O122" s="86">
        <f>O121*1000/365/$E19</f>
        <v>267.59798383822158</v>
      </c>
      <c r="P122" s="86">
        <f>P121*1000/365/$E19</f>
        <v>264.92200399983932</v>
      </c>
      <c r="Q122" s="86">
        <f>Q121*1000/365/$E19</f>
        <v>262.27278395984087</v>
      </c>
      <c r="R122" s="86">
        <f>R121*1000/365/$E19</f>
        <v>259.65005612024248</v>
      </c>
      <c r="S122" s="86">
        <f>S121*1000/365/$E19</f>
        <v>257.05355555904009</v>
      </c>
      <c r="T122" s="86">
        <f>T121*1000/365/$E19</f>
        <v>254.48302000344967</v>
      </c>
      <c r="U122" s="86">
        <f>U121*1000/365/$E19</f>
        <v>251.93818980341516</v>
      </c>
      <c r="V122" s="86">
        <f>V121*1000/365/$E19</f>
        <v>249.41880790538099</v>
      </c>
      <c r="W122" s="86">
        <f>W121*1000/365/$E19</f>
        <v>246.92461982632719</v>
      </c>
      <c r="X122" s="86">
        <f>X121*1000/365/$E19</f>
        <v>244.45537362806391</v>
      </c>
      <c r="Y122" s="86">
        <f>Y121*1000/365/$E19</f>
        <v>242.01081989178329</v>
      </c>
      <c r="Z122" s="86">
        <f>Z121*1000/365/$E19</f>
        <v>239.5907116928654</v>
      </c>
      <c r="AA122" s="86">
        <f>AA121*1000/365/$E19</f>
        <v>237.19480457593676</v>
      </c>
      <c r="AB122" s="86">
        <f>AB121*1000/365/$E19</f>
        <v>234.82285653017743</v>
      </c>
      <c r="AC122" s="86">
        <f>AC121*1000/365/$E19</f>
        <v>232.47462796487565</v>
      </c>
      <c r="AD122" s="86">
        <f>AD121*1000/365/$E19</f>
        <v>230.14988168522686</v>
      </c>
      <c r="AE122" s="86">
        <f>AE121*1000/365/$E19</f>
        <v>227.84838286837464</v>
      </c>
      <c r="AF122" s="86">
        <f>AF121*1000/365/$E19</f>
        <v>225.56989903969085</v>
      </c>
      <c r="AG122" s="86">
        <f>AG121*1000/365/$E19</f>
        <v>223.31420004929393</v>
      </c>
      <c r="AH122" s="86">
        <f>AH121*1000/365/$E19</f>
        <v>221.08105804880103</v>
      </c>
    </row>
    <row r="123" spans="1:34" ht="17" customHeight="1" x14ac:dyDescent="0.2">
      <c r="A123" t="s">
        <v>434</v>
      </c>
      <c r="B123" t="s">
        <v>435</v>
      </c>
      <c r="C123" s="72" t="s">
        <v>436</v>
      </c>
      <c r="D123" s="90">
        <f>IF(D$89&lt;$B$9,0,D122*1000*$B19*($B$8*(1+$B$8)^$D19/((1+$B$8)^$D19-1))*$B$7/1000000)</f>
        <v>0</v>
      </c>
      <c r="E123" s="90">
        <f>IF(E$89&lt;$B$9,0,E122*1000*$B19*($B$8*(1+$B$8)^$D19/((1+$B$8)^$D19-1))*$B$7/1000000)</f>
        <v>0</v>
      </c>
      <c r="F123" s="90">
        <f>IF(F$89&lt;$B$9,0,F122*1000*$B19*($B$8*(1+$B$8)^$D19/((1+$B$8)^$D19-1))*$B$7/1000000)</f>
        <v>0</v>
      </c>
      <c r="G123" s="90">
        <f>IF(G$89&lt;$B$9,0,G122*1000*$B19*($B$8*(1+$B$8)^$D19/((1+$B$8)^$D19-1))*$B$7/1000000)</f>
        <v>0</v>
      </c>
      <c r="H123" s="90">
        <f>IF(H$89&lt;$B$9,0,H122*1000*$B19*($B$8*(1+$B$8)^$D19/((1+$B$8)^$D19-1))*$B$7/1000000)</f>
        <v>0</v>
      </c>
      <c r="I123" s="90">
        <f>IF(I$89&lt;$B$9,0,I122*1000*$B19*($B$8*(1+$B$8)^$D19/((1+$B$8)^$D19-1))*$B$7/1000000)</f>
        <v>22.863109581212363</v>
      </c>
      <c r="J123" s="90">
        <f>IF(J$89&lt;$B$9,0,J122*1000*$B19*($B$8*(1+$B$8)^$D19/((1+$B$8)^$D19-1))*$B$7/1000000)</f>
        <v>22.634478485400241</v>
      </c>
      <c r="K123" s="90">
        <f>IF(K$89&lt;$B$9,0,K122*1000*$B19*($B$8*(1+$B$8)^$D19/((1+$B$8)^$D19-1))*$B$7/1000000)</f>
        <v>22.408133700546237</v>
      </c>
      <c r="L123" s="90">
        <f>IF(L$89&lt;$B$9,0,L122*1000*$B19*($B$8*(1+$B$8)^$D19/((1+$B$8)^$D19-1))*$B$7/1000000)</f>
        <v>22.184052363540776</v>
      </c>
      <c r="M123" s="90">
        <f>IF(M$89&lt;$B$9,0,M122*1000*$B19*($B$8*(1+$B$8)^$D19/((1+$B$8)^$D19-1))*$B$7/1000000)</f>
        <v>21.962211839905365</v>
      </c>
      <c r="N123" s="90">
        <f>IF(N$89&lt;$B$9,0,N122*1000*$B19*($B$8*(1+$B$8)^$D19/((1+$B$8)^$D19-1))*$B$7/1000000)</f>
        <v>21.742589721506313</v>
      </c>
      <c r="O123" s="90">
        <f>IF(O$89&lt;$B$9,0,O122*1000*$B19*($B$8*(1+$B$8)^$D19/((1+$B$8)^$D19-1))*$B$7/1000000)</f>
        <v>21.525163824291255</v>
      </c>
      <c r="P123" s="90">
        <f>IF(P$89&lt;$B$9,0,P122*1000*$B19*($B$8*(1+$B$8)^$D19/((1+$B$8)^$D19-1))*$B$7/1000000)</f>
        <v>21.309912186048336</v>
      </c>
      <c r="Q123" s="90">
        <f>IF(Q$89&lt;$B$9,0,Q122*1000*$B19*($B$8*(1+$B$8)^$D19/((1+$B$8)^$D19-1))*$B$7/1000000)</f>
        <v>21.096813064187852</v>
      </c>
      <c r="R123" s="90">
        <f>IF(R$89&lt;$B$9,0,R122*1000*$B19*($B$8*(1+$B$8)^$D19/((1+$B$8)^$D19-1))*$B$7/1000000)</f>
        <v>20.885844933545972</v>
      </c>
      <c r="S123" s="90">
        <f>IF(S$89&lt;$B$9,0,S122*1000*$B19*($B$8*(1+$B$8)^$D19/((1+$B$8)^$D19-1))*$B$7/1000000)</f>
        <v>20.676986484210516</v>
      </c>
      <c r="T123" s="90">
        <f>IF(T$89&lt;$B$9,0,T122*1000*$B19*($B$8*(1+$B$8)^$D19/((1+$B$8)^$D19-1))*$B$7/1000000)</f>
        <v>20.470216619368408</v>
      </c>
      <c r="U123" s="90">
        <f>IF(U$89&lt;$B$9,0,U122*1000*$B19*($B$8*(1+$B$8)^$D19/((1+$B$8)^$D19-1))*$B$7/1000000)</f>
        <v>20.26551445317472</v>
      </c>
      <c r="V123" s="90">
        <f>IF(V$89&lt;$B$9,0,V122*1000*$B19*($B$8*(1+$B$8)^$D19/((1+$B$8)^$D19-1))*$B$7/1000000)</f>
        <v>20.062859308642977</v>
      </c>
      <c r="W123" s="90">
        <f>IF(W$89&lt;$B$9,0,W122*1000*$B19*($B$8*(1+$B$8)^$D19/((1+$B$8)^$D19-1))*$B$7/1000000)</f>
        <v>19.862230715556546</v>
      </c>
      <c r="X123" s="90">
        <f>IF(X$89&lt;$B$9,0,X122*1000*$B19*($B$8*(1+$B$8)^$D19/((1+$B$8)^$D19-1))*$B$7/1000000)</f>
        <v>19.663608408400979</v>
      </c>
      <c r="Y123" s="90">
        <f>IF(Y$89&lt;$B$9,0,Y122*1000*$B19*($B$8*(1+$B$8)^$D19/((1+$B$8)^$D19-1))*$B$7/1000000)</f>
        <v>19.466972324316973</v>
      </c>
      <c r="Z123" s="90">
        <f>IF(Z$89&lt;$B$9,0,Z122*1000*$B19*($B$8*(1+$B$8)^$D19/((1+$B$8)^$D19-1))*$B$7/1000000)</f>
        <v>19.272302601073793</v>
      </c>
      <c r="AA123" s="90">
        <f>IF(AA$89&lt;$B$9,0,AA122*1000*$B19*($B$8*(1+$B$8)^$D19/((1+$B$8)^$D19-1))*$B$7/1000000)</f>
        <v>19.079579575063061</v>
      </c>
      <c r="AB123" s="90">
        <f>IF(AB$89&lt;$B$9,0,AB122*1000*$B19*($B$8*(1+$B$8)^$D19/((1+$B$8)^$D19-1))*$B$7/1000000)</f>
        <v>18.888783779312437</v>
      </c>
      <c r="AC123" s="90">
        <f>IF(AC$89&lt;$B$9,0,AC122*1000*$B19*($B$8*(1+$B$8)^$D19/((1+$B$8)^$D19-1))*$B$7/1000000)</f>
        <v>18.699895941519308</v>
      </c>
      <c r="AD123" s="90">
        <f>IF(AD$89&lt;$B$9,0,AD122*1000*$B19*($B$8*(1+$B$8)^$D19/((1+$B$8)^$D19-1))*$B$7/1000000)</f>
        <v>18.512896982104113</v>
      </c>
      <c r="AE123" s="90">
        <f>IF(AE$89&lt;$B$9,0,AE122*1000*$B19*($B$8*(1+$B$8)^$D19/((1+$B$8)^$D19-1))*$B$7/1000000)</f>
        <v>18.327768012283077</v>
      </c>
      <c r="AF123" s="90">
        <f>IF(AF$89&lt;$B$9,0,AF122*1000*$B19*($B$8*(1+$B$8)^$D19/((1+$B$8)^$D19-1))*$B$7/1000000)</f>
        <v>18.144490332160242</v>
      </c>
      <c r="AG123" s="90">
        <f>IF(AG$89&lt;$B$9,0,AG122*1000*$B19*($B$8*(1+$B$8)^$D19/((1+$B$8)^$D19-1))*$B$7/1000000)</f>
        <v>17.963045428838637</v>
      </c>
      <c r="AH123" s="90">
        <f>IF(AH$89&lt;$B$9,0,AH122*1000*$B19*($B$8*(1+$B$8)^$D19/((1+$B$8)^$D19-1))*$B$7/1000000)</f>
        <v>17.783414974550254</v>
      </c>
    </row>
    <row r="124" spans="1:34" ht="15" customHeight="1" x14ac:dyDescent="0.2">
      <c r="A124" t="s">
        <v>439</v>
      </c>
      <c r="B124" t="s">
        <v>435</v>
      </c>
      <c r="C124" s="72" t="s">
        <v>440</v>
      </c>
      <c r="D124" s="90">
        <f>IF(D$89&lt;$B$9,0,D121*$C19*$B$7)</f>
        <v>0</v>
      </c>
      <c r="E124" s="90">
        <f>IF(E$89&lt;$B$9,0,E121*$C19*$B$7)</f>
        <v>0</v>
      </c>
      <c r="F124" s="90">
        <f>IF(F$89&lt;$B$9,0,F121*$C19*$B$7)</f>
        <v>0</v>
      </c>
      <c r="G124" s="90">
        <f>IF(G$89&lt;$B$9,0,G121*$C19*$B$7)</f>
        <v>0</v>
      </c>
      <c r="H124" s="90">
        <f>IF(H$89&lt;$B$9,0,H121*$C19*$B$7)</f>
        <v>0</v>
      </c>
      <c r="I124" s="90">
        <f>IF(I$89&lt;$B$9,0,I121*$C19*$B$7)</f>
        <v>14.835444778439999</v>
      </c>
      <c r="J124" s="90">
        <f>IF(J$89&lt;$B$9,0,J121*$C19*$B$7)</f>
        <v>14.687090330655598</v>
      </c>
      <c r="K124" s="90">
        <f>IF(K$89&lt;$B$9,0,K121*$C19*$B$7)</f>
        <v>14.540219427349045</v>
      </c>
      <c r="L124" s="90">
        <f>IF(L$89&lt;$B$9,0,L121*$C19*$B$7)</f>
        <v>14.394817233075551</v>
      </c>
      <c r="M124" s="90">
        <f>IF(M$89&lt;$B$9,0,M121*$C19*$B$7)</f>
        <v>14.250869060744796</v>
      </c>
      <c r="N124" s="90">
        <f>IF(N$89&lt;$B$9,0,N121*$C19*$B$7)</f>
        <v>14.108360370137349</v>
      </c>
      <c r="O124" s="90">
        <f>IF(O$89&lt;$B$9,0,O121*$C19*$B$7)</f>
        <v>13.967276766435976</v>
      </c>
      <c r="P124" s="90">
        <f>IF(P$89&lt;$B$9,0,P121*$C19*$B$7)</f>
        <v>13.827603998771616</v>
      </c>
      <c r="Q124" s="90">
        <f>IF(Q$89&lt;$B$9,0,Q121*$C19*$B$7)</f>
        <v>13.689327958783899</v>
      </c>
      <c r="R124" s="90">
        <f>IF(R$89&lt;$B$9,0,R121*$C19*$B$7)</f>
        <v>13.552434679196059</v>
      </c>
      <c r="S124" s="90">
        <f>IF(S$89&lt;$B$9,0,S121*$C19*$B$7)</f>
        <v>13.416910332404099</v>
      </c>
      <c r="T124" s="90">
        <f>IF(T$89&lt;$B$9,0,T121*$C19*$B$7)</f>
        <v>13.282741229080059</v>
      </c>
      <c r="U124" s="90">
        <f>IF(U$89&lt;$B$9,0,U121*$C19*$B$7)</f>
        <v>13.149913816789256</v>
      </c>
      <c r="V124" s="90">
        <f>IF(V$89&lt;$B$9,0,V121*$C19*$B$7)</f>
        <v>13.018414678621363</v>
      </c>
      <c r="W124" s="90">
        <f>IF(W$89&lt;$B$9,0,W121*$C19*$B$7)</f>
        <v>12.888230531835148</v>
      </c>
      <c r="X124" s="90">
        <f>IF(X$89&lt;$B$9,0,X121*$C19*$B$7)</f>
        <v>12.759348226516801</v>
      </c>
      <c r="Y124" s="90">
        <f>IF(Y$89&lt;$B$9,0,Y121*$C19*$B$7)</f>
        <v>12.631754744251632</v>
      </c>
      <c r="Z124" s="90">
        <f>IF(Z$89&lt;$B$9,0,Z121*$C19*$B$7)</f>
        <v>12.505437196809114</v>
      </c>
      <c r="AA124" s="90">
        <f>IF(AA$89&lt;$B$9,0,AA121*$C19*$B$7)</f>
        <v>12.380382824841021</v>
      </c>
      <c r="AB124" s="90">
        <f>IF(AB$89&lt;$B$9,0,AB121*$C19*$B$7)</f>
        <v>12.256578996592612</v>
      </c>
      <c r="AC124" s="90">
        <f>IF(AC$89&lt;$B$9,0,AC121*$C19*$B$7)</f>
        <v>12.134013206626685</v>
      </c>
      <c r="AD124" s="90">
        <f>IF(AD$89&lt;$B$9,0,AD121*$C19*$B$7)</f>
        <v>12.01267307456042</v>
      </c>
      <c r="AE124" s="90">
        <f>IF(AE$89&lt;$B$9,0,AE121*$C19*$B$7)</f>
        <v>11.892546343814816</v>
      </c>
      <c r="AF124" s="90">
        <f>IF(AF$89&lt;$B$9,0,AF121*$C19*$B$7)</f>
        <v>11.773620880376663</v>
      </c>
      <c r="AG124" s="90">
        <f>IF(AG$89&lt;$B$9,0,AG121*$C19*$B$7)</f>
        <v>11.655884671572897</v>
      </c>
      <c r="AH124" s="90">
        <f>IF(AH$89&lt;$B$9,0,AH121*$C19*$B$7)</f>
        <v>11.539325824857171</v>
      </c>
    </row>
    <row r="125" spans="1:34" ht="15" customHeight="1" x14ac:dyDescent="0.2">
      <c r="A125" s="81" t="s">
        <v>441</v>
      </c>
      <c r="B125" s="81" t="s">
        <v>435</v>
      </c>
      <c r="C125" s="72" t="s">
        <v>442</v>
      </c>
      <c r="D125" s="91">
        <f>D123+D124</f>
        <v>0</v>
      </c>
      <c r="E125" s="91">
        <f>E123+E124</f>
        <v>0</v>
      </c>
      <c r="F125" s="91">
        <f>F123+F124</f>
        <v>0</v>
      </c>
      <c r="G125" s="91">
        <f>G123+G124</f>
        <v>0</v>
      </c>
      <c r="H125" s="91">
        <f>H123+H124</f>
        <v>0</v>
      </c>
      <c r="I125" s="91">
        <f>I123+I124</f>
        <v>37.698554359652363</v>
      </c>
      <c r="J125" s="91">
        <f>J123+J124</f>
        <v>37.321568816055837</v>
      </c>
      <c r="K125" s="91">
        <f>K123+K124</f>
        <v>36.948353127895281</v>
      </c>
      <c r="L125" s="91">
        <f>L123+L124</f>
        <v>36.578869596616329</v>
      </c>
      <c r="M125" s="91">
        <f>M123+M124</f>
        <v>36.213080900650162</v>
      </c>
      <c r="N125" s="91">
        <f>N123+N124</f>
        <v>35.850950091643661</v>
      </c>
      <c r="O125" s="91">
        <f>O123+O124</f>
        <v>35.492440590727227</v>
      </c>
      <c r="P125" s="91">
        <f>P123+P124</f>
        <v>35.137516184819951</v>
      </c>
      <c r="Q125" s="91">
        <f>Q123+Q124</f>
        <v>34.786141022971748</v>
      </c>
      <c r="R125" s="91">
        <f>R123+R124</f>
        <v>34.438279612742029</v>
      </c>
      <c r="S125" s="91">
        <f>S123+S124</f>
        <v>34.093896816614617</v>
      </c>
      <c r="T125" s="91">
        <f>T123+T124</f>
        <v>33.752957848448467</v>
      </c>
      <c r="U125" s="91">
        <f>U123+U124</f>
        <v>33.415428269963975</v>
      </c>
      <c r="V125" s="91">
        <f>V123+V124</f>
        <v>33.081273987264339</v>
      </c>
      <c r="W125" s="91">
        <f>W123+W124</f>
        <v>32.750461247391698</v>
      </c>
      <c r="X125" s="91">
        <f>X123+X124</f>
        <v>32.422956634917782</v>
      </c>
      <c r="Y125" s="91">
        <f>Y123+Y124</f>
        <v>32.098727068568607</v>
      </c>
      <c r="Z125" s="91">
        <f>Z123+Z124</f>
        <v>31.777739797882909</v>
      </c>
      <c r="AA125" s="91">
        <f>AA123+AA124</f>
        <v>31.459962399904082</v>
      </c>
      <c r="AB125" s="91">
        <f>AB123+AB124</f>
        <v>31.145362775905049</v>
      </c>
      <c r="AC125" s="91">
        <f>AC123+AC124</f>
        <v>30.833909148145992</v>
      </c>
      <c r="AD125" s="91">
        <f>AD123+AD124</f>
        <v>30.525570056664534</v>
      </c>
      <c r="AE125" s="91">
        <f>AE123+AE124</f>
        <v>30.220314356097894</v>
      </c>
      <c r="AF125" s="91">
        <f>AF123+AF124</f>
        <v>29.918111212536907</v>
      </c>
      <c r="AG125" s="91">
        <f>AG123+AG124</f>
        <v>29.618930100411532</v>
      </c>
      <c r="AH125" s="91">
        <f>AH123+AH124</f>
        <v>29.322740799407427</v>
      </c>
    </row>
    <row r="127" spans="1:34" ht="15" customHeight="1" x14ac:dyDescent="0.2">
      <c r="A127" s="2" t="s">
        <v>457</v>
      </c>
      <c r="B127" s="2"/>
      <c r="C127" s="2"/>
      <c r="D127" s="2"/>
      <c r="E127" s="2"/>
      <c r="F127" s="2"/>
    </row>
    <row r="129" spans="1:34" ht="15" customHeight="1" x14ac:dyDescent="0.2">
      <c r="A129" t="s">
        <v>448</v>
      </c>
      <c r="B129" t="s">
        <v>435</v>
      </c>
      <c r="D129" s="90">
        <f>SUM(D94,D101,D108,D115,D123)</f>
        <v>0</v>
      </c>
      <c r="E129" s="90">
        <f>SUM(E94,E101,E108,E115,E123)</f>
        <v>0</v>
      </c>
      <c r="F129" s="90">
        <f>SUM(F94,F101,F108,F115,F123)</f>
        <v>0</v>
      </c>
      <c r="G129" s="90">
        <f>SUM(G94,G101,G108,G115,G123)</f>
        <v>0</v>
      </c>
      <c r="H129" s="90">
        <f>SUM(H94,H101,H108,H115,H123)</f>
        <v>0</v>
      </c>
      <c r="I129" s="90">
        <f>SUM(I94,I101,I108,I115,I123)</f>
        <v>1904.6644444544202</v>
      </c>
      <c r="J129" s="90">
        <f>SUM(J94,J101,J108,J115,J123)</f>
        <v>1912.9953549647582</v>
      </c>
      <c r="K129" s="90">
        <f>SUM(K94,K101,K108,K115,K123)</f>
        <v>1938.1675068272132</v>
      </c>
      <c r="L129" s="90">
        <f>SUM(L94,L101,L108,L115,L123)</f>
        <v>1979.8934562661996</v>
      </c>
      <c r="M129" s="90">
        <f>SUM(M94,M101,M108,M115,M123)</f>
        <v>2021.6936630887476</v>
      </c>
      <c r="N129" s="90">
        <f>SUM(N94,N101,N108,N115,N123)</f>
        <v>2063.5667824841212</v>
      </c>
      <c r="O129" s="90">
        <f>SUM(O94,O101,O108,O115,O123)</f>
        <v>2105.5115985689731</v>
      </c>
      <c r="P129" s="90">
        <f>SUM(P94,P101,P108,P115,P123)</f>
        <v>2147.5270234723935</v>
      </c>
      <c r="Q129" s="90">
        <f>SUM(Q94,Q101,Q108,Q115,Q123)</f>
        <v>2189.6120964739907</v>
      </c>
      <c r="R129" s="90">
        <f>SUM(R94,R101,R108,R115,R123)</f>
        <v>2231.7659831946976</v>
      </c>
      <c r="S129" s="90">
        <f>SUM(S94,S101,S108,S115,S123)</f>
        <v>2273.9879748399821</v>
      </c>
      <c r="T129" s="90">
        <f>SUM(T94,T101,T108,T115,T123)</f>
        <v>2316.2774874952047</v>
      </c>
      <c r="U129" s="90">
        <f>SUM(U94,U101,U108,U115,U123)</f>
        <v>2322.7418025283996</v>
      </c>
      <c r="V129" s="90">
        <f>SUM(V94,V101,V108,V115,V123)</f>
        <v>2329.2728428225205</v>
      </c>
      <c r="W129" s="90">
        <f>SUM(W94,W101,W108,W115,W123)</f>
        <v>2335.8703953923846</v>
      </c>
      <c r="X129" s="90">
        <f>SUM(X94,X101,X108,X115,X123)</f>
        <v>2342.5343698306715</v>
      </c>
      <c r="Y129" s="90">
        <f>SUM(Y94,Y101,Y108,Y115,Y123)</f>
        <v>2349.2647978605178</v>
      </c>
      <c r="Z129" s="90">
        <f>SUM(Z94,Z101,Z108,Z115,Z123)</f>
        <v>2356.061832939024</v>
      </c>
      <c r="AA129" s="90">
        <f>SUM(AA94,AA101,AA108,AA115,AA123)</f>
        <v>2362.9257499115097</v>
      </c>
      <c r="AB129" s="90">
        <f>SUM(AB94,AB101,AB108,AB115,AB123)</f>
        <v>2369.8569447164373</v>
      </c>
      <c r="AC129" s="90">
        <f>SUM(AC94,AC101,AC108,AC115,AC123)</f>
        <v>2376.8559341408818</v>
      </c>
      <c r="AD129" s="90">
        <f>SUM(AD94,AD101,AD108,AD115,AD123)</f>
        <v>2383.9233556264817</v>
      </c>
      <c r="AE129" s="90">
        <f>SUM(AE94,AE101,AE108,AE115,AE123)</f>
        <v>2391.0599671258101</v>
      </c>
      <c r="AF129" s="90">
        <f>SUM(AF94,AF101,AF108,AF115,AF123)</f>
        <v>2398.2666470091426</v>
      </c>
      <c r="AG129" s="90">
        <f>SUM(AG94,AG101,AG108,AG115,AG123)</f>
        <v>2405.5443940215928</v>
      </c>
      <c r="AH129" s="90">
        <f>SUM(AH94,AH101,AH108,AH115,AH123)</f>
        <v>2412.894327290624</v>
      </c>
    </row>
    <row r="130" spans="1:34" ht="15" customHeight="1" x14ac:dyDescent="0.2">
      <c r="A130" t="s">
        <v>449</v>
      </c>
      <c r="B130" t="s">
        <v>435</v>
      </c>
      <c r="D130" s="90">
        <f>SUM(D95,D102,D109,D117,D124)</f>
        <v>0</v>
      </c>
      <c r="E130" s="90">
        <f>SUM(E95,E102,E109,E117,E124)</f>
        <v>0</v>
      </c>
      <c r="F130" s="90">
        <f>SUM(F95,F102,F109,F117,F124)</f>
        <v>0</v>
      </c>
      <c r="G130" s="90">
        <f>SUM(G95,G102,G109,G117,G124)</f>
        <v>0</v>
      </c>
      <c r="H130" s="90">
        <f>SUM(H95,H102,H109,H117,H124)</f>
        <v>0</v>
      </c>
      <c r="I130" s="90">
        <f>SUM(I95,I102,I109,I117,I124)</f>
        <v>1648.5347008632637</v>
      </c>
      <c r="J130" s="90">
        <f>SUM(J95,J102,J109,J117,J124)</f>
        <v>1666.4900730212837</v>
      </c>
      <c r="K130" s="90">
        <f>SUM(K95,K102,K109,K117,K124)</f>
        <v>1704.682505652366</v>
      </c>
      <c r="L130" s="90">
        <f>SUM(L95,L102,L109,L117,L124)</f>
        <v>1765.0578212605365</v>
      </c>
      <c r="M130" s="90">
        <f>SUM(M95,M102,M109,M117,M124)</f>
        <v>1825.3085061686047</v>
      </c>
      <c r="N130" s="90">
        <f>SUM(N95,N102,N109,N117,N124)</f>
        <v>1885.4367658301064</v>
      </c>
      <c r="O130" s="90">
        <f>SUM(O95,O102,O109,O117,O124)</f>
        <v>1945.4448804005974</v>
      </c>
      <c r="P130" s="90">
        <f>SUM(P95,P102,P109,P117,P124)</f>
        <v>2005.3352050784727</v>
      </c>
      <c r="Q130" s="90">
        <f>SUM(Q95,Q102,Q109,Q117,Q124)</f>
        <v>2065.1101704772959</v>
      </c>
      <c r="R130" s="90">
        <f>SUM(R95,R102,R109,R117,R124)</f>
        <v>2124.7722830298317</v>
      </c>
      <c r="S130" s="90">
        <f>SUM(S95,S102,S109,S117,S124)</f>
        <v>2184.3241254239888</v>
      </c>
      <c r="T130" s="90">
        <f>SUM(T95,T102,T109,T117,T124)</f>
        <v>2243.7683570709069</v>
      </c>
      <c r="U130" s="90">
        <f>SUM(U95,U102,U109,U117,U124)</f>
        <v>2256.8439646054171</v>
      </c>
      <c r="V130" s="90">
        <f>SUM(V95,V102,V109,V117,V124)</f>
        <v>2269.8175124191139</v>
      </c>
      <c r="W130" s="90">
        <f>SUM(W95,W102,W109,W117,W124)</f>
        <v>2282.6918932263179</v>
      </c>
      <c r="X130" s="90">
        <f>SUM(X95,X102,X109,X117,X124)</f>
        <v>2295.4700786631888</v>
      </c>
      <c r="Y130" s="90">
        <f>SUM(Y95,Y102,Y109,Y117,Y124)</f>
        <v>2308.1551199202722</v>
      </c>
      <c r="Z130" s="90">
        <f>SUM(Z95,Z102,Z109,Z117,Z124)</f>
        <v>2320.7501484087888</v>
      </c>
      <c r="AA130" s="90">
        <f>SUM(AA95,AA102,AA109,AA117,AA124)</f>
        <v>2333.258376460969</v>
      </c>
      <c r="AB130" s="90">
        <f>SUM(AB95,AB102,AB109,AB117,AB124)</f>
        <v>2345.6830980647528</v>
      </c>
      <c r="AC130" s="90">
        <f>SUM(AC95,AC102,AC109,AC117,AC124)</f>
        <v>2358.0276896332107</v>
      </c>
      <c r="AD130" s="90">
        <f>SUM(AD95,AD102,AD109,AD117,AD124)</f>
        <v>2370.295610809007</v>
      </c>
      <c r="AE130" s="90">
        <f>SUM(AE95,AE102,AE109,AE117,AE124)</f>
        <v>2382.4904053042978</v>
      </c>
      <c r="AF130" s="90">
        <f>SUM(AF95,AF102,AF109,AF117,AF124)</f>
        <v>2394.6157017764222</v>
      </c>
      <c r="AG130" s="90">
        <f>SUM(AG95,AG102,AG109,AG117,AG124)</f>
        <v>2406.6752147397829</v>
      </c>
      <c r="AH130" s="90">
        <f>SUM(AH95,AH102,AH109,AH117,AH124)</f>
        <v>2418.6727455143232</v>
      </c>
    </row>
    <row r="131" spans="1:34" ht="15" customHeight="1" x14ac:dyDescent="0.2">
      <c r="A131" s="81" t="s">
        <v>450</v>
      </c>
      <c r="B131" s="81" t="s">
        <v>435</v>
      </c>
      <c r="D131" s="91">
        <f>D129+D130</f>
        <v>0</v>
      </c>
      <c r="E131" s="91">
        <f>E129+E130</f>
        <v>0</v>
      </c>
      <c r="F131" s="91">
        <f>F129+F130</f>
        <v>0</v>
      </c>
      <c r="G131" s="91">
        <f>G129+G130</f>
        <v>0</v>
      </c>
      <c r="H131" s="91">
        <f>H129+H130</f>
        <v>0</v>
      </c>
      <c r="I131" s="91">
        <f>I129+I130</f>
        <v>3553.1991453176838</v>
      </c>
      <c r="J131" s="91">
        <f>J129+J130</f>
        <v>3579.4854279860419</v>
      </c>
      <c r="K131" s="91">
        <f>K129+K130</f>
        <v>3642.8500124795792</v>
      </c>
      <c r="L131" s="91">
        <f>L129+L130</f>
        <v>3744.9512775267358</v>
      </c>
      <c r="M131" s="91">
        <f>M129+M130</f>
        <v>3847.0021692573523</v>
      </c>
      <c r="N131" s="91">
        <f>N129+N130</f>
        <v>3949.0035483142274</v>
      </c>
      <c r="O131" s="91">
        <f>O129+O130</f>
        <v>4050.9564789695705</v>
      </c>
      <c r="P131" s="91">
        <f>P129+P130</f>
        <v>4152.8622285508663</v>
      </c>
      <c r="Q131" s="91">
        <f>Q129+Q130</f>
        <v>4254.7222669512867</v>
      </c>
      <c r="R131" s="91">
        <f>R129+R130</f>
        <v>4356.5382662245293</v>
      </c>
      <c r="S131" s="91">
        <f>S129+S130</f>
        <v>4458.3121002639709</v>
      </c>
      <c r="T131" s="91">
        <f>T129+T130</f>
        <v>4560.0458445661116</v>
      </c>
      <c r="U131" s="91">
        <f>U129+U130</f>
        <v>4579.5857671338163</v>
      </c>
      <c r="V131" s="91">
        <f>V129+V130</f>
        <v>4599.0903552416348</v>
      </c>
      <c r="W131" s="91">
        <f>W129+W130</f>
        <v>4618.562288618703</v>
      </c>
      <c r="X131" s="91">
        <f>X129+X130</f>
        <v>4638.0044484938608</v>
      </c>
      <c r="Y131" s="91">
        <f>Y129+Y130</f>
        <v>4657.4199177807895</v>
      </c>
      <c r="Z131" s="91">
        <f>Z129+Z130</f>
        <v>4676.8119813478133</v>
      </c>
      <c r="AA131" s="91">
        <f>AA129+AA130</f>
        <v>4696.1841263724782</v>
      </c>
      <c r="AB131" s="91">
        <f>AB129+AB130</f>
        <v>4715.5400427811901</v>
      </c>
      <c r="AC131" s="91">
        <f>AC129+AC130</f>
        <v>4734.8836237740925</v>
      </c>
      <c r="AD131" s="91">
        <f>AD129+AD130</f>
        <v>4754.2189664354883</v>
      </c>
      <c r="AE131" s="91">
        <f>AE129+AE130</f>
        <v>4773.5503724301079</v>
      </c>
      <c r="AF131" s="91">
        <f>AF129+AF130</f>
        <v>4792.8823487855643</v>
      </c>
      <c r="AG131" s="91">
        <f>AG129+AG130</f>
        <v>4812.2196087613756</v>
      </c>
      <c r="AH131" s="91">
        <f>AH129+AH130</f>
        <v>4831.5670728049472</v>
      </c>
    </row>
    <row r="133" spans="1:34" ht="15" customHeight="1" x14ac:dyDescent="0.2">
      <c r="A133" s="81" t="s">
        <v>451</v>
      </c>
      <c r="B133" t="s">
        <v>435</v>
      </c>
      <c r="D133" s="76">
        <f>D129</f>
        <v>0</v>
      </c>
      <c r="E133" s="76">
        <f>D133+E129</f>
        <v>0</v>
      </c>
      <c r="F133" s="76">
        <f>E133+F129</f>
        <v>0</v>
      </c>
      <c r="G133" s="76">
        <f>F133+G129</f>
        <v>0</v>
      </c>
      <c r="H133" s="76">
        <f>G133+H129</f>
        <v>0</v>
      </c>
      <c r="I133" s="76">
        <f>H133+I129</f>
        <v>1904.6644444544202</v>
      </c>
      <c r="J133" s="76">
        <f>I133+J129</f>
        <v>3817.6597994191784</v>
      </c>
      <c r="K133" s="76">
        <f>J133+K129</f>
        <v>5755.8273062463913</v>
      </c>
      <c r="L133" s="76">
        <f>K133+L129</f>
        <v>7735.7207625125911</v>
      </c>
      <c r="M133" s="76">
        <f>L133+M129</f>
        <v>9757.4144256013387</v>
      </c>
      <c r="N133" s="76">
        <f>M133+N129</f>
        <v>11820.981208085461</v>
      </c>
      <c r="O133" s="76">
        <f>N133+O129</f>
        <v>13926.492806654434</v>
      </c>
      <c r="P133" s="76">
        <f>O133+P129</f>
        <v>16074.019830126828</v>
      </c>
      <c r="Q133" s="76">
        <f>P133+Q129</f>
        <v>18263.631926600818</v>
      </c>
      <c r="R133" s="76">
        <f>Q133+R129</f>
        <v>20495.397909795516</v>
      </c>
      <c r="S133" s="76">
        <f>R133+S129</f>
        <v>22769.3858846355</v>
      </c>
      <c r="T133" s="76">
        <f>S133+T129</f>
        <v>25085.663372130704</v>
      </c>
      <c r="U133" s="76">
        <f>T133+U129</f>
        <v>27408.405174659103</v>
      </c>
      <c r="V133" s="76">
        <f>U133+V129</f>
        <v>29737.678017481623</v>
      </c>
      <c r="W133" s="76">
        <f>V133+W129</f>
        <v>32073.548412874006</v>
      </c>
      <c r="X133" s="76">
        <f>W133+X129</f>
        <v>34416.082782704674</v>
      </c>
      <c r="Y133" s="76">
        <f>X133+Y129</f>
        <v>36765.347580565191</v>
      </c>
      <c r="Z133" s="76">
        <f>Y133+Z129</f>
        <v>39121.409413504218</v>
      </c>
      <c r="AA133" s="76">
        <f>Z133+AA129</f>
        <v>41484.33516341573</v>
      </c>
      <c r="AB133" s="76">
        <f>AA133+AB129</f>
        <v>43854.192108132163</v>
      </c>
      <c r="AC133" s="76">
        <f>AB133+AC129</f>
        <v>46231.048042273047</v>
      </c>
      <c r="AD133" s="76">
        <f>AC133+AD129</f>
        <v>48614.971397899528</v>
      </c>
      <c r="AE133" s="76">
        <f>AD133+AE129</f>
        <v>51006.031365025337</v>
      </c>
      <c r="AF133" s="76">
        <f>AE133+AF129</f>
        <v>53404.29801203448</v>
      </c>
      <c r="AG133" s="76">
        <f>AF133+AG129</f>
        <v>55809.842406056072</v>
      </c>
      <c r="AH133" s="76">
        <f>AG133+AH129</f>
        <v>58222.736733346697</v>
      </c>
    </row>
    <row r="137" spans="1:34" x14ac:dyDescent="0.2">
      <c r="A137" t="s">
        <v>509</v>
      </c>
    </row>
    <row r="138" spans="1:34" x14ac:dyDescent="0.2">
      <c r="A138" t="s">
        <v>448</v>
      </c>
      <c r="B138" t="s">
        <v>435</v>
      </c>
      <c r="D138" s="46">
        <f t="shared" ref="D138:I138" si="3">+D129-D80</f>
        <v>0</v>
      </c>
      <c r="E138" s="46">
        <f t="shared" si="3"/>
        <v>0</v>
      </c>
      <c r="F138" s="46">
        <f t="shared" si="3"/>
        <v>0</v>
      </c>
      <c r="G138" s="46">
        <f t="shared" si="3"/>
        <v>0</v>
      </c>
      <c r="H138" s="46">
        <f t="shared" si="3"/>
        <v>0</v>
      </c>
      <c r="I138" s="46">
        <f>+I129-I80</f>
        <v>22.483447718484967</v>
      </c>
      <c r="J138" s="46">
        <f>+J129-J80</f>
        <v>27.303560978404676</v>
      </c>
      <c r="K138" s="46">
        <f>+K129-K80</f>
        <v>47.825345816525214</v>
      </c>
      <c r="L138" s="46">
        <f>+L129-L80</f>
        <v>85.864748192191655</v>
      </c>
      <c r="M138" s="46">
        <f>+M129-M80</f>
        <v>123.91731567748911</v>
      </c>
      <c r="N138" s="46">
        <f>+N129-N80</f>
        <v>161.9812546014864</v>
      </c>
      <c r="O138" s="46">
        <f>+O129-O80</f>
        <v>200.05480411087387</v>
      </c>
      <c r="P138" s="46">
        <f>+P129-P80</f>
        <v>238.13623577473845</v>
      </c>
      <c r="Q138" s="46">
        <f>+Q129-Q80</f>
        <v>276.22385319320392</v>
      </c>
      <c r="R138" s="46">
        <f>+R129-R80</f>
        <v>314.31599160992027</v>
      </c>
      <c r="S138" s="46">
        <f>+S129-S80</f>
        <v>352.41101752834061</v>
      </c>
      <c r="T138" s="46">
        <f>+T129-T80</f>
        <v>390.50732833178222</v>
      </c>
      <c r="U138" s="46">
        <f>+U129-U80</f>
        <v>392.71109296276427</v>
      </c>
      <c r="V138" s="46">
        <f>+V129-V80</f>
        <v>394.91302838387492</v>
      </c>
      <c r="W138" s="46">
        <f>+W129-W80</f>
        <v>397.11162237557915</v>
      </c>
      <c r="X138" s="46">
        <f>+X129-X80</f>
        <v>399.30539211549058</v>
      </c>
      <c r="Y138" s="46">
        <f>+Y129-Y80</f>
        <v>401.49288381680003</v>
      </c>
      <c r="Z138" s="46">
        <f>+Z129-Z80</f>
        <v>403.67267237028454</v>
      </c>
      <c r="AA138" s="46">
        <f>+AA129-AA80</f>
        <v>405.84336098985341</v>
      </c>
      <c r="AB138" s="46">
        <f>+AB129-AB80</f>
        <v>408.0035808616251</v>
      </c>
      <c r="AC138" s="46">
        <f>+AC129-AC80</f>
        <v>410.1519907964896</v>
      </c>
      <c r="AD138" s="46">
        <f>+AD129-AD80</f>
        <v>412.28727688611457</v>
      </c>
      <c r="AE138" s="46">
        <f>+AE129-AE80</f>
        <v>414.40815216239025</v>
      </c>
      <c r="AF138" s="46">
        <f>+AF129-AF80</f>
        <v>416.51335626026435</v>
      </c>
      <c r="AG138" s="46">
        <f>+AG129-AG80</f>
        <v>418.6016550839488</v>
      </c>
      <c r="AH138" s="46">
        <f>+AH129-AH80</f>
        <v>420.67184047645378</v>
      </c>
    </row>
    <row r="139" spans="1:34" x14ac:dyDescent="0.2">
      <c r="A139" t="s">
        <v>449</v>
      </c>
      <c r="B139" t="s">
        <v>435</v>
      </c>
      <c r="D139" s="46">
        <f t="shared" ref="D139:I139" si="4">+D130-D81</f>
        <v>0</v>
      </c>
      <c r="E139" s="46">
        <f t="shared" si="4"/>
        <v>0</v>
      </c>
      <c r="F139" s="46">
        <f t="shared" si="4"/>
        <v>0</v>
      </c>
      <c r="G139" s="46">
        <f t="shared" si="4"/>
        <v>0</v>
      </c>
      <c r="H139" s="46">
        <f t="shared" si="4"/>
        <v>0</v>
      </c>
      <c r="I139" s="46">
        <f>+I130-I81</f>
        <v>22.828052427489183</v>
      </c>
      <c r="J139" s="46">
        <f t="shared" ref="J139:AH139" si="5">+J130-J81</f>
        <v>27.722043757538131</v>
      </c>
      <c r="K139" s="46">
        <f t="shared" si="5"/>
        <v>51.770402043852073</v>
      </c>
      <c r="L139" s="46">
        <f t="shared" si="5"/>
        <v>99.25276401432393</v>
      </c>
      <c r="M139" s="46">
        <f t="shared" si="5"/>
        <v>146.7190507175078</v>
      </c>
      <c r="N139" s="46">
        <f t="shared" si="5"/>
        <v>194.16745040033538</v>
      </c>
      <c r="O139" s="46">
        <f t="shared" si="5"/>
        <v>241.59618934334071</v>
      </c>
      <c r="P139" s="46">
        <f t="shared" si="5"/>
        <v>289.0035313790288</v>
      </c>
      <c r="Q139" s="46">
        <f t="shared" si="5"/>
        <v>336.38777741508579</v>
      </c>
      <c r="R139" s="46">
        <f t="shared" si="5"/>
        <v>383.747264962391</v>
      </c>
      <c r="S139" s="46">
        <f t="shared" si="5"/>
        <v>431.08036766778559</v>
      </c>
      <c r="T139" s="46">
        <f t="shared" si="5"/>
        <v>478.38549485156113</v>
      </c>
      <c r="U139" s="46">
        <f t="shared" si="5"/>
        <v>479.3973410496244</v>
      </c>
      <c r="V139" s="46">
        <f t="shared" si="5"/>
        <v>480.37813556029073</v>
      </c>
      <c r="W139" s="46">
        <f t="shared" si="5"/>
        <v>481.32639199567666</v>
      </c>
      <c r="X139" s="46">
        <f t="shared" si="5"/>
        <v>482.24065783764445</v>
      </c>
      <c r="Y139" s="46">
        <f t="shared" si="5"/>
        <v>483.11951399825853</v>
      </c>
      <c r="Z139" s="46">
        <f t="shared" si="5"/>
        <v>483.96157438471391</v>
      </c>
      <c r="AA139" s="46">
        <f t="shared" si="5"/>
        <v>484.7654854687039</v>
      </c>
      <c r="AB139" s="46">
        <f t="shared" si="5"/>
        <v>485.5299258601674</v>
      </c>
      <c r="AC139" s="46">
        <f t="shared" si="5"/>
        <v>486.25360588541594</v>
      </c>
      <c r="AD139" s="46">
        <f t="shared" si="5"/>
        <v>486.93526716955012</v>
      </c>
      <c r="AE139" s="46">
        <f t="shared" si="5"/>
        <v>487.57368222317496</v>
      </c>
      <c r="AF139" s="46">
        <f t="shared" si="5"/>
        <v>488.16765403334784</v>
      </c>
      <c r="AG139" s="46">
        <f t="shared" si="5"/>
        <v>488.71601565872811</v>
      </c>
      <c r="AH139" s="46">
        <f t="shared" si="5"/>
        <v>489.21762982889345</v>
      </c>
    </row>
  </sheetData>
  <mergeCells count="11">
    <mergeCell ref="A87:F87"/>
    <mergeCell ref="A127:F127"/>
    <mergeCell ref="A12:F12"/>
    <mergeCell ref="A21:F21"/>
    <mergeCell ref="A38:F38"/>
    <mergeCell ref="A78:F78"/>
    <mergeCell ref="A1:H1"/>
    <mergeCell ref="A2:H2"/>
    <mergeCell ref="A4:D4"/>
    <mergeCell ref="F4:I4"/>
    <mergeCell ref="F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72"/>
  <sheetViews>
    <sheetView showGridLines="0" topLeftCell="E25" zoomScale="110" zoomScaleNormal="110" workbookViewId="0">
      <selection activeCell="X39" sqref="X39"/>
    </sheetView>
  </sheetViews>
  <sheetFormatPr baseColWidth="10" defaultColWidth="8.6640625" defaultRowHeight="15" x14ac:dyDescent="0.2"/>
  <cols>
    <col min="1" max="1" width="50" customWidth="1"/>
    <col min="2" max="15" width="14" customWidth="1"/>
  </cols>
  <sheetData>
    <row r="1" spans="1:5" ht="17.25" customHeight="1" x14ac:dyDescent="0.2">
      <c r="A1" s="7" t="s">
        <v>458</v>
      </c>
      <c r="B1" s="7"/>
      <c r="C1" s="7"/>
      <c r="D1" s="7"/>
      <c r="E1" s="7"/>
    </row>
    <row r="3" spans="1:5" ht="15" customHeight="1" x14ac:dyDescent="0.2">
      <c r="A3" s="13" t="s">
        <v>196</v>
      </c>
      <c r="B3" s="13" t="s">
        <v>459</v>
      </c>
      <c r="C3" s="13" t="s">
        <v>460</v>
      </c>
      <c r="D3" s="13" t="s">
        <v>461</v>
      </c>
      <c r="E3" s="13" t="s">
        <v>197</v>
      </c>
    </row>
    <row r="4" spans="1:5" ht="15" customHeight="1" x14ac:dyDescent="0.2">
      <c r="A4" s="93" t="s">
        <v>198</v>
      </c>
      <c r="B4" s="94">
        <f>Demand!D5</f>
        <v>6735277</v>
      </c>
      <c r="C4" s="94">
        <f>Demand!AH5</f>
        <v>10506952</v>
      </c>
      <c r="D4" s="95">
        <f t="shared" ref="D4:D25" si="0">IFERROR((C4/B4)^(1/30)-1,"")</f>
        <v>1.4933006156565121E-2</v>
      </c>
      <c r="E4" s="96"/>
    </row>
    <row r="5" spans="1:5" ht="15" customHeight="1" x14ac:dyDescent="0.2">
      <c r="A5" s="93" t="s">
        <v>462</v>
      </c>
      <c r="B5" s="94">
        <f>Demand!D6</f>
        <v>6357</v>
      </c>
      <c r="C5" s="94">
        <f>Demand!AH6</f>
        <v>14556.120803562733</v>
      </c>
      <c r="D5" s="95">
        <f t="shared" si="0"/>
        <v>2.8000000000000025E-2</v>
      </c>
      <c r="E5" s="96"/>
    </row>
    <row r="6" spans="1:5" ht="15" customHeight="1" x14ac:dyDescent="0.2">
      <c r="A6" s="93" t="s">
        <v>463</v>
      </c>
      <c r="B6" s="94">
        <f>Demand!D7</f>
        <v>42816.155889000001</v>
      </c>
      <c r="C6" s="94">
        <f>Demand!AH7</f>
        <v>152940.46258923507</v>
      </c>
      <c r="D6" s="95">
        <f t="shared" si="0"/>
        <v>4.3351130328949106E-2</v>
      </c>
      <c r="E6" s="96"/>
    </row>
    <row r="7" spans="1:5" ht="15" customHeight="1" x14ac:dyDescent="0.2">
      <c r="A7" s="97" t="s">
        <v>464</v>
      </c>
      <c r="B7" s="98">
        <f>Demand!D19</f>
        <v>7039.5343826149001</v>
      </c>
      <c r="C7" s="98">
        <f>Demand!AH19</f>
        <v>9820.5736250323625</v>
      </c>
      <c r="D7" s="99">
        <f t="shared" si="0"/>
        <v>1.1159727171683231E-2</v>
      </c>
      <c r="E7" s="100"/>
    </row>
    <row r="8" spans="1:5" ht="15" customHeight="1" x14ac:dyDescent="0.2">
      <c r="A8" s="93" t="s">
        <v>465</v>
      </c>
      <c r="B8" s="101">
        <f>Demand!D13</f>
        <v>784.22197749500003</v>
      </c>
      <c r="C8" s="101">
        <f>Demand!AH13</f>
        <v>1052.5741937983671</v>
      </c>
      <c r="D8" s="95">
        <f t="shared" si="0"/>
        <v>9.8583411257824327E-3</v>
      </c>
      <c r="E8" s="96"/>
    </row>
    <row r="9" spans="1:5" ht="15" customHeight="1" x14ac:dyDescent="0.2">
      <c r="A9" s="93" t="s">
        <v>466</v>
      </c>
      <c r="B9" s="101">
        <f>Demand!D14</f>
        <v>389.62701858989999</v>
      </c>
      <c r="C9" s="101">
        <f>Demand!AH14</f>
        <v>1029.4840672792445</v>
      </c>
      <c r="D9" s="95">
        <f t="shared" si="0"/>
        <v>3.2917619025659484E-2</v>
      </c>
      <c r="E9" s="96"/>
    </row>
    <row r="10" spans="1:5" ht="15" customHeight="1" x14ac:dyDescent="0.2">
      <c r="A10" s="93" t="s">
        <v>467</v>
      </c>
      <c r="B10" s="101">
        <f>Demand!D15</f>
        <v>5865.68538653</v>
      </c>
      <c r="C10" s="101">
        <f>Demand!AH15</f>
        <v>7191.0153639547507</v>
      </c>
      <c r="D10" s="95">
        <f t="shared" si="0"/>
        <v>6.8135421073125535E-3</v>
      </c>
      <c r="E10" s="96"/>
    </row>
    <row r="11" spans="1:5" ht="15" customHeight="1" x14ac:dyDescent="0.2">
      <c r="A11" s="102" t="s">
        <v>468</v>
      </c>
      <c r="B11" s="103">
        <f>Demand!D17</f>
        <v>0</v>
      </c>
      <c r="C11" s="103">
        <f>Demand!AH17</f>
        <v>547.5</v>
      </c>
      <c r="D11" s="104" t="str">
        <f t="shared" si="0"/>
        <v/>
      </c>
      <c r="E11" s="105" t="s">
        <v>469</v>
      </c>
    </row>
    <row r="12" spans="1:5" ht="15" customHeight="1" x14ac:dyDescent="0.2">
      <c r="A12" s="93" t="s">
        <v>470</v>
      </c>
      <c r="B12" s="101">
        <f>Supply!D8</f>
        <v>6000</v>
      </c>
      <c r="C12" s="101">
        <f>Supply!AH8</f>
        <v>3812.7485563880969</v>
      </c>
      <c r="D12" s="95">
        <f t="shared" si="0"/>
        <v>-1.5000000000000013E-2</v>
      </c>
      <c r="E12" s="96"/>
    </row>
    <row r="13" spans="1:5" ht="15" customHeight="1" x14ac:dyDescent="0.2">
      <c r="A13" s="93" t="s">
        <v>471</v>
      </c>
      <c r="B13" s="101">
        <f>Supply!D9</f>
        <v>912</v>
      </c>
      <c r="C13" s="101">
        <f>Supply!AH9</f>
        <v>497.48169927678225</v>
      </c>
      <c r="D13" s="95">
        <f t="shared" si="0"/>
        <v>-2.0000000000000018E-2</v>
      </c>
      <c r="E13" s="96" t="s">
        <v>472</v>
      </c>
    </row>
    <row r="14" spans="1:5" ht="15" customHeight="1" x14ac:dyDescent="0.2">
      <c r="A14" s="106" t="s">
        <v>473</v>
      </c>
      <c r="B14" s="107">
        <f>Supply!D29</f>
        <v>0</v>
      </c>
      <c r="C14" s="107">
        <f>Supply!AH29</f>
        <v>536.44797096511718</v>
      </c>
      <c r="D14" s="108" t="str">
        <f t="shared" si="0"/>
        <v/>
      </c>
      <c r="E14" s="96" t="s">
        <v>474</v>
      </c>
    </row>
    <row r="15" spans="1:5" ht="15" customHeight="1" x14ac:dyDescent="0.2">
      <c r="A15" s="102" t="s">
        <v>475</v>
      </c>
      <c r="B15" s="103">
        <f>Supply!D31</f>
        <v>0</v>
      </c>
      <c r="C15" s="103">
        <f>Supply!AH31</f>
        <v>536.44797096511718</v>
      </c>
      <c r="D15" s="104" t="str">
        <f t="shared" si="0"/>
        <v/>
      </c>
      <c r="E15" s="105"/>
    </row>
    <row r="16" spans="1:5" ht="15" customHeight="1" x14ac:dyDescent="0.2">
      <c r="A16" s="102" t="s">
        <v>476</v>
      </c>
      <c r="B16" s="109">
        <f>Supply!D32</f>
        <v>0</v>
      </c>
      <c r="C16" s="109">
        <f>Supply!AH32</f>
        <v>1469720.4683975813</v>
      </c>
      <c r="D16" s="104" t="str">
        <f t="shared" si="0"/>
        <v/>
      </c>
      <c r="E16" s="105" t="s">
        <v>477</v>
      </c>
    </row>
    <row r="17" spans="1:17" ht="15" customHeight="1" x14ac:dyDescent="0.2">
      <c r="A17" s="93" t="s">
        <v>478</v>
      </c>
      <c r="B17" s="94">
        <f>Energy!D9</f>
        <v>2120.8922569939828</v>
      </c>
      <c r="C17" s="94">
        <f>Energy!AH9</f>
        <v>4762.5454387917362</v>
      </c>
      <c r="D17" s="95">
        <f t="shared" si="0"/>
        <v>2.733168817625109E-2</v>
      </c>
      <c r="E17" s="96"/>
    </row>
    <row r="18" spans="1:17" ht="15" customHeight="1" x14ac:dyDescent="0.2">
      <c r="A18" s="93" t="s">
        <v>479</v>
      </c>
      <c r="B18" s="94">
        <f>Energy!D10</f>
        <v>1641.6000000000001</v>
      </c>
      <c r="C18" s="94">
        <f>Energy!AH10</f>
        <v>1206.9543037827277</v>
      </c>
      <c r="D18" s="95">
        <f t="shared" si="0"/>
        <v>-1.0199999999999987E-2</v>
      </c>
      <c r="E18" s="96"/>
    </row>
    <row r="19" spans="1:17" ht="15" customHeight="1" x14ac:dyDescent="0.2">
      <c r="A19" s="93" t="s">
        <v>480</v>
      </c>
      <c r="B19" s="94">
        <f>Energy!D11</f>
        <v>0</v>
      </c>
      <c r="C19" s="94">
        <f>Energy!AH11</f>
        <v>1609.3439128953514</v>
      </c>
      <c r="D19" s="95" t="str">
        <f t="shared" si="0"/>
        <v/>
      </c>
      <c r="E19" s="96"/>
    </row>
    <row r="20" spans="1:17" ht="15" customHeight="1" x14ac:dyDescent="0.2">
      <c r="A20" s="102" t="s">
        <v>481</v>
      </c>
      <c r="B20" s="109">
        <f>Energy!D12</f>
        <v>0</v>
      </c>
      <c r="C20" s="109">
        <f>Energy!AH12</f>
        <v>1609.3439128953514</v>
      </c>
      <c r="D20" s="104" t="str">
        <f t="shared" si="0"/>
        <v/>
      </c>
      <c r="E20" s="105"/>
    </row>
    <row r="21" spans="1:17" ht="15" customHeight="1" x14ac:dyDescent="0.2">
      <c r="A21" s="97" t="s">
        <v>482</v>
      </c>
      <c r="B21" s="110">
        <f>Energy!D15</f>
        <v>3780.7660328139427</v>
      </c>
      <c r="C21" s="110">
        <f>Energy!AH15</f>
        <v>7611.6661228593875</v>
      </c>
      <c r="D21" s="99">
        <f t="shared" si="0"/>
        <v>2.3599340942950908E-2</v>
      </c>
      <c r="E21" s="100"/>
    </row>
    <row r="22" spans="1:17" ht="15" customHeight="1" x14ac:dyDescent="0.2">
      <c r="A22" s="97" t="s">
        <v>483</v>
      </c>
      <c r="B22" s="111">
        <f>Energy!D16</f>
        <v>3.7807660328139425</v>
      </c>
      <c r="C22" s="111">
        <f>Energy!AH16</f>
        <v>7.6116661228593872</v>
      </c>
      <c r="D22" s="99">
        <f t="shared" si="0"/>
        <v>2.3599340942950908E-2</v>
      </c>
      <c r="E22" s="100"/>
    </row>
    <row r="23" spans="1:17" ht="15" customHeight="1" x14ac:dyDescent="0.2">
      <c r="A23" s="93" t="s">
        <v>351</v>
      </c>
      <c r="B23" s="112">
        <f>Energy!D23</f>
        <v>0.53707615125100683</v>
      </c>
      <c r="C23" s="112">
        <f>Energy!AH23</f>
        <v>0.77507347467539645</v>
      </c>
      <c r="D23" s="95">
        <f t="shared" si="0"/>
        <v>1.2302323200769072E-2</v>
      </c>
      <c r="E23" s="96"/>
    </row>
    <row r="24" spans="1:17" ht="15" customHeight="1" x14ac:dyDescent="0.2">
      <c r="A24" s="93" t="s">
        <v>484</v>
      </c>
      <c r="B24" s="94">
        <f>Energy!D24</f>
        <v>561.33786818477438</v>
      </c>
      <c r="C24" s="94">
        <f>Energy!AH24</f>
        <v>724.44093423662616</v>
      </c>
      <c r="D24" s="95">
        <f t="shared" si="0"/>
        <v>8.538824468034667E-3</v>
      </c>
      <c r="E24" s="96"/>
    </row>
    <row r="25" spans="1:17" ht="15" customHeight="1" x14ac:dyDescent="0.2">
      <c r="A25" s="93" t="s">
        <v>485</v>
      </c>
      <c r="B25" s="113">
        <f>Energy!D25</f>
        <v>0</v>
      </c>
      <c r="C25" s="113">
        <f>Energy!AH25</f>
        <v>0.21143122766015224</v>
      </c>
      <c r="D25" s="95" t="str">
        <f t="shared" si="0"/>
        <v/>
      </c>
      <c r="E25" s="96"/>
    </row>
    <row r="27" spans="1:17" ht="15" customHeight="1" x14ac:dyDescent="0.2">
      <c r="A27" t="s">
        <v>486</v>
      </c>
      <c r="B27" s="46">
        <f>Supply!D15</f>
        <v>7.8422197749500002</v>
      </c>
      <c r="C27" s="46">
        <f>Supply!AH15</f>
        <v>36.840096782942837</v>
      </c>
    </row>
    <row r="28" spans="1:17" ht="15" customHeight="1" x14ac:dyDescent="0.2">
      <c r="A28" t="s">
        <v>487</v>
      </c>
      <c r="B28" s="46">
        <f>Supply!D16</f>
        <v>0</v>
      </c>
      <c r="C28" s="46">
        <f>Supply!AH16</f>
        <v>11.052029034882851</v>
      </c>
    </row>
    <row r="29" spans="1:17" ht="15" customHeight="1" x14ac:dyDescent="0.2">
      <c r="A29" t="s">
        <v>488</v>
      </c>
      <c r="B29" s="46">
        <f>Supply!D17</f>
        <v>7.8422197749500002</v>
      </c>
      <c r="C29" s="46">
        <f>Supply!AH17</f>
        <v>25.788067748059987</v>
      </c>
    </row>
    <row r="30" spans="1:17" ht="15" customHeight="1" x14ac:dyDescent="0.2">
      <c r="A30" t="s">
        <v>489</v>
      </c>
      <c r="B30" s="46">
        <f>Energy!D14</f>
        <v>6.2737758199600009</v>
      </c>
      <c r="C30" s="46">
        <f>Energy!AH14</f>
        <v>23.946062908912843</v>
      </c>
    </row>
    <row r="31" spans="1:17" ht="15" customHeight="1" x14ac:dyDescent="0.2">
      <c r="Q31" t="s">
        <v>490</v>
      </c>
    </row>
    <row r="32" spans="1:17" ht="15" customHeight="1" x14ac:dyDescent="0.2">
      <c r="B32" t="s">
        <v>491</v>
      </c>
    </row>
    <row r="33" spans="2:6" ht="15" customHeight="1" x14ac:dyDescent="0.2">
      <c r="B33" t="s">
        <v>492</v>
      </c>
    </row>
    <row r="34" spans="2:6" ht="15" customHeight="1" x14ac:dyDescent="0.2">
      <c r="B34" t="s">
        <v>452</v>
      </c>
      <c r="C34" t="s">
        <v>493</v>
      </c>
      <c r="D34" t="s">
        <v>494</v>
      </c>
      <c r="E34" t="s">
        <v>495</v>
      </c>
      <c r="F34" t="s">
        <v>496</v>
      </c>
    </row>
    <row r="35" spans="2:6" ht="15" customHeight="1" x14ac:dyDescent="0.2">
      <c r="B35">
        <v>2020</v>
      </c>
      <c r="C35" s="46">
        <f>Demand!D13</f>
        <v>784.22197749500003</v>
      </c>
      <c r="D35" s="46">
        <f>Demand!D14</f>
        <v>389.62701858989999</v>
      </c>
      <c r="E35" s="46">
        <f>Demand!D15</f>
        <v>5865.68538653</v>
      </c>
      <c r="F35" s="46">
        <f>Demand!D17</f>
        <v>0</v>
      </c>
    </row>
    <row r="36" spans="2:6" ht="15" customHeight="1" x14ac:dyDescent="0.2">
      <c r="B36">
        <v>2030</v>
      </c>
      <c r="C36" s="46">
        <f>Demand!N13</f>
        <v>885.10971700096752</v>
      </c>
      <c r="D36" s="46">
        <f>Demand!N14</f>
        <v>551.13685029596729</v>
      </c>
      <c r="E36" s="46">
        <f>Demand!N15</f>
        <v>6423.3676323014861</v>
      </c>
      <c r="F36" s="46">
        <f>Demand!N17</f>
        <v>219</v>
      </c>
    </row>
    <row r="37" spans="2:6" ht="15" customHeight="1" x14ac:dyDescent="0.2">
      <c r="B37">
        <v>2040</v>
      </c>
      <c r="C37" s="46">
        <f>Demand!X13</f>
        <v>974.25821712296306</v>
      </c>
      <c r="D37" s="46">
        <f>Demand!X14</f>
        <v>760.30650090254744</v>
      </c>
      <c r="E37" s="46">
        <f>Demand!X15</f>
        <v>6860.0244227979247</v>
      </c>
      <c r="F37" s="46">
        <f>Demand!X17</f>
        <v>547.5</v>
      </c>
    </row>
    <row r="38" spans="2:6" ht="16.5" customHeight="1" x14ac:dyDescent="0.2">
      <c r="B38" s="114" t="s">
        <v>497</v>
      </c>
      <c r="C38" s="46">
        <f>Demand!AH13</f>
        <v>1052.5741937983671</v>
      </c>
      <c r="D38" s="46">
        <f>Demand!AH14</f>
        <v>1029.4840672792445</v>
      </c>
      <c r="E38" s="46">
        <f>Demand!AH15</f>
        <v>7191.0153639547507</v>
      </c>
      <c r="F38" s="46">
        <f>Demand!AH17</f>
        <v>547.5</v>
      </c>
    </row>
    <row r="39" spans="2:6" ht="207.75" customHeight="1" x14ac:dyDescent="0.2">
      <c r="B39" s="115" t="s">
        <v>498</v>
      </c>
    </row>
    <row r="59" spans="2:6" ht="15" customHeight="1" x14ac:dyDescent="0.2">
      <c r="B59" t="s">
        <v>499</v>
      </c>
    </row>
    <row r="60" spans="2:6" ht="15" customHeight="1" x14ac:dyDescent="0.2">
      <c r="B60" t="s">
        <v>452</v>
      </c>
      <c r="C60" t="s">
        <v>493</v>
      </c>
      <c r="D60" t="s">
        <v>494</v>
      </c>
      <c r="E60" t="s">
        <v>495</v>
      </c>
      <c r="F60" t="s">
        <v>496</v>
      </c>
    </row>
    <row r="61" spans="2:6" ht="15" customHeight="1" x14ac:dyDescent="0.2">
      <c r="B61">
        <v>2020</v>
      </c>
      <c r="C61" s="46">
        <f>Demand!D13</f>
        <v>784.22197749500003</v>
      </c>
      <c r="D61" s="46">
        <f>Demand!D14</f>
        <v>389.62701858989999</v>
      </c>
      <c r="E61" s="46">
        <f>Demand!D15</f>
        <v>5865.68538653</v>
      </c>
      <c r="F61" s="46">
        <f>Demand!D17</f>
        <v>0</v>
      </c>
    </row>
    <row r="62" spans="2:6" ht="15" customHeight="1" x14ac:dyDescent="0.2">
      <c r="B62">
        <v>2021</v>
      </c>
      <c r="C62" s="46">
        <f>Demand!E13</f>
        <v>794.86617439858742</v>
      </c>
      <c r="D62" s="46">
        <f>Demand!E14</f>
        <v>403.93296803511453</v>
      </c>
      <c r="E62" s="46">
        <f>Demand!E15</f>
        <v>5927.3744477185592</v>
      </c>
      <c r="F62" s="46">
        <f>Demand!E17</f>
        <v>0</v>
      </c>
    </row>
    <row r="63" spans="2:6" ht="15" customHeight="1" x14ac:dyDescent="0.2">
      <c r="B63">
        <v>2022</v>
      </c>
      <c r="C63" s="46">
        <f>Demand!F13</f>
        <v>805.38432378370169</v>
      </c>
      <c r="D63" s="46">
        <f>Demand!F14</f>
        <v>418.62357806823337</v>
      </c>
      <c r="E63" s="46">
        <f>Demand!F15</f>
        <v>5987.7010800633643</v>
      </c>
      <c r="F63" s="46">
        <f>Demand!F17</f>
        <v>0</v>
      </c>
    </row>
    <row r="64" spans="2:6" ht="15" customHeight="1" x14ac:dyDescent="0.2">
      <c r="B64">
        <v>2023</v>
      </c>
      <c r="C64" s="46">
        <f>Demand!G13</f>
        <v>815.77742002060484</v>
      </c>
      <c r="D64" s="46">
        <f>Demand!G14</f>
        <v>433.70798901525569</v>
      </c>
      <c r="E64" s="46">
        <f>Demand!G15</f>
        <v>6046.6831343259983</v>
      </c>
      <c r="F64" s="46">
        <f>Demand!G17</f>
        <v>0</v>
      </c>
    </row>
    <row r="65" spans="2:6" ht="15" customHeight="1" x14ac:dyDescent="0.2">
      <c r="B65">
        <v>2024</v>
      </c>
      <c r="C65" s="46">
        <f>Demand!H13</f>
        <v>826.0464506870444</v>
      </c>
      <c r="D65" s="46">
        <f>Demand!H14</f>
        <v>449.19554435252496</v>
      </c>
      <c r="E65" s="46">
        <f>Demand!H15</f>
        <v>6104.3382628513064</v>
      </c>
      <c r="F65" s="46">
        <f>Demand!H17</f>
        <v>0</v>
      </c>
    </row>
    <row r="66" spans="2:6" ht="15" customHeight="1" x14ac:dyDescent="0.2">
      <c r="B66">
        <v>2025</v>
      </c>
      <c r="C66" s="46">
        <f>Demand!I13</f>
        <v>836.19239661131905</v>
      </c>
      <c r="D66" s="46">
        <f>Demand!I14</f>
        <v>465.09579503632892</v>
      </c>
      <c r="E66" s="46">
        <f>Demand!I15</f>
        <v>6160.6839215996133</v>
      </c>
      <c r="F66" s="46">
        <f>Demand!I17</f>
        <v>0</v>
      </c>
    </row>
    <row r="67" spans="2:6" ht="15" customHeight="1" x14ac:dyDescent="0.2">
      <c r="B67">
        <v>2026</v>
      </c>
      <c r="C67" s="46">
        <f>Demand!J13</f>
        <v>846.21623191508377</v>
      </c>
      <c r="D67" s="46">
        <f>Demand!J14</f>
        <v>481.41850392215304</v>
      </c>
      <c r="E67" s="46">
        <f>Demand!J15</f>
        <v>6215.737372159123</v>
      </c>
      <c r="F67" s="46">
        <f>Demand!J17</f>
        <v>0</v>
      </c>
    </row>
    <row r="68" spans="2:6" ht="15" customHeight="1" x14ac:dyDescent="0.2">
      <c r="B68">
        <v>2027</v>
      </c>
      <c r="C68" s="46">
        <f>Demand!K13</f>
        <v>856.11892405589538</v>
      </c>
      <c r="D68" s="46">
        <f>Demand!K14</f>
        <v>498.17365027540257</v>
      </c>
      <c r="E68" s="46">
        <f>Demand!K15</f>
        <v>6269.5156837386994</v>
      </c>
      <c r="F68" s="46">
        <f>Demand!K17</f>
        <v>54.75</v>
      </c>
    </row>
    <row r="69" spans="2:6" ht="15" customHeight="1" x14ac:dyDescent="0.2">
      <c r="B69">
        <v>2028</v>
      </c>
      <c r="C69" s="46">
        <f>Demand!L13</f>
        <v>865.90143386950137</v>
      </c>
      <c r="D69" s="46">
        <f>Demand!L14</f>
        <v>515.37143437544944</v>
      </c>
      <c r="E69" s="46">
        <f>Demand!L15</f>
        <v>6322.035735141184</v>
      </c>
      <c r="F69" s="46">
        <f>Demand!L17</f>
        <v>109.5</v>
      </c>
    </row>
    <row r="70" spans="2:6" ht="15" customHeight="1" x14ac:dyDescent="0.2">
      <c r="B70">
        <v>2029</v>
      </c>
      <c r="C70" s="46">
        <f>Demand!M13</f>
        <v>875.56471561186947</v>
      </c>
      <c r="D70" s="46">
        <f>Demand!M14</f>
        <v>533.02228221489327</v>
      </c>
      <c r="E70" s="46">
        <f>Demand!M15</f>
        <v>6373.3142167174701</v>
      </c>
      <c r="F70" s="46">
        <f>Demand!M17</f>
        <v>164.25</v>
      </c>
    </row>
    <row r="71" spans="2:6" ht="15" customHeight="1" x14ac:dyDescent="0.2">
      <c r="B71">
        <v>2030</v>
      </c>
      <c r="C71" s="46">
        <f>Demand!N13</f>
        <v>885.10971700096752</v>
      </c>
      <c r="D71" s="46">
        <f>Demand!N14</f>
        <v>551.13685029596729</v>
      </c>
      <c r="E71" s="46">
        <f>Demand!N15</f>
        <v>6423.3676323014861</v>
      </c>
      <c r="F71" s="46">
        <f>Demand!N17</f>
        <v>219</v>
      </c>
    </row>
    <row r="72" spans="2:6" ht="15" customHeight="1" x14ac:dyDescent="0.2">
      <c r="B72">
        <v>2031</v>
      </c>
      <c r="C72" s="46">
        <f>Demand!O13</f>
        <v>894.53737925828398</v>
      </c>
      <c r="D72" s="46">
        <f>Demand!O14</f>
        <v>569.72603052605507</v>
      </c>
      <c r="E72" s="46">
        <f>Demand!O15</f>
        <v>6472.2123011262884</v>
      </c>
      <c r="F72" s="46">
        <f>Demand!O17</f>
        <v>273.75</v>
      </c>
    </row>
    <row r="73" spans="2:6" ht="15" customHeight="1" x14ac:dyDescent="0.2">
      <c r="B73">
        <v>2032</v>
      </c>
      <c r="C73" s="46">
        <f>Demand!P13</f>
        <v>903.84863715010238</v>
      </c>
      <c r="D73" s="46">
        <f>Demand!P14</f>
        <v>588.80095521432304</v>
      </c>
      <c r="E73" s="46">
        <f>Demand!P15</f>
        <v>6519.8643597214268</v>
      </c>
      <c r="F73" s="46">
        <f>Demand!P17</f>
        <v>328.5</v>
      </c>
    </row>
    <row r="74" spans="2:6" ht="15" customHeight="1" x14ac:dyDescent="0.2">
      <c r="B74">
        <v>2033</v>
      </c>
      <c r="C74" s="46">
        <f>Demand!Q13</f>
        <v>913.04441902852136</v>
      </c>
      <c r="D74" s="46">
        <f>Demand!Q14</f>
        <v>608.3730021715196</v>
      </c>
      <c r="E74" s="46">
        <f>Demand!Q15</f>
        <v>6566.3397637917687</v>
      </c>
      <c r="F74" s="46">
        <f>Demand!Q17</f>
        <v>383.25</v>
      </c>
    </row>
    <row r="75" spans="2:6" ht="15" customHeight="1" x14ac:dyDescent="0.2">
      <c r="B75">
        <v>2034</v>
      </c>
      <c r="C75" s="46">
        <f>Demand!R13</f>
        <v>922.12564687222732</v>
      </c>
      <c r="D75" s="46">
        <f>Demand!R14</f>
        <v>628.45379991502341</v>
      </c>
      <c r="E75" s="46">
        <f>Demand!R15</f>
        <v>6611.654290077965</v>
      </c>
      <c r="F75" s="46">
        <f>Demand!R17</f>
        <v>438</v>
      </c>
    </row>
    <row r="76" spans="2:6" ht="15" customHeight="1" x14ac:dyDescent="0.2">
      <c r="B76">
        <v>2035</v>
      </c>
      <c r="C76" s="46">
        <f>Demand!S13</f>
        <v>931.09323632702035</v>
      </c>
      <c r="D76" s="46">
        <f>Demand!S14</f>
        <v>649.05523298127218</v>
      </c>
      <c r="E76" s="46">
        <f>Demand!S15</f>
        <v>6655.8235381986988</v>
      </c>
      <c r="F76" s="46">
        <f>Demand!S17</f>
        <v>492.75</v>
      </c>
    </row>
    <row r="77" spans="2:6" ht="15" customHeight="1" x14ac:dyDescent="0.2">
      <c r="B77">
        <v>2036</v>
      </c>
      <c r="C77" s="46">
        <f>Demand!T13</f>
        <v>939.9480967460936</v>
      </c>
      <c r="D77" s="46">
        <f>Demand!T14</f>
        <v>670.18944734774129</v>
      </c>
      <c r="E77" s="46">
        <f>Demand!T15</f>
        <v>6698.8629324749354</v>
      </c>
      <c r="F77" s="46">
        <f>Demand!T17</f>
        <v>547.5</v>
      </c>
    </row>
    <row r="78" spans="2:6" ht="15" customHeight="1" x14ac:dyDescent="0.2">
      <c r="B78">
        <v>2037</v>
      </c>
      <c r="C78" s="46">
        <f>Demand!U13</f>
        <v>948.69113123006798</v>
      </c>
      <c r="D78" s="46">
        <f>Demand!U14</f>
        <v>691.86885596669049</v>
      </c>
      <c r="E78" s="46">
        <f>Demand!U15</f>
        <v>6740.7877237363109</v>
      </c>
      <c r="F78" s="46">
        <f>Demand!U17</f>
        <v>547.5</v>
      </c>
    </row>
    <row r="79" spans="2:6" ht="15" customHeight="1" x14ac:dyDescent="0.2">
      <c r="B79">
        <v>2038</v>
      </c>
      <c r="C79" s="46">
        <f>Demand!V13</f>
        <v>957.32323666678394</v>
      </c>
      <c r="D79" s="46">
        <f>Demand!V14</f>
        <v>714.10614441293103</v>
      </c>
      <c r="E79" s="46">
        <f>Demand!V15</f>
        <v>6781.6129911098215</v>
      </c>
      <c r="F79" s="46">
        <f>Demand!V17</f>
        <v>547.5</v>
      </c>
    </row>
    <row r="80" spans="2:6" ht="15" customHeight="1" x14ac:dyDescent="0.2">
      <c r="B80">
        <v>2039</v>
      </c>
      <c r="C80" s="46">
        <f>Demand!W13</f>
        <v>965.84530377085218</v>
      </c>
      <c r="D80" s="46">
        <f>Demand!W14</f>
        <v>736.91427664792297</v>
      </c>
      <c r="E80" s="46">
        <f>Demand!W15</f>
        <v>6821.353643791037</v>
      </c>
      <c r="F80" s="46">
        <f>Demand!W17</f>
        <v>547.5</v>
      </c>
    </row>
    <row r="81" spans="2:6" ht="15" customHeight="1" x14ac:dyDescent="0.2">
      <c r="B81">
        <v>2040</v>
      </c>
      <c r="C81" s="46">
        <f>Demand!X13</f>
        <v>974.25821712296306</v>
      </c>
      <c r="D81" s="46">
        <f>Demand!X14</f>
        <v>760.30650090254744</v>
      </c>
      <c r="E81" s="46">
        <f>Demand!X15</f>
        <v>6860.0244227979247</v>
      </c>
      <c r="F81" s="46">
        <f>Demand!X17</f>
        <v>547.5</v>
      </c>
    </row>
    <row r="82" spans="2:6" ht="15" customHeight="1" x14ac:dyDescent="0.2">
      <c r="B82">
        <v>2041</v>
      </c>
      <c r="C82" s="46">
        <f>Demand!Y13</f>
        <v>982.56285520895824</v>
      </c>
      <c r="D82" s="46">
        <f>Demand!Y14</f>
        <v>784.29635568095091</v>
      </c>
      <c r="E82" s="46">
        <f>Demand!Y15</f>
        <v>6897.6399027074976</v>
      </c>
      <c r="F82" s="46">
        <f>Demand!Y17</f>
        <v>547.5</v>
      </c>
    </row>
    <row r="83" spans="2:6" ht="15" customHeight="1" x14ac:dyDescent="0.2">
      <c r="B83">
        <v>2042</v>
      </c>
      <c r="C83" s="46">
        <f>Demand!Z13</f>
        <v>990.76009045866579</v>
      </c>
      <c r="D83" s="46">
        <f>Demand!Z14</f>
        <v>808.89767588790824</v>
      </c>
      <c r="E83" s="46">
        <f>Demand!Z15</f>
        <v>6934.2144933754589</v>
      </c>
      <c r="F83" s="46">
        <f>Demand!Z17</f>
        <v>547.5</v>
      </c>
    </row>
    <row r="84" spans="2:6" ht="15" customHeight="1" x14ac:dyDescent="0.2">
      <c r="B84">
        <v>2043</v>
      </c>
      <c r="C84" s="46">
        <f>Demand!AA13</f>
        <v>998.8507892844957</v>
      </c>
      <c r="D84" s="46">
        <f>Demand!AA14</f>
        <v>834.12459908219046</v>
      </c>
      <c r="E84" s="46">
        <f>Demand!AA15</f>
        <v>6969.7624416389599</v>
      </c>
      <c r="F84" s="46">
        <f>Demand!AA17</f>
        <v>547.5</v>
      </c>
    </row>
    <row r="85" spans="2:6" ht="15" customHeight="1" x14ac:dyDescent="0.2">
      <c r="B85">
        <v>2044</v>
      </c>
      <c r="C85" s="46">
        <f>Demand!AB13</f>
        <v>1006.8358121198061</v>
      </c>
      <c r="D85" s="46">
        <f>Demand!AB14</f>
        <v>859.99157185848537</v>
      </c>
      <c r="E85" s="46">
        <f>Demand!AB15</f>
        <v>7004.2978330026699</v>
      </c>
      <c r="F85" s="46">
        <f>Demand!AB17</f>
        <v>547.5</v>
      </c>
    </row>
    <row r="86" spans="2:6" ht="15" customHeight="1" x14ac:dyDescent="0.2">
      <c r="B86">
        <v>2045</v>
      </c>
      <c r="C86" s="46">
        <f>Demand!AC13</f>
        <v>1014.7160134570314</v>
      </c>
      <c r="D86" s="46">
        <f>Demand!AC14</f>
        <v>886.51335636045974</v>
      </c>
      <c r="E86" s="46">
        <f>Demand!AC15</f>
        <v>7037.8345933082928</v>
      </c>
      <c r="F86" s="46">
        <f>Demand!AC17</f>
        <v>547.5</v>
      </c>
    </row>
    <row r="87" spans="2:6" ht="15" customHeight="1" x14ac:dyDescent="0.2">
      <c r="B87">
        <v>2046</v>
      </c>
      <c r="C87" s="46">
        <f>Demand!AD13</f>
        <v>1022.4922418855811</v>
      </c>
      <c r="D87" s="46">
        <f>Demand!AD14</f>
        <v>913.7050369276069</v>
      </c>
      <c r="E87" s="46">
        <f>Demand!AD15</f>
        <v>7070.3864903877156</v>
      </c>
      <c r="F87" s="46">
        <f>Demand!AD17</f>
        <v>547.5</v>
      </c>
    </row>
    <row r="88" spans="2:6" ht="15" customHeight="1" x14ac:dyDescent="0.2">
      <c r="B88">
        <v>2047</v>
      </c>
      <c r="C88" s="46">
        <f>Demand!AE13</f>
        <v>1030.1653401295089</v>
      </c>
      <c r="D88" s="46">
        <f>Demand!AE14</f>
        <v>941.58202687857829</v>
      </c>
      <c r="E88" s="46">
        <f>Demand!AE15</f>
        <v>7101.9671356998942</v>
      </c>
      <c r="F88" s="46">
        <f>Demand!AE17</f>
        <v>547.5</v>
      </c>
    </row>
    <row r="89" spans="2:6" ht="15" customHeight="1" x14ac:dyDescent="0.2">
      <c r="B89">
        <v>2048</v>
      </c>
      <c r="C89" s="46">
        <f>Demand!AF13</f>
        <v>1037.7361450849505</v>
      </c>
      <c r="D89" s="46">
        <f>Demand!AF14</f>
        <v>970.16007543374485</v>
      </c>
      <c r="E89" s="46">
        <f>Demand!AF15</f>
        <v>7132.5899859516949</v>
      </c>
      <c r="F89" s="46">
        <f>Demand!AF17</f>
        <v>547.5</v>
      </c>
    </row>
    <row r="90" spans="2:6" ht="15" customHeight="1" x14ac:dyDescent="0.2">
      <c r="B90">
        <v>2049</v>
      </c>
      <c r="C90" s="46">
        <f>Demand!AG13</f>
        <v>1045.2054878573344</v>
      </c>
      <c r="D90" s="46">
        <f>Demand!AG14</f>
        <v>999.45527477979738</v>
      </c>
      <c r="E90" s="46">
        <f>Demand!AG15</f>
        <v>7162.268344702783</v>
      </c>
      <c r="F90" s="46">
        <f>Demand!AG17</f>
        <v>547.5</v>
      </c>
    </row>
    <row r="91" spans="2:6" ht="15" customHeight="1" x14ac:dyDescent="0.2">
      <c r="B91">
        <v>2050</v>
      </c>
      <c r="C91" s="46">
        <f>Demand!AH13</f>
        <v>1052.5741937983671</v>
      </c>
      <c r="D91" s="46">
        <f>Demand!AH14</f>
        <v>1029.4840672792445</v>
      </c>
      <c r="E91" s="46">
        <f>Demand!AH15</f>
        <v>7191.0153639547507</v>
      </c>
      <c r="F91" s="46">
        <f>Demand!AH17</f>
        <v>547.5</v>
      </c>
    </row>
    <row r="120" spans="2:16" ht="15" customHeight="1" x14ac:dyDescent="0.2">
      <c r="B120" s="1"/>
      <c r="C120" s="1"/>
      <c r="D120" s="1"/>
      <c r="E120" s="1"/>
      <c r="F120" s="1"/>
      <c r="J120" t="s">
        <v>500</v>
      </c>
    </row>
    <row r="121" spans="2:16" ht="15" customHeight="1" x14ac:dyDescent="0.2">
      <c r="B121" t="s">
        <v>452</v>
      </c>
      <c r="C121" t="s">
        <v>453</v>
      </c>
      <c r="D121" t="s">
        <v>443</v>
      </c>
      <c r="E121" t="s">
        <v>428</v>
      </c>
      <c r="F121" t="s">
        <v>445</v>
      </c>
      <c r="G121" t="s">
        <v>446</v>
      </c>
      <c r="H121" t="s">
        <v>501</v>
      </c>
      <c r="J121" t="s">
        <v>452</v>
      </c>
      <c r="K121" t="s">
        <v>453</v>
      </c>
      <c r="L121" t="s">
        <v>443</v>
      </c>
      <c r="M121" t="s">
        <v>428</v>
      </c>
      <c r="N121" t="s">
        <v>445</v>
      </c>
      <c r="O121" t="s">
        <v>454</v>
      </c>
      <c r="P121" s="116" t="s">
        <v>446</v>
      </c>
    </row>
    <row r="122" spans="2:16" ht="15" customHeight="1" x14ac:dyDescent="0.2">
      <c r="B122">
        <v>2020</v>
      </c>
      <c r="C122" s="46">
        <f>Supply!D46+Supply!D49+Supply!D52+Supply!D65</f>
        <v>6059.6921628399505</v>
      </c>
      <c r="D122" s="46">
        <f>Supply!D47+Supply!D50+Supply!D53</f>
        <v>912</v>
      </c>
      <c r="E122" s="46">
        <f>Supply!D57</f>
        <v>0</v>
      </c>
      <c r="F122" s="46">
        <f>Supply!D59</f>
        <v>7.8422197749500002</v>
      </c>
      <c r="G122" s="46">
        <f>Supply!D11</f>
        <v>60</v>
      </c>
      <c r="H122" t="s">
        <v>360</v>
      </c>
      <c r="J122">
        <v>2020</v>
      </c>
      <c r="K122" s="46">
        <f>Energy!D9</f>
        <v>2120.8922569939828</v>
      </c>
      <c r="L122" s="46">
        <f>Energy!D10</f>
        <v>1641.6000000000001</v>
      </c>
      <c r="M122" s="46">
        <f>Energy!D11</f>
        <v>0</v>
      </c>
      <c r="N122" s="46">
        <f>Energy!D14</f>
        <v>6.2737758199600009</v>
      </c>
      <c r="O122" s="46">
        <f>Energy!D15</f>
        <v>3780.7660328139427</v>
      </c>
      <c r="P122" s="117">
        <f>Energy!D8</f>
        <v>12</v>
      </c>
    </row>
    <row r="123" spans="2:16" ht="15" customHeight="1" x14ac:dyDescent="0.2">
      <c r="B123">
        <v>2021</v>
      </c>
      <c r="C123" s="46">
        <f>Supply!E46+Supply!E49+Supply!E52+Supply!E65</f>
        <v>6156.0564450984248</v>
      </c>
      <c r="D123" s="46">
        <f>Supply!E47+Supply!E50+Supply!E53</f>
        <v>893.76</v>
      </c>
      <c r="E123" s="46">
        <f>Supply!E57</f>
        <v>0</v>
      </c>
      <c r="F123" s="46">
        <f>Supply!E59</f>
        <v>16.95714505383653</v>
      </c>
      <c r="G123" s="46">
        <f>Supply!E11</f>
        <v>59.4</v>
      </c>
      <c r="H123" t="s">
        <v>360</v>
      </c>
      <c r="J123">
        <v>2021</v>
      </c>
      <c r="K123" s="46">
        <f>Energy!E9</f>
        <v>2189.9040023099938</v>
      </c>
      <c r="L123" s="46">
        <f>Energy!E10</f>
        <v>1624.8556800000001</v>
      </c>
      <c r="M123" s="46">
        <f>Energy!E11</f>
        <v>0</v>
      </c>
      <c r="N123" s="46">
        <f>Energy!E14</f>
        <v>6.845784927007835</v>
      </c>
      <c r="O123" s="46">
        <f>Energy!E15</f>
        <v>3833.485467237002</v>
      </c>
      <c r="P123" s="117">
        <f>Energy!E8</f>
        <v>11.88</v>
      </c>
    </row>
    <row r="124" spans="2:16" ht="15" customHeight="1" x14ac:dyDescent="0.2">
      <c r="B124">
        <v>2022</v>
      </c>
      <c r="C124" s="46">
        <f>Supply!F46+Supply!F49+Supply!F52+Supply!F65</f>
        <v>6250.7089606716991</v>
      </c>
      <c r="D124" s="46">
        <f>Supply!F47+Supply!F50+Supply!F53</f>
        <v>875.88479999999993</v>
      </c>
      <c r="E124" s="46">
        <f>Supply!F57</f>
        <v>0</v>
      </c>
      <c r="F124" s="46">
        <f>Supply!F59</f>
        <v>26.30922124360092</v>
      </c>
      <c r="G124" s="46">
        <f>Supply!F11</f>
        <v>58.805999999999997</v>
      </c>
      <c r="H124" t="s">
        <v>360</v>
      </c>
      <c r="J124">
        <v>2022</v>
      </c>
      <c r="K124" s="46">
        <f>Energy!F9</f>
        <v>2259.9713175803299</v>
      </c>
      <c r="L124" s="46">
        <f>Energy!F10</f>
        <v>1608.282152064</v>
      </c>
      <c r="M124" s="46">
        <f>Energy!F11</f>
        <v>0</v>
      </c>
      <c r="N124" s="46">
        <f>Energy!F14</f>
        <v>7.4229588508731181</v>
      </c>
      <c r="O124" s="46">
        <f>Energy!F15</f>
        <v>3887.4376284952032</v>
      </c>
      <c r="P124" s="117">
        <f>Energy!F8</f>
        <v>11.761200000000001</v>
      </c>
    </row>
    <row r="125" spans="2:16" ht="15" customHeight="1" x14ac:dyDescent="0.2">
      <c r="B125">
        <v>2023</v>
      </c>
      <c r="C125" s="46">
        <f>Supply!G46+Supply!G49+Supply!G52+Supply!G65</f>
        <v>6343.689292880953</v>
      </c>
      <c r="D125" s="46">
        <f>Supply!G47+Supply!G50+Supply!G53</f>
        <v>858.36710399999993</v>
      </c>
      <c r="E125" s="46">
        <f>Supply!G57</f>
        <v>0</v>
      </c>
      <c r="F125" s="46">
        <f>Supply!G59</f>
        <v>35.894206480906618</v>
      </c>
      <c r="G125" s="46">
        <f>Supply!G11</f>
        <v>58.217939999999992</v>
      </c>
      <c r="H125" t="s">
        <v>360</v>
      </c>
      <c r="J125">
        <v>2023</v>
      </c>
      <c r="K125" s="46">
        <f>Energy!G9</f>
        <v>2331.1153238460179</v>
      </c>
      <c r="L125" s="46">
        <f>Energy!G10</f>
        <v>1591.8776741129468</v>
      </c>
      <c r="M125" s="46">
        <f>Energy!G11</f>
        <v>0</v>
      </c>
      <c r="N125" s="46">
        <f>Energy!G14</f>
        <v>8.0048159339521856</v>
      </c>
      <c r="O125" s="46">
        <f>Energy!G15</f>
        <v>3942.6414018929167</v>
      </c>
      <c r="P125" s="117">
        <f>Energy!G8</f>
        <v>11.643587999999999</v>
      </c>
    </row>
    <row r="126" spans="2:16" ht="15" customHeight="1" x14ac:dyDescent="0.2">
      <c r="B126">
        <v>2024</v>
      </c>
      <c r="C126" s="46">
        <f>Supply!H46+Supply!H49+Supply!H52+Supply!H65</f>
        <v>6435.0368317661923</v>
      </c>
      <c r="D126" s="46">
        <f>Supply!H47+Supply!H50+Supply!H53</f>
        <v>841.1997619199999</v>
      </c>
      <c r="E126" s="46">
        <f>Supply!H57</f>
        <v>0</v>
      </c>
      <c r="F126" s="46">
        <f>Supply!H59</f>
        <v>45.707903604683125</v>
      </c>
      <c r="G126" s="46">
        <f>Supply!H11</f>
        <v>57.635760599999998</v>
      </c>
      <c r="H126" t="s">
        <v>360</v>
      </c>
      <c r="J126">
        <v>2024</v>
      </c>
      <c r="K126" s="46">
        <f>Energy!H9</f>
        <v>2403.3577522881751</v>
      </c>
      <c r="L126" s="46">
        <f>Energy!H10</f>
        <v>1575.640521836995</v>
      </c>
      <c r="M126" s="46">
        <f>Energy!H11</f>
        <v>0</v>
      </c>
      <c r="N126" s="46">
        <f>Energy!H14</f>
        <v>8.5908830871452615</v>
      </c>
      <c r="O126" s="46">
        <f>Energy!H15</f>
        <v>3999.1163093323157</v>
      </c>
      <c r="P126" s="117">
        <f>Energy!H8</f>
        <v>11.52715212</v>
      </c>
    </row>
    <row r="127" spans="2:16" ht="15" customHeight="1" x14ac:dyDescent="0.2">
      <c r="B127">
        <v>2025</v>
      </c>
      <c r="C127" s="46">
        <f>Supply!I46+Supply!I49+Supply!I52+Supply!I65</f>
        <v>6524.7907837975736</v>
      </c>
      <c r="D127" s="46">
        <f>Supply!I47+Supply!I50+Supply!I53</f>
        <v>824.37576668159988</v>
      </c>
      <c r="E127" s="46">
        <f>Supply!I57</f>
        <v>0</v>
      </c>
      <c r="F127" s="46">
        <f>Supply!I59</f>
        <v>55.746159774087921</v>
      </c>
      <c r="G127" s="46">
        <f>Supply!I11</f>
        <v>57.059402993999996</v>
      </c>
      <c r="H127" t="s">
        <v>360</v>
      </c>
      <c r="J127">
        <v>2025</v>
      </c>
      <c r="K127" s="46">
        <f>Energy!I9</f>
        <v>2476.7209657616536</v>
      </c>
      <c r="L127" s="46">
        <f>Energy!I10</f>
        <v>1559.5689885142574</v>
      </c>
      <c r="M127" s="46">
        <f>Energy!I11</f>
        <v>0</v>
      </c>
      <c r="N127" s="46">
        <f>Energy!I14</f>
        <v>9.180695687795108</v>
      </c>
      <c r="O127" s="46">
        <f>Energy!I15</f>
        <v>4056.882530562506</v>
      </c>
      <c r="P127" s="117">
        <f>Energy!I8</f>
        <v>11.4118805988</v>
      </c>
    </row>
    <row r="128" spans="2:16" ht="15" customHeight="1" x14ac:dyDescent="0.2">
      <c r="B128">
        <v>2026</v>
      </c>
      <c r="C128" s="46">
        <f>Supply!J46+Supply!J49+Supply!J52+Supply!J65</f>
        <v>6612.9901815949561</v>
      </c>
      <c r="D128" s="46">
        <f>Supply!J47+Supply!J50+Supply!J53</f>
        <v>807.88825134796787</v>
      </c>
      <c r="E128" s="46">
        <f>Supply!J57</f>
        <v>0</v>
      </c>
      <c r="F128" s="46">
        <f>Supply!J59</f>
        <v>66.004866089376534</v>
      </c>
      <c r="G128" s="46">
        <f>Supply!J11</f>
        <v>56.488808964059992</v>
      </c>
      <c r="H128" t="s">
        <v>360</v>
      </c>
      <c r="J128">
        <v>2026</v>
      </c>
      <c r="K128" s="46">
        <f>Energy!J9</f>
        <v>2551.2279811260501</v>
      </c>
      <c r="L128" s="46">
        <f>Energy!J10</f>
        <v>1543.6613848314123</v>
      </c>
      <c r="M128" s="46">
        <f>Energy!J11</f>
        <v>0</v>
      </c>
      <c r="N128" s="46">
        <f>Energy!J14</f>
        <v>9.7737974786192172</v>
      </c>
      <c r="O128" s="46">
        <f>Energy!J15</f>
        <v>4115.9609252288938</v>
      </c>
      <c r="P128" s="117">
        <f>Energy!J8</f>
        <v>11.297761792811999</v>
      </c>
    </row>
    <row r="129" spans="2:16" ht="15" customHeight="1" x14ac:dyDescent="0.2">
      <c r="B129">
        <v>2027</v>
      </c>
      <c r="C129" s="46">
        <f>Supply!K46+Supply!K49+Supply!K52+Supply!K65</f>
        <v>6739.6984046017715</v>
      </c>
      <c r="D129" s="46">
        <f>Supply!K47+Supply!K50+Supply!K53</f>
        <v>791.73048632100847</v>
      </c>
      <c r="E129" s="46">
        <f>Supply!K57</f>
        <v>14.725489057137942</v>
      </c>
      <c r="F129" s="46">
        <f>Supply!K59</f>
        <v>76.479957215659979</v>
      </c>
      <c r="G129" s="46">
        <f>Supply!K11</f>
        <v>55.923920874419395</v>
      </c>
      <c r="H129" t="s">
        <v>360</v>
      </c>
      <c r="J129">
        <v>2027</v>
      </c>
      <c r="K129" s="46">
        <f>Energy!K9</f>
        <v>2629.2895035426818</v>
      </c>
      <c r="L129" s="46">
        <f>Energy!K10</f>
        <v>1527.9160387061313</v>
      </c>
      <c r="M129" s="46">
        <f>Energy!K11</f>
        <v>164.44681046984405</v>
      </c>
      <c r="N129" s="46">
        <f>Energy!K14</f>
        <v>10.369740467627032</v>
      </c>
      <c r="O129" s="46">
        <f>Energy!K15</f>
        <v>4343.2068773611682</v>
      </c>
      <c r="P129" s="117">
        <f>Energy!K8</f>
        <v>11.18478417488388</v>
      </c>
    </row>
    <row r="130" spans="2:16" ht="15" customHeight="1" x14ac:dyDescent="0.2">
      <c r="B130">
        <v>2028</v>
      </c>
      <c r="C130" s="46">
        <f>Supply!L46+Supply!L49+Supply!L52+Supply!L65</f>
        <v>6830.7888039146947</v>
      </c>
      <c r="D130" s="46">
        <f>Supply!L47+Supply!L50+Supply!L53</f>
        <v>775.89587659458823</v>
      </c>
      <c r="E130" s="46">
        <f>Supply!L57</f>
        <v>63.591830201647646</v>
      </c>
      <c r="F130" s="46">
        <f>Supply!L59</f>
        <v>87.1674110095298</v>
      </c>
      <c r="G130" s="46">
        <f>Supply!L11</f>
        <v>55.364681665675199</v>
      </c>
      <c r="H130" t="s">
        <v>360</v>
      </c>
      <c r="J130">
        <v>2028</v>
      </c>
      <c r="K130" s="46">
        <f>Energy!L9</f>
        <v>2706.310435878524</v>
      </c>
      <c r="L130" s="46">
        <f>Energy!L10</f>
        <v>1512.3312951113292</v>
      </c>
      <c r="M130" s="46">
        <f>Energy!L11</f>
        <v>346.94794443335218</v>
      </c>
      <c r="N130" s="46">
        <f>Energy!L14</f>
        <v>10.968084829013684</v>
      </c>
      <c r="O130" s="46">
        <f>Energy!L15</f>
        <v>4587.6306965853537</v>
      </c>
      <c r="P130" s="117">
        <f>Energy!L8</f>
        <v>11.07293633313504</v>
      </c>
    </row>
    <row r="131" spans="2:16" ht="15" customHeight="1" x14ac:dyDescent="0.2">
      <c r="B131">
        <v>2029</v>
      </c>
      <c r="C131" s="46">
        <f>Supply!M46+Supply!M49+Supply!M52+Supply!M65</f>
        <v>6920.6224940027096</v>
      </c>
      <c r="D131" s="46">
        <f>Supply!M47+Supply!M50+Supply!M53</f>
        <v>760.3779590626965</v>
      </c>
      <c r="E131" s="46">
        <f>Supply!M57</f>
        <v>112.27647848127944</v>
      </c>
      <c r="F131" s="46">
        <f>Supply!M59</f>
        <v>98.063248148529368</v>
      </c>
      <c r="G131" s="46">
        <f>Supply!M11</f>
        <v>54.811034849018441</v>
      </c>
      <c r="H131" t="s">
        <v>360</v>
      </c>
      <c r="J131">
        <v>2029</v>
      </c>
      <c r="K131" s="46">
        <f>Energy!M9</f>
        <v>2784.5503062037728</v>
      </c>
      <c r="L131" s="46">
        <f>Energy!M10</f>
        <v>1496.9055159011939</v>
      </c>
      <c r="M131" s="46">
        <f>Energy!M11</f>
        <v>527.65230816079179</v>
      </c>
      <c r="N131" s="46">
        <f>Energy!M14</f>
        <v>11.568398805021825</v>
      </c>
      <c r="O131" s="46">
        <f>Energy!M15</f>
        <v>4831.6387360405843</v>
      </c>
      <c r="P131" s="117">
        <f>Energy!M8</f>
        <v>10.962206969803688</v>
      </c>
    </row>
    <row r="132" spans="2:16" ht="15" customHeight="1" x14ac:dyDescent="0.2">
      <c r="B132">
        <v>2030</v>
      </c>
      <c r="C132" s="46">
        <f>Supply!N46+Supply!N49+Supply!N52+Supply!N65</f>
        <v>7009.2378937268386</v>
      </c>
      <c r="D132" s="46">
        <f>Supply!N47+Supply!N50+Supply!N53</f>
        <v>745.17039988144245</v>
      </c>
      <c r="E132" s="46">
        <f>Supply!N57</f>
        <v>160.77944972615859</v>
      </c>
      <c r="F132" s="46">
        <f>Supply!N59</f>
        <v>109.16353176345264</v>
      </c>
      <c r="G132" s="46">
        <f>Supply!N11</f>
        <v>54.262924500528257</v>
      </c>
      <c r="H132" t="s">
        <v>360</v>
      </c>
      <c r="J132">
        <v>2030</v>
      </c>
      <c r="K132" s="46">
        <f>Energy!N9</f>
        <v>2864.0348132037248</v>
      </c>
      <c r="L132" s="46">
        <f>Energy!N10</f>
        <v>1481.6370796390015</v>
      </c>
      <c r="M132" s="46">
        <f>Energy!N11</f>
        <v>706.56098342015969</v>
      </c>
      <c r="N132" s="46">
        <f>Energy!N14</f>
        <v>12.170258608763302</v>
      </c>
      <c r="O132" s="46">
        <f>Energy!N15</f>
        <v>5075.2557197717551</v>
      </c>
      <c r="P132" s="117">
        <f>Energy!N8</f>
        <v>10.852584900105652</v>
      </c>
    </row>
    <row r="133" spans="2:16" ht="15" customHeight="1" x14ac:dyDescent="0.2">
      <c r="B133">
        <v>2031</v>
      </c>
      <c r="C133" s="46">
        <f>Supply!O46+Supply!O49+Supply!O52+Supply!O65</f>
        <v>7096.6732670272604</v>
      </c>
      <c r="D133" s="46">
        <f>Supply!O47+Supply!O50+Supply!O53</f>
        <v>730.2669918838136</v>
      </c>
      <c r="E133" s="46">
        <f>Supply!O57</f>
        <v>209.10078967058243</v>
      </c>
      <c r="F133" s="46">
        <f>Supply!O59</f>
        <v>120.4643670734489</v>
      </c>
      <c r="G133" s="46">
        <f>Supply!O11</f>
        <v>53.720295255522977</v>
      </c>
      <c r="H133" t="s">
        <v>360</v>
      </c>
      <c r="J133">
        <v>2031</v>
      </c>
      <c r="K133" s="46">
        <f>Energy!O9</f>
        <v>2944.7904267721815</v>
      </c>
      <c r="L133" s="46">
        <f>Energy!O10</f>
        <v>1466.5243814266832</v>
      </c>
      <c r="M133" s="46">
        <f>Energy!O11</f>
        <v>883.67499579339164</v>
      </c>
      <c r="N133" s="46">
        <f>Energy!O14</f>
        <v>12.773248327992246</v>
      </c>
      <c r="O133" s="46">
        <f>Energy!O15</f>
        <v>5318.5071113713529</v>
      </c>
      <c r="P133" s="117">
        <f>Energy!O8</f>
        <v>10.744059051104596</v>
      </c>
    </row>
    <row r="134" spans="2:16" ht="15" customHeight="1" x14ac:dyDescent="0.2">
      <c r="B134">
        <v>2032</v>
      </c>
      <c r="C134" s="46">
        <f>Supply!P46+Supply!P49+Supply!P52+Supply!P65</f>
        <v>7182.9667332657464</v>
      </c>
      <c r="D134" s="46">
        <f>Supply!P47+Supply!P50+Supply!P53</f>
        <v>715.66165204613731</v>
      </c>
      <c r="E134" s="46">
        <f>Supply!P57</f>
        <v>257.24057344708592</v>
      </c>
      <c r="F134" s="46">
        <f>Supply!P59</f>
        <v>131.96190102391498</v>
      </c>
      <c r="G134" s="46">
        <f>Supply!P11</f>
        <v>53.183092302967751</v>
      </c>
      <c r="H134" t="s">
        <v>360</v>
      </c>
      <c r="J134">
        <v>2032</v>
      </c>
      <c r="K134" s="46">
        <f>Energy!P9</f>
        <v>3026.8444155986485</v>
      </c>
      <c r="L134" s="46">
        <f>Energy!P10</f>
        <v>1451.5658327361309</v>
      </c>
      <c r="M134" s="46">
        <f>Energy!P11</f>
        <v>1058.995315778199</v>
      </c>
      <c r="N134" s="46">
        <f>Energy!P14</f>
        <v>13.376959829821514</v>
      </c>
      <c r="O134" s="46">
        <f>Energy!P15</f>
        <v>5561.4191424033934</v>
      </c>
      <c r="P134" s="117">
        <f>Energy!P8</f>
        <v>10.636618460593551</v>
      </c>
    </row>
    <row r="135" spans="2:16" ht="15" customHeight="1" x14ac:dyDescent="0.2">
      <c r="B135">
        <v>2033</v>
      </c>
      <c r="C135" s="46">
        <f>Supply!Q46+Supply!Q49+Supply!Q52+Supply!Q65</f>
        <v>7268.1562775932571</v>
      </c>
      <c r="D135" s="46">
        <f>Supply!Q47+Supply!Q50+Supply!Q53</f>
        <v>701.34841900521451</v>
      </c>
      <c r="E135" s="46">
        <f>Supply!Q57</f>
        <v>305.19890508624633</v>
      </c>
      <c r="F135" s="46">
        <f>Supply!Q59</f>
        <v>143.65232192715405</v>
      </c>
      <c r="G135" s="46">
        <f>Supply!Q11</f>
        <v>52.651261379938063</v>
      </c>
      <c r="H135" t="s">
        <v>360</v>
      </c>
      <c r="J135">
        <v>2033</v>
      </c>
      <c r="K135" s="46">
        <f>Energy!Q9</f>
        <v>3110.2248757802618</v>
      </c>
      <c r="L135" s="46">
        <f>Energy!Q10</f>
        <v>1436.7598612422223</v>
      </c>
      <c r="M135" s="46">
        <f>Energy!Q11</f>
        <v>1232.5228598749668</v>
      </c>
      <c r="N135" s="46">
        <f>Energy!Q14</f>
        <v>13.980992666374235</v>
      </c>
      <c r="O135" s="46">
        <f>Energy!Q15</f>
        <v>5804.0188418398129</v>
      </c>
      <c r="P135" s="117">
        <f>Energy!Q8</f>
        <v>10.530252275987614</v>
      </c>
    </row>
    <row r="136" spans="2:16" ht="15" customHeight="1" x14ac:dyDescent="0.2">
      <c r="B136">
        <v>2034</v>
      </c>
      <c r="C136" s="46">
        <f>Supply!R46+Supply!R49+Supply!R52+Supply!R65</f>
        <v>7352.2797613460125</v>
      </c>
      <c r="D136" s="46">
        <f>Supply!R47+Supply!R50+Supply!R53</f>
        <v>687.32145062511029</v>
      </c>
      <c r="E136" s="46">
        <f>Supply!R57</f>
        <v>352.97591702217233</v>
      </c>
      <c r="F136" s="46">
        <f>Supply!R59</f>
        <v>155.53185910578233</v>
      </c>
      <c r="G136" s="46">
        <f>Supply!R11</f>
        <v>52.124748766138687</v>
      </c>
      <c r="H136" t="s">
        <v>360</v>
      </c>
      <c r="J136">
        <v>2034</v>
      </c>
      <c r="K136" s="46">
        <f>Energy!R9</f>
        <v>3194.9607604963794</v>
      </c>
      <c r="L136" s="46">
        <f>Energy!R10</f>
        <v>1422.1049106575522</v>
      </c>
      <c r="M136" s="46">
        <f>Energy!R11</f>
        <v>1404.2584916588783</v>
      </c>
      <c r="N136" s="46">
        <f>Energy!R14</f>
        <v>14.584953981362393</v>
      </c>
      <c r="O136" s="46">
        <f>Energy!R15</f>
        <v>6046.3340665474007</v>
      </c>
      <c r="P136" s="117">
        <f>Energy!R8</f>
        <v>10.424949753227738</v>
      </c>
    </row>
    <row r="137" spans="2:16" ht="15" customHeight="1" x14ac:dyDescent="0.2">
      <c r="B137">
        <v>2035</v>
      </c>
      <c r="C137" s="46">
        <f>Supply!S46+Supply!S49+Supply!S52+Supply!S65</f>
        <v>7435.3749324734181</v>
      </c>
      <c r="D137" s="46">
        <f>Supply!S47+Supply!S50+Supply!S53</f>
        <v>673.575021612608</v>
      </c>
      <c r="E137" s="46">
        <f>Supply!S57</f>
        <v>400.571769603625</v>
      </c>
      <c r="F137" s="46">
        <f>Supply!S59</f>
        <v>167.59678253886366</v>
      </c>
      <c r="G137" s="46">
        <f>Supply!S11</f>
        <v>51.603501278477296</v>
      </c>
      <c r="H137" t="s">
        <v>360</v>
      </c>
      <c r="J137">
        <v>2035</v>
      </c>
      <c r="K137" s="46">
        <f>Energy!S9</f>
        <v>3281.0819107852221</v>
      </c>
      <c r="L137" s="46">
        <f>Energy!S10</f>
        <v>1407.5994405688446</v>
      </c>
      <c r="M137" s="46">
        <f>Energy!S11</f>
        <v>1574.2030228374347</v>
      </c>
      <c r="N137" s="46">
        <f>Energy!S14</f>
        <v>15.188458417584519</v>
      </c>
      <c r="O137" s="46">
        <f>Energy!S15</f>
        <v>6288.3935328647804</v>
      </c>
      <c r="P137" s="117">
        <f>Energy!S8</f>
        <v>10.32070025569546</v>
      </c>
    </row>
    <row r="138" spans="2:16" ht="15" customHeight="1" x14ac:dyDescent="0.2">
      <c r="B138">
        <v>2036</v>
      </c>
      <c r="C138" s="46">
        <f>Supply!T46+Supply!T49+Supply!T52+Supply!T65</f>
        <v>7517.4794360012529</v>
      </c>
      <c r="D138" s="46">
        <f>Supply!T47+Supply!T50+Supply!T53</f>
        <v>660.10352118035587</v>
      </c>
      <c r="E138" s="46">
        <f>Supply!T57</f>
        <v>447.98665061071688</v>
      </c>
      <c r="F138" s="46">
        <f>Supply!T59</f>
        <v>179.84340251075258</v>
      </c>
      <c r="G138" s="46">
        <f>Supply!T11</f>
        <v>51.087466265692527</v>
      </c>
      <c r="H138" t="s">
        <v>360</v>
      </c>
      <c r="J138">
        <v>2036</v>
      </c>
      <c r="K138" s="46">
        <f>Energy!T9</f>
        <v>3368.6190874633348</v>
      </c>
      <c r="L138" s="46">
        <f>Energy!T10</f>
        <v>1393.2419262750429</v>
      </c>
      <c r="M138" s="46">
        <f>Energy!T11</f>
        <v>1742.3572142935222</v>
      </c>
      <c r="N138" s="46">
        <f>Energy!T14</f>
        <v>15.791128025334372</v>
      </c>
      <c r="O138" s="46">
        <f>Energy!T15</f>
        <v>6530.2268493103738</v>
      </c>
      <c r="P138" s="117">
        <f>Energy!T8</f>
        <v>10.217493253138507</v>
      </c>
    </row>
    <row r="139" spans="2:16" ht="15" customHeight="1" x14ac:dyDescent="0.2">
      <c r="B139">
        <v>2037</v>
      </c>
      <c r="C139" s="46">
        <f>Supply!U46+Supply!U49+Supply!U52+Supply!U65</f>
        <v>7598.6308245335194</v>
      </c>
      <c r="D139" s="46">
        <f>Supply!U47+Supply!U50+Supply!U53</f>
        <v>646.90145075674877</v>
      </c>
      <c r="E139" s="46">
        <f>Supply!U57</f>
        <v>440.47077477713759</v>
      </c>
      <c r="F139" s="46">
        <f>Supply!U59</f>
        <v>192.26806926262711</v>
      </c>
      <c r="G139" s="46">
        <f>Supply!U11</f>
        <v>50.576591603035595</v>
      </c>
      <c r="H139" t="s">
        <v>360</v>
      </c>
      <c r="J139">
        <v>2037</v>
      </c>
      <c r="K139" s="46">
        <f>Energy!U9</f>
        <v>3457.6040042301997</v>
      </c>
      <c r="L139" s="46">
        <f>Energy!U10</f>
        <v>1379.0308586270376</v>
      </c>
      <c r="M139" s="46">
        <f>Energy!U11</f>
        <v>1732.6092771141953</v>
      </c>
      <c r="N139" s="46">
        <f>Energy!U14</f>
        <v>16.392592171712881</v>
      </c>
      <c r="O139" s="46">
        <f>Energy!U15</f>
        <v>6595.7520504637523</v>
      </c>
      <c r="P139" s="117">
        <f>Energy!U8</f>
        <v>10.11531832060712</v>
      </c>
    </row>
    <row r="140" spans="2:16" ht="15" customHeight="1" x14ac:dyDescent="0.2">
      <c r="B140">
        <v>2038</v>
      </c>
      <c r="C140" s="46">
        <f>Supply!V46+Supply!V49+Supply!V52+Supply!V65</f>
        <v>7678.866568796373</v>
      </c>
      <c r="D140" s="46">
        <f>Supply!V47+Supply!V50+Supply!V53</f>
        <v>633.96342174161373</v>
      </c>
      <c r="E140" s="46">
        <f>Supply!V57</f>
        <v>432.77438331785265</v>
      </c>
      <c r="F140" s="46">
        <f>Supply!V59</f>
        <v>204.86717264669176</v>
      </c>
      <c r="G140" s="46">
        <f>Supply!V11</f>
        <v>50.07082568700524</v>
      </c>
      <c r="H140" t="s">
        <v>360</v>
      </c>
      <c r="J140">
        <v>2038</v>
      </c>
      <c r="K140" s="46">
        <f>Energy!V9</f>
        <v>3548.0693620018046</v>
      </c>
      <c r="L140" s="46">
        <f>Energy!V10</f>
        <v>1364.9647438690417</v>
      </c>
      <c r="M140" s="46">
        <f>Energy!V11</f>
        <v>1722.8973736053297</v>
      </c>
      <c r="N140" s="46">
        <f>Energy!V14</f>
        <v>16.992487450835412</v>
      </c>
      <c r="O140" s="46">
        <f>Energy!V15</f>
        <v>6662.9381320644115</v>
      </c>
      <c r="P140" s="117">
        <f>Energy!V8</f>
        <v>10.014165137401049</v>
      </c>
    </row>
    <row r="141" spans="2:16" ht="15" customHeight="1" x14ac:dyDescent="0.2">
      <c r="B141">
        <v>2039</v>
      </c>
      <c r="C141" s="46">
        <f>Supply!W46+Supply!W49+Supply!W52+Supply!W65</f>
        <v>7758.2240682276388</v>
      </c>
      <c r="D141" s="46">
        <f>Supply!W47+Supply!W50+Supply!W53</f>
        <v>621.28415330678149</v>
      </c>
      <c r="E141" s="46">
        <f>Supply!W57</f>
        <v>424.89774346222532</v>
      </c>
      <c r="F141" s="46">
        <f>Supply!W59</f>
        <v>217.63714178303201</v>
      </c>
      <c r="G141" s="46">
        <f>Supply!W11</f>
        <v>49.570117430135184</v>
      </c>
      <c r="H141" t="s">
        <v>360</v>
      </c>
      <c r="J141">
        <v>2039</v>
      </c>
      <c r="K141" s="46">
        <f>Energy!W9</f>
        <v>3640.0488845186624</v>
      </c>
      <c r="L141" s="46">
        <f>Energy!W10</f>
        <v>1351.0421034815772</v>
      </c>
      <c r="M141" s="46">
        <f>Energy!W11</f>
        <v>1713.2221182923035</v>
      </c>
      <c r="N141" s="46">
        <f>Energy!W14</f>
        <v>17.59045759492664</v>
      </c>
      <c r="O141" s="46">
        <f>Energy!W15</f>
        <v>6731.8175873734963</v>
      </c>
      <c r="P141" s="117">
        <f>Energy!W8</f>
        <v>9.9140234860270375</v>
      </c>
    </row>
    <row r="142" spans="2:16" ht="15" customHeight="1" x14ac:dyDescent="0.2">
      <c r="B142">
        <v>2040</v>
      </c>
      <c r="C142" s="46">
        <f>Supply!X46+Supply!X49+Supply!X52+Supply!X65</f>
        <v>7836.7406616153439</v>
      </c>
      <c r="D142" s="46">
        <f>Supply!X47+Supply!X50+Supply!X53</f>
        <v>608.85847024064583</v>
      </c>
      <c r="E142" s="46">
        <f>Supply!X57</f>
        <v>416.84114799250932</v>
      </c>
      <c r="F142" s="46">
        <f>Supply!X59</f>
        <v>230.57444471910122</v>
      </c>
      <c r="G142" s="46">
        <f>Supply!X11</f>
        <v>49.074416255833839</v>
      </c>
      <c r="H142" t="s">
        <v>360</v>
      </c>
      <c r="J142">
        <v>2040</v>
      </c>
      <c r="K142" s="46">
        <f>Energy!X9</f>
        <v>3733.5773552753622</v>
      </c>
      <c r="L142" s="46">
        <f>Energy!X10</f>
        <v>1337.2614740260653</v>
      </c>
      <c r="M142" s="46">
        <f>Energy!X11</f>
        <v>1703.5840789068593</v>
      </c>
      <c r="N142" s="46">
        <f>Energy!X14</f>
        <v>18.18615338629531</v>
      </c>
      <c r="O142" s="46">
        <f>Energy!X15</f>
        <v>6802.4239448457502</v>
      </c>
      <c r="P142" s="117">
        <f>Energy!X8</f>
        <v>9.8148832511667692</v>
      </c>
    </row>
    <row r="143" spans="2:16" ht="15" customHeight="1" x14ac:dyDescent="0.2">
      <c r="B143">
        <v>2041</v>
      </c>
      <c r="C143" s="46">
        <f>Supply!Y46+Supply!Y49+Supply!Y52+Supply!Y65</f>
        <v>7914.4536377888144</v>
      </c>
      <c r="D143" s="46">
        <f>Supply!Y47+Supply!Y50+Supply!Y53</f>
        <v>596.68130083583287</v>
      </c>
      <c r="E143" s="46">
        <f>Supply!Y57</f>
        <v>408.60491478766164</v>
      </c>
      <c r="F143" s="46">
        <f>Supply!Y59</f>
        <v>243.67558809182165</v>
      </c>
      <c r="G143" s="46">
        <f>Supply!Y11</f>
        <v>48.583672093275496</v>
      </c>
      <c r="H143" t="s">
        <v>360</v>
      </c>
      <c r="J143">
        <v>2041</v>
      </c>
      <c r="K143" s="46">
        <f>Energy!Y9</f>
        <v>3828.6906558205069</v>
      </c>
      <c r="L143" s="46">
        <f>Energy!Y10</f>
        <v>1323.621406990999</v>
      </c>
      <c r="M143" s="46">
        <f>Energy!Y11</f>
        <v>1693.9837773603087</v>
      </c>
      <c r="N143" s="46">
        <f>Energy!Y14</f>
        <v>18.779232570181215</v>
      </c>
      <c r="O143" s="46">
        <f>Energy!Y15</f>
        <v>6874.7918071606509</v>
      </c>
      <c r="P143" s="117">
        <f>Energy!Y8</f>
        <v>9.7167344186551006</v>
      </c>
    </row>
    <row r="144" spans="2:16" ht="15" customHeight="1" x14ac:dyDescent="0.2">
      <c r="B144">
        <v>2042</v>
      </c>
      <c r="C144" s="46">
        <f>Supply!Z46+Supply!Z49+Supply!Z52+Supply!Z65</f>
        <v>7991.4002463658671</v>
      </c>
      <c r="D144" s="46">
        <f>Supply!Z47+Supply!Z50+Supply!Z53</f>
        <v>584.74767481911624</v>
      </c>
      <c r="E144" s="46">
        <f>Supply!Z57</f>
        <v>400.18938637242582</v>
      </c>
      <c r="F144" s="46">
        <f>Supply!Z59</f>
        <v>256.93711679228062</v>
      </c>
      <c r="G144" s="46">
        <f>Supply!Z11</f>
        <v>48.097835372342736</v>
      </c>
      <c r="H144" t="s">
        <v>360</v>
      </c>
      <c r="J144">
        <v>2042</v>
      </c>
      <c r="K144" s="46">
        <f>Energy!Z9</f>
        <v>3925.4258054776637</v>
      </c>
      <c r="L144" s="46">
        <f>Energy!Z10</f>
        <v>1310.1204686396914</v>
      </c>
      <c r="M144" s="46">
        <f>Energy!Z11</f>
        <v>1684.4216907032201</v>
      </c>
      <c r="N144" s="46">
        <f>Energy!Z14</f>
        <v>19.369359768466914</v>
      </c>
      <c r="O144" s="46">
        <f>Energy!Z15</f>
        <v>6948.9568916635108</v>
      </c>
      <c r="P144" s="117">
        <f>Energy!Z8</f>
        <v>9.6195670744685486</v>
      </c>
    </row>
    <row r="145" spans="2:16" ht="15" customHeight="1" x14ac:dyDescent="0.2">
      <c r="B145">
        <v>2043</v>
      </c>
      <c r="C145" s="46">
        <f>Supply!AA46+Supply!AA49+Supply!AA52+Supply!AA65</f>
        <v>8067.6177085596555</v>
      </c>
      <c r="D145" s="46">
        <f>Supply!AA47+Supply!AA50+Supply!AA53</f>
        <v>573.05272132273387</v>
      </c>
      <c r="E145" s="46">
        <f>Supply!AA57</f>
        <v>391.59492947163466</v>
      </c>
      <c r="F145" s="46">
        <f>Supply!AA59</f>
        <v>270.35561363300349</v>
      </c>
      <c r="G145" s="46">
        <f>Supply!AA11</f>
        <v>47.616857018619314</v>
      </c>
      <c r="H145" t="s">
        <v>360</v>
      </c>
      <c r="J145">
        <v>2043</v>
      </c>
      <c r="K145" s="46">
        <f>Energy!AA9</f>
        <v>4023.8210025398052</v>
      </c>
      <c r="L145" s="46">
        <f>Energy!AA10</f>
        <v>1296.757239859566</v>
      </c>
      <c r="M145" s="46">
        <f>Energy!AA11</f>
        <v>1674.8982520717514</v>
      </c>
      <c r="N145" s="46">
        <f>Energy!AA14</f>
        <v>19.956206394246482</v>
      </c>
      <c r="O145" s="46">
        <f>Energy!AA15</f>
        <v>7024.9560722690931</v>
      </c>
      <c r="P145" s="117">
        <f>Energy!AA8</f>
        <v>9.5233714037238624</v>
      </c>
    </row>
    <row r="146" spans="2:16" ht="15" customHeight="1" x14ac:dyDescent="0.2">
      <c r="B146">
        <v>2044</v>
      </c>
      <c r="C146" s="46">
        <f>Supply!AB46+Supply!AB49+Supply!AB52+Supply!AB65</f>
        <v>8143.1432280487788</v>
      </c>
      <c r="D146" s="46">
        <f>Supply!AB47+Supply!AB50+Supply!AB53</f>
        <v>561.59166689627921</v>
      </c>
      <c r="E146" s="46">
        <f>Supply!AB57</f>
        <v>382.82193456968452</v>
      </c>
      <c r="F146" s="46">
        <f>Supply!AB59</f>
        <v>283.92769901778536</v>
      </c>
      <c r="G146" s="46">
        <f>Supply!AB11</f>
        <v>47.140688448433117</v>
      </c>
      <c r="H146" t="s">
        <v>360</v>
      </c>
      <c r="J146">
        <v>2044</v>
      </c>
      <c r="K146" s="46">
        <f>Energy!AB9</f>
        <v>4123.9156669916365</v>
      </c>
      <c r="L146" s="46">
        <f>Energy!AB10</f>
        <v>1283.5303160129988</v>
      </c>
      <c r="M146" s="46">
        <f>Energy!AB11</f>
        <v>1665.4138516207718</v>
      </c>
      <c r="N146" s="46">
        <f>Energy!AB14</f>
        <v>20.539450567244046</v>
      </c>
      <c r="O146" s="46">
        <f>Energy!AB15</f>
        <v>7102.8274228823384</v>
      </c>
      <c r="P146" s="117">
        <f>Energy!AB8</f>
        <v>9.4281376896866238</v>
      </c>
    </row>
    <row r="147" spans="2:16" ht="15" customHeight="1" x14ac:dyDescent="0.2">
      <c r="B147">
        <v>2045</v>
      </c>
      <c r="C147" s="46">
        <f>Supply!AC46+Supply!AC49+Supply!AC52+Supply!AC65</f>
        <v>8218.0140019142891</v>
      </c>
      <c r="D147" s="46">
        <f>Supply!AC47+Supply!AC50+Supply!AC53</f>
        <v>550.35983355835356</v>
      </c>
      <c r="E147" s="46">
        <f>Supply!AC57</f>
        <v>373.8708154751302</v>
      </c>
      <c r="F147" s="46">
        <f>Supply!AC59</f>
        <v>297.65003061406253</v>
      </c>
      <c r="G147" s="46">
        <f>Supply!AC11</f>
        <v>46.669281563948786</v>
      </c>
      <c r="H147" t="s">
        <v>360</v>
      </c>
      <c r="J147">
        <v>2045</v>
      </c>
      <c r="K147" s="46">
        <f>Energy!AC9</f>
        <v>4225.7504848161907</v>
      </c>
      <c r="L147" s="46">
        <f>Energy!AC10</f>
        <v>1270.4383067896663</v>
      </c>
      <c r="M147" s="46">
        <f>Energy!AC11</f>
        <v>1655.9688374439197</v>
      </c>
      <c r="N147" s="46">
        <f>Energy!AC14</f>
        <v>21.118777030074465</v>
      </c>
      <c r="O147" s="46">
        <f>Energy!AC15</f>
        <v>7182.6102623926417</v>
      </c>
      <c r="P147" s="117">
        <f>Energy!AC8</f>
        <v>9.3338563127897576</v>
      </c>
    </row>
    <row r="148" spans="2:16" ht="15" customHeight="1" x14ac:dyDescent="0.2">
      <c r="B148">
        <v>2046</v>
      </c>
      <c r="C148" s="46">
        <f>Supply!AD46+Supply!AD49+Supply!AD52+Supply!AD65</f>
        <v>8292.2672316472472</v>
      </c>
      <c r="D148" s="46">
        <f>Supply!AD47+Supply!AD50+Supply!AD53</f>
        <v>539.35263688718646</v>
      </c>
      <c r="E148" s="46">
        <f>Supply!AD57</f>
        <v>364.74200889035319</v>
      </c>
      <c r="F148" s="46">
        <f>Supply!AD59</f>
        <v>311.51930302780704</v>
      </c>
      <c r="G148" s="46">
        <f>Supply!AD11</f>
        <v>46.202588748309296</v>
      </c>
      <c r="H148" t="s">
        <v>360</v>
      </c>
      <c r="J148">
        <v>2046</v>
      </c>
      <c r="K148" s="46">
        <f>Energy!AD9</f>
        <v>4329.3674539441572</v>
      </c>
      <c r="L148" s="46">
        <f>Energy!AD10</f>
        <v>1257.4798360604116</v>
      </c>
      <c r="M148" s="46">
        <f>Energy!AD11</f>
        <v>1646.5635164807468</v>
      </c>
      <c r="N148" s="46">
        <f>Energy!AD14</f>
        <v>21.693877065339077</v>
      </c>
      <c r="O148" s="46">
        <f>Energy!AD15</f>
        <v>7264.3452013003161</v>
      </c>
      <c r="P148" s="117">
        <f>Energy!AD8</f>
        <v>9.2405177496618602</v>
      </c>
    </row>
    <row r="149" spans="2:16" ht="15" customHeight="1" x14ac:dyDescent="0.2">
      <c r="B149">
        <v>2047</v>
      </c>
      <c r="C149" s="46">
        <f>Supply!AE46+Supply!AE49+Supply!AE52+Supply!AE65</f>
        <v>8365.9401342305337</v>
      </c>
      <c r="D149" s="46">
        <f>Supply!AE47+Supply!AE50+Supply!AE53</f>
        <v>528.56558414944266</v>
      </c>
      <c r="E149" s="46">
        <f>Supply!AE57</f>
        <v>355.43597398625434</v>
      </c>
      <c r="F149" s="46">
        <f>Supply!AE59</f>
        <v>325.53224748092481</v>
      </c>
      <c r="G149" s="46">
        <f>Supply!AE11</f>
        <v>45.740562860826209</v>
      </c>
      <c r="H149" t="s">
        <v>360</v>
      </c>
      <c r="J149">
        <v>2047</v>
      </c>
      <c r="K149" s="46">
        <f>Energy!AE9</f>
        <v>4434.8099319064859</v>
      </c>
      <c r="L149" s="46">
        <f>Energy!AE10</f>
        <v>1244.6535417325947</v>
      </c>
      <c r="M149" s="46">
        <f>Energy!AE11</f>
        <v>1637.1981554110921</v>
      </c>
      <c r="N149" s="46">
        <f>Energy!AE14</f>
        <v>22.264448413549008</v>
      </c>
      <c r="O149" s="46">
        <f>Energy!AE15</f>
        <v>7348.0741900358862</v>
      </c>
      <c r="P149" s="117">
        <f>Energy!AE8</f>
        <v>9.1481125721652425</v>
      </c>
    </row>
    <row r="150" spans="2:16" ht="15" customHeight="1" x14ac:dyDescent="0.2">
      <c r="B150">
        <v>2048</v>
      </c>
      <c r="C150" s="46">
        <f>Supply!AF46+Supply!AF49+Supply!AF52+Supply!AF65</f>
        <v>8439.0699532986546</v>
      </c>
      <c r="D150" s="46">
        <f>Supply!AF47+Supply!AF50+Supply!AF53</f>
        <v>517.99427246645382</v>
      </c>
      <c r="E150" s="46">
        <f>Supply!AF57</f>
        <v>345.9531919819234</v>
      </c>
      <c r="F150" s="46">
        <f>Supply!AF59</f>
        <v>339.68563149114044</v>
      </c>
      <c r="G150" s="46">
        <f>Supply!AF11</f>
        <v>45.283157232217938</v>
      </c>
      <c r="H150" t="s">
        <v>360</v>
      </c>
      <c r="J150">
        <v>2048</v>
      </c>
      <c r="K150" s="46">
        <f>Energy!AF9</f>
        <v>4542.1226852531008</v>
      </c>
      <c r="L150" s="46">
        <f>Energy!AF10</f>
        <v>1231.9580756069226</v>
      </c>
      <c r="M150" s="46">
        <f>Energy!AF11</f>
        <v>1627.872981536827</v>
      </c>
      <c r="N150" s="46">
        <f>Energy!AF14</f>
        <v>22.83019519186891</v>
      </c>
      <c r="O150" s="46">
        <f>Energy!AF15</f>
        <v>7433.8405690351628</v>
      </c>
      <c r="P150" s="117">
        <f>Energy!AF8</f>
        <v>9.0566314464435873</v>
      </c>
    </row>
    <row r="151" spans="2:16" ht="15" customHeight="1" x14ac:dyDescent="0.2">
      <c r="B151">
        <v>2049</v>
      </c>
      <c r="C151" s="46">
        <f>Supply!AG46+Supply!AG49+Supply!AG52+Supply!AG65</f>
        <v>8511.6939703793068</v>
      </c>
      <c r="D151" s="46">
        <f>Supply!AG47+Supply!AG50+Supply!AG53</f>
        <v>507.63438701712477</v>
      </c>
      <c r="E151" s="46">
        <f>Supply!AG57</f>
        <v>336.29416572923748</v>
      </c>
      <c r="F151" s="46">
        <f>Supply!AG59</f>
        <v>353.97625855435058</v>
      </c>
      <c r="G151" s="46">
        <f>Supply!AG11</f>
        <v>44.830325659895756</v>
      </c>
      <c r="H151" t="s">
        <v>360</v>
      </c>
      <c r="J151">
        <v>2049</v>
      </c>
      <c r="K151" s="46">
        <f>Energy!AG9</f>
        <v>4651.351940802796</v>
      </c>
      <c r="L151" s="46">
        <f>Energy!AG10</f>
        <v>1219.3921032357321</v>
      </c>
      <c r="M151" s="46">
        <f>Energy!AG11</f>
        <v>1618.5881836511198</v>
      </c>
      <c r="N151" s="46">
        <f>Energy!AG14</f>
        <v>23.39082781367393</v>
      </c>
      <c r="O151" s="46">
        <f>Energy!AG15</f>
        <v>7521.6891206353012</v>
      </c>
      <c r="P151" s="117">
        <f>Energy!AG8</f>
        <v>8.9660651319791516</v>
      </c>
    </row>
    <row r="152" spans="2:16" ht="15" customHeight="1" x14ac:dyDescent="0.2">
      <c r="B152">
        <v>2050</v>
      </c>
      <c r="C152" s="46">
        <f>Supply!AH46+Supply!AH49+Supply!AH52+Supply!AH65</f>
        <v>8583.8495162205127</v>
      </c>
      <c r="D152" s="46">
        <f>Supply!AH47+Supply!AH50+Supply!AH53</f>
        <v>497.48169927678225</v>
      </c>
      <c r="E152" s="46">
        <f>Supply!AH57</f>
        <v>326.45941930234289</v>
      </c>
      <c r="F152" s="46">
        <f>Supply!AH59</f>
        <v>368.40096782942845</v>
      </c>
      <c r="G152" s="46">
        <f>Supply!AH11</f>
        <v>44.382022403296808</v>
      </c>
      <c r="H152" t="s">
        <v>360</v>
      </c>
      <c r="J152">
        <v>2050</v>
      </c>
      <c r="K152" s="46">
        <f>Energy!AH9</f>
        <v>4762.5454387917362</v>
      </c>
      <c r="L152" s="46">
        <f>Energy!AH10</f>
        <v>1206.9543037827277</v>
      </c>
      <c r="M152" s="46">
        <f>Energy!AH11</f>
        <v>1609.3439128953514</v>
      </c>
      <c r="N152" s="46">
        <f>Energy!AH14</f>
        <v>23.946062908912843</v>
      </c>
      <c r="O152" s="46">
        <f>Energy!AH15</f>
        <v>7611.6661228593875</v>
      </c>
      <c r="P152" s="117">
        <f>Energy!AH8</f>
        <v>8.8764044806593621</v>
      </c>
    </row>
    <row r="153" spans="2:16" ht="15" customHeight="1" x14ac:dyDescent="0.2">
      <c r="B153">
        <v>2020</v>
      </c>
      <c r="C153" s="46">
        <f>(Supply!D5-Supply!D6)-(Supply!D19+Supply!D22+Supply!D25)-Supply!D30-Supply!D11-(Supply!D34-Supply!D16)</f>
        <v>6059.6921628399505</v>
      </c>
      <c r="D153" s="46">
        <f>Supply!D19+Supply!D22+Supply!D25</f>
        <v>912</v>
      </c>
      <c r="E153" s="46">
        <f>Supply!D30</f>
        <v>0</v>
      </c>
      <c r="F153" s="46">
        <f>Supply!D34-Supply!D16</f>
        <v>7.8422197749500002</v>
      </c>
      <c r="G153" s="46">
        <f>Supply!D11</f>
        <v>60</v>
      </c>
      <c r="H153" t="s">
        <v>359</v>
      </c>
    </row>
    <row r="154" spans="2:16" ht="15" customHeight="1" x14ac:dyDescent="0.2">
      <c r="B154">
        <v>2021</v>
      </c>
      <c r="C154" s="46">
        <f>(Supply!E5-Supply!E6)-(Supply!E19+Supply!E22+Supply!E25)-Supply!E30-Supply!E11-(Supply!E34-Supply!E16)</f>
        <v>6164.4025399296097</v>
      </c>
      <c r="D154" s="46">
        <f>Supply!E19+Supply!E22+Supply!E25</f>
        <v>893.76</v>
      </c>
      <c r="E154" s="46">
        <f>Supply!E30</f>
        <v>0</v>
      </c>
      <c r="F154" s="46">
        <f>Supply!E34-Supply!E16</f>
        <v>8.6110502226513645</v>
      </c>
      <c r="G154" s="46">
        <f>Supply!E11</f>
        <v>59.4</v>
      </c>
      <c r="H154" t="s">
        <v>359</v>
      </c>
    </row>
    <row r="155" spans="2:16" ht="15" customHeight="1" x14ac:dyDescent="0.2">
      <c r="B155">
        <v>2022</v>
      </c>
      <c r="C155" s="46">
        <f>(Supply!F5-Supply!F6)-(Supply!F19+Supply!F22+Supply!F25)-Supply!F30-Supply!F11-(Supply!F34-Supply!F16)</f>
        <v>6267.6220314711563</v>
      </c>
      <c r="D155" s="46">
        <f>Supply!F19+Supply!F22+Supply!F25</f>
        <v>875.88479999999993</v>
      </c>
      <c r="E155" s="46">
        <f>Supply!F30</f>
        <v>0</v>
      </c>
      <c r="F155" s="46">
        <f>Supply!F34-Supply!F16</f>
        <v>9.3961504441431867</v>
      </c>
      <c r="G155" s="46">
        <f>Supply!F11</f>
        <v>58.805999999999997</v>
      </c>
      <c r="H155" t="s">
        <v>359</v>
      </c>
    </row>
    <row r="156" spans="2:16" ht="15" customHeight="1" x14ac:dyDescent="0.2">
      <c r="B156">
        <v>2023</v>
      </c>
      <c r="C156" s="46">
        <f>(Supply!G5-Supply!G6)-(Supply!G19+Supply!G22+Supply!G25)-Supply!G30-Supply!G11-(Supply!G34-Supply!G16)</f>
        <v>6369.3862816116016</v>
      </c>
      <c r="D156" s="46">
        <f>Supply!G19+Supply!G22+Supply!G25</f>
        <v>858.36710399999993</v>
      </c>
      <c r="E156" s="46">
        <f>Supply!G30</f>
        <v>0</v>
      </c>
      <c r="F156" s="46">
        <f>Supply!G34-Supply!G16</f>
        <v>10.197217750257561</v>
      </c>
      <c r="G156" s="46">
        <f>Supply!G11</f>
        <v>58.217939999999992</v>
      </c>
      <c r="H156" t="s">
        <v>359</v>
      </c>
    </row>
    <row r="157" spans="2:16" ht="15" customHeight="1" x14ac:dyDescent="0.2">
      <c r="B157">
        <v>2024</v>
      </c>
      <c r="C157" s="46">
        <f>(Supply!H5-Supply!H6)-(Supply!H19+Supply!H22+Supply!H25)-Supply!H30-Supply!H11-(Supply!H34-Supply!H16)</f>
        <v>6469.7307826950473</v>
      </c>
      <c r="D157" s="46">
        <f>Supply!H19+Supply!H22+Supply!H25</f>
        <v>841.1997619199999</v>
      </c>
      <c r="E157" s="46">
        <f>Supply!H30</f>
        <v>0</v>
      </c>
      <c r="F157" s="46">
        <f>Supply!H34-Supply!H16</f>
        <v>11.013952675827259</v>
      </c>
      <c r="G157" s="46">
        <f>Supply!H11</f>
        <v>57.635760599999998</v>
      </c>
      <c r="H157" t="s">
        <v>359</v>
      </c>
    </row>
    <row r="158" spans="2:16" ht="15" customHeight="1" x14ac:dyDescent="0.2">
      <c r="B158">
        <v>2025</v>
      </c>
      <c r="C158" s="46">
        <f>(Supply!I5-Supply!I6)-(Supply!I19+Supply!I22+Supply!I25)-Supply!I30-Supply!I11-(Supply!I34-Supply!I16)</f>
        <v>6568.6908846196675</v>
      </c>
      <c r="D158" s="46">
        <f>Supply!I19+Supply!I22+Supply!I25</f>
        <v>824.37576668159988</v>
      </c>
      <c r="E158" s="46">
        <f>Supply!I30</f>
        <v>0</v>
      </c>
      <c r="F158" s="46">
        <f>Supply!I34-Supply!I16</f>
        <v>11.846058951993687</v>
      </c>
      <c r="G158" s="46">
        <f>Supply!I11</f>
        <v>57.059402993999996</v>
      </c>
      <c r="H158" t="s">
        <v>359</v>
      </c>
    </row>
    <row r="159" spans="2:16" ht="15" customHeight="1" x14ac:dyDescent="0.2">
      <c r="B159">
        <v>2026</v>
      </c>
      <c r="C159" s="46">
        <f>(Supply!J5-Supply!J6)-(Supply!J19+Supply!J22+Supply!J25)-Supply!J30-Supply!J11-(Supply!J34-Supply!J16)</f>
        <v>6666.3018042056065</v>
      </c>
      <c r="D159" s="46">
        <f>Supply!J19+Supply!J22+Supply!J25</f>
        <v>807.88825134796787</v>
      </c>
      <c r="E159" s="46">
        <f>Supply!J30</f>
        <v>0</v>
      </c>
      <c r="F159" s="46">
        <f>Supply!J34-Supply!J16</f>
        <v>12.693243478726256</v>
      </c>
      <c r="G159" s="46">
        <f>Supply!J11</f>
        <v>56.488808964059992</v>
      </c>
      <c r="H159" t="s">
        <v>359</v>
      </c>
    </row>
    <row r="160" spans="2:16" ht="15" customHeight="1" x14ac:dyDescent="0.2">
      <c r="B160">
        <v>2027</v>
      </c>
      <c r="C160" s="46">
        <f>(Supply!K5-Supply!K6)-(Supply!K19+Supply!K22+Supply!K25)-Supply!K30-Supply!K11-(Supply!K34-Supply!K16)</f>
        <v>6768.7436659652412</v>
      </c>
      <c r="D160" s="46">
        <f>Supply!K19+Supply!K22+Supply!K25</f>
        <v>791.73048632100847</v>
      </c>
      <c r="E160" s="46">
        <f>Supply!K30</f>
        <v>0</v>
      </c>
      <c r="F160" s="46">
        <f>Supply!K34-Supply!K16</f>
        <v>7.4101849093282492</v>
      </c>
      <c r="G160" s="46">
        <f>Supply!K11</f>
        <v>55.923920874419395</v>
      </c>
      <c r="H160" t="s">
        <v>359</v>
      </c>
    </row>
    <row r="161" spans="2:8" ht="15" customHeight="1" x14ac:dyDescent="0.2">
      <c r="B161">
        <v>2028</v>
      </c>
      <c r="C161" s="46">
        <f>(Supply!L5-Supply!L6)-(Supply!L19+Supply!L22+Supply!L25)-Supply!L30-Supply!L11-(Supply!L34-Supply!L16)</f>
        <v>6864.062509680185</v>
      </c>
      <c r="D161" s="46">
        <f>Supply!L19+Supply!L22+Supply!L25</f>
        <v>775.89587659458823</v>
      </c>
      <c r="E161" s="46">
        <f>Supply!L30</f>
        <v>0</v>
      </c>
      <c r="F161" s="46">
        <f>Supply!L34-Supply!L16</f>
        <v>7.9855354456854011</v>
      </c>
      <c r="G161" s="46">
        <f>Supply!L11</f>
        <v>55.364681665675199</v>
      </c>
      <c r="H161" t="s">
        <v>359</v>
      </c>
    </row>
    <row r="162" spans="2:8" ht="15" customHeight="1" x14ac:dyDescent="0.2">
      <c r="B162">
        <v>2029</v>
      </c>
      <c r="C162" s="46">
        <f>(Supply!M5-Supply!M6)-(Supply!M19+Supply!M22+Supply!M25)-Supply!M30-Supply!M11-(Supply!M34-Supply!M16)</f>
        <v>6958.1316864195223</v>
      </c>
      <c r="D162" s="46">
        <f>Supply!M19+Supply!M22+Supply!M25</f>
        <v>760.3779590626965</v>
      </c>
      <c r="E162" s="46">
        <f>Supply!M30</f>
        <v>0</v>
      </c>
      <c r="F162" s="46">
        <f>Supply!M34-Supply!M16</f>
        <v>8.5805342129963194</v>
      </c>
      <c r="G162" s="46">
        <f>Supply!M11</f>
        <v>54.811034849018441</v>
      </c>
      <c r="H162" t="s">
        <v>359</v>
      </c>
    </row>
    <row r="163" spans="2:8" ht="15" customHeight="1" x14ac:dyDescent="0.2">
      <c r="B163">
        <v>2030</v>
      </c>
      <c r="C163" s="46">
        <f>(Supply!N5-Supply!N6)-(Supply!N19+Supply!N22+Supply!N25)-Supply!N30-Supply!N11-(Supply!N34-Supply!N16)</f>
        <v>7050.9855687120507</v>
      </c>
      <c r="D163" s="46">
        <f>Supply!N19+Supply!N22+Supply!N25</f>
        <v>745.17039988144245</v>
      </c>
      <c r="E163" s="46">
        <f>Supply!N30</f>
        <v>0</v>
      </c>
      <c r="F163" s="46">
        <f>Supply!N34-Supply!N16</f>
        <v>9.195306504398939</v>
      </c>
      <c r="G163" s="46">
        <f>Supply!N11</f>
        <v>54.262924500528257</v>
      </c>
      <c r="H163" t="s">
        <v>359</v>
      </c>
    </row>
    <row r="164" spans="2:8" ht="15" customHeight="1" x14ac:dyDescent="0.2">
      <c r="B164">
        <v>2031</v>
      </c>
      <c r="C164" s="46">
        <f>(Supply!O5-Supply!O6)-(Supply!O19+Supply!O22+Supply!O25)-Supply!O30-Supply!O11-(Supply!O34-Supply!O16)</f>
        <v>7142.6584519036651</v>
      </c>
      <c r="D164" s="46">
        <f>Supply!O19+Supply!O22+Supply!O25</f>
        <v>730.2669918838136</v>
      </c>
      <c r="E164" s="46">
        <f>Supply!O30</f>
        <v>0</v>
      </c>
      <c r="F164" s="46">
        <f>Supply!O34-Supply!O16</f>
        <v>9.8299718676271439</v>
      </c>
      <c r="G164" s="46">
        <f>Supply!O11</f>
        <v>53.720295255522977</v>
      </c>
      <c r="H164" t="s">
        <v>359</v>
      </c>
    </row>
    <row r="165" spans="2:8" ht="15" customHeight="1" x14ac:dyDescent="0.2">
      <c r="B165">
        <v>2032</v>
      </c>
      <c r="C165" s="46">
        <f>(Supply!P5-Supply!P6)-(Supply!P19+Supply!P22+Supply!P25)-Supply!P30-Supply!P11-(Supply!P34-Supply!P16)</f>
        <v>7233.1845635458058</v>
      </c>
      <c r="D165" s="46">
        <f>Supply!P19+Supply!P22+Supply!P25</f>
        <v>715.66165204613731</v>
      </c>
      <c r="E165" s="46">
        <f>Supply!P30</f>
        <v>0</v>
      </c>
      <c r="F165" s="46">
        <f>Supply!P34-Supply!P16</f>
        <v>10.484644190941186</v>
      </c>
      <c r="G165" s="46">
        <f>Supply!P11</f>
        <v>53.183092302967751</v>
      </c>
      <c r="H165" t="s">
        <v>359</v>
      </c>
    </row>
    <row r="166" spans="2:8" ht="15" customHeight="1" x14ac:dyDescent="0.2">
      <c r="B166">
        <v>2033</v>
      </c>
      <c r="C166" s="46">
        <f>(Supply!Q5-Supply!Q6)-(Supply!Q19+Supply!Q22+Supply!Q25)-Supply!Q30-Supply!Q11-(Supply!Q34-Supply!Q16)</f>
        <v>7322.5980728185305</v>
      </c>
      <c r="D166" s="46">
        <f>Supply!Q19+Supply!Q22+Supply!Q25</f>
        <v>701.34841900521451</v>
      </c>
      <c r="E166" s="46">
        <f>Supply!Q30</f>
        <v>0</v>
      </c>
      <c r="F166" s="46">
        <f>Supply!Q34-Supply!Q16</f>
        <v>11.159431788126373</v>
      </c>
      <c r="G166" s="46">
        <f>Supply!Q11</f>
        <v>52.651261379938063</v>
      </c>
      <c r="H166" t="s">
        <v>359</v>
      </c>
    </row>
    <row r="167" spans="2:8" ht="15" customHeight="1" x14ac:dyDescent="0.2">
      <c r="B167">
        <v>2034</v>
      </c>
      <c r="C167" s="46">
        <f>(Supply!R5-Supply!R6)-(Supply!R19+Supply!R22+Supply!R25)-Supply!R30-Supply!R11-(Supply!R34-Supply!R16)</f>
        <v>7410.9330999913973</v>
      </c>
      <c r="D167" s="46">
        <f>Supply!R19+Supply!R22+Supply!R25</f>
        <v>687.32145062511029</v>
      </c>
      <c r="E167" s="46">
        <f>Supply!R30</f>
        <v>0</v>
      </c>
      <c r="F167" s="46">
        <f>Supply!R34-Supply!R16</f>
        <v>11.854437482568521</v>
      </c>
      <c r="G167" s="46">
        <f>Supply!R11</f>
        <v>52.124748766138687</v>
      </c>
      <c r="H167" t="s">
        <v>359</v>
      </c>
    </row>
    <row r="168" spans="2:8" ht="15" customHeight="1" x14ac:dyDescent="0.2">
      <c r="B168">
        <v>2035</v>
      </c>
      <c r="C168" s="46">
        <f>(Supply!S5-Supply!S6)-(Supply!S19+Supply!S22+Supply!S25)-Supply!S30-Supply!S11-(Supply!S34-Supply!S16)</f>
        <v>7498.2237259254916</v>
      </c>
      <c r="D168" s="46">
        <f>Supply!S19+Supply!S22+Supply!S25</f>
        <v>673.575021612608</v>
      </c>
      <c r="E168" s="46">
        <f>Supply!S30</f>
        <v>0</v>
      </c>
      <c r="F168" s="46">
        <f>Supply!S34-Supply!S16</f>
        <v>12.569758690414773</v>
      </c>
      <c r="G168" s="46">
        <f>Supply!S11</f>
        <v>51.603501278477296</v>
      </c>
      <c r="H168" t="s">
        <v>359</v>
      </c>
    </row>
    <row r="169" spans="2:8" ht="15" customHeight="1" x14ac:dyDescent="0.2">
      <c r="B169">
        <v>2036</v>
      </c>
      <c r="C169" s="46">
        <f>(Supply!T5-Supply!T6)-(Supply!T19+Supply!T22+Supply!T25)-Supply!T30-Supply!T11-(Supply!T34-Supply!T16)</f>
        <v>7584.5040016198936</v>
      </c>
      <c r="D169" s="46">
        <f>Supply!T19+Supply!T22+Supply!T25</f>
        <v>660.10352118035587</v>
      </c>
      <c r="E169" s="46">
        <f>Supply!T30</f>
        <v>0</v>
      </c>
      <c r="F169" s="46">
        <f>Supply!T34-Supply!T16</f>
        <v>13.305487502828036</v>
      </c>
      <c r="G169" s="46">
        <f>Supply!T11</f>
        <v>51.087466265692527</v>
      </c>
      <c r="H169" t="s">
        <v>359</v>
      </c>
    </row>
    <row r="170" spans="2:8" ht="15" customHeight="1" x14ac:dyDescent="0.2">
      <c r="B170">
        <v>2037</v>
      </c>
      <c r="C170" s="46">
        <f>(Supply!U5-Supply!U6)-(Supply!U19+Supply!U22+Supply!U25)-Supply!U30-Supply!U11-(Supply!U34-Supply!U16)</f>
        <v>7669.8079578059405</v>
      </c>
      <c r="D170" s="46">
        <f>Supply!U19+Supply!U22+Supply!U25</f>
        <v>646.90145075674877</v>
      </c>
      <c r="E170" s="46">
        <f>Supply!U30</f>
        <v>0</v>
      </c>
      <c r="F170" s="46">
        <f>Supply!U34-Supply!U16</f>
        <v>14.061710767343449</v>
      </c>
      <c r="G170" s="46">
        <f>Supply!U11</f>
        <v>50.576591603035595</v>
      </c>
      <c r="H170" t="s">
        <v>359</v>
      </c>
    </row>
    <row r="171" spans="2:8" ht="15" customHeight="1" x14ac:dyDescent="0.2">
      <c r="B171">
        <v>2038</v>
      </c>
      <c r="C171" s="46">
        <f>(Supply!V5-Supply!V6)-(Supply!V19+Supply!V22+Supply!V25)-Supply!V30-Supply!V11-(Supply!V34-Supply!V16)</f>
        <v>7754.1696145925835</v>
      </c>
      <c r="D171" s="46">
        <f>Supply!V19+Supply!V22+Supply!V25</f>
        <v>633.96342174161373</v>
      </c>
      <c r="E171" s="46">
        <f>Supply!V30</f>
        <v>0</v>
      </c>
      <c r="F171" s="46">
        <f>Supply!V34-Supply!V16</f>
        <v>14.838510168335148</v>
      </c>
      <c r="G171" s="46">
        <f>Supply!V11</f>
        <v>50.07082568700524</v>
      </c>
      <c r="H171" t="s">
        <v>359</v>
      </c>
    </row>
    <row r="172" spans="2:8" ht="15" customHeight="1" x14ac:dyDescent="0.2">
      <c r="B172">
        <v>2039</v>
      </c>
      <c r="C172" s="46">
        <f>(Supply!W5-Supply!W6)-(Supply!W19+Supply!W22+Supply!W25)-Supply!W30-Supply!W11-(Supply!W34-Supply!W16)</f>
        <v>7837.622991166294</v>
      </c>
      <c r="D172" s="46">
        <f>Supply!W19+Supply!W22+Supply!W25</f>
        <v>621.28415330678149</v>
      </c>
      <c r="E172" s="46">
        <f>Supply!W30</f>
        <v>0</v>
      </c>
      <c r="F172" s="46">
        <f>Supply!W34-Supply!W16</f>
        <v>15.635962306601458</v>
      </c>
      <c r="G172" s="46">
        <f>Supply!W11</f>
        <v>49.570117430135184</v>
      </c>
      <c r="H172" t="s">
        <v>359</v>
      </c>
    </row>
    <row r="173" spans="2:8" ht="15" customHeight="1" x14ac:dyDescent="0.2">
      <c r="B173">
        <v>2040</v>
      </c>
      <c r="C173" s="46">
        <f>(Supply!X5-Supply!X6)-(Supply!X19+Supply!X22+Supply!X25)-Supply!X30-Supply!X11-(Supply!X34-Supply!X16)</f>
        <v>7920.2021155488783</v>
      </c>
      <c r="D173" s="46">
        <f>Supply!X19+Supply!X22+Supply!X25</f>
        <v>608.85847024064583</v>
      </c>
      <c r="E173" s="46">
        <f>Supply!X30</f>
        <v>0</v>
      </c>
      <c r="F173" s="46">
        <f>Supply!X34-Supply!X16</f>
        <v>16.454138778076707</v>
      </c>
      <c r="G173" s="46">
        <f>Supply!X11</f>
        <v>49.074416255833839</v>
      </c>
      <c r="H173" t="s">
        <v>359</v>
      </c>
    </row>
    <row r="174" spans="2:8" ht="15" customHeight="1" x14ac:dyDescent="0.2">
      <c r="B174">
        <v>2041</v>
      </c>
      <c r="C174" s="46">
        <f>(Supply!Y5-Supply!Y6)-(Supply!Y19+Supply!Y22+Supply!Y25)-Supply!Y30-Supply!Y11-(Supply!Y34-Supply!Y16)</f>
        <v>8001.9410344166208</v>
      </c>
      <c r="D174" s="46">
        <f>Supply!Y19+Supply!Y22+Supply!Y25</f>
        <v>596.68130083583287</v>
      </c>
      <c r="E174" s="46">
        <f>Supply!Y30</f>
        <v>0</v>
      </c>
      <c r="F174" s="46">
        <f>Supply!Y34-Supply!Y16</f>
        <v>17.293106251677663</v>
      </c>
      <c r="G174" s="46">
        <f>Supply!Y11</f>
        <v>48.583672093275496</v>
      </c>
      <c r="H174" t="s">
        <v>359</v>
      </c>
    </row>
    <row r="175" spans="2:8" ht="15" customHeight="1" x14ac:dyDescent="0.2">
      <c r="B175">
        <v>2042</v>
      </c>
      <c r="C175" s="46">
        <f>(Supply!Z5-Supply!Z6)-(Supply!Z19+Supply!Z22+Supply!Z25)-Supply!Z30-Supply!Z11-(Supply!Z34-Supply!Z16)</f>
        <v>8082.8738229842811</v>
      </c>
      <c r="D175" s="46">
        <f>Supply!Z19+Supply!Z22+Supply!Z25</f>
        <v>584.74767481911624</v>
      </c>
      <c r="E175" s="46">
        <f>Supply!Z30</f>
        <v>0</v>
      </c>
      <c r="F175" s="46">
        <f>Supply!Z34-Supply!Z16</f>
        <v>18.152926546292662</v>
      </c>
      <c r="G175" s="46">
        <f>Supply!Z11</f>
        <v>48.097835372342736</v>
      </c>
      <c r="H175" t="s">
        <v>359</v>
      </c>
    </row>
    <row r="176" spans="2:8" ht="15" customHeight="1" x14ac:dyDescent="0.2">
      <c r="B176">
        <v>2043</v>
      </c>
      <c r="C176" s="46">
        <f>(Supply!AA5-Supply!AA6)-(Supply!AA19+Supply!AA22+Supply!AA25)-Supply!AA30-Supply!AA11-(Supply!AA34-Supply!AA16)</f>
        <v>8163.0345949573712</v>
      </c>
      <c r="D176" s="46">
        <f>Supply!AA19+Supply!AA22+Supply!AA25</f>
        <v>573.05272132273387</v>
      </c>
      <c r="E176" s="46">
        <f>Supply!AA30</f>
        <v>0</v>
      </c>
      <c r="F176" s="46">
        <f>Supply!AA34-Supply!AA16</f>
        <v>19.033656706921217</v>
      </c>
      <c r="G176" s="46">
        <f>Supply!AA11</f>
        <v>47.616857018619314</v>
      </c>
      <c r="H176" t="s">
        <v>359</v>
      </c>
    </row>
    <row r="177" spans="2:8" ht="15" customHeight="1" x14ac:dyDescent="0.2">
      <c r="B177">
        <v>2044</v>
      </c>
      <c r="C177" s="46">
        <f>(Supply!AB5-Supply!AB6)-(Supply!AB19+Supply!AB22+Supply!AB25)-Supply!AB30-Supply!AB11-(Supply!AB34-Supply!AB16)</f>
        <v>8242.4575125562769</v>
      </c>
      <c r="D177" s="46">
        <f>Supply!AB19+Supply!AB22+Supply!AB25</f>
        <v>561.59166689627921</v>
      </c>
      <c r="E177" s="46">
        <f>Supply!AB30</f>
        <v>0</v>
      </c>
      <c r="F177" s="46">
        <f>Supply!AB34-Supply!AB16</f>
        <v>19.935349079972163</v>
      </c>
      <c r="G177" s="46">
        <f>Supply!AB11</f>
        <v>47.140688448433117</v>
      </c>
      <c r="H177" t="s">
        <v>359</v>
      </c>
    </row>
    <row r="178" spans="2:8" ht="15" customHeight="1" x14ac:dyDescent="0.2">
      <c r="B178">
        <v>2045</v>
      </c>
      <c r="C178" s="46">
        <f>(Supply!AC5-Supply!AC6)-(Supply!AC19+Supply!AC22+Supply!AC25)-Supply!AC30-Supply!AC11-(Supply!AC34-Supply!AC16)</f>
        <v>8321.1767966157531</v>
      </c>
      <c r="D178" s="46">
        <f>Supply!AC19+Supply!AC22+Supply!AC25</f>
        <v>550.35983355835356</v>
      </c>
      <c r="E178" s="46">
        <f>Supply!AC30</f>
        <v>0</v>
      </c>
      <c r="F178" s="46">
        <f>Supply!AC34-Supply!AC16</f>
        <v>20.858051387727865</v>
      </c>
      <c r="G178" s="46">
        <f>Supply!AC11</f>
        <v>46.669281563948786</v>
      </c>
      <c r="H178" t="s">
        <v>359</v>
      </c>
    </row>
    <row r="179" spans="2:8" ht="15" customHeight="1" x14ac:dyDescent="0.2">
      <c r="B179">
        <v>2046</v>
      </c>
      <c r="C179" s="46">
        <f>(Supply!AD5-Supply!AD6)-(Supply!AD19+Supply!AD22+Supply!AD25)-Supply!AD30-Supply!AD11-(Supply!AD34-Supply!AD16)</f>
        <v>8399.2267367634267</v>
      </c>
      <c r="D179" s="46">
        <f>Supply!AD19+Supply!AD22+Supply!AD25</f>
        <v>539.35263688718646</v>
      </c>
      <c r="E179" s="46">
        <f>Supply!AD30</f>
        <v>0</v>
      </c>
      <c r="F179" s="46">
        <f>Supply!AD34-Supply!AD16</f>
        <v>21.801806801982551</v>
      </c>
      <c r="G179" s="46">
        <f>Supply!AD11</f>
        <v>46.202588748309296</v>
      </c>
      <c r="H179" t="s">
        <v>359</v>
      </c>
    </row>
    <row r="180" spans="2:8" ht="15" customHeight="1" x14ac:dyDescent="0.2">
      <c r="B180">
        <v>2047</v>
      </c>
      <c r="C180" s="46">
        <f>(Supply!AE5-Supply!AE6)-(Supply!AE19+Supply!AE22+Supply!AE25)-Supply!AE30-Supply!AE11-(Supply!AE34-Supply!AE16)</f>
        <v>8476.64170168085</v>
      </c>
      <c r="D180" s="46">
        <f>Supply!AE19+Supply!AE22+Supply!AE25</f>
        <v>528.56558414944266</v>
      </c>
      <c r="E180" s="46">
        <f>Supply!AE30</f>
        <v>0</v>
      </c>
      <c r="F180" s="46">
        <f>Supply!AE34-Supply!AE16</f>
        <v>22.766654016862141</v>
      </c>
      <c r="G180" s="46">
        <f>Supply!AE11</f>
        <v>45.740562860826209</v>
      </c>
      <c r="H180" t="s">
        <v>359</v>
      </c>
    </row>
    <row r="181" spans="2:8" ht="15" customHeight="1" x14ac:dyDescent="0.2">
      <c r="B181">
        <v>2048</v>
      </c>
      <c r="C181" s="46">
        <f>(Supply!AF5-Supply!AF6)-(Supply!AF19+Supply!AF22+Supply!AF25)-Supply!AF30-Supply!AF11-(Supply!AF34-Supply!AF16)</f>
        <v>8553.4561494508853</v>
      </c>
      <c r="D181" s="46">
        <f>Supply!AF19+Supply!AF22+Supply!AF25</f>
        <v>517.99427246645382</v>
      </c>
      <c r="E181" s="46">
        <f>Supply!AF30</f>
        <v>0</v>
      </c>
      <c r="F181" s="46">
        <f>Supply!AF34-Supply!AF16</f>
        <v>23.752627320833305</v>
      </c>
      <c r="G181" s="46">
        <f>Supply!AF11</f>
        <v>45.283157232217938</v>
      </c>
      <c r="H181" t="s">
        <v>359</v>
      </c>
    </row>
    <row r="182" spans="2:8" ht="15" customHeight="1" x14ac:dyDescent="0.2">
      <c r="B182">
        <v>2049</v>
      </c>
      <c r="C182" s="46">
        <f>(Supply!AG5-Supply!AG6)-(Supply!AG19+Supply!AG22+Supply!AG25)-Supply!AG30-Supply!AG11-(Supply!AG34-Supply!AG16)</f>
        <v>8629.7046379949861</v>
      </c>
      <c r="D182" s="46">
        <f>Supply!AG19+Supply!AG22+Supply!AG25</f>
        <v>507.63438701712477</v>
      </c>
      <c r="E182" s="46">
        <f>Supply!AG30</f>
        <v>0</v>
      </c>
      <c r="F182" s="46">
        <f>Supply!AG34-Supply!AG16</f>
        <v>24.759756667909301</v>
      </c>
      <c r="G182" s="46">
        <f>Supply!AG11</f>
        <v>44.830325659895756</v>
      </c>
      <c r="H182" t="s">
        <v>359</v>
      </c>
    </row>
    <row r="183" spans="2:8" ht="15" customHeight="1" x14ac:dyDescent="0.2">
      <c r="B183">
        <v>2050</v>
      </c>
      <c r="C183" s="46">
        <f>(Supply!AH5-Supply!AH6)-(Supply!AH19+Supply!AH22+Supply!AH25)-Supply!AH30-Supply!AH11-(Supply!AH34-Supply!AH16)</f>
        <v>8705.421835604222</v>
      </c>
      <c r="D183" s="46">
        <f>Supply!AH19+Supply!AH22+Supply!AH25</f>
        <v>497.48169927678225</v>
      </c>
      <c r="E183" s="46">
        <f>Supply!AH30</f>
        <v>0</v>
      </c>
      <c r="F183" s="46">
        <f>Supply!AH34-Supply!AH16</f>
        <v>25.788067748059987</v>
      </c>
      <c r="G183" s="46">
        <f>Supply!AH11</f>
        <v>44.382022403296808</v>
      </c>
      <c r="H183" t="s">
        <v>359</v>
      </c>
    </row>
    <row r="200" spans="2:9" ht="15" customHeight="1" x14ac:dyDescent="0.2">
      <c r="B200" t="s">
        <v>502</v>
      </c>
    </row>
    <row r="201" spans="2:9" ht="15" customHeight="1" x14ac:dyDescent="0.2">
      <c r="B201" t="s">
        <v>452</v>
      </c>
      <c r="C201" t="s">
        <v>493</v>
      </c>
      <c r="D201" t="s">
        <v>494</v>
      </c>
      <c r="E201" t="s">
        <v>495</v>
      </c>
      <c r="F201" t="s">
        <v>496</v>
      </c>
      <c r="G201" t="s">
        <v>503</v>
      </c>
      <c r="H201" t="s">
        <v>504</v>
      </c>
      <c r="I201" t="s">
        <v>501</v>
      </c>
    </row>
    <row r="202" spans="2:9" ht="15" customHeight="1" x14ac:dyDescent="0.2">
      <c r="B202">
        <v>2020</v>
      </c>
      <c r="C202" s="46">
        <f>Demand!D13</f>
        <v>784.22197749500003</v>
      </c>
      <c r="D202" s="46">
        <f>Demand!D14</f>
        <v>389.62701858989999</v>
      </c>
      <c r="E202" s="46">
        <f>Demand!D15</f>
        <v>5865.68538653</v>
      </c>
      <c r="F202" s="46">
        <f>Demand!D17</f>
        <v>0</v>
      </c>
      <c r="G202">
        <f t="shared" ref="G202:G233" si="1">+SUM(C202:F202)</f>
        <v>7039.5343826149001</v>
      </c>
      <c r="H202" s="46">
        <f t="shared" ref="H202:H233" si="2">+G202-SUM(C122:G122)</f>
        <v>0</v>
      </c>
      <c r="I202" s="118" t="s">
        <v>360</v>
      </c>
    </row>
    <row r="203" spans="2:9" ht="15" customHeight="1" x14ac:dyDescent="0.2">
      <c r="B203">
        <v>2021</v>
      </c>
      <c r="C203" s="46">
        <f>Demand!E13</f>
        <v>794.86617439858742</v>
      </c>
      <c r="D203" s="46">
        <f>Demand!E14</f>
        <v>403.93296803511453</v>
      </c>
      <c r="E203" s="46">
        <f>Demand!E15</f>
        <v>5927.3744477185592</v>
      </c>
      <c r="F203" s="46">
        <f>Demand!E17</f>
        <v>0</v>
      </c>
      <c r="G203">
        <f t="shared" si="1"/>
        <v>7126.1735901522607</v>
      </c>
      <c r="H203" s="46">
        <f t="shared" si="2"/>
        <v>0</v>
      </c>
      <c r="I203" s="118" t="s">
        <v>360</v>
      </c>
    </row>
    <row r="204" spans="2:9" ht="15" customHeight="1" x14ac:dyDescent="0.2">
      <c r="B204">
        <v>2022</v>
      </c>
      <c r="C204" s="46">
        <f>Demand!F13</f>
        <v>805.38432378370169</v>
      </c>
      <c r="D204" s="46">
        <f>Demand!F14</f>
        <v>418.62357806823337</v>
      </c>
      <c r="E204" s="46">
        <f>Demand!F15</f>
        <v>5987.7010800633643</v>
      </c>
      <c r="F204" s="46">
        <f>Demand!F17</f>
        <v>0</v>
      </c>
      <c r="G204">
        <f t="shared" si="1"/>
        <v>7211.7089819152989</v>
      </c>
      <c r="H204" s="46">
        <f t="shared" si="2"/>
        <v>0</v>
      </c>
      <c r="I204" s="118" t="s">
        <v>360</v>
      </c>
    </row>
    <row r="205" spans="2:9" ht="15" customHeight="1" x14ac:dyDescent="0.2">
      <c r="B205">
        <v>2023</v>
      </c>
      <c r="C205" s="46">
        <f>Demand!G13</f>
        <v>815.77742002060484</v>
      </c>
      <c r="D205" s="46">
        <f>Demand!G14</f>
        <v>433.70798901525569</v>
      </c>
      <c r="E205" s="46">
        <f>Demand!G15</f>
        <v>6046.6831343259983</v>
      </c>
      <c r="F205" s="46">
        <f>Demand!G17</f>
        <v>0</v>
      </c>
      <c r="G205">
        <f t="shared" si="1"/>
        <v>7296.1685433618586</v>
      </c>
      <c r="H205" s="46">
        <f t="shared" si="2"/>
        <v>0</v>
      </c>
      <c r="I205" s="118" t="s">
        <v>360</v>
      </c>
    </row>
    <row r="206" spans="2:9" ht="15" customHeight="1" x14ac:dyDescent="0.2">
      <c r="B206">
        <v>2024</v>
      </c>
      <c r="C206" s="46">
        <f>Demand!H13</f>
        <v>826.0464506870444</v>
      </c>
      <c r="D206" s="46">
        <f>Demand!H14</f>
        <v>449.19554435252496</v>
      </c>
      <c r="E206" s="46">
        <f>Demand!H15</f>
        <v>6104.3382628513064</v>
      </c>
      <c r="F206" s="46">
        <f>Demand!H17</f>
        <v>0</v>
      </c>
      <c r="G206">
        <f t="shared" si="1"/>
        <v>7379.5802578908751</v>
      </c>
      <c r="H206" s="46">
        <f t="shared" si="2"/>
        <v>0</v>
      </c>
      <c r="I206" s="118" t="s">
        <v>360</v>
      </c>
    </row>
    <row r="207" spans="2:9" ht="15" customHeight="1" x14ac:dyDescent="0.2">
      <c r="B207">
        <v>2025</v>
      </c>
      <c r="C207" s="46">
        <f>Demand!I13</f>
        <v>836.19239661131905</v>
      </c>
      <c r="D207" s="46">
        <f>Demand!I14</f>
        <v>465.09579503632892</v>
      </c>
      <c r="E207" s="46">
        <f>Demand!I15</f>
        <v>6160.6839215996133</v>
      </c>
      <c r="F207" s="46">
        <f>Demand!I17</f>
        <v>0</v>
      </c>
      <c r="G207">
        <f t="shared" si="1"/>
        <v>7461.9721132472614</v>
      </c>
      <c r="H207" s="46">
        <f t="shared" si="2"/>
        <v>0</v>
      </c>
      <c r="I207" s="118" t="s">
        <v>360</v>
      </c>
    </row>
    <row r="208" spans="2:9" ht="15" customHeight="1" x14ac:dyDescent="0.2">
      <c r="B208">
        <v>2026</v>
      </c>
      <c r="C208" s="46">
        <f>Demand!J13</f>
        <v>846.21623191508377</v>
      </c>
      <c r="D208" s="46">
        <f>Demand!J14</f>
        <v>481.41850392215304</v>
      </c>
      <c r="E208" s="46">
        <f>Demand!J15</f>
        <v>6215.737372159123</v>
      </c>
      <c r="F208" s="46">
        <f>Demand!J17</f>
        <v>0</v>
      </c>
      <c r="G208">
        <f t="shared" si="1"/>
        <v>7543.3721079963598</v>
      </c>
      <c r="H208" s="46">
        <f t="shared" si="2"/>
        <v>0</v>
      </c>
      <c r="I208" s="118" t="s">
        <v>360</v>
      </c>
    </row>
    <row r="209" spans="2:9" ht="15" customHeight="1" x14ac:dyDescent="0.2">
      <c r="B209">
        <v>2027</v>
      </c>
      <c r="C209" s="46">
        <f>Demand!K13</f>
        <v>856.11892405589538</v>
      </c>
      <c r="D209" s="46">
        <f>Demand!K14</f>
        <v>498.17365027540257</v>
      </c>
      <c r="E209" s="46">
        <f>Demand!K15</f>
        <v>6269.5156837386994</v>
      </c>
      <c r="F209" s="46">
        <f>Demand!K17</f>
        <v>54.75</v>
      </c>
      <c r="G209">
        <f t="shared" si="1"/>
        <v>7678.5582580699975</v>
      </c>
      <c r="H209" s="46">
        <f t="shared" si="2"/>
        <v>0</v>
      </c>
      <c r="I209" s="118" t="s">
        <v>360</v>
      </c>
    </row>
    <row r="210" spans="2:9" ht="15" customHeight="1" x14ac:dyDescent="0.2">
      <c r="B210">
        <v>2028</v>
      </c>
      <c r="C210" s="46">
        <f>Demand!L13</f>
        <v>865.90143386950137</v>
      </c>
      <c r="D210" s="46">
        <f>Demand!L14</f>
        <v>515.37143437544944</v>
      </c>
      <c r="E210" s="46">
        <f>Demand!L15</f>
        <v>6322.035735141184</v>
      </c>
      <c r="F210" s="46">
        <f>Demand!L17</f>
        <v>109.5</v>
      </c>
      <c r="G210">
        <f t="shared" si="1"/>
        <v>7812.8086033861346</v>
      </c>
      <c r="H210" s="46">
        <f t="shared" si="2"/>
        <v>0</v>
      </c>
      <c r="I210" s="118" t="s">
        <v>360</v>
      </c>
    </row>
    <row r="211" spans="2:9" ht="15" customHeight="1" x14ac:dyDescent="0.2">
      <c r="B211">
        <v>2029</v>
      </c>
      <c r="C211" s="46">
        <f>Demand!M13</f>
        <v>875.56471561186947</v>
      </c>
      <c r="D211" s="46">
        <f>Demand!M14</f>
        <v>533.02228221489327</v>
      </c>
      <c r="E211" s="46">
        <f>Demand!M15</f>
        <v>6373.3142167174701</v>
      </c>
      <c r="F211" s="46">
        <f>Demand!M17</f>
        <v>164.25</v>
      </c>
      <c r="G211">
        <f t="shared" si="1"/>
        <v>7946.151214544233</v>
      </c>
      <c r="H211" s="46">
        <f t="shared" si="2"/>
        <v>0</v>
      </c>
      <c r="I211" s="118" t="s">
        <v>360</v>
      </c>
    </row>
    <row r="212" spans="2:9" ht="15" customHeight="1" x14ac:dyDescent="0.2">
      <c r="B212">
        <v>2030</v>
      </c>
      <c r="C212" s="46">
        <f>Demand!N13</f>
        <v>885.10971700096752</v>
      </c>
      <c r="D212" s="46">
        <f>Demand!N14</f>
        <v>551.13685029596729</v>
      </c>
      <c r="E212" s="46">
        <f>Demand!N15</f>
        <v>6423.3676323014861</v>
      </c>
      <c r="F212" s="46">
        <f>Demand!N17</f>
        <v>219</v>
      </c>
      <c r="G212">
        <f t="shared" si="1"/>
        <v>8078.6141995984208</v>
      </c>
      <c r="H212" s="46">
        <f t="shared" si="2"/>
        <v>0</v>
      </c>
      <c r="I212" s="118" t="s">
        <v>360</v>
      </c>
    </row>
    <row r="213" spans="2:9" ht="15" customHeight="1" x14ac:dyDescent="0.2">
      <c r="B213">
        <v>2031</v>
      </c>
      <c r="C213" s="46">
        <f>Demand!O13</f>
        <v>894.53737925828398</v>
      </c>
      <c r="D213" s="46">
        <f>Demand!O14</f>
        <v>569.72603052605507</v>
      </c>
      <c r="E213" s="46">
        <f>Demand!O15</f>
        <v>6472.2123011262884</v>
      </c>
      <c r="F213" s="46">
        <f>Demand!O17</f>
        <v>273.75</v>
      </c>
      <c r="G213">
        <f t="shared" si="1"/>
        <v>8210.2257109106285</v>
      </c>
      <c r="H213" s="46">
        <f t="shared" si="2"/>
        <v>0</v>
      </c>
      <c r="I213" s="118" t="s">
        <v>360</v>
      </c>
    </row>
    <row r="214" spans="2:9" ht="15" customHeight="1" x14ac:dyDescent="0.2">
      <c r="B214">
        <v>2032</v>
      </c>
      <c r="C214" s="46">
        <f>Demand!P13</f>
        <v>903.84863715010238</v>
      </c>
      <c r="D214" s="46">
        <f>Demand!P14</f>
        <v>588.80095521432304</v>
      </c>
      <c r="E214" s="46">
        <f>Demand!P15</f>
        <v>6519.8643597214268</v>
      </c>
      <c r="F214" s="46">
        <f>Demand!P17</f>
        <v>328.5</v>
      </c>
      <c r="G214">
        <f t="shared" si="1"/>
        <v>8341.013952085852</v>
      </c>
      <c r="H214" s="46">
        <f t="shared" si="2"/>
        <v>0</v>
      </c>
      <c r="I214" s="118" t="s">
        <v>360</v>
      </c>
    </row>
    <row r="215" spans="2:9" ht="15" customHeight="1" x14ac:dyDescent="0.2">
      <c r="B215">
        <v>2033</v>
      </c>
      <c r="C215" s="46">
        <f>Demand!Q13</f>
        <v>913.04441902852136</v>
      </c>
      <c r="D215" s="46">
        <f>Demand!Q14</f>
        <v>608.3730021715196</v>
      </c>
      <c r="E215" s="46">
        <f>Demand!Q15</f>
        <v>6566.3397637917687</v>
      </c>
      <c r="F215" s="46">
        <f>Demand!Q17</f>
        <v>383.25</v>
      </c>
      <c r="G215">
        <f t="shared" si="1"/>
        <v>8471.0071849918095</v>
      </c>
      <c r="H215" s="46">
        <f t="shared" si="2"/>
        <v>0</v>
      </c>
      <c r="I215" s="118" t="s">
        <v>360</v>
      </c>
    </row>
    <row r="216" spans="2:9" ht="15" customHeight="1" x14ac:dyDescent="0.2">
      <c r="B216">
        <v>2034</v>
      </c>
      <c r="C216" s="46">
        <f>Demand!R13</f>
        <v>922.12564687222732</v>
      </c>
      <c r="D216" s="46">
        <f>Demand!R14</f>
        <v>628.45379991502341</v>
      </c>
      <c r="E216" s="46">
        <f>Demand!R15</f>
        <v>6611.654290077965</v>
      </c>
      <c r="F216" s="46">
        <f>Demand!R17</f>
        <v>438</v>
      </c>
      <c r="G216">
        <f t="shared" si="1"/>
        <v>8600.2337368652152</v>
      </c>
      <c r="H216" s="46">
        <f t="shared" si="2"/>
        <v>0</v>
      </c>
      <c r="I216" s="118" t="s">
        <v>360</v>
      </c>
    </row>
    <row r="217" spans="2:9" ht="15" customHeight="1" x14ac:dyDescent="0.2">
      <c r="B217">
        <v>2035</v>
      </c>
      <c r="C217" s="46">
        <f>Demand!S13</f>
        <v>931.09323632702035</v>
      </c>
      <c r="D217" s="46">
        <f>Demand!S14</f>
        <v>649.05523298127218</v>
      </c>
      <c r="E217" s="46">
        <f>Demand!S15</f>
        <v>6655.8235381986988</v>
      </c>
      <c r="F217" s="46">
        <f>Demand!S17</f>
        <v>492.75</v>
      </c>
      <c r="G217">
        <f t="shared" si="1"/>
        <v>8728.7220075069908</v>
      </c>
      <c r="H217" s="46">
        <f t="shared" si="2"/>
        <v>0</v>
      </c>
      <c r="I217" s="118" t="s">
        <v>360</v>
      </c>
    </row>
    <row r="218" spans="2:9" ht="15" customHeight="1" x14ac:dyDescent="0.2">
      <c r="B218">
        <v>2036</v>
      </c>
      <c r="C218" s="46">
        <f>Demand!T13</f>
        <v>939.9480967460936</v>
      </c>
      <c r="D218" s="46">
        <f>Demand!T14</f>
        <v>670.18944734774129</v>
      </c>
      <c r="E218" s="46">
        <f>Demand!T15</f>
        <v>6698.8629324749354</v>
      </c>
      <c r="F218" s="46">
        <f>Demand!T17</f>
        <v>547.5</v>
      </c>
      <c r="G218">
        <f t="shared" si="1"/>
        <v>8856.50047656877</v>
      </c>
      <c r="H218" s="46">
        <f t="shared" si="2"/>
        <v>0</v>
      </c>
      <c r="I218" s="118" t="s">
        <v>360</v>
      </c>
    </row>
    <row r="219" spans="2:9" ht="15" customHeight="1" x14ac:dyDescent="0.2">
      <c r="B219">
        <v>2037</v>
      </c>
      <c r="C219" s="46">
        <f>Demand!U13</f>
        <v>948.69113123006798</v>
      </c>
      <c r="D219" s="46">
        <f>Demand!U14</f>
        <v>691.86885596669049</v>
      </c>
      <c r="E219" s="46">
        <f>Demand!U15</f>
        <v>6740.7877237363109</v>
      </c>
      <c r="F219" s="46">
        <f>Demand!U17</f>
        <v>547.5</v>
      </c>
      <c r="G219">
        <f t="shared" si="1"/>
        <v>8928.8477109330688</v>
      </c>
      <c r="H219" s="46">
        <f t="shared" si="2"/>
        <v>0</v>
      </c>
      <c r="I219" s="118" t="s">
        <v>360</v>
      </c>
    </row>
    <row r="220" spans="2:9" ht="15" customHeight="1" x14ac:dyDescent="0.2">
      <c r="B220">
        <v>2038</v>
      </c>
      <c r="C220" s="46">
        <f>Demand!V13</f>
        <v>957.32323666678394</v>
      </c>
      <c r="D220" s="46">
        <f>Demand!V14</f>
        <v>714.10614441293103</v>
      </c>
      <c r="E220" s="46">
        <f>Demand!V15</f>
        <v>6781.6129911098215</v>
      </c>
      <c r="F220" s="46">
        <f>Demand!V17</f>
        <v>547.5</v>
      </c>
      <c r="G220">
        <f t="shared" si="1"/>
        <v>9000.5423721895368</v>
      </c>
      <c r="H220" s="46">
        <f t="shared" si="2"/>
        <v>0</v>
      </c>
      <c r="I220" s="118" t="s">
        <v>360</v>
      </c>
    </row>
    <row r="221" spans="2:9" ht="15" customHeight="1" x14ac:dyDescent="0.2">
      <c r="B221">
        <v>2039</v>
      </c>
      <c r="C221" s="46">
        <f>Demand!W13</f>
        <v>965.84530377085218</v>
      </c>
      <c r="D221" s="46">
        <f>Demand!W14</f>
        <v>736.91427664792297</v>
      </c>
      <c r="E221" s="46">
        <f>Demand!W15</f>
        <v>6821.353643791037</v>
      </c>
      <c r="F221" s="46">
        <f>Demand!W17</f>
        <v>547.5</v>
      </c>
      <c r="G221">
        <f t="shared" si="1"/>
        <v>9071.613224209812</v>
      </c>
      <c r="H221" s="46">
        <f t="shared" si="2"/>
        <v>0</v>
      </c>
      <c r="I221" s="118" t="s">
        <v>360</v>
      </c>
    </row>
    <row r="222" spans="2:9" ht="15" customHeight="1" x14ac:dyDescent="0.2">
      <c r="B222">
        <v>2040</v>
      </c>
      <c r="C222" s="46">
        <f>Demand!X13</f>
        <v>974.25821712296306</v>
      </c>
      <c r="D222" s="46">
        <f>Demand!X14</f>
        <v>760.30650090254744</v>
      </c>
      <c r="E222" s="46">
        <f>Demand!X15</f>
        <v>6860.0244227979247</v>
      </c>
      <c r="F222" s="46">
        <f>Demand!X17</f>
        <v>547.5</v>
      </c>
      <c r="G222">
        <f t="shared" si="1"/>
        <v>9142.0891408234347</v>
      </c>
      <c r="H222" s="46">
        <f t="shared" si="2"/>
        <v>0</v>
      </c>
      <c r="I222" s="118" t="s">
        <v>360</v>
      </c>
    </row>
    <row r="223" spans="2:9" ht="15" customHeight="1" x14ac:dyDescent="0.2">
      <c r="B223">
        <v>2041</v>
      </c>
      <c r="C223" s="46">
        <f>Demand!Y13</f>
        <v>982.56285520895824</v>
      </c>
      <c r="D223" s="46">
        <f>Demand!Y14</f>
        <v>784.29635568095091</v>
      </c>
      <c r="E223" s="46">
        <f>Demand!Y15</f>
        <v>6897.6399027074976</v>
      </c>
      <c r="F223" s="46">
        <f>Demand!Y17</f>
        <v>547.5</v>
      </c>
      <c r="G223">
        <f t="shared" si="1"/>
        <v>9211.9991135974069</v>
      </c>
      <c r="H223" s="46">
        <f t="shared" si="2"/>
        <v>0</v>
      </c>
      <c r="I223" s="118" t="s">
        <v>360</v>
      </c>
    </row>
    <row r="224" spans="2:9" ht="15" customHeight="1" x14ac:dyDescent="0.2">
      <c r="B224">
        <v>2042</v>
      </c>
      <c r="C224" s="46">
        <f>Demand!Z13</f>
        <v>990.76009045866579</v>
      </c>
      <c r="D224" s="46">
        <f>Demand!Z14</f>
        <v>808.89767588790824</v>
      </c>
      <c r="E224" s="46">
        <f>Demand!Z15</f>
        <v>6934.2144933754589</v>
      </c>
      <c r="F224" s="46">
        <f>Demand!Z17</f>
        <v>547.5</v>
      </c>
      <c r="G224">
        <f t="shared" si="1"/>
        <v>9281.372259722033</v>
      </c>
      <c r="H224" s="46">
        <f t="shared" si="2"/>
        <v>0</v>
      </c>
      <c r="I224" s="118" t="s">
        <v>360</v>
      </c>
    </row>
    <row r="225" spans="2:9" ht="15" customHeight="1" x14ac:dyDescent="0.2">
      <c r="B225">
        <v>2043</v>
      </c>
      <c r="C225" s="46">
        <f>Demand!AA13</f>
        <v>998.8507892844957</v>
      </c>
      <c r="D225" s="46">
        <f>Demand!AA14</f>
        <v>834.12459908219046</v>
      </c>
      <c r="E225" s="46">
        <f>Demand!AA15</f>
        <v>6969.7624416389599</v>
      </c>
      <c r="F225" s="46">
        <f>Demand!AA17</f>
        <v>547.5</v>
      </c>
      <c r="G225">
        <f t="shared" si="1"/>
        <v>9350.2378300056462</v>
      </c>
      <c r="H225" s="46">
        <f t="shared" si="2"/>
        <v>0</v>
      </c>
      <c r="I225" s="118" t="s">
        <v>360</v>
      </c>
    </row>
    <row r="226" spans="2:9" ht="15" customHeight="1" x14ac:dyDescent="0.2">
      <c r="B226">
        <v>2044</v>
      </c>
      <c r="C226" s="46">
        <f>Demand!AB13</f>
        <v>1006.8358121198061</v>
      </c>
      <c r="D226" s="46">
        <f>Demand!AB14</f>
        <v>859.99157185848537</v>
      </c>
      <c r="E226" s="46">
        <f>Demand!AB15</f>
        <v>7004.2978330026699</v>
      </c>
      <c r="F226" s="46">
        <f>Demand!AB17</f>
        <v>547.5</v>
      </c>
      <c r="G226">
        <f t="shared" si="1"/>
        <v>9418.6252169809613</v>
      </c>
      <c r="H226" s="46">
        <f t="shared" si="2"/>
        <v>0</v>
      </c>
      <c r="I226" s="118" t="s">
        <v>360</v>
      </c>
    </row>
    <row r="227" spans="2:9" ht="15" customHeight="1" x14ac:dyDescent="0.2">
      <c r="B227">
        <v>2045</v>
      </c>
      <c r="C227" s="46">
        <f>Demand!AC13</f>
        <v>1014.7160134570314</v>
      </c>
      <c r="D227" s="46">
        <f>Demand!AC14</f>
        <v>886.51335636045974</v>
      </c>
      <c r="E227" s="46">
        <f>Demand!AC15</f>
        <v>7037.8345933082928</v>
      </c>
      <c r="F227" s="46">
        <f>Demand!AC17</f>
        <v>547.5</v>
      </c>
      <c r="G227">
        <f t="shared" si="1"/>
        <v>9486.5639631257836</v>
      </c>
      <c r="H227" s="46">
        <f t="shared" si="2"/>
        <v>0</v>
      </c>
      <c r="I227" s="118" t="s">
        <v>360</v>
      </c>
    </row>
    <row r="228" spans="2:9" ht="15" customHeight="1" x14ac:dyDescent="0.2">
      <c r="B228">
        <v>2046</v>
      </c>
      <c r="C228" s="46">
        <f>Demand!AD13</f>
        <v>1022.4922418855811</v>
      </c>
      <c r="D228" s="46">
        <f>Demand!AD14</f>
        <v>913.7050369276069</v>
      </c>
      <c r="E228" s="46">
        <f>Demand!AD15</f>
        <v>7070.3864903877156</v>
      </c>
      <c r="F228" s="46">
        <f>Demand!AD17</f>
        <v>547.5</v>
      </c>
      <c r="G228">
        <f t="shared" si="1"/>
        <v>9554.0837692009045</v>
      </c>
      <c r="H228" s="46">
        <f t="shared" si="2"/>
        <v>0</v>
      </c>
      <c r="I228" s="118" t="s">
        <v>360</v>
      </c>
    </row>
    <row r="229" spans="2:9" ht="15" customHeight="1" x14ac:dyDescent="0.2">
      <c r="B229">
        <v>2047</v>
      </c>
      <c r="C229" s="46">
        <f>Demand!AE13</f>
        <v>1030.1653401295089</v>
      </c>
      <c r="D229" s="46">
        <f>Demand!AE14</f>
        <v>941.58202687857829</v>
      </c>
      <c r="E229" s="46">
        <f>Demand!AE15</f>
        <v>7101.9671356998942</v>
      </c>
      <c r="F229" s="46">
        <f>Demand!AE17</f>
        <v>547.5</v>
      </c>
      <c r="G229">
        <f t="shared" si="1"/>
        <v>9621.2145027079823</v>
      </c>
      <c r="H229" s="46">
        <f t="shared" si="2"/>
        <v>0</v>
      </c>
      <c r="I229" s="118" t="s">
        <v>360</v>
      </c>
    </row>
    <row r="230" spans="2:9" ht="15" customHeight="1" x14ac:dyDescent="0.2">
      <c r="B230">
        <v>2048</v>
      </c>
      <c r="C230" s="46">
        <f>Demand!AF13</f>
        <v>1037.7361450849505</v>
      </c>
      <c r="D230" s="46">
        <f>Demand!AF14</f>
        <v>970.16007543374485</v>
      </c>
      <c r="E230" s="46">
        <f>Demand!AF15</f>
        <v>7132.5899859516949</v>
      </c>
      <c r="F230" s="46">
        <f>Demand!AF17</f>
        <v>547.5</v>
      </c>
      <c r="G230">
        <f t="shared" si="1"/>
        <v>9687.9862064703902</v>
      </c>
      <c r="H230" s="46">
        <f t="shared" si="2"/>
        <v>0</v>
      </c>
      <c r="I230" s="118" t="s">
        <v>360</v>
      </c>
    </row>
    <row r="231" spans="2:9" ht="15" customHeight="1" x14ac:dyDescent="0.2">
      <c r="B231">
        <v>2049</v>
      </c>
      <c r="C231" s="46">
        <f>Demand!AG13</f>
        <v>1045.2054878573344</v>
      </c>
      <c r="D231" s="46">
        <f>Demand!AG14</f>
        <v>999.45527477979738</v>
      </c>
      <c r="E231" s="46">
        <f>Demand!AG15</f>
        <v>7162.268344702783</v>
      </c>
      <c r="F231" s="46">
        <f>Demand!AG17</f>
        <v>547.5</v>
      </c>
      <c r="G231">
        <f t="shared" si="1"/>
        <v>9754.4291073399145</v>
      </c>
      <c r="H231" s="46">
        <f t="shared" si="2"/>
        <v>0</v>
      </c>
      <c r="I231" s="118" t="s">
        <v>360</v>
      </c>
    </row>
    <row r="232" spans="2:9" ht="15" customHeight="1" x14ac:dyDescent="0.2">
      <c r="B232">
        <v>2050</v>
      </c>
      <c r="C232" s="46">
        <f>Demand!AH13</f>
        <v>1052.5741937983671</v>
      </c>
      <c r="D232" s="46">
        <f>Demand!AH14</f>
        <v>1029.4840672792445</v>
      </c>
      <c r="E232" s="46">
        <f>Demand!AH15</f>
        <v>7191.0153639547507</v>
      </c>
      <c r="F232" s="46">
        <f>Demand!AH17</f>
        <v>547.5</v>
      </c>
      <c r="G232">
        <f t="shared" si="1"/>
        <v>9820.5736250323625</v>
      </c>
      <c r="H232" s="46">
        <f t="shared" si="2"/>
        <v>0</v>
      </c>
      <c r="I232" s="118" t="s">
        <v>360</v>
      </c>
    </row>
    <row r="233" spans="2:9" ht="15" customHeight="1" x14ac:dyDescent="0.2">
      <c r="B233">
        <v>2020</v>
      </c>
      <c r="C233" s="46">
        <f t="shared" ref="C233:E263" si="3">+C202</f>
        <v>784.22197749500003</v>
      </c>
      <c r="D233" s="46">
        <f t="shared" si="3"/>
        <v>389.62701858989999</v>
      </c>
      <c r="E233" s="46">
        <f t="shared" si="3"/>
        <v>5865.68538653</v>
      </c>
      <c r="F233">
        <v>0</v>
      </c>
      <c r="G233">
        <f t="shared" si="1"/>
        <v>7039.5343826149001</v>
      </c>
      <c r="H233" s="46">
        <f t="shared" si="2"/>
        <v>0</v>
      </c>
      <c r="I233" s="118" t="s">
        <v>359</v>
      </c>
    </row>
    <row r="234" spans="2:9" ht="15" customHeight="1" x14ac:dyDescent="0.2">
      <c r="B234">
        <v>2021</v>
      </c>
      <c r="C234" s="46">
        <f t="shared" si="3"/>
        <v>794.86617439858742</v>
      </c>
      <c r="D234" s="46">
        <f t="shared" si="3"/>
        <v>403.93296803511453</v>
      </c>
      <c r="E234" s="46">
        <f t="shared" si="3"/>
        <v>5927.3744477185592</v>
      </c>
      <c r="F234">
        <v>0</v>
      </c>
      <c r="G234">
        <f t="shared" ref="G234:G265" si="4">+SUM(C234:F234)</f>
        <v>7126.1735901522607</v>
      </c>
      <c r="H234" s="46">
        <f t="shared" ref="H234:H265" si="5">+G234-SUM(C154:G154)</f>
        <v>0</v>
      </c>
      <c r="I234" s="118" t="s">
        <v>359</v>
      </c>
    </row>
    <row r="235" spans="2:9" ht="15" customHeight="1" x14ac:dyDescent="0.2">
      <c r="B235">
        <v>2022</v>
      </c>
      <c r="C235" s="46">
        <f t="shared" si="3"/>
        <v>805.38432378370169</v>
      </c>
      <c r="D235" s="46">
        <f t="shared" si="3"/>
        <v>418.62357806823337</v>
      </c>
      <c r="E235" s="46">
        <f t="shared" si="3"/>
        <v>5987.7010800633643</v>
      </c>
      <c r="F235">
        <v>0</v>
      </c>
      <c r="G235">
        <f t="shared" si="4"/>
        <v>7211.7089819152989</v>
      </c>
      <c r="H235" s="46">
        <f t="shared" si="5"/>
        <v>0</v>
      </c>
      <c r="I235" s="118" t="s">
        <v>359</v>
      </c>
    </row>
    <row r="236" spans="2:9" ht="15" customHeight="1" x14ac:dyDescent="0.2">
      <c r="B236">
        <v>2023</v>
      </c>
      <c r="C236" s="46">
        <f t="shared" si="3"/>
        <v>815.77742002060484</v>
      </c>
      <c r="D236" s="46">
        <f t="shared" si="3"/>
        <v>433.70798901525569</v>
      </c>
      <c r="E236" s="46">
        <f t="shared" si="3"/>
        <v>6046.6831343259983</v>
      </c>
      <c r="F236">
        <v>0</v>
      </c>
      <c r="G236">
        <f t="shared" si="4"/>
        <v>7296.1685433618586</v>
      </c>
      <c r="H236" s="46">
        <f t="shared" si="5"/>
        <v>0</v>
      </c>
      <c r="I236" s="118" t="s">
        <v>359</v>
      </c>
    </row>
    <row r="237" spans="2:9" ht="15" customHeight="1" x14ac:dyDescent="0.2">
      <c r="B237">
        <v>2024</v>
      </c>
      <c r="C237" s="46">
        <f t="shared" si="3"/>
        <v>826.0464506870444</v>
      </c>
      <c r="D237" s="46">
        <f t="shared" si="3"/>
        <v>449.19554435252496</v>
      </c>
      <c r="E237" s="46">
        <f t="shared" si="3"/>
        <v>6104.3382628513064</v>
      </c>
      <c r="F237">
        <v>0</v>
      </c>
      <c r="G237">
        <f t="shared" si="4"/>
        <v>7379.5802578908751</v>
      </c>
      <c r="H237" s="46">
        <f t="shared" si="5"/>
        <v>0</v>
      </c>
      <c r="I237" s="118" t="s">
        <v>359</v>
      </c>
    </row>
    <row r="238" spans="2:9" ht="15" customHeight="1" x14ac:dyDescent="0.2">
      <c r="B238">
        <v>2025</v>
      </c>
      <c r="C238" s="46">
        <f t="shared" si="3"/>
        <v>836.19239661131905</v>
      </c>
      <c r="D238" s="46">
        <f t="shared" si="3"/>
        <v>465.09579503632892</v>
      </c>
      <c r="E238" s="46">
        <f t="shared" si="3"/>
        <v>6160.6839215996133</v>
      </c>
      <c r="F238">
        <v>0</v>
      </c>
      <c r="G238">
        <f t="shared" si="4"/>
        <v>7461.9721132472614</v>
      </c>
      <c r="H238" s="46">
        <f t="shared" si="5"/>
        <v>0</v>
      </c>
      <c r="I238" s="118" t="s">
        <v>359</v>
      </c>
    </row>
    <row r="239" spans="2:9" ht="15" customHeight="1" x14ac:dyDescent="0.2">
      <c r="B239">
        <v>2026</v>
      </c>
      <c r="C239" s="46">
        <f t="shared" si="3"/>
        <v>846.21623191508377</v>
      </c>
      <c r="D239" s="46">
        <f t="shared" si="3"/>
        <v>481.41850392215304</v>
      </c>
      <c r="E239" s="46">
        <f t="shared" si="3"/>
        <v>6215.737372159123</v>
      </c>
      <c r="F239">
        <v>0</v>
      </c>
      <c r="G239">
        <f t="shared" si="4"/>
        <v>7543.3721079963598</v>
      </c>
      <c r="H239" s="46">
        <f t="shared" si="5"/>
        <v>0</v>
      </c>
      <c r="I239" s="118" t="s">
        <v>359</v>
      </c>
    </row>
    <row r="240" spans="2:9" ht="15" customHeight="1" x14ac:dyDescent="0.2">
      <c r="B240">
        <v>2027</v>
      </c>
      <c r="C240" s="46">
        <f t="shared" si="3"/>
        <v>856.11892405589538</v>
      </c>
      <c r="D240" s="46">
        <f t="shared" si="3"/>
        <v>498.17365027540257</v>
      </c>
      <c r="E240" s="46">
        <f t="shared" si="3"/>
        <v>6269.5156837386994</v>
      </c>
      <c r="F240">
        <v>0</v>
      </c>
      <c r="G240">
        <f t="shared" si="4"/>
        <v>7623.8082580699975</v>
      </c>
      <c r="H240" s="46">
        <f t="shared" si="5"/>
        <v>0</v>
      </c>
      <c r="I240" s="118" t="s">
        <v>359</v>
      </c>
    </row>
    <row r="241" spans="2:9" ht="15" customHeight="1" x14ac:dyDescent="0.2">
      <c r="B241">
        <v>2028</v>
      </c>
      <c r="C241" s="46">
        <f t="shared" si="3"/>
        <v>865.90143386950137</v>
      </c>
      <c r="D241" s="46">
        <f t="shared" si="3"/>
        <v>515.37143437544944</v>
      </c>
      <c r="E241" s="46">
        <f t="shared" si="3"/>
        <v>6322.035735141184</v>
      </c>
      <c r="F241">
        <v>0</v>
      </c>
      <c r="G241">
        <f t="shared" si="4"/>
        <v>7703.3086033861346</v>
      </c>
      <c r="H241" s="46">
        <f t="shared" si="5"/>
        <v>0</v>
      </c>
      <c r="I241" s="118" t="s">
        <v>359</v>
      </c>
    </row>
    <row r="242" spans="2:9" ht="15" customHeight="1" x14ac:dyDescent="0.2">
      <c r="B242">
        <v>2029</v>
      </c>
      <c r="C242" s="46">
        <f t="shared" si="3"/>
        <v>875.56471561186947</v>
      </c>
      <c r="D242" s="46">
        <f t="shared" si="3"/>
        <v>533.02228221489327</v>
      </c>
      <c r="E242" s="46">
        <f t="shared" si="3"/>
        <v>6373.3142167174701</v>
      </c>
      <c r="F242">
        <v>0</v>
      </c>
      <c r="G242">
        <f t="shared" si="4"/>
        <v>7781.901214544233</v>
      </c>
      <c r="H242" s="46">
        <f t="shared" si="5"/>
        <v>0</v>
      </c>
      <c r="I242" s="118" t="s">
        <v>359</v>
      </c>
    </row>
    <row r="243" spans="2:9" ht="15" customHeight="1" x14ac:dyDescent="0.2">
      <c r="B243">
        <v>2030</v>
      </c>
      <c r="C243" s="46">
        <f t="shared" si="3"/>
        <v>885.10971700096752</v>
      </c>
      <c r="D243" s="46">
        <f t="shared" si="3"/>
        <v>551.13685029596729</v>
      </c>
      <c r="E243" s="46">
        <f t="shared" si="3"/>
        <v>6423.3676323014861</v>
      </c>
      <c r="F243">
        <v>0</v>
      </c>
      <c r="G243">
        <f t="shared" si="4"/>
        <v>7859.6141995984208</v>
      </c>
      <c r="H243" s="46">
        <f t="shared" si="5"/>
        <v>0</v>
      </c>
      <c r="I243" s="118" t="s">
        <v>359</v>
      </c>
    </row>
    <row r="244" spans="2:9" ht="15" customHeight="1" x14ac:dyDescent="0.2">
      <c r="B244">
        <v>2031</v>
      </c>
      <c r="C244" s="46">
        <f t="shared" si="3"/>
        <v>894.53737925828398</v>
      </c>
      <c r="D244" s="46">
        <f t="shared" si="3"/>
        <v>569.72603052605507</v>
      </c>
      <c r="E244" s="46">
        <f t="shared" si="3"/>
        <v>6472.2123011262884</v>
      </c>
      <c r="F244">
        <v>0</v>
      </c>
      <c r="G244">
        <f t="shared" si="4"/>
        <v>7936.4757109106276</v>
      </c>
      <c r="H244" s="46">
        <f t="shared" si="5"/>
        <v>0</v>
      </c>
      <c r="I244" s="118" t="s">
        <v>359</v>
      </c>
    </row>
    <row r="245" spans="2:9" ht="15" customHeight="1" x14ac:dyDescent="0.2">
      <c r="B245">
        <v>2032</v>
      </c>
      <c r="C245" s="46">
        <f t="shared" si="3"/>
        <v>903.84863715010238</v>
      </c>
      <c r="D245" s="46">
        <f t="shared" si="3"/>
        <v>588.80095521432304</v>
      </c>
      <c r="E245" s="46">
        <f t="shared" si="3"/>
        <v>6519.8643597214268</v>
      </c>
      <c r="F245">
        <v>0</v>
      </c>
      <c r="G245">
        <f t="shared" si="4"/>
        <v>8012.513952085852</v>
      </c>
      <c r="H245" s="46">
        <f t="shared" si="5"/>
        <v>0</v>
      </c>
      <c r="I245" s="118" t="s">
        <v>359</v>
      </c>
    </row>
    <row r="246" spans="2:9" ht="15" customHeight="1" x14ac:dyDescent="0.2">
      <c r="B246">
        <v>2033</v>
      </c>
      <c r="C246" s="46">
        <f t="shared" si="3"/>
        <v>913.04441902852136</v>
      </c>
      <c r="D246" s="46">
        <f t="shared" si="3"/>
        <v>608.3730021715196</v>
      </c>
      <c r="E246" s="46">
        <f t="shared" si="3"/>
        <v>6566.3397637917687</v>
      </c>
      <c r="F246">
        <v>0</v>
      </c>
      <c r="G246">
        <f t="shared" si="4"/>
        <v>8087.7571849918095</v>
      </c>
      <c r="H246" s="46">
        <f t="shared" si="5"/>
        <v>0</v>
      </c>
      <c r="I246" s="118" t="s">
        <v>359</v>
      </c>
    </row>
    <row r="247" spans="2:9" ht="15" customHeight="1" x14ac:dyDescent="0.2">
      <c r="B247">
        <v>2034</v>
      </c>
      <c r="C247" s="46">
        <f t="shared" si="3"/>
        <v>922.12564687222732</v>
      </c>
      <c r="D247" s="46">
        <f t="shared" si="3"/>
        <v>628.45379991502341</v>
      </c>
      <c r="E247" s="46">
        <f t="shared" si="3"/>
        <v>6611.654290077965</v>
      </c>
      <c r="F247">
        <v>0</v>
      </c>
      <c r="G247">
        <f t="shared" si="4"/>
        <v>8162.2337368652152</v>
      </c>
      <c r="H247" s="46">
        <f t="shared" si="5"/>
        <v>0</v>
      </c>
      <c r="I247" s="118" t="s">
        <v>359</v>
      </c>
    </row>
    <row r="248" spans="2:9" ht="15" customHeight="1" x14ac:dyDescent="0.2">
      <c r="B248">
        <v>2035</v>
      </c>
      <c r="C248" s="46">
        <f t="shared" si="3"/>
        <v>931.09323632702035</v>
      </c>
      <c r="D248" s="46">
        <f t="shared" si="3"/>
        <v>649.05523298127218</v>
      </c>
      <c r="E248" s="46">
        <f t="shared" si="3"/>
        <v>6655.8235381986988</v>
      </c>
      <c r="F248">
        <v>0</v>
      </c>
      <c r="G248">
        <f t="shared" si="4"/>
        <v>8235.9720075069908</v>
      </c>
      <c r="H248" s="46">
        <f t="shared" si="5"/>
        <v>0</v>
      </c>
      <c r="I248" s="118" t="s">
        <v>359</v>
      </c>
    </row>
    <row r="249" spans="2:9" ht="15" customHeight="1" x14ac:dyDescent="0.2">
      <c r="B249">
        <v>2036</v>
      </c>
      <c r="C249" s="46">
        <f t="shared" si="3"/>
        <v>939.9480967460936</v>
      </c>
      <c r="D249" s="46">
        <f t="shared" si="3"/>
        <v>670.18944734774129</v>
      </c>
      <c r="E249" s="46">
        <f t="shared" si="3"/>
        <v>6698.8629324749354</v>
      </c>
      <c r="F249">
        <v>0</v>
      </c>
      <c r="G249">
        <f t="shared" si="4"/>
        <v>8309.00047656877</v>
      </c>
      <c r="H249" s="46">
        <f t="shared" si="5"/>
        <v>0</v>
      </c>
      <c r="I249" s="118" t="s">
        <v>359</v>
      </c>
    </row>
    <row r="250" spans="2:9" ht="15" customHeight="1" x14ac:dyDescent="0.2">
      <c r="B250">
        <v>2037</v>
      </c>
      <c r="C250" s="46">
        <f t="shared" si="3"/>
        <v>948.69113123006798</v>
      </c>
      <c r="D250" s="46">
        <f t="shared" si="3"/>
        <v>691.86885596669049</v>
      </c>
      <c r="E250" s="46">
        <f t="shared" si="3"/>
        <v>6740.7877237363109</v>
      </c>
      <c r="F250">
        <v>0</v>
      </c>
      <c r="G250">
        <f t="shared" si="4"/>
        <v>8381.3477109330688</v>
      </c>
      <c r="H250" s="46">
        <f t="shared" si="5"/>
        <v>0</v>
      </c>
      <c r="I250" s="118" t="s">
        <v>359</v>
      </c>
    </row>
    <row r="251" spans="2:9" ht="15" customHeight="1" x14ac:dyDescent="0.2">
      <c r="B251">
        <v>2038</v>
      </c>
      <c r="C251" s="46">
        <f t="shared" si="3"/>
        <v>957.32323666678394</v>
      </c>
      <c r="D251" s="46">
        <f t="shared" si="3"/>
        <v>714.10614441293103</v>
      </c>
      <c r="E251" s="46">
        <f t="shared" si="3"/>
        <v>6781.6129911098215</v>
      </c>
      <c r="F251">
        <v>0</v>
      </c>
      <c r="G251">
        <f t="shared" si="4"/>
        <v>8453.0423721895368</v>
      </c>
      <c r="H251" s="46">
        <f t="shared" si="5"/>
        <v>0</v>
      </c>
      <c r="I251" s="118" t="s">
        <v>359</v>
      </c>
    </row>
    <row r="252" spans="2:9" ht="15" customHeight="1" x14ac:dyDescent="0.2">
      <c r="B252">
        <v>2039</v>
      </c>
      <c r="C252" s="46">
        <f t="shared" si="3"/>
        <v>965.84530377085218</v>
      </c>
      <c r="D252" s="46">
        <f t="shared" si="3"/>
        <v>736.91427664792297</v>
      </c>
      <c r="E252" s="46">
        <f t="shared" si="3"/>
        <v>6821.353643791037</v>
      </c>
      <c r="F252">
        <v>0</v>
      </c>
      <c r="G252">
        <f t="shared" si="4"/>
        <v>8524.113224209812</v>
      </c>
      <c r="H252" s="46">
        <f t="shared" si="5"/>
        <v>0</v>
      </c>
      <c r="I252" s="118" t="s">
        <v>359</v>
      </c>
    </row>
    <row r="253" spans="2:9" ht="15" customHeight="1" x14ac:dyDescent="0.2">
      <c r="B253">
        <v>2040</v>
      </c>
      <c r="C253" s="46">
        <f t="shared" si="3"/>
        <v>974.25821712296306</v>
      </c>
      <c r="D253" s="46">
        <f t="shared" si="3"/>
        <v>760.30650090254744</v>
      </c>
      <c r="E253" s="46">
        <f t="shared" si="3"/>
        <v>6860.0244227979247</v>
      </c>
      <c r="F253">
        <v>0</v>
      </c>
      <c r="G253">
        <f t="shared" si="4"/>
        <v>8594.5891408234347</v>
      </c>
      <c r="H253" s="46">
        <f t="shared" si="5"/>
        <v>0</v>
      </c>
      <c r="I253" s="118" t="s">
        <v>359</v>
      </c>
    </row>
    <row r="254" spans="2:9" ht="15" customHeight="1" x14ac:dyDescent="0.2">
      <c r="B254">
        <v>2041</v>
      </c>
      <c r="C254" s="46">
        <f t="shared" si="3"/>
        <v>982.56285520895824</v>
      </c>
      <c r="D254" s="46">
        <f t="shared" si="3"/>
        <v>784.29635568095091</v>
      </c>
      <c r="E254" s="46">
        <f t="shared" si="3"/>
        <v>6897.6399027074976</v>
      </c>
      <c r="F254">
        <v>0</v>
      </c>
      <c r="G254">
        <f t="shared" si="4"/>
        <v>8664.4991135974069</v>
      </c>
      <c r="H254" s="46">
        <f t="shared" si="5"/>
        <v>0</v>
      </c>
      <c r="I254" s="118" t="s">
        <v>359</v>
      </c>
    </row>
    <row r="255" spans="2:9" ht="15" customHeight="1" x14ac:dyDescent="0.2">
      <c r="B255">
        <v>2042</v>
      </c>
      <c r="C255" s="46">
        <f t="shared" si="3"/>
        <v>990.76009045866579</v>
      </c>
      <c r="D255" s="46">
        <f t="shared" si="3"/>
        <v>808.89767588790824</v>
      </c>
      <c r="E255" s="46">
        <f t="shared" si="3"/>
        <v>6934.2144933754589</v>
      </c>
      <c r="F255">
        <v>0</v>
      </c>
      <c r="G255">
        <f t="shared" si="4"/>
        <v>8733.872259722033</v>
      </c>
      <c r="H255" s="46">
        <f t="shared" si="5"/>
        <v>0</v>
      </c>
      <c r="I255" s="118" t="s">
        <v>359</v>
      </c>
    </row>
    <row r="256" spans="2:9" ht="15" customHeight="1" x14ac:dyDescent="0.2">
      <c r="B256">
        <v>2043</v>
      </c>
      <c r="C256" s="46">
        <f t="shared" si="3"/>
        <v>998.8507892844957</v>
      </c>
      <c r="D256" s="46">
        <f t="shared" si="3"/>
        <v>834.12459908219046</v>
      </c>
      <c r="E256" s="46">
        <f t="shared" si="3"/>
        <v>6969.7624416389599</v>
      </c>
      <c r="F256">
        <v>0</v>
      </c>
      <c r="G256">
        <f t="shared" si="4"/>
        <v>8802.7378300056462</v>
      </c>
      <c r="H256" s="46">
        <f t="shared" si="5"/>
        <v>0</v>
      </c>
      <c r="I256" s="118" t="s">
        <v>359</v>
      </c>
    </row>
    <row r="257" spans="1:9" ht="15" customHeight="1" x14ac:dyDescent="0.2">
      <c r="B257">
        <v>2044</v>
      </c>
      <c r="C257" s="46">
        <f t="shared" si="3"/>
        <v>1006.8358121198061</v>
      </c>
      <c r="D257" s="46">
        <f t="shared" si="3"/>
        <v>859.99157185848537</v>
      </c>
      <c r="E257" s="46">
        <f t="shared" si="3"/>
        <v>7004.2978330026699</v>
      </c>
      <c r="F257">
        <v>0</v>
      </c>
      <c r="G257">
        <f t="shared" si="4"/>
        <v>8871.1252169809613</v>
      </c>
      <c r="H257" s="46">
        <f t="shared" si="5"/>
        <v>0</v>
      </c>
      <c r="I257" s="118" t="s">
        <v>359</v>
      </c>
    </row>
    <row r="258" spans="1:9" ht="15" customHeight="1" x14ac:dyDescent="0.2">
      <c r="B258">
        <v>2045</v>
      </c>
      <c r="C258" s="46">
        <f t="shared" si="3"/>
        <v>1014.7160134570314</v>
      </c>
      <c r="D258" s="46">
        <f t="shared" si="3"/>
        <v>886.51335636045974</v>
      </c>
      <c r="E258" s="46">
        <f t="shared" si="3"/>
        <v>7037.8345933082928</v>
      </c>
      <c r="F258">
        <v>0</v>
      </c>
      <c r="G258">
        <f t="shared" si="4"/>
        <v>8939.0639631257836</v>
      </c>
      <c r="H258" s="46">
        <f t="shared" si="5"/>
        <v>0</v>
      </c>
      <c r="I258" s="118" t="s">
        <v>359</v>
      </c>
    </row>
    <row r="259" spans="1:9" ht="15" customHeight="1" x14ac:dyDescent="0.2">
      <c r="B259">
        <v>2046</v>
      </c>
      <c r="C259" s="46">
        <f t="shared" si="3"/>
        <v>1022.4922418855811</v>
      </c>
      <c r="D259" s="46">
        <f t="shared" si="3"/>
        <v>913.7050369276069</v>
      </c>
      <c r="E259" s="46">
        <f t="shared" si="3"/>
        <v>7070.3864903877156</v>
      </c>
      <c r="F259">
        <v>0</v>
      </c>
      <c r="G259">
        <f t="shared" si="4"/>
        <v>9006.5837692009045</v>
      </c>
      <c r="H259" s="46">
        <f t="shared" si="5"/>
        <v>0</v>
      </c>
      <c r="I259" s="118" t="s">
        <v>359</v>
      </c>
    </row>
    <row r="260" spans="1:9" ht="15" customHeight="1" x14ac:dyDescent="0.2">
      <c r="B260">
        <v>2047</v>
      </c>
      <c r="C260" s="46">
        <f t="shared" si="3"/>
        <v>1030.1653401295089</v>
      </c>
      <c r="D260" s="46">
        <f t="shared" si="3"/>
        <v>941.58202687857829</v>
      </c>
      <c r="E260" s="46">
        <f t="shared" si="3"/>
        <v>7101.9671356998942</v>
      </c>
      <c r="F260">
        <v>0</v>
      </c>
      <c r="G260">
        <f t="shared" si="4"/>
        <v>9073.7145027079823</v>
      </c>
      <c r="H260" s="46">
        <f t="shared" si="5"/>
        <v>0</v>
      </c>
      <c r="I260" s="118" t="s">
        <v>359</v>
      </c>
    </row>
    <row r="261" spans="1:9" ht="15" customHeight="1" x14ac:dyDescent="0.2">
      <c r="B261">
        <v>2048</v>
      </c>
      <c r="C261" s="46">
        <f t="shared" si="3"/>
        <v>1037.7361450849505</v>
      </c>
      <c r="D261" s="46">
        <f t="shared" si="3"/>
        <v>970.16007543374485</v>
      </c>
      <c r="E261" s="46">
        <f t="shared" si="3"/>
        <v>7132.5899859516949</v>
      </c>
      <c r="F261">
        <v>0</v>
      </c>
      <c r="G261">
        <f t="shared" si="4"/>
        <v>9140.4862064703902</v>
      </c>
      <c r="H261" s="46">
        <f t="shared" si="5"/>
        <v>0</v>
      </c>
      <c r="I261" s="118" t="s">
        <v>359</v>
      </c>
    </row>
    <row r="262" spans="1:9" ht="15" customHeight="1" x14ac:dyDescent="0.2">
      <c r="B262">
        <v>2049</v>
      </c>
      <c r="C262" s="46">
        <f t="shared" si="3"/>
        <v>1045.2054878573344</v>
      </c>
      <c r="D262" s="46">
        <f t="shared" si="3"/>
        <v>999.45527477979738</v>
      </c>
      <c r="E262" s="46">
        <f t="shared" si="3"/>
        <v>7162.268344702783</v>
      </c>
      <c r="F262">
        <v>0</v>
      </c>
      <c r="G262">
        <f t="shared" si="4"/>
        <v>9206.9291073399145</v>
      </c>
      <c r="H262" s="46">
        <f t="shared" si="5"/>
        <v>0</v>
      </c>
      <c r="I262" s="118" t="s">
        <v>359</v>
      </c>
    </row>
    <row r="263" spans="1:9" ht="15" customHeight="1" x14ac:dyDescent="0.2">
      <c r="B263">
        <v>2050</v>
      </c>
      <c r="C263" s="46">
        <f t="shared" si="3"/>
        <v>1052.5741937983671</v>
      </c>
      <c r="D263" s="46">
        <f t="shared" si="3"/>
        <v>1029.4840672792445</v>
      </c>
      <c r="E263" s="46">
        <f t="shared" si="3"/>
        <v>7191.0153639547507</v>
      </c>
      <c r="F263">
        <v>0</v>
      </c>
      <c r="G263">
        <f t="shared" si="4"/>
        <v>9273.0736250323625</v>
      </c>
      <c r="H263" s="46">
        <f t="shared" si="5"/>
        <v>0</v>
      </c>
      <c r="I263" s="118" t="s">
        <v>359</v>
      </c>
    </row>
    <row r="270" spans="1:9" ht="15.75" customHeight="1" x14ac:dyDescent="0.2">
      <c r="A270" s="119" t="s">
        <v>505</v>
      </c>
    </row>
    <row r="271" spans="1:9" ht="15" customHeight="1" x14ac:dyDescent="0.2">
      <c r="A271" s="29" t="s">
        <v>452</v>
      </c>
      <c r="B271" s="29" t="s">
        <v>453</v>
      </c>
      <c r="C271" s="29" t="s">
        <v>443</v>
      </c>
      <c r="D271" s="29" t="s">
        <v>428</v>
      </c>
      <c r="E271" s="29" t="s">
        <v>445</v>
      </c>
      <c r="F271" s="29" t="s">
        <v>503</v>
      </c>
    </row>
    <row r="272" spans="1:9" ht="15" customHeight="1" x14ac:dyDescent="0.2">
      <c r="A272">
        <v>2020</v>
      </c>
      <c r="B272" s="46">
        <f>Supply!D8</f>
        <v>6000</v>
      </c>
      <c r="C272" s="46">
        <f>Supply!D9</f>
        <v>912</v>
      </c>
      <c r="D272" s="46">
        <f>Supply!D29</f>
        <v>0</v>
      </c>
      <c r="E272" s="46">
        <f>Supply!D34</f>
        <v>7.8422197749500002</v>
      </c>
      <c r="F272" s="46">
        <f>Supply!D5</f>
        <v>7039.5343826149001</v>
      </c>
    </row>
    <row r="273" spans="1:6" ht="15" customHeight="1" x14ac:dyDescent="0.2">
      <c r="A273">
        <v>2021</v>
      </c>
      <c r="B273" s="46">
        <f>Supply!E8</f>
        <v>5910</v>
      </c>
      <c r="C273" s="46">
        <f>Supply!E9</f>
        <v>893.76</v>
      </c>
      <c r="D273" s="46">
        <f>Supply!E29</f>
        <v>0</v>
      </c>
      <c r="E273" s="46">
        <f>Supply!E34</f>
        <v>8.6110502226513645</v>
      </c>
      <c r="F273" s="46">
        <f>Supply!E5</f>
        <v>7126.1735901522607</v>
      </c>
    </row>
    <row r="274" spans="1:6" ht="15" customHeight="1" x14ac:dyDescent="0.2">
      <c r="A274">
        <v>2022</v>
      </c>
      <c r="B274" s="46">
        <f>Supply!F8</f>
        <v>5821.35</v>
      </c>
      <c r="C274" s="46">
        <f>Supply!F9</f>
        <v>875.88479999999993</v>
      </c>
      <c r="D274" s="46">
        <f>Supply!F29</f>
        <v>0</v>
      </c>
      <c r="E274" s="46">
        <f>Supply!F34</f>
        <v>9.3961504441431867</v>
      </c>
      <c r="F274" s="46">
        <f>Supply!F5</f>
        <v>7211.7089819152989</v>
      </c>
    </row>
    <row r="275" spans="1:6" ht="15" customHeight="1" x14ac:dyDescent="0.2">
      <c r="A275">
        <v>2023</v>
      </c>
      <c r="B275" s="46">
        <f>Supply!G8</f>
        <v>5734.0297499999997</v>
      </c>
      <c r="C275" s="46">
        <f>Supply!G9</f>
        <v>858.36710399999993</v>
      </c>
      <c r="D275" s="46">
        <f>Supply!G29</f>
        <v>0</v>
      </c>
      <c r="E275" s="46">
        <f>Supply!G34</f>
        <v>10.197217750257561</v>
      </c>
      <c r="F275" s="46">
        <f>Supply!G5</f>
        <v>7296.1685433618586</v>
      </c>
    </row>
    <row r="276" spans="1:6" ht="15" customHeight="1" x14ac:dyDescent="0.2">
      <c r="A276">
        <v>2024</v>
      </c>
      <c r="B276" s="46">
        <f>Supply!H8</f>
        <v>5648.0193037500003</v>
      </c>
      <c r="C276" s="46">
        <f>Supply!H9</f>
        <v>841.1997619199999</v>
      </c>
      <c r="D276" s="46">
        <f>Supply!H29</f>
        <v>0</v>
      </c>
      <c r="E276" s="46">
        <f>Supply!H34</f>
        <v>11.013952675827259</v>
      </c>
      <c r="F276" s="46">
        <f>Supply!H5</f>
        <v>7379.5802578908751</v>
      </c>
    </row>
    <row r="277" spans="1:6" ht="15" customHeight="1" x14ac:dyDescent="0.2">
      <c r="A277">
        <v>2025</v>
      </c>
      <c r="B277" s="46">
        <f>Supply!I8</f>
        <v>5563.2990141937498</v>
      </c>
      <c r="C277" s="46">
        <f>Supply!I9</f>
        <v>824.37576668159988</v>
      </c>
      <c r="D277" s="46">
        <f>Supply!I29</f>
        <v>0</v>
      </c>
      <c r="E277" s="46">
        <f>Supply!I34</f>
        <v>11.846058951993687</v>
      </c>
      <c r="F277" s="46">
        <f>Supply!I5</f>
        <v>7461.9721132472614</v>
      </c>
    </row>
    <row r="278" spans="1:6" ht="15" customHeight="1" x14ac:dyDescent="0.2">
      <c r="A278">
        <v>2026</v>
      </c>
      <c r="B278" s="46">
        <f>Supply!J8</f>
        <v>5479.8495289808443</v>
      </c>
      <c r="C278" s="46">
        <f>Supply!J9</f>
        <v>807.88825134796787</v>
      </c>
      <c r="D278" s="46">
        <f>Supply!J29</f>
        <v>0</v>
      </c>
      <c r="E278" s="46">
        <f>Supply!J34</f>
        <v>12.693243478726256</v>
      </c>
      <c r="F278" s="46">
        <f>Supply!J5</f>
        <v>7543.3721079963598</v>
      </c>
    </row>
    <row r="279" spans="1:6" ht="15" customHeight="1" x14ac:dyDescent="0.2">
      <c r="A279">
        <v>2027</v>
      </c>
      <c r="B279" s="46">
        <f>Supply!K8</f>
        <v>5397.6517860461308</v>
      </c>
      <c r="C279" s="46">
        <f>Supply!K9</f>
        <v>791.73048632100847</v>
      </c>
      <c r="D279" s="46">
        <f>Supply!K29</f>
        <v>48.60496861177657</v>
      </c>
      <c r="E279" s="46">
        <f>Supply!K34</f>
        <v>13.555216297551675</v>
      </c>
      <c r="F279" s="46">
        <f>Supply!K5</f>
        <v>7678.5582580699975</v>
      </c>
    </row>
    <row r="280" spans="1:6" ht="15" customHeight="1" x14ac:dyDescent="0.2">
      <c r="A280">
        <v>2028</v>
      </c>
      <c r="B280" s="46">
        <f>Supply!L8</f>
        <v>5316.6870092554391</v>
      </c>
      <c r="C280" s="46">
        <f>Supply!L9</f>
        <v>775.89587659458823</v>
      </c>
      <c r="D280" s="46">
        <f>Supply!L29</f>
        <v>103.05384488119371</v>
      </c>
      <c r="E280" s="46">
        <f>Supply!L34</f>
        <v>14.431690564491689</v>
      </c>
      <c r="F280" s="46">
        <f>Supply!L5</f>
        <v>7812.8086033861346</v>
      </c>
    </row>
    <row r="281" spans="1:6" ht="15" customHeight="1" x14ac:dyDescent="0.2">
      <c r="A281">
        <v>2029</v>
      </c>
      <c r="B281" s="46">
        <f>Supply!M8</f>
        <v>5236.9367041166079</v>
      </c>
      <c r="C281" s="46">
        <f>Supply!M9</f>
        <v>760.3779590626965</v>
      </c>
      <c r="D281" s="46">
        <f>Supply!M29</f>
        <v>157.5081516897886</v>
      </c>
      <c r="E281" s="46">
        <f>Supply!M34</f>
        <v>15.322382523207715</v>
      </c>
      <c r="F281" s="46">
        <f>Supply!M5</f>
        <v>7946.151214544233</v>
      </c>
    </row>
    <row r="282" spans="1:6" ht="15" customHeight="1" x14ac:dyDescent="0.2">
      <c r="A282">
        <v>2030</v>
      </c>
      <c r="B282" s="46">
        <f>Supply!N8</f>
        <v>5158.3826535548587</v>
      </c>
      <c r="C282" s="46">
        <f>Supply!N9</f>
        <v>745.17039988144245</v>
      </c>
      <c r="D282" s="46">
        <f>Supply!N29</f>
        <v>211.96829502604788</v>
      </c>
      <c r="E282" s="46">
        <f>Supply!N34</f>
        <v>16.22701147835107</v>
      </c>
      <c r="F282" s="46">
        <f>Supply!N5</f>
        <v>8078.6141995984208</v>
      </c>
    </row>
    <row r="283" spans="1:6" ht="15" customHeight="1" x14ac:dyDescent="0.2">
      <c r="A283">
        <v>2031</v>
      </c>
      <c r="B283" s="46">
        <f>Supply!O8</f>
        <v>5081.0069137515356</v>
      </c>
      <c r="C283" s="46">
        <f>Supply!O9</f>
        <v>730.2669918838136</v>
      </c>
      <c r="D283" s="46">
        <f>Supply!O29</f>
        <v>266.43467209851002</v>
      </c>
      <c r="E283" s="46">
        <f>Supply!O34</f>
        <v>17.145299769117109</v>
      </c>
      <c r="F283" s="46">
        <f>Supply!O5</f>
        <v>8210.2257109106285</v>
      </c>
    </row>
    <row r="284" spans="1:6" ht="15" customHeight="1" x14ac:dyDescent="0.2">
      <c r="A284">
        <v>2032</v>
      </c>
      <c r="B284" s="46">
        <f>Supply!P8</f>
        <v>5004.7918100452625</v>
      </c>
      <c r="C284" s="46">
        <f>Supply!P9</f>
        <v>715.66165204613731</v>
      </c>
      <c r="D284" s="46">
        <f>Supply!P29</f>
        <v>320.90767144793915</v>
      </c>
      <c r="E284" s="46">
        <f>Supply!P34</f>
        <v>18.076972743002045</v>
      </c>
      <c r="F284" s="46">
        <f>Supply!P5</f>
        <v>8341.013952085852</v>
      </c>
    </row>
    <row r="285" spans="1:6" ht="15" customHeight="1" x14ac:dyDescent="0.2">
      <c r="A285">
        <v>2033</v>
      </c>
      <c r="B285" s="46">
        <f>Supply!Q8</f>
        <v>4929.7199328945835</v>
      </c>
      <c r="C285" s="46">
        <f>Supply!Q9</f>
        <v>701.34841900521451</v>
      </c>
      <c r="D285" s="46">
        <f>Supply!Q29</f>
        <v>375.38767305836552</v>
      </c>
      <c r="E285" s="46">
        <f>Supply!Q34</f>
        <v>19.021758729760862</v>
      </c>
      <c r="F285" s="46">
        <f>Supply!Q5</f>
        <v>8471.0071849918095</v>
      </c>
    </row>
    <row r="286" spans="1:6" ht="15" customHeight="1" x14ac:dyDescent="0.2">
      <c r="A286">
        <v>2034</v>
      </c>
      <c r="B286" s="46">
        <f>Supply!R8</f>
        <v>4855.7741339011654</v>
      </c>
      <c r="C286" s="46">
        <f>Supply!R9</f>
        <v>687.32145062511029</v>
      </c>
      <c r="D286" s="46">
        <f>Supply!R29</f>
        <v>429.87504846700358</v>
      </c>
      <c r="E286" s="46">
        <f>Supply!R34</f>
        <v>19.979389015564923</v>
      </c>
      <c r="F286" s="46">
        <f>Supply!R5</f>
        <v>8600.2337368652152</v>
      </c>
    </row>
    <row r="287" spans="1:6" ht="15" customHeight="1" x14ac:dyDescent="0.2">
      <c r="A287">
        <v>2035</v>
      </c>
      <c r="B287" s="46">
        <f>Supply!S8</f>
        <v>4782.9375218926471</v>
      </c>
      <c r="C287" s="46">
        <f>Supply!S9</f>
        <v>673.575021612608</v>
      </c>
      <c r="D287" s="46">
        <f>Supply!S29</f>
        <v>484.37016087305682</v>
      </c>
      <c r="E287" s="46">
        <f>Supply!S34</f>
        <v>20.949597817357954</v>
      </c>
      <c r="F287" s="46">
        <f>Supply!S5</f>
        <v>8728.7220075069908</v>
      </c>
    </row>
    <row r="288" spans="1:6" ht="15" customHeight="1" x14ac:dyDescent="0.2">
      <c r="A288">
        <v>2036</v>
      </c>
      <c r="B288" s="46">
        <f>Supply!T8</f>
        <v>4711.1934590642577</v>
      </c>
      <c r="C288" s="46">
        <f>Supply!T9</f>
        <v>660.10352118035587</v>
      </c>
      <c r="D288" s="46">
        <f>Supply!T29</f>
        <v>538.87336524541922</v>
      </c>
      <c r="E288" s="46">
        <f>Supply!T34</f>
        <v>21.932122257408849</v>
      </c>
      <c r="F288" s="46">
        <f>Supply!T5</f>
        <v>8856.50047656877</v>
      </c>
    </row>
    <row r="289" spans="1:6" ht="15" customHeight="1" x14ac:dyDescent="0.2">
      <c r="A289">
        <v>2037</v>
      </c>
      <c r="B289" s="46">
        <f>Supply!U8</f>
        <v>4640.5255571782936</v>
      </c>
      <c r="C289" s="46">
        <f>Supply!U9</f>
        <v>646.90145075674877</v>
      </c>
      <c r="D289" s="46">
        <f>Supply!U29</f>
        <v>538.63500842928352</v>
      </c>
      <c r="E289" s="46">
        <f>Supply!U34</f>
        <v>22.926702338059972</v>
      </c>
      <c r="F289" s="46">
        <f>Supply!U5</f>
        <v>8928.8477109330688</v>
      </c>
    </row>
    <row r="290" spans="1:6" ht="15" customHeight="1" x14ac:dyDescent="0.2">
      <c r="A290">
        <v>2038</v>
      </c>
      <c r="B290" s="46">
        <f>Supply!V8</f>
        <v>4570.9176738206188</v>
      </c>
      <c r="C290" s="46">
        <f>Supply!V9</f>
        <v>633.96342174161373</v>
      </c>
      <c r="D290" s="46">
        <f>Supply!V29</f>
        <v>538.40542925166551</v>
      </c>
      <c r="E290" s="46">
        <f>Supply!V34</f>
        <v>23.933080916669592</v>
      </c>
      <c r="F290" s="46">
        <f>Supply!V5</f>
        <v>9000.5423721895368</v>
      </c>
    </row>
    <row r="291" spans="1:6" ht="15" customHeight="1" x14ac:dyDescent="0.2">
      <c r="A291">
        <v>2039</v>
      </c>
      <c r="B291" s="46">
        <f>Supply!W8</f>
        <v>4502.3539087133104</v>
      </c>
      <c r="C291" s="46">
        <f>Supply!W9</f>
        <v>621.28415330678149</v>
      </c>
      <c r="D291" s="46">
        <f>Supply!W29</f>
        <v>538.18495862585451</v>
      </c>
      <c r="E291" s="46">
        <f>Supply!W34</f>
        <v>24.951003680747007</v>
      </c>
      <c r="F291" s="46">
        <f>Supply!W5</f>
        <v>9071.613224209812</v>
      </c>
    </row>
    <row r="292" spans="1:6" ht="15" customHeight="1" x14ac:dyDescent="0.2">
      <c r="A292">
        <v>2040</v>
      </c>
      <c r="B292" s="46">
        <f>Supply!X8</f>
        <v>4434.8186000826108</v>
      </c>
      <c r="C292" s="46">
        <f>Supply!X9</f>
        <v>608.85847024064583</v>
      </c>
      <c r="D292" s="46">
        <f>Supply!X29</f>
        <v>537.97391965479767</v>
      </c>
      <c r="E292" s="46">
        <f>Supply!X34</f>
        <v>25.980219123279014</v>
      </c>
      <c r="F292" s="46">
        <f>Supply!X5</f>
        <v>9142.0891408234347</v>
      </c>
    </row>
    <row r="293" spans="1:6" ht="15" customHeight="1" x14ac:dyDescent="0.2">
      <c r="A293">
        <v>2041</v>
      </c>
      <c r="B293" s="46">
        <f>Supply!Y8</f>
        <v>4368.2963210813714</v>
      </c>
      <c r="C293" s="46">
        <f>Supply!Y9</f>
        <v>596.68130083583287</v>
      </c>
      <c r="D293" s="46">
        <f>Supply!Y29</f>
        <v>537.77262773343136</v>
      </c>
      <c r="E293" s="46">
        <f>Supply!Y34</f>
        <v>27.02047851824635</v>
      </c>
      <c r="F293" s="46">
        <f>Supply!Y5</f>
        <v>9211.9991135974069</v>
      </c>
    </row>
    <row r="294" spans="1:6" ht="15" customHeight="1" x14ac:dyDescent="0.2">
      <c r="A294">
        <v>2042</v>
      </c>
      <c r="B294" s="46">
        <f>Supply!Z8</f>
        <v>4302.7718762651511</v>
      </c>
      <c r="C294" s="46">
        <f>Supply!Z9</f>
        <v>584.74767481911624</v>
      </c>
      <c r="D294" s="46">
        <f>Supply!Z29</f>
        <v>537.58139064996385</v>
      </c>
      <c r="E294" s="46">
        <f>Supply!Z34</f>
        <v>28.071535896328861</v>
      </c>
      <c r="F294" s="46">
        <f>Supply!Z5</f>
        <v>9281.372259722033</v>
      </c>
    </row>
    <row r="295" spans="1:6" ht="15" customHeight="1" x14ac:dyDescent="0.2">
      <c r="A295">
        <v>2043</v>
      </c>
      <c r="B295" s="46">
        <f>Supply!AA8</f>
        <v>4238.2302981211733</v>
      </c>
      <c r="C295" s="46">
        <f>Supply!AA9</f>
        <v>573.05272132273387</v>
      </c>
      <c r="D295" s="46">
        <f>Supply!AA29</f>
        <v>537.40050868612343</v>
      </c>
      <c r="E295" s="46">
        <f>Supply!AA34</f>
        <v>29.133148020797783</v>
      </c>
      <c r="F295" s="46">
        <f>Supply!AA5</f>
        <v>9350.2378300056462</v>
      </c>
    </row>
    <row r="296" spans="1:6" ht="15" customHeight="1" x14ac:dyDescent="0.2">
      <c r="A296">
        <v>2044</v>
      </c>
      <c r="B296" s="46">
        <f>Supply!AB8</f>
        <v>4174.6568436493562</v>
      </c>
      <c r="C296" s="46">
        <f>Supply!AB9</f>
        <v>561.59166689627921</v>
      </c>
      <c r="D296" s="46">
        <f>Supply!AB29</f>
        <v>537.23027471637795</v>
      </c>
      <c r="E296" s="46">
        <f>Supply!AB34</f>
        <v>30.205074363594186</v>
      </c>
      <c r="F296" s="46">
        <f>Supply!AB5</f>
        <v>9418.6252169809613</v>
      </c>
    </row>
    <row r="297" spans="1:6" ht="15" customHeight="1" x14ac:dyDescent="0.2">
      <c r="A297">
        <v>2045</v>
      </c>
      <c r="B297" s="46">
        <f>Supply!AC8</f>
        <v>4112.0369909946157</v>
      </c>
      <c r="C297" s="46">
        <f>Supply!AC9</f>
        <v>550.35983355835356</v>
      </c>
      <c r="D297" s="46">
        <f>Supply!AC29</f>
        <v>537.07097430613612</v>
      </c>
      <c r="E297" s="46">
        <f>Supply!AC34</f>
        <v>31.2870770815918</v>
      </c>
      <c r="F297" s="46">
        <f>Supply!AC5</f>
        <v>9486.5639631257836</v>
      </c>
    </row>
    <row r="298" spans="1:6" ht="15" customHeight="1" x14ac:dyDescent="0.2">
      <c r="A298">
        <v>2046</v>
      </c>
      <c r="B298" s="46">
        <f>Supply!AD8</f>
        <v>4050.3564361296962</v>
      </c>
      <c r="C298" s="46">
        <f>Supply!AD9</f>
        <v>539.35263688718646</v>
      </c>
      <c r="D298" s="46">
        <f>Supply!AD29</f>
        <v>536.92288580893921</v>
      </c>
      <c r="E298" s="46">
        <f>Supply!AD34</f>
        <v>32.378920993043394</v>
      </c>
      <c r="F298" s="46">
        <f>Supply!AD5</f>
        <v>9554.0837692009045</v>
      </c>
    </row>
    <row r="299" spans="1:6" ht="15" customHeight="1" x14ac:dyDescent="0.2">
      <c r="A299">
        <v>2047</v>
      </c>
      <c r="B299" s="46">
        <f>Supply!AE8</f>
        <v>3989.6010895877507</v>
      </c>
      <c r="C299" s="46">
        <f>Supply!AE9</f>
        <v>528.56558414944266</v>
      </c>
      <c r="D299" s="46">
        <f>Supply!AE29</f>
        <v>536.78628046265317</v>
      </c>
      <c r="E299" s="46">
        <f>Supply!AE34</f>
        <v>33.480373554209031</v>
      </c>
      <c r="F299" s="46">
        <f>Supply!AE5</f>
        <v>9621.2145027079823</v>
      </c>
    </row>
    <row r="300" spans="1:6" ht="15" customHeight="1" x14ac:dyDescent="0.2">
      <c r="A300">
        <v>2048</v>
      </c>
      <c r="B300" s="46">
        <f>Supply!AF8</f>
        <v>3929.7570732439344</v>
      </c>
      <c r="C300" s="46">
        <f>Supply!AF9</f>
        <v>517.99427246645382</v>
      </c>
      <c r="D300" s="46">
        <f>Supply!AF29</f>
        <v>536.66142248466826</v>
      </c>
      <c r="E300" s="46">
        <f>Supply!AF34</f>
        <v>34.591204836165012</v>
      </c>
      <c r="F300" s="46">
        <f>Supply!AF5</f>
        <v>9687.9862064703902</v>
      </c>
    </row>
    <row r="301" spans="1:6" ht="15" customHeight="1" x14ac:dyDescent="0.2">
      <c r="A301">
        <v>2049</v>
      </c>
      <c r="B301" s="46">
        <f>Supply!AG8</f>
        <v>3870.8107171452752</v>
      </c>
      <c r="C301" s="46">
        <f>Supply!AG9</f>
        <v>507.63438701712477</v>
      </c>
      <c r="D301" s="46">
        <f>Supply!AG29</f>
        <v>536.54856916611709</v>
      </c>
      <c r="E301" s="46">
        <f>Supply!AG34</f>
        <v>35.71118750179226</v>
      </c>
      <c r="F301" s="46">
        <f>Supply!AG5</f>
        <v>9754.4291073399145</v>
      </c>
    </row>
    <row r="302" spans="1:6" ht="15" customHeight="1" x14ac:dyDescent="0.2">
      <c r="A302">
        <v>2050</v>
      </c>
      <c r="B302" s="46">
        <f>Supply!AH8</f>
        <v>3812.7485563880969</v>
      </c>
      <c r="C302" s="46">
        <f>Supply!AH9</f>
        <v>497.48169927678225</v>
      </c>
      <c r="D302" s="46">
        <f>Supply!AH29</f>
        <v>536.44797096511718</v>
      </c>
      <c r="E302" s="46">
        <f>Supply!AH34</f>
        <v>36.840096782942837</v>
      </c>
      <c r="F302" s="46">
        <f>Supply!AH5</f>
        <v>9820.5736250323625</v>
      </c>
    </row>
    <row r="305" spans="1:6" ht="15.75" customHeight="1" x14ac:dyDescent="0.2">
      <c r="A305" s="119" t="s">
        <v>506</v>
      </c>
    </row>
    <row r="306" spans="1:6" ht="15" customHeight="1" x14ac:dyDescent="0.2">
      <c r="A306" s="29" t="s">
        <v>452</v>
      </c>
      <c r="B306" s="29" t="s">
        <v>453</v>
      </c>
      <c r="C306" s="29" t="s">
        <v>443</v>
      </c>
      <c r="D306" s="29" t="s">
        <v>428</v>
      </c>
      <c r="E306" s="29" t="s">
        <v>445</v>
      </c>
      <c r="F306" s="29" t="s">
        <v>503</v>
      </c>
    </row>
    <row r="307" spans="1:6" ht="15" customHeight="1" x14ac:dyDescent="0.2">
      <c r="A307">
        <v>2020</v>
      </c>
      <c r="B307" s="46">
        <f>Supply!D8</f>
        <v>6000</v>
      </c>
      <c r="C307" s="46">
        <f>Supply!D9</f>
        <v>912</v>
      </c>
      <c r="D307">
        <f>Supply!D57</f>
        <v>0</v>
      </c>
      <c r="E307">
        <f>Supply!D59</f>
        <v>7.8422197749500002</v>
      </c>
      <c r="F307" s="46">
        <f>Supply!D5</f>
        <v>7039.5343826149001</v>
      </c>
    </row>
    <row r="308" spans="1:6" ht="15" customHeight="1" x14ac:dyDescent="0.2">
      <c r="A308">
        <v>2021</v>
      </c>
      <c r="B308" s="46">
        <f>Supply!E8</f>
        <v>5910</v>
      </c>
      <c r="C308" s="46">
        <f>Supply!E9</f>
        <v>893.76</v>
      </c>
      <c r="D308">
        <f>Supply!E57</f>
        <v>0</v>
      </c>
      <c r="E308">
        <f>Supply!E59</f>
        <v>16.95714505383653</v>
      </c>
      <c r="F308" s="46">
        <f>Supply!E5</f>
        <v>7126.1735901522607</v>
      </c>
    </row>
    <row r="309" spans="1:6" ht="15" customHeight="1" x14ac:dyDescent="0.2">
      <c r="A309">
        <v>2022</v>
      </c>
      <c r="B309" s="46">
        <f>Supply!F8</f>
        <v>5821.35</v>
      </c>
      <c r="C309" s="46">
        <f>Supply!F9</f>
        <v>875.88479999999993</v>
      </c>
      <c r="D309">
        <f>Supply!F57</f>
        <v>0</v>
      </c>
      <c r="E309">
        <f>Supply!F59</f>
        <v>26.30922124360092</v>
      </c>
      <c r="F309" s="46">
        <f>Supply!F5</f>
        <v>7211.7089819152989</v>
      </c>
    </row>
    <row r="310" spans="1:6" ht="15" customHeight="1" x14ac:dyDescent="0.2">
      <c r="A310">
        <v>2023</v>
      </c>
      <c r="B310" s="46">
        <f>Supply!G8</f>
        <v>5734.0297499999997</v>
      </c>
      <c r="C310" s="46">
        <f>Supply!G9</f>
        <v>858.36710399999993</v>
      </c>
      <c r="D310">
        <f>Supply!G57</f>
        <v>0</v>
      </c>
      <c r="E310">
        <f>Supply!G59</f>
        <v>35.894206480906618</v>
      </c>
      <c r="F310" s="46">
        <f>Supply!G5</f>
        <v>7296.1685433618586</v>
      </c>
    </row>
    <row r="311" spans="1:6" ht="15" customHeight="1" x14ac:dyDescent="0.2">
      <c r="A311">
        <v>2024</v>
      </c>
      <c r="B311" s="46">
        <f>Supply!H8</f>
        <v>5648.0193037500003</v>
      </c>
      <c r="C311" s="46">
        <f>Supply!H9</f>
        <v>841.1997619199999</v>
      </c>
      <c r="D311">
        <f>Supply!H57</f>
        <v>0</v>
      </c>
      <c r="E311">
        <f>Supply!H59</f>
        <v>45.707903604683125</v>
      </c>
      <c r="F311" s="46">
        <f>Supply!H5</f>
        <v>7379.5802578908751</v>
      </c>
    </row>
    <row r="312" spans="1:6" ht="15" customHeight="1" x14ac:dyDescent="0.2">
      <c r="A312">
        <v>2025</v>
      </c>
      <c r="B312" s="46">
        <f>Supply!I8</f>
        <v>5563.2990141937498</v>
      </c>
      <c r="C312" s="46">
        <f>Supply!I9</f>
        <v>824.37576668159988</v>
      </c>
      <c r="D312">
        <f>Supply!I57</f>
        <v>0</v>
      </c>
      <c r="E312">
        <f>Supply!I59</f>
        <v>55.746159774087921</v>
      </c>
      <c r="F312" s="46">
        <f>Supply!I5</f>
        <v>7461.9721132472614</v>
      </c>
    </row>
    <row r="313" spans="1:6" ht="15" customHeight="1" x14ac:dyDescent="0.2">
      <c r="A313">
        <v>2026</v>
      </c>
      <c r="B313" s="46">
        <f>Supply!J8</f>
        <v>5479.8495289808443</v>
      </c>
      <c r="C313" s="46">
        <f>Supply!J9</f>
        <v>807.88825134796787</v>
      </c>
      <c r="D313">
        <f>Supply!J57</f>
        <v>0</v>
      </c>
      <c r="E313">
        <f>Supply!J59</f>
        <v>66.004866089376534</v>
      </c>
      <c r="F313" s="46">
        <f>Supply!J5</f>
        <v>7543.3721079963598</v>
      </c>
    </row>
    <row r="314" spans="1:6" ht="15" customHeight="1" x14ac:dyDescent="0.2">
      <c r="A314">
        <v>2027</v>
      </c>
      <c r="B314" s="46">
        <f>Supply!K8</f>
        <v>5397.6517860461308</v>
      </c>
      <c r="C314" s="46">
        <f>Supply!K9</f>
        <v>791.73048632100847</v>
      </c>
      <c r="D314">
        <f>Supply!K57</f>
        <v>14.725489057137942</v>
      </c>
      <c r="E314">
        <f>Supply!K59</f>
        <v>76.479957215659979</v>
      </c>
      <c r="F314" s="46">
        <f>Supply!K5</f>
        <v>7678.5582580699975</v>
      </c>
    </row>
    <row r="315" spans="1:6" ht="15" customHeight="1" x14ac:dyDescent="0.2">
      <c r="A315">
        <v>2028</v>
      </c>
      <c r="B315" s="46">
        <f>Supply!L8</f>
        <v>5316.6870092554391</v>
      </c>
      <c r="C315" s="46">
        <f>Supply!L9</f>
        <v>775.89587659458823</v>
      </c>
      <c r="D315">
        <f>Supply!L57</f>
        <v>63.591830201647646</v>
      </c>
      <c r="E315">
        <f>Supply!L59</f>
        <v>87.1674110095298</v>
      </c>
      <c r="F315" s="46">
        <f>Supply!L5</f>
        <v>7812.8086033861346</v>
      </c>
    </row>
    <row r="316" spans="1:6" ht="15" customHeight="1" x14ac:dyDescent="0.2">
      <c r="A316">
        <v>2029</v>
      </c>
      <c r="B316" s="46">
        <f>Supply!M8</f>
        <v>5236.9367041166079</v>
      </c>
      <c r="C316" s="46">
        <f>Supply!M9</f>
        <v>760.3779590626965</v>
      </c>
      <c r="D316">
        <f>Supply!M57</f>
        <v>112.27647848127944</v>
      </c>
      <c r="E316">
        <f>Supply!M59</f>
        <v>98.063248148529368</v>
      </c>
      <c r="F316" s="46">
        <f>Supply!M5</f>
        <v>7946.151214544233</v>
      </c>
    </row>
    <row r="317" spans="1:6" ht="15" customHeight="1" x14ac:dyDescent="0.2">
      <c r="A317">
        <v>2030</v>
      </c>
      <c r="B317" s="46">
        <f>Supply!N8</f>
        <v>5158.3826535548587</v>
      </c>
      <c r="C317" s="46">
        <f>Supply!N9</f>
        <v>745.17039988144245</v>
      </c>
      <c r="D317">
        <f>Supply!N57</f>
        <v>160.77944972615859</v>
      </c>
      <c r="E317">
        <f>Supply!N59</f>
        <v>109.16353176345264</v>
      </c>
      <c r="F317" s="46">
        <f>Supply!N5</f>
        <v>8078.6141995984208</v>
      </c>
    </row>
    <row r="318" spans="1:6" ht="15" customHeight="1" x14ac:dyDescent="0.2">
      <c r="A318">
        <v>2031</v>
      </c>
      <c r="B318" s="46">
        <f>Supply!O8</f>
        <v>5081.0069137515356</v>
      </c>
      <c r="C318" s="46">
        <f>Supply!O9</f>
        <v>730.2669918838136</v>
      </c>
      <c r="D318">
        <f>Supply!O57</f>
        <v>209.10078967058243</v>
      </c>
      <c r="E318">
        <f>Supply!O59</f>
        <v>120.4643670734489</v>
      </c>
      <c r="F318" s="46">
        <f>Supply!O5</f>
        <v>8210.2257109106285</v>
      </c>
    </row>
    <row r="319" spans="1:6" ht="15" customHeight="1" x14ac:dyDescent="0.2">
      <c r="A319">
        <v>2032</v>
      </c>
      <c r="B319" s="46">
        <f>Supply!P8</f>
        <v>5004.7918100452625</v>
      </c>
      <c r="C319" s="46">
        <f>Supply!P9</f>
        <v>715.66165204613731</v>
      </c>
      <c r="D319">
        <f>Supply!P57</f>
        <v>257.24057344708592</v>
      </c>
      <c r="E319">
        <f>Supply!P59</f>
        <v>131.96190102391498</v>
      </c>
      <c r="F319" s="46">
        <f>Supply!P5</f>
        <v>8341.013952085852</v>
      </c>
    </row>
    <row r="320" spans="1:6" ht="15" customHeight="1" x14ac:dyDescent="0.2">
      <c r="A320">
        <v>2033</v>
      </c>
      <c r="B320" s="46">
        <f>Supply!Q8</f>
        <v>4929.7199328945835</v>
      </c>
      <c r="C320" s="46">
        <f>Supply!Q9</f>
        <v>701.34841900521451</v>
      </c>
      <c r="D320">
        <f>Supply!Q57</f>
        <v>305.19890508624633</v>
      </c>
      <c r="E320">
        <f>Supply!Q59</f>
        <v>143.65232192715405</v>
      </c>
      <c r="F320" s="46">
        <f>Supply!Q5</f>
        <v>8471.0071849918095</v>
      </c>
    </row>
    <row r="321" spans="1:6" ht="15" customHeight="1" x14ac:dyDescent="0.2">
      <c r="A321">
        <v>2034</v>
      </c>
      <c r="B321" s="46">
        <f>Supply!R8</f>
        <v>4855.7741339011654</v>
      </c>
      <c r="C321" s="46">
        <f>Supply!R9</f>
        <v>687.32145062511029</v>
      </c>
      <c r="D321">
        <f>Supply!R57</f>
        <v>352.97591702217233</v>
      </c>
      <c r="E321">
        <f>Supply!R59</f>
        <v>155.53185910578233</v>
      </c>
      <c r="F321" s="46">
        <f>Supply!R5</f>
        <v>8600.2337368652152</v>
      </c>
    </row>
    <row r="322" spans="1:6" ht="15" customHeight="1" x14ac:dyDescent="0.2">
      <c r="A322">
        <v>2035</v>
      </c>
      <c r="B322" s="46">
        <f>Supply!S8</f>
        <v>4782.9375218926471</v>
      </c>
      <c r="C322" s="46">
        <f>Supply!S9</f>
        <v>673.575021612608</v>
      </c>
      <c r="D322">
        <f>Supply!S57</f>
        <v>400.571769603625</v>
      </c>
      <c r="E322">
        <f>Supply!S59</f>
        <v>167.59678253886366</v>
      </c>
      <c r="F322" s="46">
        <f>Supply!S5</f>
        <v>8728.7220075069908</v>
      </c>
    </row>
    <row r="323" spans="1:6" ht="15" customHeight="1" x14ac:dyDescent="0.2">
      <c r="A323">
        <v>2036</v>
      </c>
      <c r="B323" s="46">
        <f>Supply!T8</f>
        <v>4711.1934590642577</v>
      </c>
      <c r="C323" s="46">
        <f>Supply!T9</f>
        <v>660.10352118035587</v>
      </c>
      <c r="D323">
        <f>Supply!T57</f>
        <v>447.98665061071688</v>
      </c>
      <c r="E323">
        <f>Supply!T59</f>
        <v>179.84340251075258</v>
      </c>
      <c r="F323" s="46">
        <f>Supply!T5</f>
        <v>8856.50047656877</v>
      </c>
    </row>
    <row r="324" spans="1:6" ht="15" customHeight="1" x14ac:dyDescent="0.2">
      <c r="A324">
        <v>2037</v>
      </c>
      <c r="B324" s="46">
        <f>Supply!U8</f>
        <v>4640.5255571782936</v>
      </c>
      <c r="C324" s="46">
        <f>Supply!U9</f>
        <v>646.90145075674877</v>
      </c>
      <c r="D324">
        <f>Supply!U57</f>
        <v>440.47077477713759</v>
      </c>
      <c r="E324">
        <f>Supply!U59</f>
        <v>192.26806926262711</v>
      </c>
      <c r="F324" s="46">
        <f>Supply!U5</f>
        <v>8928.8477109330688</v>
      </c>
    </row>
    <row r="325" spans="1:6" ht="15" customHeight="1" x14ac:dyDescent="0.2">
      <c r="A325">
        <v>2038</v>
      </c>
      <c r="B325" s="46">
        <f>Supply!V8</f>
        <v>4570.9176738206188</v>
      </c>
      <c r="C325" s="46">
        <f>Supply!V9</f>
        <v>633.96342174161373</v>
      </c>
      <c r="D325">
        <f>Supply!V57</f>
        <v>432.77438331785265</v>
      </c>
      <c r="E325">
        <f>Supply!V59</f>
        <v>204.86717264669176</v>
      </c>
      <c r="F325" s="46">
        <f>Supply!V5</f>
        <v>9000.5423721895368</v>
      </c>
    </row>
    <row r="326" spans="1:6" ht="15" customHeight="1" x14ac:dyDescent="0.2">
      <c r="A326">
        <v>2039</v>
      </c>
      <c r="B326" s="46">
        <f>Supply!W8</f>
        <v>4502.3539087133104</v>
      </c>
      <c r="C326" s="46">
        <f>Supply!W9</f>
        <v>621.28415330678149</v>
      </c>
      <c r="D326">
        <f>Supply!W57</f>
        <v>424.89774346222532</v>
      </c>
      <c r="E326">
        <f>Supply!W59</f>
        <v>217.63714178303201</v>
      </c>
      <c r="F326" s="46">
        <f>Supply!W5</f>
        <v>9071.613224209812</v>
      </c>
    </row>
    <row r="327" spans="1:6" ht="15" customHeight="1" x14ac:dyDescent="0.2">
      <c r="A327">
        <v>2040</v>
      </c>
      <c r="B327" s="46">
        <f>Supply!X8</f>
        <v>4434.8186000826108</v>
      </c>
      <c r="C327" s="46">
        <f>Supply!X9</f>
        <v>608.85847024064583</v>
      </c>
      <c r="D327">
        <f>Supply!X57</f>
        <v>416.84114799250932</v>
      </c>
      <c r="E327">
        <f>Supply!X59</f>
        <v>230.57444471910122</v>
      </c>
      <c r="F327" s="46">
        <f>Supply!X5</f>
        <v>9142.0891408234347</v>
      </c>
    </row>
    <row r="328" spans="1:6" ht="15" customHeight="1" x14ac:dyDescent="0.2">
      <c r="A328">
        <v>2041</v>
      </c>
      <c r="B328" s="46">
        <f>Supply!Y8</f>
        <v>4368.2963210813714</v>
      </c>
      <c r="C328" s="46">
        <f>Supply!Y9</f>
        <v>596.68130083583287</v>
      </c>
      <c r="D328">
        <f>Supply!Y57</f>
        <v>408.60491478766164</v>
      </c>
      <c r="E328">
        <f>Supply!Y59</f>
        <v>243.67558809182165</v>
      </c>
      <c r="F328" s="46">
        <f>Supply!Y5</f>
        <v>9211.9991135974069</v>
      </c>
    </row>
    <row r="329" spans="1:6" ht="15" customHeight="1" x14ac:dyDescent="0.2">
      <c r="A329">
        <v>2042</v>
      </c>
      <c r="B329" s="46">
        <f>Supply!Z8</f>
        <v>4302.7718762651511</v>
      </c>
      <c r="C329" s="46">
        <f>Supply!Z9</f>
        <v>584.74767481911624</v>
      </c>
      <c r="D329">
        <f>Supply!Z57</f>
        <v>400.18938637242582</v>
      </c>
      <c r="E329">
        <f>Supply!Z59</f>
        <v>256.93711679228062</v>
      </c>
      <c r="F329" s="46">
        <f>Supply!Z5</f>
        <v>9281.372259722033</v>
      </c>
    </row>
    <row r="330" spans="1:6" ht="15" customHeight="1" x14ac:dyDescent="0.2">
      <c r="A330">
        <v>2043</v>
      </c>
      <c r="B330" s="46">
        <f>Supply!AA8</f>
        <v>4238.2302981211733</v>
      </c>
      <c r="C330" s="46">
        <f>Supply!AA9</f>
        <v>573.05272132273387</v>
      </c>
      <c r="D330">
        <f>Supply!AA57</f>
        <v>391.59492947163466</v>
      </c>
      <c r="E330">
        <f>Supply!AA59</f>
        <v>270.35561363300349</v>
      </c>
      <c r="F330" s="46">
        <f>Supply!AA5</f>
        <v>9350.2378300056462</v>
      </c>
    </row>
    <row r="331" spans="1:6" ht="15" customHeight="1" x14ac:dyDescent="0.2">
      <c r="A331">
        <v>2044</v>
      </c>
      <c r="B331" s="46">
        <f>Supply!AB8</f>
        <v>4174.6568436493562</v>
      </c>
      <c r="C331" s="46">
        <f>Supply!AB9</f>
        <v>561.59166689627921</v>
      </c>
      <c r="D331">
        <f>Supply!AB57</f>
        <v>382.82193456968452</v>
      </c>
      <c r="E331">
        <f>Supply!AB59</f>
        <v>283.92769901778536</v>
      </c>
      <c r="F331" s="46">
        <f>Supply!AB5</f>
        <v>9418.6252169809613</v>
      </c>
    </row>
    <row r="332" spans="1:6" ht="15" customHeight="1" x14ac:dyDescent="0.2">
      <c r="A332">
        <v>2045</v>
      </c>
      <c r="B332" s="46">
        <f>Supply!AC8</f>
        <v>4112.0369909946157</v>
      </c>
      <c r="C332" s="46">
        <f>Supply!AC9</f>
        <v>550.35983355835356</v>
      </c>
      <c r="D332">
        <f>Supply!AC57</f>
        <v>373.8708154751302</v>
      </c>
      <c r="E332">
        <f>Supply!AC59</f>
        <v>297.65003061406253</v>
      </c>
      <c r="F332" s="46">
        <f>Supply!AC5</f>
        <v>9486.5639631257836</v>
      </c>
    </row>
    <row r="333" spans="1:6" ht="15" customHeight="1" x14ac:dyDescent="0.2">
      <c r="A333">
        <v>2046</v>
      </c>
      <c r="B333" s="46">
        <f>Supply!AD8</f>
        <v>4050.3564361296962</v>
      </c>
      <c r="C333" s="46">
        <f>Supply!AD9</f>
        <v>539.35263688718646</v>
      </c>
      <c r="D333">
        <f>Supply!AD57</f>
        <v>364.74200889035319</v>
      </c>
      <c r="E333">
        <f>Supply!AD59</f>
        <v>311.51930302780704</v>
      </c>
      <c r="F333" s="46">
        <f>Supply!AD5</f>
        <v>9554.0837692009045</v>
      </c>
    </row>
    <row r="334" spans="1:6" ht="15" customHeight="1" x14ac:dyDescent="0.2">
      <c r="A334">
        <v>2047</v>
      </c>
      <c r="B334" s="46">
        <f>Supply!AE8</f>
        <v>3989.6010895877507</v>
      </c>
      <c r="C334" s="46">
        <f>Supply!AE9</f>
        <v>528.56558414944266</v>
      </c>
      <c r="D334">
        <f>Supply!AE57</f>
        <v>355.43597398625434</v>
      </c>
      <c r="E334">
        <f>Supply!AE59</f>
        <v>325.53224748092481</v>
      </c>
      <c r="F334" s="46">
        <f>Supply!AE5</f>
        <v>9621.2145027079823</v>
      </c>
    </row>
    <row r="335" spans="1:6" ht="15" customHeight="1" x14ac:dyDescent="0.2">
      <c r="A335">
        <v>2048</v>
      </c>
      <c r="B335" s="46">
        <f>Supply!AF8</f>
        <v>3929.7570732439344</v>
      </c>
      <c r="C335" s="46">
        <f>Supply!AF9</f>
        <v>517.99427246645382</v>
      </c>
      <c r="D335">
        <f>Supply!AF57</f>
        <v>345.9531919819234</v>
      </c>
      <c r="E335">
        <f>Supply!AF59</f>
        <v>339.68563149114044</v>
      </c>
      <c r="F335" s="46">
        <f>Supply!AF5</f>
        <v>9687.9862064703902</v>
      </c>
    </row>
    <row r="336" spans="1:6" ht="15" customHeight="1" x14ac:dyDescent="0.2">
      <c r="A336">
        <v>2049</v>
      </c>
      <c r="B336" s="46">
        <f>Supply!AG8</f>
        <v>3870.8107171452752</v>
      </c>
      <c r="C336" s="46">
        <f>Supply!AG9</f>
        <v>507.63438701712477</v>
      </c>
      <c r="D336">
        <f>Supply!AG57</f>
        <v>336.29416572923748</v>
      </c>
      <c r="E336">
        <f>Supply!AG59</f>
        <v>353.97625855435058</v>
      </c>
      <c r="F336" s="46">
        <f>Supply!AG5</f>
        <v>9754.4291073399145</v>
      </c>
    </row>
    <row r="337" spans="1:6" ht="15" customHeight="1" x14ac:dyDescent="0.2">
      <c r="A337">
        <v>2050</v>
      </c>
      <c r="B337" s="46">
        <f>Supply!AH8</f>
        <v>3812.7485563880969</v>
      </c>
      <c r="C337" s="46">
        <f>Supply!AH9</f>
        <v>497.48169927678225</v>
      </c>
      <c r="D337">
        <f>Supply!AH57</f>
        <v>326.45941930234289</v>
      </c>
      <c r="E337">
        <f>Supply!AH59</f>
        <v>368.40096782942845</v>
      </c>
      <c r="F337" s="46">
        <f>Supply!AH5</f>
        <v>9820.5736250323625</v>
      </c>
    </row>
    <row r="340" spans="1:6" ht="15.75" customHeight="1" x14ac:dyDescent="0.2">
      <c r="A340" s="119" t="s">
        <v>507</v>
      </c>
    </row>
    <row r="341" spans="1:6" ht="15" customHeight="1" x14ac:dyDescent="0.2">
      <c r="A341" s="29" t="s">
        <v>452</v>
      </c>
      <c r="B341" s="29" t="s">
        <v>493</v>
      </c>
      <c r="C341" s="29" t="s">
        <v>494</v>
      </c>
      <c r="D341" s="29" t="s">
        <v>495</v>
      </c>
      <c r="E341" s="29" t="s">
        <v>508</v>
      </c>
    </row>
    <row r="342" spans="1:6" ht="15" customHeight="1" x14ac:dyDescent="0.2">
      <c r="A342">
        <v>2020</v>
      </c>
      <c r="B342" s="46">
        <f>Demand!D13</f>
        <v>784.22197749500003</v>
      </c>
      <c r="C342" s="46">
        <f>Demand!D14</f>
        <v>389.62701858989999</v>
      </c>
      <c r="D342" s="46">
        <f>Demand!D15</f>
        <v>5865.68538653</v>
      </c>
      <c r="E342" s="46">
        <f>Demand!D17</f>
        <v>0</v>
      </c>
    </row>
    <row r="343" spans="1:6" ht="15" customHeight="1" x14ac:dyDescent="0.2">
      <c r="A343">
        <v>2021</v>
      </c>
      <c r="B343" s="46">
        <f>Demand!E13</f>
        <v>794.86617439858742</v>
      </c>
      <c r="C343" s="46">
        <f>Demand!E14</f>
        <v>403.93296803511453</v>
      </c>
      <c r="D343" s="46">
        <f>Demand!E15</f>
        <v>5927.3744477185592</v>
      </c>
      <c r="E343" s="46">
        <f>Demand!E17</f>
        <v>0</v>
      </c>
    </row>
    <row r="344" spans="1:6" ht="15" customHeight="1" x14ac:dyDescent="0.2">
      <c r="A344">
        <v>2022</v>
      </c>
      <c r="B344" s="46">
        <f>Demand!F13</f>
        <v>805.38432378370169</v>
      </c>
      <c r="C344" s="46">
        <f>Demand!F14</f>
        <v>418.62357806823337</v>
      </c>
      <c r="D344" s="46">
        <f>Demand!F15</f>
        <v>5987.7010800633643</v>
      </c>
      <c r="E344" s="46">
        <f>Demand!F17</f>
        <v>0</v>
      </c>
    </row>
    <row r="345" spans="1:6" ht="15" customHeight="1" x14ac:dyDescent="0.2">
      <c r="A345">
        <v>2023</v>
      </c>
      <c r="B345" s="46">
        <f>Demand!G13</f>
        <v>815.77742002060484</v>
      </c>
      <c r="C345" s="46">
        <f>Demand!G14</f>
        <v>433.70798901525569</v>
      </c>
      <c r="D345" s="46">
        <f>Demand!G15</f>
        <v>6046.6831343259983</v>
      </c>
      <c r="E345" s="46">
        <f>Demand!G17</f>
        <v>0</v>
      </c>
    </row>
    <row r="346" spans="1:6" ht="15" customHeight="1" x14ac:dyDescent="0.2">
      <c r="A346">
        <v>2024</v>
      </c>
      <c r="B346" s="46">
        <f>Demand!H13</f>
        <v>826.0464506870444</v>
      </c>
      <c r="C346" s="46">
        <f>Demand!H14</f>
        <v>449.19554435252496</v>
      </c>
      <c r="D346" s="46">
        <f>Demand!H15</f>
        <v>6104.3382628513064</v>
      </c>
      <c r="E346" s="46">
        <f>Demand!H17</f>
        <v>0</v>
      </c>
    </row>
    <row r="347" spans="1:6" ht="15" customHeight="1" x14ac:dyDescent="0.2">
      <c r="A347">
        <v>2025</v>
      </c>
      <c r="B347" s="46">
        <f>Demand!I13</f>
        <v>836.19239661131905</v>
      </c>
      <c r="C347" s="46">
        <f>Demand!I14</f>
        <v>465.09579503632892</v>
      </c>
      <c r="D347" s="46">
        <f>Demand!I15</f>
        <v>6160.6839215996133</v>
      </c>
      <c r="E347" s="46">
        <f>Demand!I17</f>
        <v>0</v>
      </c>
    </row>
    <row r="348" spans="1:6" ht="15" customHeight="1" x14ac:dyDescent="0.2">
      <c r="A348">
        <v>2026</v>
      </c>
      <c r="B348" s="46">
        <f>Demand!J13</f>
        <v>846.21623191508377</v>
      </c>
      <c r="C348" s="46">
        <f>Demand!J14</f>
        <v>481.41850392215304</v>
      </c>
      <c r="D348" s="46">
        <f>Demand!J15</f>
        <v>6215.737372159123</v>
      </c>
      <c r="E348" s="46">
        <f>Demand!J17</f>
        <v>0</v>
      </c>
    </row>
    <row r="349" spans="1:6" ht="15" customHeight="1" x14ac:dyDescent="0.2">
      <c r="A349">
        <v>2027</v>
      </c>
      <c r="B349" s="46">
        <f>Demand!K13</f>
        <v>856.11892405589538</v>
      </c>
      <c r="C349" s="46">
        <f>Demand!K14</f>
        <v>498.17365027540257</v>
      </c>
      <c r="D349" s="46">
        <f>Demand!K15</f>
        <v>6269.5156837386994</v>
      </c>
      <c r="E349" s="46">
        <f>Demand!K17</f>
        <v>54.75</v>
      </c>
    </row>
    <row r="350" spans="1:6" ht="15" customHeight="1" x14ac:dyDescent="0.2">
      <c r="A350">
        <v>2028</v>
      </c>
      <c r="B350" s="46">
        <f>Demand!L13</f>
        <v>865.90143386950137</v>
      </c>
      <c r="C350" s="46">
        <f>Demand!L14</f>
        <v>515.37143437544944</v>
      </c>
      <c r="D350" s="46">
        <f>Demand!L15</f>
        <v>6322.035735141184</v>
      </c>
      <c r="E350" s="46">
        <f>Demand!L17</f>
        <v>109.5</v>
      </c>
    </row>
    <row r="351" spans="1:6" ht="15" customHeight="1" x14ac:dyDescent="0.2">
      <c r="A351">
        <v>2029</v>
      </c>
      <c r="B351" s="46">
        <f>Demand!M13</f>
        <v>875.56471561186947</v>
      </c>
      <c r="C351" s="46">
        <f>Demand!M14</f>
        <v>533.02228221489327</v>
      </c>
      <c r="D351" s="46">
        <f>Demand!M15</f>
        <v>6373.3142167174701</v>
      </c>
      <c r="E351" s="46">
        <f>Demand!M17</f>
        <v>164.25</v>
      </c>
    </row>
    <row r="352" spans="1:6" ht="15" customHeight="1" x14ac:dyDescent="0.2">
      <c r="A352">
        <v>2030</v>
      </c>
      <c r="B352" s="46">
        <f>Demand!N13</f>
        <v>885.10971700096752</v>
      </c>
      <c r="C352" s="46">
        <f>Demand!N14</f>
        <v>551.13685029596729</v>
      </c>
      <c r="D352" s="46">
        <f>Demand!N15</f>
        <v>6423.3676323014861</v>
      </c>
      <c r="E352" s="46">
        <f>Demand!N17</f>
        <v>219</v>
      </c>
    </row>
    <row r="353" spans="1:5" ht="15" customHeight="1" x14ac:dyDescent="0.2">
      <c r="A353">
        <v>2031</v>
      </c>
      <c r="B353" s="46">
        <f>Demand!O13</f>
        <v>894.53737925828398</v>
      </c>
      <c r="C353" s="46">
        <f>Demand!O14</f>
        <v>569.72603052605507</v>
      </c>
      <c r="D353" s="46">
        <f>Demand!O15</f>
        <v>6472.2123011262884</v>
      </c>
      <c r="E353" s="46">
        <f>Demand!O17</f>
        <v>273.75</v>
      </c>
    </row>
    <row r="354" spans="1:5" ht="15" customHeight="1" x14ac:dyDescent="0.2">
      <c r="A354">
        <v>2032</v>
      </c>
      <c r="B354" s="46">
        <f>Demand!P13</f>
        <v>903.84863715010238</v>
      </c>
      <c r="C354" s="46">
        <f>Demand!P14</f>
        <v>588.80095521432304</v>
      </c>
      <c r="D354" s="46">
        <f>Demand!P15</f>
        <v>6519.8643597214268</v>
      </c>
      <c r="E354" s="46">
        <f>Demand!P17</f>
        <v>328.5</v>
      </c>
    </row>
    <row r="355" spans="1:5" ht="15" customHeight="1" x14ac:dyDescent="0.2">
      <c r="A355">
        <v>2033</v>
      </c>
      <c r="B355" s="46">
        <f>Demand!Q13</f>
        <v>913.04441902852136</v>
      </c>
      <c r="C355" s="46">
        <f>Demand!Q14</f>
        <v>608.3730021715196</v>
      </c>
      <c r="D355" s="46">
        <f>Demand!Q15</f>
        <v>6566.3397637917687</v>
      </c>
      <c r="E355" s="46">
        <f>Demand!Q17</f>
        <v>383.25</v>
      </c>
    </row>
    <row r="356" spans="1:5" ht="15" customHeight="1" x14ac:dyDescent="0.2">
      <c r="A356">
        <v>2034</v>
      </c>
      <c r="B356" s="46">
        <f>Demand!R13</f>
        <v>922.12564687222732</v>
      </c>
      <c r="C356" s="46">
        <f>Demand!R14</f>
        <v>628.45379991502341</v>
      </c>
      <c r="D356" s="46">
        <f>Demand!R15</f>
        <v>6611.654290077965</v>
      </c>
      <c r="E356" s="46">
        <f>Demand!R17</f>
        <v>438</v>
      </c>
    </row>
    <row r="357" spans="1:5" ht="15" customHeight="1" x14ac:dyDescent="0.2">
      <c r="A357">
        <v>2035</v>
      </c>
      <c r="B357" s="46">
        <f>Demand!S13</f>
        <v>931.09323632702035</v>
      </c>
      <c r="C357" s="46">
        <f>Demand!S14</f>
        <v>649.05523298127218</v>
      </c>
      <c r="D357" s="46">
        <f>Demand!S15</f>
        <v>6655.8235381986988</v>
      </c>
      <c r="E357" s="46">
        <f>Demand!S17</f>
        <v>492.75</v>
      </c>
    </row>
    <row r="358" spans="1:5" ht="15" customHeight="1" x14ac:dyDescent="0.2">
      <c r="A358">
        <v>2036</v>
      </c>
      <c r="B358" s="46">
        <f>Demand!T13</f>
        <v>939.9480967460936</v>
      </c>
      <c r="C358" s="46">
        <f>Demand!T14</f>
        <v>670.18944734774129</v>
      </c>
      <c r="D358" s="46">
        <f>Demand!T15</f>
        <v>6698.8629324749354</v>
      </c>
      <c r="E358" s="46">
        <f>Demand!T17</f>
        <v>547.5</v>
      </c>
    </row>
    <row r="359" spans="1:5" ht="15" customHeight="1" x14ac:dyDescent="0.2">
      <c r="A359">
        <v>2037</v>
      </c>
      <c r="B359" s="46">
        <f>Demand!U13</f>
        <v>948.69113123006798</v>
      </c>
      <c r="C359" s="46">
        <f>Demand!U14</f>
        <v>691.86885596669049</v>
      </c>
      <c r="D359" s="46">
        <f>Demand!U15</f>
        <v>6740.7877237363109</v>
      </c>
      <c r="E359" s="46">
        <f>Demand!U17</f>
        <v>547.5</v>
      </c>
    </row>
    <row r="360" spans="1:5" ht="15" customHeight="1" x14ac:dyDescent="0.2">
      <c r="A360">
        <v>2038</v>
      </c>
      <c r="B360" s="46">
        <f>Demand!V13</f>
        <v>957.32323666678394</v>
      </c>
      <c r="C360" s="46">
        <f>Demand!V14</f>
        <v>714.10614441293103</v>
      </c>
      <c r="D360" s="46">
        <f>Demand!V15</f>
        <v>6781.6129911098215</v>
      </c>
      <c r="E360" s="46">
        <f>Demand!V17</f>
        <v>547.5</v>
      </c>
    </row>
    <row r="361" spans="1:5" ht="15" customHeight="1" x14ac:dyDescent="0.2">
      <c r="A361">
        <v>2039</v>
      </c>
      <c r="B361" s="46">
        <f>Demand!W13</f>
        <v>965.84530377085218</v>
      </c>
      <c r="C361" s="46">
        <f>Demand!W14</f>
        <v>736.91427664792297</v>
      </c>
      <c r="D361" s="46">
        <f>Demand!W15</f>
        <v>6821.353643791037</v>
      </c>
      <c r="E361" s="46">
        <f>Demand!W17</f>
        <v>547.5</v>
      </c>
    </row>
    <row r="362" spans="1:5" ht="15" customHeight="1" x14ac:dyDescent="0.2">
      <c r="A362">
        <v>2040</v>
      </c>
      <c r="B362" s="46">
        <f>Demand!X13</f>
        <v>974.25821712296306</v>
      </c>
      <c r="C362" s="46">
        <f>Demand!X14</f>
        <v>760.30650090254744</v>
      </c>
      <c r="D362" s="46">
        <f>Demand!X15</f>
        <v>6860.0244227979247</v>
      </c>
      <c r="E362" s="46">
        <f>Demand!X17</f>
        <v>547.5</v>
      </c>
    </row>
    <row r="363" spans="1:5" ht="15" customHeight="1" x14ac:dyDescent="0.2">
      <c r="A363">
        <v>2041</v>
      </c>
      <c r="B363" s="46">
        <f>Demand!Y13</f>
        <v>982.56285520895824</v>
      </c>
      <c r="C363" s="46">
        <f>Demand!Y14</f>
        <v>784.29635568095091</v>
      </c>
      <c r="D363" s="46">
        <f>Demand!Y15</f>
        <v>6897.6399027074976</v>
      </c>
      <c r="E363" s="46">
        <f>Demand!Y17</f>
        <v>547.5</v>
      </c>
    </row>
    <row r="364" spans="1:5" ht="15" customHeight="1" x14ac:dyDescent="0.2">
      <c r="A364">
        <v>2042</v>
      </c>
      <c r="B364" s="46">
        <f>Demand!Z13</f>
        <v>990.76009045866579</v>
      </c>
      <c r="C364" s="46">
        <f>Demand!Z14</f>
        <v>808.89767588790824</v>
      </c>
      <c r="D364" s="46">
        <f>Demand!Z15</f>
        <v>6934.2144933754589</v>
      </c>
      <c r="E364" s="46">
        <f>Demand!Z17</f>
        <v>547.5</v>
      </c>
    </row>
    <row r="365" spans="1:5" ht="15" customHeight="1" x14ac:dyDescent="0.2">
      <c r="A365">
        <v>2043</v>
      </c>
      <c r="B365" s="46">
        <f>Demand!AA13</f>
        <v>998.8507892844957</v>
      </c>
      <c r="C365" s="46">
        <f>Demand!AA14</f>
        <v>834.12459908219046</v>
      </c>
      <c r="D365" s="46">
        <f>Demand!AA15</f>
        <v>6969.7624416389599</v>
      </c>
      <c r="E365" s="46">
        <f>Demand!AA17</f>
        <v>547.5</v>
      </c>
    </row>
    <row r="366" spans="1:5" ht="15" customHeight="1" x14ac:dyDescent="0.2">
      <c r="A366">
        <v>2044</v>
      </c>
      <c r="B366" s="46">
        <f>Demand!AB13</f>
        <v>1006.8358121198061</v>
      </c>
      <c r="C366" s="46">
        <f>Demand!AB14</f>
        <v>859.99157185848537</v>
      </c>
      <c r="D366" s="46">
        <f>Demand!AB15</f>
        <v>7004.2978330026699</v>
      </c>
      <c r="E366" s="46">
        <f>Demand!AB17</f>
        <v>547.5</v>
      </c>
    </row>
    <row r="367" spans="1:5" ht="15" customHeight="1" x14ac:dyDescent="0.2">
      <c r="A367">
        <v>2045</v>
      </c>
      <c r="B367" s="46">
        <f>Demand!AC13</f>
        <v>1014.7160134570314</v>
      </c>
      <c r="C367" s="46">
        <f>Demand!AC14</f>
        <v>886.51335636045974</v>
      </c>
      <c r="D367" s="46">
        <f>Demand!AC15</f>
        <v>7037.8345933082928</v>
      </c>
      <c r="E367" s="46">
        <f>Demand!AC17</f>
        <v>547.5</v>
      </c>
    </row>
    <row r="368" spans="1:5" ht="15" customHeight="1" x14ac:dyDescent="0.2">
      <c r="A368">
        <v>2046</v>
      </c>
      <c r="B368" s="46">
        <f>Demand!AD13</f>
        <v>1022.4922418855811</v>
      </c>
      <c r="C368" s="46">
        <f>Demand!AD14</f>
        <v>913.7050369276069</v>
      </c>
      <c r="D368" s="46">
        <f>Demand!AD15</f>
        <v>7070.3864903877156</v>
      </c>
      <c r="E368" s="46">
        <f>Demand!AD17</f>
        <v>547.5</v>
      </c>
    </row>
    <row r="369" spans="1:5" ht="15" customHeight="1" x14ac:dyDescent="0.2">
      <c r="A369">
        <v>2047</v>
      </c>
      <c r="B369" s="46">
        <f>Demand!AE13</f>
        <v>1030.1653401295089</v>
      </c>
      <c r="C369" s="46">
        <f>Demand!AE14</f>
        <v>941.58202687857829</v>
      </c>
      <c r="D369" s="46">
        <f>Demand!AE15</f>
        <v>7101.9671356998942</v>
      </c>
      <c r="E369" s="46">
        <f>Demand!AE17</f>
        <v>547.5</v>
      </c>
    </row>
    <row r="370" spans="1:5" ht="15" customHeight="1" x14ac:dyDescent="0.2">
      <c r="A370">
        <v>2048</v>
      </c>
      <c r="B370" s="46">
        <f>Demand!AF13</f>
        <v>1037.7361450849505</v>
      </c>
      <c r="C370" s="46">
        <f>Demand!AF14</f>
        <v>970.16007543374485</v>
      </c>
      <c r="D370" s="46">
        <f>Demand!AF15</f>
        <v>7132.5899859516949</v>
      </c>
      <c r="E370" s="46">
        <f>Demand!AF17</f>
        <v>547.5</v>
      </c>
    </row>
    <row r="371" spans="1:5" ht="15" customHeight="1" x14ac:dyDescent="0.2">
      <c r="A371">
        <v>2049</v>
      </c>
      <c r="B371" s="46">
        <f>Demand!AG13</f>
        <v>1045.2054878573344</v>
      </c>
      <c r="C371" s="46">
        <f>Demand!AG14</f>
        <v>999.45527477979738</v>
      </c>
      <c r="D371" s="46">
        <f>Demand!AG15</f>
        <v>7162.268344702783</v>
      </c>
      <c r="E371" s="46">
        <f>Demand!AG17</f>
        <v>547.5</v>
      </c>
    </row>
    <row r="372" spans="1:5" ht="15" customHeight="1" x14ac:dyDescent="0.2">
      <c r="A372">
        <v>2050</v>
      </c>
      <c r="B372" s="46">
        <f>Demand!AH13</f>
        <v>1052.5741937983671</v>
      </c>
      <c r="C372" s="46">
        <f>Demand!AH14</f>
        <v>1029.4840672792445</v>
      </c>
      <c r="D372" s="46">
        <f>Demand!AH15</f>
        <v>7191.0153639547507</v>
      </c>
      <c r="E372" s="46">
        <f>Demand!AH17</f>
        <v>547.5</v>
      </c>
    </row>
  </sheetData>
  <mergeCells count="2">
    <mergeCell ref="A1:E1"/>
    <mergeCell ref="B120:F1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Inputs</vt:lpstr>
      <vt:lpstr>Demand</vt:lpstr>
      <vt:lpstr>Supply</vt:lpstr>
      <vt:lpstr>Energy</vt:lpstr>
      <vt:lpstr>Investment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Edmundo Molina Perez</cp:lastModifiedBy>
  <cp:revision>16</cp:revision>
  <dcterms:created xsi:type="dcterms:W3CDTF">2026-04-20T15:57:50Z</dcterms:created>
  <dcterms:modified xsi:type="dcterms:W3CDTF">2026-05-06T05:35:27Z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ActionId">
    <vt:lpwstr>4d6f16af-bfdc-4f2f-a097-e0e701932e36</vt:lpwstr>
  </property>
  <property fmtid="{D5CDD505-2E9C-101B-9397-08002B2CF9AE}" pid="3" name="MSIP_Label_89608d83-f952-409d-b7c5-456515bbbf5a_ContentBits">
    <vt:lpwstr>0</vt:lpwstr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Method">
    <vt:lpwstr>Privileged</vt:lpwstr>
  </property>
  <property fmtid="{D5CDD505-2E9C-101B-9397-08002B2CF9AE}" pid="6" name="MSIP_Label_89608d83-f952-409d-b7c5-456515bbbf5a_Name">
    <vt:lpwstr>Public</vt:lpwstr>
  </property>
  <property fmtid="{D5CDD505-2E9C-101B-9397-08002B2CF9AE}" pid="7" name="MSIP_Label_89608d83-f952-409d-b7c5-456515bbbf5a_SetDate">
    <vt:lpwstr>2026-04-20T16:10:11Z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Tag">
    <vt:lpwstr>50, 0, 1, 1</vt:lpwstr>
  </property>
</Properties>
</file>