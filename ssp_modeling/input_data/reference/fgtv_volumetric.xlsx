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ssumptions" sheetId="1" state="visible" r:id="rId3"/>
    <sheet name="MMcfd" sheetId="2" state="visible" r:id="rId4"/>
    <sheet name="SISEPUEDE" sheetId="3" state="visible" r:id="rId5"/>
    <sheet name="Summary" sheetId="4" state="visible" r:id="rId6"/>
    <sheet name="tableau" sheetId="5" state="visible" r:id="rId7"/>
  </sheets>
  <definedNames>
    <definedName function="false" hidden="true" localSheetId="3" name="_xlnm._FilterDatabase" vbProcedure="false">Summary!$A$3:$F$619</definedName>
    <definedName function="false" hidden="true" localSheetId="4" name="_xlnm._FilterDatabase" vbProcedure="false">tableau!$A$1:$E$617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Calibrated to match BAU flaring reference (Oil production and flaring chart, World Bank/Tec). Implied EF averaged 0.0315 across 2023-2030. IPCC default for natural gas combustion is ~0.0548; the lower value here likely reflects associated gas composition (high inerts/CO2) or incomplete combustion.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Gas Recovery (volumetric residual): BAU total volume minus (Fugitive+Venting+Flaring) for this scenario. Represents gas captured instead of emitted. Cannot be derived from MtCO2e directly since captured gas has zero emissions.</t>
        </r>
      </text>
    </comment>
    <comment ref="P3" authorId="0">
      <text>
        <r>
          <rPr>
            <sz val="10"/>
            <rFont val="Arial"/>
            <family val="2"/>
          </rPr>
          <t xml:space="preserve">Gas Recovery (volumetric residual): BAU total volume minus (Fugitive+Venting+Flaring) for this scenario. Represents gas captured instead of emitted. Cannot be derived from MtCO2e directly since captured gas has zero emissions.</t>
        </r>
      </text>
    </comment>
  </commentList>
</comments>
</file>

<file path=xl/sharedStrings.xml><?xml version="1.0" encoding="utf-8"?>
<sst xmlns="http://schemas.openxmlformats.org/spreadsheetml/2006/main" count="2756" uniqueCount="93">
  <si>
    <t xml:space="preserve">Conversion Assumptions: MtCO2e -&gt; MMcfd</t>
  </si>
  <si>
    <t xml:space="preserve">Parameter</t>
  </si>
  <si>
    <t xml:space="preserve">Value</t>
  </si>
  <si>
    <t xml:space="preserve">Unit</t>
  </si>
  <si>
    <t xml:space="preserve">Source / Note</t>
  </si>
  <si>
    <t xml:space="preserve">GWP100 CH4 (AR5)</t>
  </si>
  <si>
    <t xml:space="preserve">kg CO2e / kg CH4</t>
  </si>
  <si>
    <t xml:space="preserve">IPCC AR5 WG1 Ch.8, Table 8.7</t>
  </si>
  <si>
    <t xml:space="preserve">CH4 share - Fugitive</t>
  </si>
  <si>
    <t xml:space="preserve">fraction</t>
  </si>
  <si>
    <t xml:space="preserve">IPCC 2006 GL Vol.2 Ch.4 - typical natural gas</t>
  </si>
  <si>
    <t xml:space="preserve">CH4 share - Venting</t>
  </si>
  <si>
    <t xml:space="preserve">CH4 density (std cond.)</t>
  </si>
  <si>
    <t xml:space="preserve">kg/scf</t>
  </si>
  <si>
    <t xml:space="preserve">At 60F, 14.73 psia (US standard)</t>
  </si>
  <si>
    <t xml:space="preserve">Natural gas density (std cond.)</t>
  </si>
  <si>
    <t xml:space="preserve">Avg. specific gravity ~0.65</t>
  </si>
  <si>
    <t xml:space="preserve">CO2 emission factor - flaring (NG)</t>
  </si>
  <si>
    <t xml:space="preserve">kg CO2 / scf NG</t>
  </si>
  <si>
    <t xml:space="preserve">Calibrated from BAU flaring reference 2023-2030 (mean implied EF)</t>
  </si>
  <si>
    <t xml:space="preserve">Days per year</t>
  </si>
  <si>
    <t xml:space="preserve">days</t>
  </si>
  <si>
    <t xml:space="preserve">Annual -&gt; daily conversion</t>
  </si>
  <si>
    <t xml:space="preserve">Mt to kg conversion</t>
  </si>
  <si>
    <t xml:space="preserve">kg / Mt</t>
  </si>
  <si>
    <t xml:space="preserve">1 Mt = 1e9 kg</t>
  </si>
  <si>
    <t xml:space="preserve">scf to MMcf</t>
  </si>
  <si>
    <t xml:space="preserve">scf / MMcf</t>
  </si>
  <si>
    <t xml:space="preserve">1 MMcf = 1e6 scf</t>
  </si>
  <si>
    <t xml:space="preserve">Methodology</t>
  </si>
  <si>
    <t xml:space="preserve">FUGITIVE &amp; VENTING (CH4-driven):</t>
  </si>
  <si>
    <t xml:space="preserve">  MMcfd = (MtCO2e * Mt2kg) / GWP100 / CH4_share / NG_density / scf2MMcf / Days</t>
  </si>
  <si>
    <t xml:space="preserve">  CO2e -&gt; kg CH4 -&gt; kg natural gas (uncombusted) -&gt; scf NG -&gt; MMcf -&gt; per day</t>
  </si>
  <si>
    <t xml:space="preserve">FLARING (CO2 from gas combustion):</t>
  </si>
  <si>
    <t xml:space="preserve">  MMcfd = (MtCO2 * Mt2kg) / EF_flare / scf2MMcf / Days</t>
  </si>
  <si>
    <t xml:space="preserve">  CO2 emitted -&gt; scf NG burned -&gt; MMcf -&gt; per day</t>
  </si>
  <si>
    <t xml:space="preserve">GAS RECOVERY: CH4-rich captured gas, conversion identical to Fugitive (95% CH4)</t>
  </si>
  <si>
    <t xml:space="preserve">NOTE: Flaring EF calibrated to BAU reference curve (mean 2023-2030). Implied EF varies 0.028-0.034 across years; single-value calibration introduces ~5-10% deviation at endpoints.</t>
  </si>
  <si>
    <t xml:space="preserve">GAS RECOVERY (UPDATED): computed as volumetric residual = BAU total volume - (F+V+Fl) of scenario. This enforces mass conservation: total gas associated with oil production is invariant across scenarios; only its destination changes.</t>
  </si>
  <si>
    <t xml:space="preserve">Volumetric estimates (MMcfd)</t>
  </si>
  <si>
    <t xml:space="preserve">BAU</t>
  </si>
  <si>
    <t xml:space="preserve">Unconditional</t>
  </si>
  <si>
    <t xml:space="preserve">Conditional</t>
  </si>
  <si>
    <t xml:space="preserve">Metric</t>
  </si>
  <si>
    <t xml:space="preserve">Fugitive</t>
  </si>
  <si>
    <t xml:space="preserve">Venting</t>
  </si>
  <si>
    <t xml:space="preserve">Flaring</t>
  </si>
  <si>
    <t xml:space="preserve">Year</t>
  </si>
  <si>
    <t xml:space="preserve">Gas Recovery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</si>
  <si>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</si>
  <si>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</si>
  <si>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</si>
  <si>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</si>
  <si>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</si>
  <si>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</si>
  <si>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</si>
  <si>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</si>
  <si>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</si>
  <si>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</si>
  <si>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</si>
  <si>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</si>
  <si>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</si>
  <si>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</si>
  <si>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</si>
  <si>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</si>
  <si>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</si>
  <si>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</si>
  <si>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</si>
  <si>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</si>
  <si>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</si>
  <si>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</si>
  <si>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</si>
  <si>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</si>
  <si>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</si>
  <si>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</si>
  <si>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</si>
  <si>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</si>
  <si>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Units: MMcfd (million standard cubic feet per day). See Assumptions sheet for parameters and methodology.</t>
  </si>
  <si>
    <t xml:space="preserve">MTCO2</t>
  </si>
  <si>
    <t xml:space="preserve">Long-format summary: emissions and volumetric estimates</t>
  </si>
  <si>
    <t xml:space="preserve">Strategy</t>
  </si>
  <si>
    <t xml:space="preserve">Category</t>
  </si>
  <si>
    <t xml:space="preserve">Source</t>
  </si>
  <si>
    <t xml:space="preserve">BAU - MtCO2e</t>
  </si>
  <si>
    <t xml:space="preserve">MtCO2e</t>
  </si>
  <si>
    <t xml:space="preserve">SISEPUEDE</t>
  </si>
  <si>
    <t xml:space="preserve">Unconditional - MtCO2e</t>
  </si>
  <si>
    <t xml:space="preserve">Conditional - MtCO2e</t>
  </si>
  <si>
    <t xml:space="preserve">BAU - MMcfd</t>
  </si>
  <si>
    <t xml:space="preserve">Unconditional - MMcfd</t>
  </si>
  <si>
    <t xml:space="preserve">Conditional - MMcfd</t>
  </si>
  <si>
    <t xml:space="preserve">MMcfd</t>
  </si>
  <si>
    <t xml:space="preserve">Long format: filter by Strategy/Category/Unit to slice. Pivot blocks (cols H-L) feed the stacked area charts.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</si>
</sst>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;\(#,##0.000\);\-"/>
    <numFmt numFmtId="166" formatCode="#,##0.00"/>
    <numFmt numFmtId="167" formatCode="0.00"/>
    <numFmt numFmtId="168" formatCode="#,##0.0000;\(#,##0.0000\);\-"/>
    <numFmt numFmtId="169" formatCode="#,##0.00;\(#,##0.00\);\-"/>
  </numFmts>
  <fonts count="21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b val="true"/>
      <sz val="11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9"/>
      <color rgb="FF595959"/>
      <name val="Arial"/>
      <family val="2"/>
      <charset val="1"/>
    </font>
    <font>
      <i val="true"/>
      <sz val="9"/>
      <color rgb="FFC00000"/>
      <name val="Arial"/>
      <family val="2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Calibri"/>
      <family val="2"/>
      <charset val="1"/>
    </font>
    <font>
      <sz val="9"/>
      <color rgb="FF000000"/>
      <name val="Arial"/>
      <family val="2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15D29"/>
      <rgbColor rgb="FFFFF2CC"/>
      <rgbColor rgb="FFD9E1F2"/>
      <rgbColor rgb="FF660066"/>
      <rgbColor rgb="FFEC907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0B4A4"/>
      <rgbColor rgb="FFCC99FF"/>
      <rgbColor rgb="FFF2BEB1"/>
      <rgbColor rgb="FF3366FF"/>
      <rgbColor rgb="FF33CCCC"/>
      <rgbColor rgb="FF99CC00"/>
      <rgbColor rgb="FFFFCC00"/>
      <rgbColor rgb="FFDA692E"/>
      <rgbColor rgb="FFE97132"/>
      <rgbColor rgb="FF595959"/>
      <rgbColor rgb="FF969696"/>
      <rgbColor rgb="FF003366"/>
      <rgbColor rgb="FF339966"/>
      <rgbColor rgb="FF003300"/>
      <rgbColor rgb="FF333300"/>
      <rgbColor rgb="FFB7592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BAU - Total emissions (MtCO2e)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Summary!I4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c15d29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Summary!$H$5:$H$32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Summary!$I$5:$I$32</c:f>
              <c:numCache>
                <c:formatCode>#,##0.00;\(#,##0.00\);\-</c:formatCode>
                <c:ptCount val="28"/>
                <c:pt idx="0">
                  <c:v>5.07640740742145</c:v>
                </c:pt>
                <c:pt idx="1">
                  <c:v>5.03707618268862</c:v>
                </c:pt>
                <c:pt idx="2">
                  <c:v>4.99698349864576</c:v>
                </c:pt>
                <c:pt idx="3">
                  <c:v>4.95449420268163</c:v>
                </c:pt>
                <c:pt idx="4">
                  <c:v>4.90769531435153</c:v>
                </c:pt>
                <c:pt idx="5">
                  <c:v>4.85457519092952</c:v>
                </c:pt>
                <c:pt idx="6">
                  <c:v>4.79318788491567</c:v>
                </c:pt>
                <c:pt idx="7">
                  <c:v>4.72180374464127</c:v>
                </c:pt>
                <c:pt idx="8">
                  <c:v>4.63903898992006</c:v>
                </c:pt>
                <c:pt idx="9">
                  <c:v>4.54398181660342</c:v>
                </c:pt>
                <c:pt idx="10">
                  <c:v>4.4361286903227</c:v>
                </c:pt>
                <c:pt idx="11">
                  <c:v>4.31532522398731</c:v>
                </c:pt>
                <c:pt idx="12">
                  <c:v>4.18171191437736</c:v>
                </c:pt>
                <c:pt idx="13">
                  <c:v>4.03567478407712</c:v>
                </c:pt>
                <c:pt idx="14">
                  <c:v>3.87780081719929</c:v>
                </c:pt>
                <c:pt idx="15">
                  <c:v>3.70883789401252</c:v>
                </c:pt>
                <c:pt idx="16">
                  <c:v>3.529658812203</c:v>
                </c:pt>
                <c:pt idx="17">
                  <c:v>3.34122888053096</c:v>
                </c:pt>
                <c:pt idx="18">
                  <c:v>3.14457649834677</c:v>
                </c:pt>
                <c:pt idx="19">
                  <c:v>2.94076605395807</c:v>
                </c:pt>
                <c:pt idx="20">
                  <c:v>2.73087349808412</c:v>
                </c:pt>
                <c:pt idx="21">
                  <c:v>2.51596324090748</c:v>
                </c:pt>
                <c:pt idx="22">
                  <c:v>2.29706509468039</c:v>
                </c:pt>
                <c:pt idx="23">
                  <c:v>2.07515052855202</c:v>
                </c:pt>
                <c:pt idx="24">
                  <c:v>1.85110751763768</c:v>
                </c:pt>
                <c:pt idx="25">
                  <c:v>1.62571331268771</c:v>
                </c:pt>
                <c:pt idx="26">
                  <c:v>1.39960450189968</c:v>
                </c:pt>
                <c:pt idx="27">
                  <c:v>1.39904265751221</c:v>
                </c:pt>
              </c:numCache>
            </c:numRef>
          </c:val>
        </c:ser>
        <c:ser>
          <c:idx val="1"/>
          <c:order val="1"/>
          <c:tx>
            <c:strRef>
              <c:f>Summary!J4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Summary!$H$5:$H$32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Summary!$J$5:$J$32</c:f>
              <c:numCache>
                <c:formatCode>#,##0.00;\(#,##0.00\);\-</c:formatCode>
                <c:ptCount val="28"/>
                <c:pt idx="0">
                  <c:v>15.6842553382928</c:v>
                </c:pt>
                <c:pt idx="1">
                  <c:v>15.5685608647558</c:v>
                </c:pt>
                <c:pt idx="2">
                  <c:v>15.4501911728468</c:v>
                </c:pt>
                <c:pt idx="3">
                  <c:v>15.3233960022639</c:v>
                </c:pt>
                <c:pt idx="4">
                  <c:v>15.1812277323545</c:v>
                </c:pt>
                <c:pt idx="5">
                  <c:v>15.0163903648691</c:v>
                </c:pt>
                <c:pt idx="6">
                  <c:v>14.8220984157191</c:v>
                </c:pt>
                <c:pt idx="7">
                  <c:v>14.5924720861494</c:v>
                </c:pt>
                <c:pt idx="8">
                  <c:v>14.3229021009967</c:v>
                </c:pt>
                <c:pt idx="9">
                  <c:v>14.010386021256</c:v>
                </c:pt>
                <c:pt idx="10">
                  <c:v>13.6533085366941</c:v>
                </c:pt>
                <c:pt idx="11">
                  <c:v>13.2512382422422</c:v>
                </c:pt>
                <c:pt idx="12">
                  <c:v>12.804741706993</c:v>
                </c:pt>
                <c:pt idx="13">
                  <c:v>12.3152149009454</c:v>
                </c:pt>
                <c:pt idx="14">
                  <c:v>11.7847314173488</c:v>
                </c:pt>
                <c:pt idx="15">
                  <c:v>11.215906406125</c:v>
                </c:pt>
                <c:pt idx="16">
                  <c:v>10.611774706524</c:v>
                </c:pt>
                <c:pt idx="17">
                  <c:v>9.97568132477899</c:v>
                </c:pt>
                <c:pt idx="18">
                  <c:v>9.3111821362892</c:v>
                </c:pt>
                <c:pt idx="19">
                  <c:v>8.62195249380593</c:v>
                </c:pt>
                <c:pt idx="20">
                  <c:v>7.91170501538731</c:v>
                </c:pt>
                <c:pt idx="21">
                  <c:v>7.18411174324694</c:v>
                </c:pt>
                <c:pt idx="22">
                  <c:v>6.44272605653065</c:v>
                </c:pt>
                <c:pt idx="23">
                  <c:v>5.69090174892371</c:v>
                </c:pt>
                <c:pt idx="24">
                  <c:v>4.93170674955849</c:v>
                </c:pt>
                <c:pt idx="25">
                  <c:v>4.16782908369246</c:v>
                </c:pt>
                <c:pt idx="26">
                  <c:v>3.40147284140132</c:v>
                </c:pt>
                <c:pt idx="27">
                  <c:v>3.40010738535822</c:v>
                </c:pt>
              </c:numCache>
            </c:numRef>
          </c:val>
        </c:ser>
        <c:ser>
          <c:idx val="2"/>
          <c:order val="2"/>
          <c:tx>
            <c:strRef>
              <c:f>Summary!K4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f0b4a4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Summary!$H$5:$H$32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Summary!$K$5:$K$32</c:f>
              <c:numCache>
                <c:formatCode>#,##0.00;\(#,##0.00\);\-</c:formatCode>
                <c:ptCount val="28"/>
                <c:pt idx="0">
                  <c:v>6.26733725428572</c:v>
                </c:pt>
                <c:pt idx="1">
                  <c:v>7.13859245380324</c:v>
                </c:pt>
                <c:pt idx="2">
                  <c:v>8.0105267753028</c:v>
                </c:pt>
                <c:pt idx="3">
                  <c:v>8.88378217243479</c:v>
                </c:pt>
                <c:pt idx="4">
                  <c:v>9.75913893988636</c:v>
                </c:pt>
                <c:pt idx="5">
                  <c:v>10.6372896924084</c:v>
                </c:pt>
                <c:pt idx="6">
                  <c:v>11.5186121918944</c:v>
                </c:pt>
                <c:pt idx="7">
                  <c:v>12.4032984199585</c:v>
                </c:pt>
                <c:pt idx="8">
                  <c:v>13.2915225083984</c:v>
                </c:pt>
                <c:pt idx="9">
                  <c:v>14.1836525397154</c:v>
                </c:pt>
                <c:pt idx="10">
                  <c:v>15.0801810255875</c:v>
                </c:pt>
                <c:pt idx="11">
                  <c:v>15.9816628585818</c:v>
                </c:pt>
                <c:pt idx="12">
                  <c:v>16.8886606022599</c:v>
                </c:pt>
                <c:pt idx="13">
                  <c:v>17.8016969446177</c:v>
                </c:pt>
                <c:pt idx="14">
                  <c:v>18.7212141494201</c:v>
                </c:pt>
                <c:pt idx="15">
                  <c:v>19.6475403560462</c:v>
                </c:pt>
                <c:pt idx="16">
                  <c:v>20.5808626354546</c:v>
                </c:pt>
                <c:pt idx="17">
                  <c:v>21.5212067840735</c:v>
                </c:pt>
                <c:pt idx="18">
                  <c:v>22.4684239324086</c:v>
                </c:pt>
                <c:pt idx="19">
                  <c:v>23.4221841374991</c:v>
                </c:pt>
                <c:pt idx="20">
                  <c:v>24.3819829079625</c:v>
                </c:pt>
                <c:pt idx="21">
                  <c:v>25.3471591459878</c:v>
                </c:pt>
                <c:pt idx="22">
                  <c:v>26.3169223423655</c:v>
                </c:pt>
                <c:pt idx="23">
                  <c:v>27.2903896992362</c:v>
                </c:pt>
                <c:pt idx="24">
                  <c:v>28.2666339378696</c:v>
                </c:pt>
                <c:pt idx="25">
                  <c:v>29.2447426193777</c:v>
                </c:pt>
                <c:pt idx="26">
                  <c:v>30.2238898361883</c:v>
                </c:pt>
                <c:pt idx="27">
                  <c:v>30.2117570352086</c:v>
                </c:pt>
              </c:numCache>
            </c:numRef>
          </c:val>
        </c:ser>
        <c:axId val="74470260"/>
        <c:axId val="10223405"/>
      </c:areaChart>
      <c:catAx>
        <c:axId val="74470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0223405"/>
        <c:crosses val="autoZero"/>
        <c:auto val="1"/>
        <c:lblAlgn val="ctr"/>
        <c:lblOffset val="100"/>
        <c:noMultiLvlLbl val="0"/>
      </c:catAx>
      <c:valAx>
        <c:axId val="102234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447026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Unconditional - Total emissions (MtCO2e)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Summary!I36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Summary!$H$37:$H$64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Summary!$I$37:$I$64</c:f>
              <c:numCache>
                <c:formatCode>#,##0.00;\(#,##0.00\);\-</c:formatCode>
                <c:ptCount val="28"/>
                <c:pt idx="0">
                  <c:v>5.07640740742145</c:v>
                </c:pt>
                <c:pt idx="1">
                  <c:v>4.95583586464591</c:v>
                </c:pt>
                <c:pt idx="2">
                  <c:v>4.83454439727256</c:v>
                </c:pt>
                <c:pt idx="3">
                  <c:v>4.71103179551282</c:v>
                </c:pt>
                <c:pt idx="4">
                  <c:v>4.58366228111657</c:v>
                </c:pt>
                <c:pt idx="5">
                  <c:v>4.45082213333614</c:v>
                </c:pt>
                <c:pt idx="6">
                  <c:v>4.31105733847797</c:v>
                </c:pt>
                <c:pt idx="7">
                  <c:v>4.16319011388305</c:v>
                </c:pt>
                <c:pt idx="8">
                  <c:v>4.00641198580478</c:v>
                </c:pt>
                <c:pt idx="9">
                  <c:v>3.84037155347675</c:v>
                </c:pt>
                <c:pt idx="10">
                  <c:v>3.66508838492583</c:v>
                </c:pt>
                <c:pt idx="11">
                  <c:v>3.48087467546772</c:v>
                </c:pt>
                <c:pt idx="12">
                  <c:v>3.28826479448325</c:v>
                </c:pt>
                <c:pt idx="13">
                  <c:v>3.08795265385824</c:v>
                </c:pt>
                <c:pt idx="14">
                  <c:v>2.88073670882157</c:v>
                </c:pt>
                <c:pt idx="15">
                  <c:v>2.66747229634874</c:v>
                </c:pt>
                <c:pt idx="16">
                  <c:v>2.44903137794609</c:v>
                </c:pt>
                <c:pt idx="17">
                  <c:v>2.22626949256041</c:v>
                </c:pt>
                <c:pt idx="18">
                  <c:v>1.99999876209772</c:v>
                </c:pt>
                <c:pt idx="19">
                  <c:v>1.77096657446861</c:v>
                </c:pt>
                <c:pt idx="20">
                  <c:v>1.53984490147656</c:v>
                </c:pt>
                <c:pt idx="21">
                  <c:v>1.3072043247357</c:v>
                </c:pt>
                <c:pt idx="22">
                  <c:v>1.07351945089531</c:v>
                </c:pt>
                <c:pt idx="23">
                  <c:v>0.839169161060441</c:v>
                </c:pt>
                <c:pt idx="24">
                  <c:v>0.602589303745258</c:v>
                </c:pt>
                <c:pt idx="25">
                  <c:v>0.366601983580208</c:v>
                </c:pt>
                <c:pt idx="26">
                  <c:v>0.132785693880818</c:v>
                </c:pt>
                <c:pt idx="27">
                  <c:v>0.128712394440005</c:v>
                </c:pt>
              </c:numCache>
            </c:numRef>
          </c:val>
        </c:ser>
        <c:ser>
          <c:idx val="1"/>
          <c:order val="1"/>
          <c:tx>
            <c:strRef>
              <c:f>Summary!J36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Summary!$H$37:$H$64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Summary!$J$37:$J$64</c:f>
              <c:numCache>
                <c:formatCode>#,##0.00;\(#,##0.00\);\-</c:formatCode>
                <c:ptCount val="28"/>
                <c:pt idx="0">
                  <c:v>15.6842553382928</c:v>
                </c:pt>
                <c:pt idx="1">
                  <c:v>16.4464880789156</c:v>
                </c:pt>
                <c:pt idx="2">
                  <c:v>17.2056473036157</c:v>
                </c:pt>
                <c:pt idx="3">
                  <c:v>17.9550420256204</c:v>
                </c:pt>
                <c:pt idx="4">
                  <c:v>18.6862526064924</c:v>
                </c:pt>
                <c:pt idx="5">
                  <c:v>19.3897448257999</c:v>
                </c:pt>
                <c:pt idx="6">
                  <c:v>20.055505412366</c:v>
                </c:pt>
                <c:pt idx="7">
                  <c:v>20.673714620164</c:v>
                </c:pt>
                <c:pt idx="8">
                  <c:v>21.235449307268</c:v>
                </c:pt>
                <c:pt idx="9">
                  <c:v>21.733417357039</c:v>
                </c:pt>
                <c:pt idx="10">
                  <c:v>22.1619956705879</c:v>
                </c:pt>
                <c:pt idx="11">
                  <c:v>22.5172863388219</c:v>
                </c:pt>
                <c:pt idx="12">
                  <c:v>22.7971938565021</c:v>
                </c:pt>
                <c:pt idx="13">
                  <c:v>23.0015251288735</c:v>
                </c:pt>
                <c:pt idx="14">
                  <c:v>23.1321128650041</c:v>
                </c:pt>
                <c:pt idx="15">
                  <c:v>23.1924219296195</c:v>
                </c:pt>
                <c:pt idx="16">
                  <c:v>23.1871977818214</c:v>
                </c:pt>
                <c:pt idx="17">
                  <c:v>23.122155020929</c:v>
                </c:pt>
                <c:pt idx="18">
                  <c:v>23.0036968110422</c:v>
                </c:pt>
                <c:pt idx="19">
                  <c:v>22.8386616511017</c:v>
                </c:pt>
                <c:pt idx="20">
                  <c:v>22.6341640120326</c:v>
                </c:pt>
                <c:pt idx="21">
                  <c:v>22.3971822142266</c:v>
                </c:pt>
                <c:pt idx="22">
                  <c:v>22.134475988756</c:v>
                </c:pt>
                <c:pt idx="23">
                  <c:v>21.8524395377526</c:v>
                </c:pt>
                <c:pt idx="24">
                  <c:v>21.4910075137137</c:v>
                </c:pt>
                <c:pt idx="25">
                  <c:v>21.0853138342242</c:v>
                </c:pt>
                <c:pt idx="26">
                  <c:v>20.6743966377366</c:v>
                </c:pt>
                <c:pt idx="27">
                  <c:v>20.040194218768</c:v>
                </c:pt>
              </c:numCache>
            </c:numRef>
          </c:val>
        </c:ser>
        <c:ser>
          <c:idx val="2"/>
          <c:order val="2"/>
          <c:tx>
            <c:strRef>
              <c:f>Summary!K36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Summary!$H$37:$H$64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Summary!$K$37:$K$64</c:f>
              <c:numCache>
                <c:formatCode>#,##0.00;\(#,##0.00\);\-</c:formatCode>
                <c:ptCount val="28"/>
                <c:pt idx="0">
                  <c:v>6.26733725428572</c:v>
                </c:pt>
                <c:pt idx="1">
                  <c:v>5.90826998706786</c:v>
                </c:pt>
                <c:pt idx="2">
                  <c:v>5.54938893113556</c:v>
                </c:pt>
                <c:pt idx="3">
                  <c:v>5.19082172574743</c:v>
                </c:pt>
                <c:pt idx="4">
                  <c:v>4.83316881662206</c:v>
                </c:pt>
                <c:pt idx="5">
                  <c:v>4.47754558284711</c:v>
                </c:pt>
                <c:pt idx="6">
                  <c:v>4.12558147001583</c:v>
                </c:pt>
                <c:pt idx="7">
                  <c:v>3.77937956693076</c:v>
                </c:pt>
                <c:pt idx="8">
                  <c:v>3.4414350220952</c:v>
                </c:pt>
                <c:pt idx="9">
                  <c:v>3.11451839708675</c:v>
                </c:pt>
                <c:pt idx="10">
                  <c:v>2.80143380314006</c:v>
                </c:pt>
                <c:pt idx="11">
                  <c:v>2.50477883603924</c:v>
                </c:pt>
                <c:pt idx="12">
                  <c:v>2.2267051911673</c:v>
                </c:pt>
                <c:pt idx="13">
                  <c:v>1.96867894860284</c:v>
                </c:pt>
                <c:pt idx="14">
                  <c:v>1.73123979143159</c:v>
                </c:pt>
                <c:pt idx="15">
                  <c:v>1.51416153333034</c:v>
                </c:pt>
                <c:pt idx="16">
                  <c:v>1.31659957193704</c:v>
                </c:pt>
                <c:pt idx="17">
                  <c:v>1.13722553780904</c:v>
                </c:pt>
                <c:pt idx="18">
                  <c:v>0.974349658332746</c:v>
                </c:pt>
                <c:pt idx="19">
                  <c:v>0.826031669186506</c:v>
                </c:pt>
                <c:pt idx="20">
                  <c:v>0.690183744538406</c:v>
                </c:pt>
                <c:pt idx="21">
                  <c:v>0.564654971122876</c:v>
                </c:pt>
                <c:pt idx="22">
                  <c:v>0.447320512802506</c:v>
                </c:pt>
                <c:pt idx="23">
                  <c:v>0.336159177348439</c:v>
                </c:pt>
                <c:pt idx="24">
                  <c:v>0.297034384416357</c:v>
                </c:pt>
                <c:pt idx="25">
                  <c:v>0.295598225175764</c:v>
                </c:pt>
                <c:pt idx="26">
                  <c:v>0.294108633845407</c:v>
                </c:pt>
                <c:pt idx="27">
                  <c:v>0.285086633818386</c:v>
                </c:pt>
              </c:numCache>
            </c:numRef>
          </c:val>
        </c:ser>
        <c:ser>
          <c:idx val="3"/>
          <c:order val="3"/>
          <c:tx>
            <c:strRef>
              <c:f>Summary!L36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Summary!$H$37:$H$64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Summary!$L$37:$L$64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0.868120814771544</c:v>
                </c:pt>
                <c:pt idx="3">
                  <c:v>1.30477683049967</c:v>
                </c:pt>
                <c:pt idx="4">
                  <c:v>1.74497828236136</c:v>
                </c:pt>
                <c:pt idx="5">
                  <c:v>2.19014270622387</c:v>
                </c:pt>
                <c:pt idx="6">
                  <c:v>2.64175427166937</c:v>
                </c:pt>
                <c:pt idx="7">
                  <c:v>3.10128994977136</c:v>
                </c:pt>
                <c:pt idx="8">
                  <c:v>3.57016728414718</c:v>
                </c:pt>
                <c:pt idx="9">
                  <c:v>4.04971306997232</c:v>
                </c:pt>
                <c:pt idx="10">
                  <c:v>4.54110039395051</c:v>
                </c:pt>
                <c:pt idx="11">
                  <c:v>5.04528647448245</c:v>
                </c:pt>
                <c:pt idx="12">
                  <c:v>5.56295038147761</c:v>
                </c:pt>
                <c:pt idx="13">
                  <c:v>6.09442989830564</c:v>
                </c:pt>
                <c:pt idx="14">
                  <c:v>6.63965701871093</c:v>
                </c:pt>
                <c:pt idx="15">
                  <c:v>7.19822889688514</c:v>
                </c:pt>
                <c:pt idx="16">
                  <c:v>7.76946742247707</c:v>
                </c:pt>
                <c:pt idx="17">
                  <c:v>8.352466938085</c:v>
                </c:pt>
                <c:pt idx="18">
                  <c:v>8.9461373355719</c:v>
                </c:pt>
                <c:pt idx="19">
                  <c:v>9.54924279050629</c:v>
                </c:pt>
                <c:pt idx="20">
                  <c:v>10.1603687633864</c:v>
                </c:pt>
                <c:pt idx="21">
                  <c:v>10.778192620057</c:v>
                </c:pt>
                <c:pt idx="22">
                  <c:v>11.4013975411227</c:v>
                </c:pt>
                <c:pt idx="23">
                  <c:v>12.0286741005505</c:v>
                </c:pt>
                <c:pt idx="24">
                  <c:v>12.6588170031905</c:v>
                </c:pt>
                <c:pt idx="25">
                  <c:v>13.2907709727777</c:v>
                </c:pt>
                <c:pt idx="26">
                  <c:v>13.9236762140265</c:v>
                </c:pt>
                <c:pt idx="27">
                  <c:v>13.9236762140265</c:v>
                </c:pt>
              </c:numCache>
            </c:numRef>
          </c:val>
        </c:ser>
        <c:axId val="92764732"/>
        <c:axId val="3072289"/>
      </c:areaChart>
      <c:catAx>
        <c:axId val="92764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072289"/>
        <c:crosses val="autoZero"/>
        <c:auto val="1"/>
        <c:lblAlgn val="ctr"/>
        <c:lblOffset val="100"/>
        <c:noMultiLvlLbl val="0"/>
      </c:catAx>
      <c:valAx>
        <c:axId val="30722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27647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Conditional - Total emissions (MtCO2e)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Summary!I68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Summary!$H$69:$H$96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Summary!$I$69:$I$96</c:f>
              <c:numCache>
                <c:formatCode>#,##0.00;\(#,##0.00\);\-</c:formatCode>
                <c:ptCount val="28"/>
                <c:pt idx="0">
                  <c:v>5.07640740742145</c:v>
                </c:pt>
                <c:pt idx="1">
                  <c:v>5.1613834118107</c:v>
                </c:pt>
                <c:pt idx="2">
                  <c:v>4.93260601283925</c:v>
                </c:pt>
                <c:pt idx="3">
                  <c:v>4.70134907240413</c:v>
                </c:pt>
                <c:pt idx="4">
                  <c:v>4.46620558074675</c:v>
                </c:pt>
                <c:pt idx="5">
                  <c:v>4.2259580087124</c:v>
                </c:pt>
                <c:pt idx="6">
                  <c:v>3.97969154655927</c:v>
                </c:pt>
                <c:pt idx="7">
                  <c:v>3.7268765916726</c:v>
                </c:pt>
                <c:pt idx="8">
                  <c:v>3.46742173462704</c:v>
                </c:pt>
                <c:pt idx="9">
                  <c:v>3.20171632661302</c:v>
                </c:pt>
                <c:pt idx="10">
                  <c:v>2.93050926812696</c:v>
                </c:pt>
                <c:pt idx="11">
                  <c:v>2.65479940139799</c:v>
                </c:pt>
                <c:pt idx="12">
                  <c:v>2.37573748173258</c:v>
                </c:pt>
                <c:pt idx="13">
                  <c:v>2.09453949307224</c:v>
                </c:pt>
                <c:pt idx="14">
                  <c:v>1.8124108832945</c:v>
                </c:pt>
                <c:pt idx="15">
                  <c:v>1.53047778672359</c:v>
                </c:pt>
                <c:pt idx="16">
                  <c:v>1.24972987449971</c:v>
                </c:pt>
                <c:pt idx="17">
                  <c:v>0.970972978467209</c:v>
                </c:pt>
                <c:pt idx="18">
                  <c:v>0.694788501153321</c:v>
                </c:pt>
                <c:pt idx="19">
                  <c:v>0.421495157738018</c:v>
                </c:pt>
                <c:pt idx="20">
                  <c:v>0.151073916496975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Summary!J68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Summary!$H$69:$H$96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Summary!$J$69:$J$96</c:f>
              <c:numCache>
                <c:formatCode>#,##0.00;\(#,##0.00\);\-</c:formatCode>
                <c:ptCount val="28"/>
                <c:pt idx="0">
                  <c:v>15.6842553382928</c:v>
                </c:pt>
                <c:pt idx="1">
                  <c:v>14.9901828003279</c:v>
                </c:pt>
                <c:pt idx="2">
                  <c:v>14.9917108364193</c:v>
                </c:pt>
                <c:pt idx="3">
                  <c:v>14.981681305764</c:v>
                </c:pt>
                <c:pt idx="4">
                  <c:v>14.9498049612511</c:v>
                </c:pt>
                <c:pt idx="5">
                  <c:v>14.8846390712571</c:v>
                </c:pt>
                <c:pt idx="6">
                  <c:v>14.77436728874</c:v>
                </c:pt>
                <c:pt idx="7">
                  <c:v>14.6075659701891</c:v>
                </c:pt>
                <c:pt idx="8">
                  <c:v>14.3739492820739</c:v>
                </c:pt>
                <c:pt idx="9">
                  <c:v>14.0650892872354</c:v>
                </c:pt>
                <c:pt idx="10">
                  <c:v>13.6744961805388</c:v>
                </c:pt>
                <c:pt idx="11">
                  <c:v>13.1976888900301</c:v>
                </c:pt>
                <c:pt idx="12">
                  <c:v>12.6322575703387</c:v>
                </c:pt>
                <c:pt idx="13">
                  <c:v>11.9779181495447</c:v>
                </c:pt>
                <c:pt idx="14">
                  <c:v>11.2365577461733</c:v>
                </c:pt>
                <c:pt idx="15">
                  <c:v>10.4118693749658</c:v>
                </c:pt>
                <c:pt idx="16">
                  <c:v>9.50901971311466</c:v>
                </c:pt>
                <c:pt idx="17">
                  <c:v>8.5343437094954</c:v>
                </c:pt>
                <c:pt idx="18">
                  <c:v>7.49506481222332</c:v>
                </c:pt>
                <c:pt idx="19">
                  <c:v>6.39908708515287</c:v>
                </c:pt>
                <c:pt idx="20">
                  <c:v>5.25469783268809</c:v>
                </c:pt>
                <c:pt idx="21">
                  <c:v>3.97104970840891</c:v>
                </c:pt>
                <c:pt idx="22">
                  <c:v>2.53803995924582</c:v>
                </c:pt>
                <c:pt idx="23">
                  <c:v>1.11027339140751</c:v>
                </c:pt>
                <c:pt idx="24">
                  <c:v>0.0919671825659387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Summary!K68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Summary!$H$69:$H$96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Summary!$K$69:$K$96</c:f>
              <c:numCache>
                <c:formatCode>#,##0.00;\(#,##0.00\);\-</c:formatCode>
                <c:ptCount val="28"/>
                <c:pt idx="0">
                  <c:v>6.26733725428572</c:v>
                </c:pt>
                <c:pt idx="1">
                  <c:v>6.27727571138163</c:v>
                </c:pt>
                <c:pt idx="2">
                  <c:v>5.90074750261989</c:v>
                </c:pt>
                <c:pt idx="3">
                  <c:v>5.52410027312733</c:v>
                </c:pt>
                <c:pt idx="4">
                  <c:v>5.14819657435067</c:v>
                </c:pt>
                <c:pt idx="5">
                  <c:v>4.77449903715161</c:v>
                </c:pt>
                <c:pt idx="6">
                  <c:v>4.40501707976397</c:v>
                </c:pt>
                <c:pt idx="7">
                  <c:v>4.04221679223758</c:v>
                </c:pt>
                <c:pt idx="8">
                  <c:v>3.68889627304874</c:v>
                </c:pt>
                <c:pt idx="9">
                  <c:v>3.34803582749697</c:v>
                </c:pt>
                <c:pt idx="10">
                  <c:v>3.02253960177787</c:v>
                </c:pt>
                <c:pt idx="11">
                  <c:v>2.71499670093887</c:v>
                </c:pt>
                <c:pt idx="12">
                  <c:v>2.42746207061574</c:v>
                </c:pt>
                <c:pt idx="13">
                  <c:v>2.16125770413282</c:v>
                </c:pt>
                <c:pt idx="14">
                  <c:v>1.91679517791358</c:v>
                </c:pt>
                <c:pt idx="15">
                  <c:v>1.69373041543658</c:v>
                </c:pt>
                <c:pt idx="16">
                  <c:v>1.49110861714849</c:v>
                </c:pt>
                <c:pt idx="17">
                  <c:v>1.30749951778061</c:v>
                </c:pt>
                <c:pt idx="18">
                  <c:v>1.14112420132327</c:v>
                </c:pt>
                <c:pt idx="19">
                  <c:v>0.989984253207358</c:v>
                </c:pt>
                <c:pt idx="20">
                  <c:v>0.851979872676624</c:v>
                </c:pt>
                <c:pt idx="21">
                  <c:v>0.707384265526366</c:v>
                </c:pt>
                <c:pt idx="22">
                  <c:v>0.540269158587701</c:v>
                </c:pt>
                <c:pt idx="23">
                  <c:v>0.352373645696012</c:v>
                </c:pt>
                <c:pt idx="24">
                  <c:v>0.148944911604615</c:v>
                </c:pt>
                <c:pt idx="25">
                  <c:v>0.0479457982285089</c:v>
                </c:pt>
                <c:pt idx="26">
                  <c:v>0.0199458928442885</c:v>
                </c:pt>
                <c:pt idx="27">
                  <c:v>0.0199458928442885</c:v>
                </c:pt>
              </c:numCache>
            </c:numRef>
          </c:val>
        </c:ser>
        <c:ser>
          <c:idx val="3"/>
          <c:order val="3"/>
          <c:tx>
            <c:strRef>
              <c:f>Summary!L68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Summary!$H$69:$H$96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Summary!$L$69:$L$96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2.63263709491692</c:v>
                </c:pt>
                <c:pt idx="3">
                  <c:v>3.95454172608486</c:v>
                </c:pt>
                <c:pt idx="4">
                  <c:v>5.28385487024387</c:v>
                </c:pt>
                <c:pt idx="5">
                  <c:v>6.62315913108591</c:v>
                </c:pt>
                <c:pt idx="6">
                  <c:v>7.97482257746593</c:v>
                </c:pt>
                <c:pt idx="7">
                  <c:v>9.34091489664989</c:v>
                </c:pt>
                <c:pt idx="8">
                  <c:v>10.7231963095655</c:v>
                </c:pt>
                <c:pt idx="9">
                  <c:v>12.1231789362294</c:v>
                </c:pt>
                <c:pt idx="10">
                  <c:v>13.5420732021607</c:v>
                </c:pt>
                <c:pt idx="11">
                  <c:v>14.9807413324444</c:v>
                </c:pt>
                <c:pt idx="12">
                  <c:v>16.4396571009432</c:v>
                </c:pt>
                <c:pt idx="13">
                  <c:v>17.9188712828905</c:v>
                </c:pt>
                <c:pt idx="14">
                  <c:v>19.4179825765868</c:v>
                </c:pt>
                <c:pt idx="15">
                  <c:v>20.9362070790578</c:v>
                </c:pt>
                <c:pt idx="16">
                  <c:v>22.4724379494187</c:v>
                </c:pt>
                <c:pt idx="17">
                  <c:v>24.0253007836402</c:v>
                </c:pt>
                <c:pt idx="18">
                  <c:v>25.5932050523447</c:v>
                </c:pt>
                <c:pt idx="19">
                  <c:v>27.1743361891649</c:v>
                </c:pt>
                <c:pt idx="20">
                  <c:v>28.7668097995722</c:v>
                </c:pt>
                <c:pt idx="21">
                  <c:v>30.3688001562069</c:v>
                </c:pt>
                <c:pt idx="22">
                  <c:v>31.978404375743</c:v>
                </c:pt>
                <c:pt idx="23">
                  <c:v>33.5937949396084</c:v>
                </c:pt>
                <c:pt idx="24">
                  <c:v>34.8085361108952</c:v>
                </c:pt>
                <c:pt idx="25">
                  <c:v>34.9903392175294</c:v>
                </c:pt>
                <c:pt idx="26">
                  <c:v>35.005021286645</c:v>
                </c:pt>
                <c:pt idx="27">
                  <c:v>35.005021286645</c:v>
                </c:pt>
              </c:numCache>
            </c:numRef>
          </c:val>
        </c:ser>
        <c:axId val="39304695"/>
        <c:axId val="92796382"/>
      </c:areaChart>
      <c:catAx>
        <c:axId val="39304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2796382"/>
        <c:crosses val="autoZero"/>
        <c:auto val="1"/>
        <c:lblAlgn val="ctr"/>
        <c:lblOffset val="100"/>
        <c:noMultiLvlLbl val="0"/>
      </c:catAx>
      <c:valAx>
        <c:axId val="927963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930469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BAU - Total emissions (MMcfd)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Summary!I100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c15d29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Summary!$H$101:$H$128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Summary!$I$101:$I$128</c:f>
              <c:numCache>
                <c:formatCode>#,##0.00;\(#,##0.00\);\-</c:formatCode>
                <c:ptCount val="28"/>
                <c:pt idx="0">
                  <c:v>12.568650140783</c:v>
                </c:pt>
                <c:pt idx="1">
                  <c:v>12.4712701703431</c:v>
                </c:pt>
                <c:pt idx="2">
                  <c:v>12.3720049068414</c:v>
                </c:pt>
                <c:pt idx="3">
                  <c:v>12.2668058846115</c:v>
                </c:pt>
                <c:pt idx="4">
                  <c:v>12.1509367655296</c:v>
                </c:pt>
                <c:pt idx="5">
                  <c:v>12.0194169340539</c:v>
                </c:pt>
                <c:pt idx="6">
                  <c:v>11.8674284291034</c:v>
                </c:pt>
                <c:pt idx="7">
                  <c:v>11.6906888152974</c:v>
                </c:pt>
                <c:pt idx="8">
                  <c:v>11.4857719986216</c:v>
                </c:pt>
                <c:pt idx="9">
                  <c:v>11.2504204480266</c:v>
                </c:pt>
                <c:pt idx="10">
                  <c:v>10.9833874654432</c:v>
                </c:pt>
                <c:pt idx="11">
                  <c:v>10.6842908046938</c:v>
                </c:pt>
                <c:pt idx="12">
                  <c:v>10.35347832101</c:v>
                </c:pt>
                <c:pt idx="13">
                  <c:v>9.99190576565835</c:v>
                </c:pt>
                <c:pt idx="14">
                  <c:v>9.60102644948603</c:v>
                </c:pt>
                <c:pt idx="15">
                  <c:v>9.18269204527847</c:v>
                </c:pt>
                <c:pt idx="16">
                  <c:v>8.73906350819175</c:v>
                </c:pt>
                <c:pt idx="17">
                  <c:v>8.27253084105885</c:v>
                </c:pt>
                <c:pt idx="18">
                  <c:v>7.78564025236985</c:v>
                </c:pt>
                <c:pt idx="19">
                  <c:v>7.28102705548299</c:v>
                </c:pt>
                <c:pt idx="20">
                  <c:v>6.76135519107004</c:v>
                </c:pt>
                <c:pt idx="21">
                  <c:v>6.22926002664924</c:v>
                </c:pt>
                <c:pt idx="22">
                  <c:v>5.6872912689069</c:v>
                </c:pt>
                <c:pt idx="23">
                  <c:v>5.13785417315026</c:v>
                </c:pt>
                <c:pt idx="24">
                  <c:v>4.58314727225156</c:v>
                </c:pt>
                <c:pt idx="25">
                  <c:v>4.02509495721582</c:v>
                </c:pt>
                <c:pt idx="26">
                  <c:v>3.46527335338069</c:v>
                </c:pt>
                <c:pt idx="27">
                  <c:v>3.46388228584553</c:v>
                </c:pt>
              </c:numCache>
            </c:numRef>
          </c:val>
        </c:ser>
        <c:ser>
          <c:idx val="1"/>
          <c:order val="1"/>
          <c:tx>
            <c:strRef>
              <c:f>Summary!J100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Summary!$H$101:$H$128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Summary!$J$101:$J$128</c:f>
              <c:numCache>
                <c:formatCode>#,##0.00;\(#,##0.00\);\-</c:formatCode>
                <c:ptCount val="28"/>
                <c:pt idx="0">
                  <c:v>38.8325644977816</c:v>
                </c:pt>
                <c:pt idx="1">
                  <c:v>38.5461171651694</c:v>
                </c:pt>
                <c:pt idx="2">
                  <c:v>38.2530462735973</c:v>
                </c:pt>
                <c:pt idx="3">
                  <c:v>37.9391147841216</c:v>
                </c:pt>
                <c:pt idx="4">
                  <c:v>37.5871211196652</c:v>
                </c:pt>
                <c:pt idx="5">
                  <c:v>37.1790011569091</c:v>
                </c:pt>
                <c:pt idx="6">
                  <c:v>36.6979547518339</c:v>
                </c:pt>
                <c:pt idx="7">
                  <c:v>36.1294241419277</c:v>
                </c:pt>
                <c:pt idx="8">
                  <c:v>35.4619972472921</c:v>
                </c:pt>
                <c:pt idx="9">
                  <c:v>34.6882403451397</c:v>
                </c:pt>
                <c:pt idx="10">
                  <c:v>33.8041540974426</c:v>
                </c:pt>
                <c:pt idx="11">
                  <c:v>32.8086703906818</c:v>
                </c:pt>
                <c:pt idx="12">
                  <c:v>31.7031919902653</c:v>
                </c:pt>
                <c:pt idx="13">
                  <c:v>30.4911751708996</c:v>
                </c:pt>
                <c:pt idx="14">
                  <c:v>29.1777539310988</c:v>
                </c:pt>
                <c:pt idx="15">
                  <c:v>27.769403106666</c:v>
                </c:pt>
                <c:pt idx="16">
                  <c:v>26.2736366399831</c:v>
                </c:pt>
                <c:pt idx="17">
                  <c:v>24.6987364142186</c:v>
                </c:pt>
                <c:pt idx="18">
                  <c:v>23.0535064023893</c:v>
                </c:pt>
                <c:pt idx="19">
                  <c:v>21.3470463908535</c:v>
                </c:pt>
                <c:pt idx="20">
                  <c:v>19.5885484309446</c:v>
                </c:pt>
                <c:pt idx="21">
                  <c:v>17.7871041124783</c:v>
                </c:pt>
                <c:pt idx="22">
                  <c:v>15.9515112280107</c:v>
                </c:pt>
                <c:pt idx="23">
                  <c:v>14.0900734175163</c:v>
                </c:pt>
                <c:pt idx="24">
                  <c:v>12.2103865504411</c:v>
                </c:pt>
                <c:pt idx="25">
                  <c:v>10.3191058942448</c:v>
                </c:pt>
                <c:pt idx="26">
                  <c:v>8.42168854384047</c:v>
                </c:pt>
                <c:pt idx="27">
                  <c:v>8.41830781847488</c:v>
                </c:pt>
              </c:numCache>
            </c:numRef>
          </c:val>
        </c:ser>
        <c:ser>
          <c:idx val="2"/>
          <c:order val="2"/>
          <c:tx>
            <c:strRef>
              <c:f>Summary!K100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f0b4a4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Summary!$H$101:$H$128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Summary!$K$101:$K$128</c:f>
              <c:numCache>
                <c:formatCode>#,##0.00;\(#,##0.00\);\-</c:formatCode>
                <c:ptCount val="28"/>
                <c:pt idx="0">
                  <c:v>545.104349144224</c:v>
                </c:pt>
                <c:pt idx="1">
                  <c:v>620.882144275124</c:v>
                </c:pt>
                <c:pt idx="2">
                  <c:v>696.719006332055</c:v>
                </c:pt>
                <c:pt idx="3">
                  <c:v>772.67076950944</c:v>
                </c:pt>
                <c:pt idx="4">
                  <c:v>848.805300272786</c:v>
                </c:pt>
                <c:pt idx="5">
                  <c:v>925.182839087488</c:v>
                </c:pt>
                <c:pt idx="6">
                  <c:v>1001.83624195646</c:v>
                </c:pt>
                <c:pt idx="7">
                  <c:v>1078.78220656304</c:v>
                </c:pt>
                <c:pt idx="8">
                  <c:v>1156.0358780951</c:v>
                </c:pt>
                <c:pt idx="9">
                  <c:v>1233.62927068627</c:v>
                </c:pt>
                <c:pt idx="10">
                  <c:v>1311.60522075125</c:v>
                </c:pt>
                <c:pt idx="11">
                  <c:v>1390.01199030935</c:v>
                </c:pt>
                <c:pt idx="12">
                  <c:v>1468.89850856794</c:v>
                </c:pt>
                <c:pt idx="13">
                  <c:v>1548.31023653992</c:v>
                </c:pt>
                <c:pt idx="14">
                  <c:v>1628.28564030616</c:v>
                </c:pt>
                <c:pt idx="15">
                  <c:v>1708.85325993009</c:v>
                </c:pt>
                <c:pt idx="16">
                  <c:v>1790.02936598866</c:v>
                </c:pt>
                <c:pt idx="17">
                  <c:v>1871.81620213729</c:v>
                </c:pt>
                <c:pt idx="18">
                  <c:v>1954.20082038779</c:v>
                </c:pt>
                <c:pt idx="19">
                  <c:v>2037.15452380945</c:v>
                </c:pt>
                <c:pt idx="20">
                  <c:v>2120.63343404762</c:v>
                </c:pt>
                <c:pt idx="21">
                  <c:v>2204.5800518363</c:v>
                </c:pt>
                <c:pt idx="22">
                  <c:v>2288.9256222975</c:v>
                </c:pt>
                <c:pt idx="23">
                  <c:v>2373.5933637083</c:v>
                </c:pt>
                <c:pt idx="24">
                  <c:v>2458.50262560292</c:v>
                </c:pt>
                <c:pt idx="25">
                  <c:v>2543.57404821724</c:v>
                </c:pt>
                <c:pt idx="26">
                  <c:v>2628.73579788548</c:v>
                </c:pt>
                <c:pt idx="27">
                  <c:v>2627.68054230995</c:v>
                </c:pt>
              </c:numCache>
            </c:numRef>
          </c:val>
        </c:ser>
        <c:axId val="74939108"/>
        <c:axId val="7036117"/>
      </c:areaChart>
      <c:catAx>
        <c:axId val="74939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036117"/>
        <c:crosses val="autoZero"/>
        <c:auto val="1"/>
        <c:lblAlgn val="ctr"/>
        <c:lblOffset val="100"/>
        <c:noMultiLvlLbl val="0"/>
      </c:catAx>
      <c:valAx>
        <c:axId val="70361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49391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Unconditional - Total emissions (MMcfd)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Summary!I132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Summary!$H$133:$H$160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Summary!$I$133:$I$160</c:f>
              <c:numCache>
                <c:formatCode>#,##0.00;\(#,##0.00\);\-</c:formatCode>
                <c:ptCount val="28"/>
                <c:pt idx="0">
                  <c:v>12.568650140783</c:v>
                </c:pt>
                <c:pt idx="1">
                  <c:v>12.2701276983437</c:v>
                </c:pt>
                <c:pt idx="2">
                  <c:v>11.969822798416</c:v>
                </c:pt>
                <c:pt idx="3">
                  <c:v>11.6640186036568</c:v>
                </c:pt>
                <c:pt idx="4">
                  <c:v>11.3486650993838</c:v>
                </c:pt>
                <c:pt idx="5">
                  <c:v>11.0197668829678</c:v>
                </c:pt>
                <c:pt idx="6">
                  <c:v>10.6737239696266</c:v>
                </c:pt>
                <c:pt idx="7">
                  <c:v>10.3076202935298</c:v>
                </c:pt>
                <c:pt idx="8">
                  <c:v>9.91945415882166</c:v>
                </c:pt>
                <c:pt idx="9">
                  <c:v>9.5083555342108</c:v>
                </c:pt>
                <c:pt idx="10">
                  <c:v>9.07437286807104</c:v>
                </c:pt>
                <c:pt idx="11">
                  <c:v>8.61827912312654</c:v>
                </c:pt>
                <c:pt idx="12">
                  <c:v>8.14139734168944</c:v>
                </c:pt>
                <c:pt idx="13">
                  <c:v>7.64544557651267</c:v>
                </c:pt>
                <c:pt idx="14">
                  <c:v>7.13240071865708</c:v>
                </c:pt>
                <c:pt idx="15">
                  <c:v>6.60438049239786</c:v>
                </c:pt>
                <c:pt idx="16">
                  <c:v>6.06354378259785</c:v>
                </c:pt>
                <c:pt idx="17">
                  <c:v>5.5120088135919</c:v>
                </c:pt>
                <c:pt idx="18">
                  <c:v>4.95178631369417</c:v>
                </c:pt>
                <c:pt idx="19">
                  <c:v>4.38472673666337</c:v>
                </c:pt>
                <c:pt idx="20">
                  <c:v>3.81249381391908</c:v>
                </c:pt>
                <c:pt idx="21">
                  <c:v>3.23650024544955</c:v>
                </c:pt>
                <c:pt idx="22">
                  <c:v>2.65792110733724</c:v>
                </c:pt>
                <c:pt idx="23">
                  <c:v>2.07769446929802</c:v>
                </c:pt>
                <c:pt idx="24">
                  <c:v>1.49194765697484</c:v>
                </c:pt>
                <c:pt idx="25">
                  <c:v>0.907667904234889</c:v>
                </c:pt>
                <c:pt idx="26">
                  <c:v>0.328763394295187</c:v>
                </c:pt>
                <c:pt idx="27">
                  <c:v>0.31867833384173</c:v>
                </c:pt>
              </c:numCache>
            </c:numRef>
          </c:val>
        </c:ser>
        <c:ser>
          <c:idx val="1"/>
          <c:order val="1"/>
          <c:tx>
            <c:strRef>
              <c:f>Summary!J132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Summary!$H$133:$H$160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Summary!$J$133:$J$160</c:f>
              <c:numCache>
                <c:formatCode>#,##0.00;\(#,##0.00\);\-</c:formatCode>
                <c:ptCount val="28"/>
                <c:pt idx="0">
                  <c:v>38.8325644977816</c:v>
                </c:pt>
                <c:pt idx="1">
                  <c:v>40.7197724923039</c:v>
                </c:pt>
                <c:pt idx="2">
                  <c:v>42.5993707850758</c:v>
                </c:pt>
                <c:pt idx="3">
                  <c:v>44.4547931974803</c:v>
                </c:pt>
                <c:pt idx="4">
                  <c:v>46.2651935914249</c:v>
                </c:pt>
                <c:pt idx="5">
                  <c:v>48.0069662411757</c:v>
                </c:pt>
                <c:pt idx="6">
                  <c:v>49.6553193418032</c:v>
                </c:pt>
                <c:pt idx="7">
                  <c:v>51.1859402362697</c:v>
                </c:pt>
                <c:pt idx="8">
                  <c:v>52.5767361648688</c:v>
                </c:pt>
                <c:pt idx="9">
                  <c:v>53.8096526147404</c:v>
                </c:pt>
                <c:pt idx="10">
                  <c:v>54.8707673852074</c:v>
                </c:pt>
                <c:pt idx="11">
                  <c:v>55.7504296638475</c:v>
                </c:pt>
                <c:pt idx="12">
                  <c:v>56.4434512003685</c:v>
                </c:pt>
                <c:pt idx="13">
                  <c:v>56.9493539124917</c:v>
                </c:pt>
                <c:pt idx="14">
                  <c:v>57.2726753948658</c:v>
                </c:pt>
                <c:pt idx="15">
                  <c:v>57.4219942876641</c:v>
                </c:pt>
                <c:pt idx="16">
                  <c:v>57.4090598478746</c:v>
                </c:pt>
                <c:pt idx="17">
                  <c:v>57.2480208216034</c:v>
                </c:pt>
                <c:pt idx="18">
                  <c:v>56.9547307688401</c:v>
                </c:pt>
                <c:pt idx="19">
                  <c:v>56.5461210927948</c:v>
                </c:pt>
                <c:pt idx="20">
                  <c:v>56.0398064742482</c:v>
                </c:pt>
                <c:pt idx="21">
                  <c:v>55.4530644995984</c:v>
                </c:pt>
                <c:pt idx="22">
                  <c:v>54.8026315511084</c:v>
                </c:pt>
                <c:pt idx="23">
                  <c:v>54.1043389998787</c:v>
                </c:pt>
                <c:pt idx="24">
                  <c:v>53.209471371016</c:v>
                </c:pt>
                <c:pt idx="25">
                  <c:v>52.2050165444834</c:v>
                </c:pt>
                <c:pt idx="26">
                  <c:v>51.1876288399557</c:v>
                </c:pt>
                <c:pt idx="27">
                  <c:v>49.617410438887</c:v>
                </c:pt>
              </c:numCache>
            </c:numRef>
          </c:val>
        </c:ser>
        <c:ser>
          <c:idx val="2"/>
          <c:order val="2"/>
          <c:tx>
            <c:strRef>
              <c:f>Summary!K132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Summary!$H$133:$H$160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Summary!$K$133:$K$160</c:f>
              <c:numCache>
                <c:formatCode>#,##0.00;\(#,##0.00\);\-</c:formatCode>
                <c:ptCount val="28"/>
                <c:pt idx="0">
                  <c:v>545.104349144224</c:v>
                </c:pt>
                <c:pt idx="1">
                  <c:v>513.874319379679</c:v>
                </c:pt>
                <c:pt idx="2">
                  <c:v>482.660485421662</c:v>
                </c:pt>
                <c:pt idx="3">
                  <c:v>451.473948749505</c:v>
                </c:pt>
                <c:pt idx="4">
                  <c:v>420.366933387437</c:v>
                </c:pt>
                <c:pt idx="5">
                  <c:v>389.436449910599</c:v>
                </c:pt>
                <c:pt idx="6">
                  <c:v>358.824220049213</c:v>
                </c:pt>
                <c:pt idx="7">
                  <c:v>328.713160855035</c:v>
                </c:pt>
                <c:pt idx="8">
                  <c:v>299.320288940657</c:v>
                </c:pt>
                <c:pt idx="9">
                  <c:v>270.886575089085</c:v>
                </c:pt>
                <c:pt idx="10">
                  <c:v>243.655908079153</c:v>
                </c:pt>
                <c:pt idx="11">
                  <c:v>217.854214919699</c:v>
                </c:pt>
                <c:pt idx="12">
                  <c:v>193.668640240687</c:v>
                </c:pt>
                <c:pt idx="13">
                  <c:v>171.226696986548</c:v>
                </c:pt>
                <c:pt idx="14">
                  <c:v>150.575324325426</c:v>
                </c:pt>
                <c:pt idx="15">
                  <c:v>131.694849604726</c:v>
                </c:pt>
                <c:pt idx="16">
                  <c:v>114.511813171302</c:v>
                </c:pt>
                <c:pt idx="17">
                  <c:v>98.9106795224214</c:v>
                </c:pt>
                <c:pt idx="18">
                  <c:v>84.7444799593604</c:v>
                </c:pt>
                <c:pt idx="19">
                  <c:v>71.8444591595135</c:v>
                </c:pt>
                <c:pt idx="20">
                  <c:v>60.0290275745515</c:v>
                </c:pt>
                <c:pt idx="21">
                  <c:v>49.1111085995109</c:v>
                </c:pt>
                <c:pt idx="22">
                  <c:v>38.9058936988481</c:v>
                </c:pt>
                <c:pt idx="23">
                  <c:v>29.2375888104752</c:v>
                </c:pt>
                <c:pt idx="24">
                  <c:v>25.83469314341</c:v>
                </c:pt>
                <c:pt idx="25">
                  <c:v>25.7097825767135</c:v>
                </c:pt>
                <c:pt idx="26">
                  <c:v>25.5802247310639</c:v>
                </c:pt>
                <c:pt idx="27">
                  <c:v>24.7955324042954</c:v>
                </c:pt>
              </c:numCache>
            </c:numRef>
          </c:val>
        </c:ser>
        <c:ser>
          <c:idx val="3"/>
          <c:order val="3"/>
          <c:tx>
            <c:strRef>
              <c:f>Summary!L132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Summary!$H$133:$H$160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Summary!$L$133:$L$160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105.03531204031</c:v>
                </c:pt>
                <c:pt idx="2">
                  <c:v>210.11437850734</c:v>
                </c:pt>
                <c:pt idx="3">
                  <c:v>315.283929627531</c:v>
                </c:pt>
                <c:pt idx="4">
                  <c:v>420.562566079735</c:v>
                </c:pt>
                <c:pt idx="5">
                  <c:v>525.918074143709</c:v>
                </c:pt>
                <c:pt idx="6">
                  <c:v>631.248361776754</c:v>
                </c:pt>
                <c:pt idx="7">
                  <c:v>736.395598135426</c:v>
                </c:pt>
                <c:pt idx="8">
                  <c:v>841.167168076665</c:v>
                </c:pt>
                <c:pt idx="9">
                  <c:v>945.363348241401</c:v>
                </c:pt>
                <c:pt idx="10">
                  <c:v>1048.7917139817</c:v>
                </c:pt>
                <c:pt idx="11">
                  <c:v>1151.28202779806</c:v>
                </c:pt>
                <c:pt idx="12">
                  <c:v>1252.70169009647</c:v>
                </c:pt>
                <c:pt idx="13">
                  <c:v>1352.97182100092</c:v>
                </c:pt>
                <c:pt idx="14">
                  <c:v>1452.0840202478</c:v>
                </c:pt>
                <c:pt idx="15">
                  <c:v>1550.08413069725</c:v>
                </c:pt>
                <c:pt idx="16">
                  <c:v>1647.05764933506</c:v>
                </c:pt>
                <c:pt idx="17">
                  <c:v>1743.11676023495</c:v>
                </c:pt>
                <c:pt idx="18">
                  <c:v>1838.38897000065</c:v>
                </c:pt>
                <c:pt idx="19">
                  <c:v>1933.00729026681</c:v>
                </c:pt>
                <c:pt idx="20">
                  <c:v>2027.10200980691</c:v>
                </c:pt>
                <c:pt idx="21">
                  <c:v>2120.79574263086</c:v>
                </c:pt>
                <c:pt idx="22">
                  <c:v>2214.19797843712</c:v>
                </c:pt>
                <c:pt idx="23">
                  <c:v>2307.40166901932</c:v>
                </c:pt>
                <c:pt idx="24">
                  <c:v>2394.76004725421</c:v>
                </c:pt>
                <c:pt idx="25">
                  <c:v>2479.09578204327</c:v>
                </c:pt>
                <c:pt idx="26">
                  <c:v>2563.52614281739</c:v>
                </c:pt>
                <c:pt idx="27">
                  <c:v>2564.83111123724</c:v>
                </c:pt>
              </c:numCache>
            </c:numRef>
          </c:val>
        </c:ser>
        <c:axId val="70659667"/>
        <c:axId val="5310628"/>
      </c:areaChart>
      <c:catAx>
        <c:axId val="70659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310628"/>
        <c:crosses val="autoZero"/>
        <c:auto val="1"/>
        <c:lblAlgn val="ctr"/>
        <c:lblOffset val="100"/>
        <c:noMultiLvlLbl val="0"/>
      </c:catAx>
      <c:valAx>
        <c:axId val="53106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06596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Conditional - Total emissions (MMcfd)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Summary!I164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Summary!$H$165:$H$192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Summary!$I$165:$I$192</c:f>
              <c:numCache>
                <c:formatCode>#,##0.00;\(#,##0.00\);\-</c:formatCode>
                <c:ptCount val="28"/>
                <c:pt idx="0">
                  <c:v>12.568650140783</c:v>
                </c:pt>
                <c:pt idx="1">
                  <c:v>12.7790417787687</c:v>
                </c:pt>
                <c:pt idx="2">
                  <c:v>12.2126130316223</c:v>
                </c:pt>
                <c:pt idx="3">
                  <c:v>11.640045200934</c:v>
                </c:pt>
                <c:pt idx="4">
                  <c:v>11.0578546787149</c:v>
                </c:pt>
                <c:pt idx="5">
                  <c:v>10.4630269909967</c:v>
                </c:pt>
                <c:pt idx="6">
                  <c:v>9.85329716519781</c:v>
                </c:pt>
                <c:pt idx="7">
                  <c:v>9.22735396101704</c:v>
                </c:pt>
                <c:pt idx="8">
                  <c:v>8.58497105834357</c:v>
                </c:pt>
                <c:pt idx="9">
                  <c:v>7.92711244972206</c:v>
                </c:pt>
                <c:pt idx="10">
                  <c:v>7.25563233391441</c:v>
                </c:pt>
                <c:pt idx="11">
                  <c:v>6.57300373909119</c:v>
                </c:pt>
                <c:pt idx="12">
                  <c:v>5.88207581420436</c:v>
                </c:pt>
                <c:pt idx="13">
                  <c:v>5.18585920743699</c:v>
                </c:pt>
                <c:pt idx="14">
                  <c:v>4.48733848078731</c:v>
                </c:pt>
                <c:pt idx="15">
                  <c:v>3.7893018242481</c:v>
                </c:pt>
                <c:pt idx="16">
                  <c:v>3.09419955933955</c:v>
                </c:pt>
                <c:pt idx="17">
                  <c:v>2.40402684084555</c:v>
                </c:pt>
                <c:pt idx="18">
                  <c:v>1.72022316019564</c:v>
                </c:pt>
                <c:pt idx="19">
                  <c:v>1.0435776226113</c:v>
                </c:pt>
                <c:pt idx="20">
                  <c:v>0.374043107547357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Summary!J164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Summary!$H$165:$H$192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Summary!$J$165:$J$192</c:f>
              <c:numCache>
                <c:formatCode>#,##0.00;\(#,##0.00\);\-</c:formatCode>
                <c:ptCount val="28"/>
                <c:pt idx="0">
                  <c:v>38.8325644977816</c:v>
                </c:pt>
                <c:pt idx="1">
                  <c:v>37.1141139870419</c:v>
                </c:pt>
                <c:pt idx="2">
                  <c:v>37.1178972434857</c:v>
                </c:pt>
                <c:pt idx="3">
                  <c:v>37.0930651818</c:v>
                </c:pt>
                <c:pt idx="4">
                  <c:v>37.0141427097061</c:v>
                </c:pt>
                <c:pt idx="5">
                  <c:v>36.8527988287461</c:v>
                </c:pt>
                <c:pt idx="6">
                  <c:v>36.5797775080318</c:v>
                </c:pt>
                <c:pt idx="7">
                  <c:v>36.1667950092626</c:v>
                </c:pt>
                <c:pt idx="8">
                  <c:v>35.5883846918252</c:v>
                </c:pt>
                <c:pt idx="9">
                  <c:v>34.8236798708658</c:v>
                </c:pt>
                <c:pt idx="10">
                  <c:v>33.8566124723165</c:v>
                </c:pt>
                <c:pt idx="11">
                  <c:v>32.6760878339242</c:v>
                </c:pt>
                <c:pt idx="12">
                  <c:v>31.2761394323336</c:v>
                </c:pt>
                <c:pt idx="13">
                  <c:v>29.6560639353868</c:v>
                </c:pt>
                <c:pt idx="14">
                  <c:v>27.8205336498186</c:v>
                </c:pt>
                <c:pt idx="15">
                  <c:v>25.7786920912144</c:v>
                </c:pt>
                <c:pt idx="16">
                  <c:v>23.5433314081964</c:v>
                </c:pt>
                <c:pt idx="17">
                  <c:v>21.1301362670426</c:v>
                </c:pt>
                <c:pt idx="18">
                  <c:v>18.55699116458</c:v>
                </c:pt>
                <c:pt idx="19">
                  <c:v>15.8434657305297</c:v>
                </c:pt>
                <c:pt idx="20">
                  <c:v>13.0100784578546</c:v>
                </c:pt>
                <c:pt idx="21">
                  <c:v>9.8319008840155</c:v>
                </c:pt>
                <c:pt idx="22">
                  <c:v>6.28391965634042</c:v>
                </c:pt>
                <c:pt idx="23">
                  <c:v>2.74891999346242</c:v>
                </c:pt>
                <c:pt idx="24">
                  <c:v>0.227701058905344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Summary!K164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Summary!$H$165:$H$192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Summary!$K$165:$K$192</c:f>
              <c:numCache>
                <c:formatCode>#,##0.00;\(#,##0.00\);\-</c:formatCode>
                <c:ptCount val="28"/>
                <c:pt idx="0">
                  <c:v>545.104349144224</c:v>
                </c:pt>
                <c:pt idx="1">
                  <c:v>545.968750718124</c:v>
                </c:pt>
                <c:pt idx="2">
                  <c:v>513.220048064352</c:v>
                </c:pt>
                <c:pt idx="3">
                  <c:v>480.460993531405</c:v>
                </c:pt>
                <c:pt idx="4">
                  <c:v>447.766607901776</c:v>
                </c:pt>
                <c:pt idx="5">
                  <c:v>415.264104122775</c:v>
                </c:pt>
                <c:pt idx="6">
                  <c:v>383.128252208217</c:v>
                </c:pt>
                <c:pt idx="7">
                  <c:v>351.573541399224</c:v>
                </c:pt>
                <c:pt idx="8">
                  <c:v>320.843337512393</c:v>
                </c:pt>
                <c:pt idx="9">
                  <c:v>291.196853881015</c:v>
                </c:pt>
                <c:pt idx="10">
                  <c:v>262.886679867612</c:v>
                </c:pt>
                <c:pt idx="11">
                  <c:v>236.138003995553</c:v>
                </c:pt>
                <c:pt idx="12">
                  <c:v>211.129556043987</c:v>
                </c:pt>
                <c:pt idx="13">
                  <c:v>187.976316950017</c:v>
                </c:pt>
                <c:pt idx="14">
                  <c:v>166.714083749822</c:v>
                </c:pt>
                <c:pt idx="15">
                  <c:v>147.31293024019</c:v>
                </c:pt>
                <c:pt idx="16">
                  <c:v>129.689812319938</c:v>
                </c:pt>
                <c:pt idx="17">
                  <c:v>113.720332053108</c:v>
                </c:pt>
                <c:pt idx="18">
                  <c:v>99.2497674558182</c:v>
                </c:pt>
                <c:pt idx="19">
                  <c:v>86.1043055627187</c:v>
                </c:pt>
                <c:pt idx="20">
                  <c:v>74.1013153012937</c:v>
                </c:pt>
                <c:pt idx="21">
                  <c:v>61.5250502740914</c:v>
                </c:pt>
                <c:pt idx="22">
                  <c:v>46.9901420819918</c:v>
                </c:pt>
                <c:pt idx="23">
                  <c:v>30.6478491581659</c:v>
                </c:pt>
                <c:pt idx="24">
                  <c:v>12.9545476498904</c:v>
                </c:pt>
                <c:pt idx="25">
                  <c:v>4.17010639082487</c:v>
                </c:pt>
                <c:pt idx="26">
                  <c:v>1.73480259571981</c:v>
                </c:pt>
                <c:pt idx="27">
                  <c:v>1.73480259571981</c:v>
                </c:pt>
              </c:numCache>
            </c:numRef>
          </c:val>
        </c:ser>
        <c:ser>
          <c:idx val="3"/>
          <c:order val="3"/>
          <c:tx>
            <c:strRef>
              <c:f>Summary!L164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Summary!$H$165:$H$192</c:f>
              <c:strCach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strCache>
            </c:strRef>
          </c:cat>
          <c:val>
            <c:numRef>
              <c:f>Summary!$L$165:$L$192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76.0376251267021</c:v>
                </c:pt>
                <c:pt idx="2">
                  <c:v>184.793499173033</c:v>
                </c:pt>
                <c:pt idx="3">
                  <c:v>293.682586264034</c:v>
                </c:pt>
                <c:pt idx="4">
                  <c:v>402.704752867784</c:v>
                </c:pt>
                <c:pt idx="5">
                  <c:v>511.801327235933</c:v>
                </c:pt>
                <c:pt idx="6">
                  <c:v>620.840298255951</c:v>
                </c:pt>
                <c:pt idx="7">
                  <c:v>729.634629150757</c:v>
                </c:pt>
                <c:pt idx="8">
                  <c:v>837.966954078451</c:v>
                </c:pt>
                <c:pt idx="9">
                  <c:v>945.620285277835</c:v>
                </c:pt>
                <c:pt idx="10">
                  <c:v>1052.39383764029</c:v>
                </c:pt>
                <c:pt idx="11">
                  <c:v>1158.11785593616</c:v>
                </c:pt>
                <c:pt idx="12">
                  <c:v>1262.66740758869</c:v>
                </c:pt>
                <c:pt idx="13">
                  <c:v>1365.97507738363</c:v>
                </c:pt>
                <c:pt idx="14">
                  <c:v>1468.04246480632</c:v>
                </c:pt>
                <c:pt idx="15">
                  <c:v>1568.92443092638</c:v>
                </c:pt>
                <c:pt idx="16">
                  <c:v>1668.71472284936</c:v>
                </c:pt>
                <c:pt idx="17">
                  <c:v>1767.53297423157</c:v>
                </c:pt>
                <c:pt idx="18">
                  <c:v>1865.51298526195</c:v>
                </c:pt>
                <c:pt idx="19">
                  <c:v>1962.79124833992</c:v>
                </c:pt>
                <c:pt idx="20">
                  <c:v>2059.49790080294</c:v>
                </c:pt>
                <c:pt idx="21">
                  <c:v>2157.23946481732</c:v>
                </c:pt>
                <c:pt idx="22">
                  <c:v>2257.29036305609</c:v>
                </c:pt>
                <c:pt idx="23">
                  <c:v>2359.42452214734</c:v>
                </c:pt>
                <c:pt idx="24">
                  <c:v>2462.11391071682</c:v>
                </c:pt>
                <c:pt idx="25">
                  <c:v>2553.74814267787</c:v>
                </c:pt>
                <c:pt idx="26">
                  <c:v>2638.88795718698</c:v>
                </c:pt>
                <c:pt idx="27">
                  <c:v>2637.82792981855</c:v>
                </c:pt>
              </c:numCache>
            </c:numRef>
          </c:val>
        </c:ser>
        <c:axId val="94957050"/>
        <c:axId val="60637946"/>
      </c:areaChart>
      <c:catAx>
        <c:axId val="94957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0637946"/>
        <c:crosses val="autoZero"/>
        <c:auto val="1"/>
        <c:lblAlgn val="ctr"/>
        <c:lblOffset val="100"/>
        <c:noMultiLvlLbl val="0"/>
      </c:catAx>
      <c:valAx>
        <c:axId val="606379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49570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175680</xdr:rowOff>
    </xdr:from>
    <xdr:to>
      <xdr:col>23</xdr:col>
      <xdr:colOff>3960</xdr:colOff>
      <xdr:row>18</xdr:row>
      <xdr:rowOff>176400</xdr:rowOff>
    </xdr:to>
    <xdr:graphicFrame>
      <xdr:nvGraphicFramePr>
        <xdr:cNvPr id="0" name="Chart 1"/>
        <xdr:cNvGraphicFramePr/>
      </xdr:nvGraphicFramePr>
      <xdr:xfrm>
        <a:off x="11020320" y="375840"/>
        <a:ext cx="611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176040</xdr:rowOff>
    </xdr:from>
    <xdr:to>
      <xdr:col>23</xdr:col>
      <xdr:colOff>3960</xdr:colOff>
      <xdr:row>37</xdr:row>
      <xdr:rowOff>176760</xdr:rowOff>
    </xdr:to>
    <xdr:graphicFrame>
      <xdr:nvGraphicFramePr>
        <xdr:cNvPr id="1" name="Chart 2"/>
        <xdr:cNvGraphicFramePr/>
      </xdr:nvGraphicFramePr>
      <xdr:xfrm>
        <a:off x="11020320" y="399564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39</xdr:row>
      <xdr:rowOff>176040</xdr:rowOff>
    </xdr:from>
    <xdr:to>
      <xdr:col>23</xdr:col>
      <xdr:colOff>3960</xdr:colOff>
      <xdr:row>56</xdr:row>
      <xdr:rowOff>176760</xdr:rowOff>
    </xdr:to>
    <xdr:graphicFrame>
      <xdr:nvGraphicFramePr>
        <xdr:cNvPr id="2" name="Chart 3"/>
        <xdr:cNvGraphicFramePr/>
      </xdr:nvGraphicFramePr>
      <xdr:xfrm>
        <a:off x="11020320" y="761508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58</xdr:row>
      <xdr:rowOff>176040</xdr:rowOff>
    </xdr:from>
    <xdr:to>
      <xdr:col>23</xdr:col>
      <xdr:colOff>3960</xdr:colOff>
      <xdr:row>75</xdr:row>
      <xdr:rowOff>176760</xdr:rowOff>
    </xdr:to>
    <xdr:graphicFrame>
      <xdr:nvGraphicFramePr>
        <xdr:cNvPr id="3" name="Chart 4"/>
        <xdr:cNvGraphicFramePr/>
      </xdr:nvGraphicFramePr>
      <xdr:xfrm>
        <a:off x="11020320" y="1123452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77</xdr:row>
      <xdr:rowOff>176040</xdr:rowOff>
    </xdr:from>
    <xdr:to>
      <xdr:col>23</xdr:col>
      <xdr:colOff>3960</xdr:colOff>
      <xdr:row>94</xdr:row>
      <xdr:rowOff>176760</xdr:rowOff>
    </xdr:to>
    <xdr:graphicFrame>
      <xdr:nvGraphicFramePr>
        <xdr:cNvPr id="4" name="Chart 5"/>
        <xdr:cNvGraphicFramePr/>
      </xdr:nvGraphicFramePr>
      <xdr:xfrm>
        <a:off x="11020320" y="1485396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96</xdr:row>
      <xdr:rowOff>175680</xdr:rowOff>
    </xdr:from>
    <xdr:to>
      <xdr:col>23</xdr:col>
      <xdr:colOff>3960</xdr:colOff>
      <xdr:row>113</xdr:row>
      <xdr:rowOff>176760</xdr:rowOff>
    </xdr:to>
    <xdr:graphicFrame>
      <xdr:nvGraphicFramePr>
        <xdr:cNvPr id="5" name="Chart 6"/>
        <xdr:cNvGraphicFramePr/>
      </xdr:nvGraphicFramePr>
      <xdr:xfrm>
        <a:off x="11020320" y="18473040"/>
        <a:ext cx="611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62" zoomScaleNormal="162" zoomScalePageLayoutView="100" workbookViewId="0">
      <pane xSplit="0" ySplit="3" topLeftCell="A4" activePane="bottomLeft" state="frozen"/>
      <selection pane="topLeft" activeCell="A1" activeCellId="0" sqref="A1"/>
      <selection pane="bottomLeft" activeCell="A23" activeCellId="0" sqref="A23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5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5" t="n">
        <v>28</v>
      </c>
      <c r="C4" s="6" t="s">
        <v>6</v>
      </c>
      <c r="D4" s="7" t="s">
        <v>7</v>
      </c>
    </row>
    <row r="5" customFormat="false" ht="15" hidden="false" customHeight="true" outlineLevel="0" collapsed="false">
      <c r="A5" s="4" t="s">
        <v>8</v>
      </c>
      <c r="B5" s="5" t="n">
        <v>0.95</v>
      </c>
      <c r="C5" s="6" t="s">
        <v>9</v>
      </c>
      <c r="D5" s="7" t="s">
        <v>10</v>
      </c>
    </row>
    <row r="6" customFormat="false" ht="15" hidden="false" customHeight="true" outlineLevel="0" collapsed="false">
      <c r="A6" s="4" t="s">
        <v>11</v>
      </c>
      <c r="B6" s="5" t="n">
        <v>0.95</v>
      </c>
      <c r="C6" s="6" t="s">
        <v>9</v>
      </c>
      <c r="D6" s="7" t="s">
        <v>10</v>
      </c>
    </row>
    <row r="7" customFormat="false" ht="15" hidden="false" customHeight="true" outlineLevel="0" collapsed="false">
      <c r="A7" s="4" t="s">
        <v>12</v>
      </c>
      <c r="B7" s="5" t="n">
        <v>0.0191</v>
      </c>
      <c r="C7" s="6" t="s">
        <v>13</v>
      </c>
      <c r="D7" s="7" t="s">
        <v>14</v>
      </c>
    </row>
    <row r="8" customFormat="false" ht="15" hidden="false" customHeight="true" outlineLevel="0" collapsed="false">
      <c r="A8" s="4" t="s">
        <v>15</v>
      </c>
      <c r="B8" s="5" t="n">
        <v>0.0416</v>
      </c>
      <c r="C8" s="6" t="s">
        <v>13</v>
      </c>
      <c r="D8" s="7" t="s">
        <v>16</v>
      </c>
    </row>
    <row r="9" customFormat="false" ht="15" hidden="false" customHeight="true" outlineLevel="0" collapsed="false">
      <c r="A9" s="4" t="s">
        <v>17</v>
      </c>
      <c r="B9" s="5" t="n">
        <v>0.0315</v>
      </c>
      <c r="C9" s="6" t="s">
        <v>18</v>
      </c>
      <c r="D9" s="7" t="s">
        <v>19</v>
      </c>
    </row>
    <row r="10" customFormat="false" ht="15" hidden="false" customHeight="true" outlineLevel="0" collapsed="false">
      <c r="A10" s="4" t="s">
        <v>20</v>
      </c>
      <c r="B10" s="5" t="n">
        <v>365</v>
      </c>
      <c r="C10" s="6" t="s">
        <v>21</v>
      </c>
      <c r="D10" s="7" t="s">
        <v>22</v>
      </c>
    </row>
    <row r="11" customFormat="false" ht="15" hidden="false" customHeight="true" outlineLevel="0" collapsed="false">
      <c r="A11" s="4" t="s">
        <v>23</v>
      </c>
      <c r="B11" s="5" t="n">
        <v>1000000000</v>
      </c>
      <c r="C11" s="6" t="s">
        <v>24</v>
      </c>
      <c r="D11" s="7" t="s">
        <v>25</v>
      </c>
    </row>
    <row r="12" customFormat="false" ht="15" hidden="false" customHeight="true" outlineLevel="0" collapsed="false">
      <c r="A12" s="4" t="s">
        <v>26</v>
      </c>
      <c r="B12" s="5" t="n">
        <v>1000000</v>
      </c>
      <c r="C12" s="6" t="s">
        <v>27</v>
      </c>
      <c r="D12" s="7" t="s">
        <v>28</v>
      </c>
    </row>
    <row r="14" customFormat="false" ht="15" hidden="false" customHeight="true" outlineLevel="0" collapsed="false">
      <c r="A14" s="8" t="s">
        <v>29</v>
      </c>
    </row>
    <row r="15" customFormat="false" ht="15" hidden="false" customHeight="true" outlineLevel="0" collapsed="false">
      <c r="A15" s="9" t="s">
        <v>30</v>
      </c>
      <c r="B15" s="9"/>
      <c r="C15" s="9"/>
      <c r="D15" s="9"/>
      <c r="E15" s="9"/>
    </row>
    <row r="16" customFormat="false" ht="15" hidden="false" customHeight="true" outlineLevel="0" collapsed="false">
      <c r="A16" s="9" t="s">
        <v>31</v>
      </c>
      <c r="B16" s="9"/>
      <c r="C16" s="9"/>
      <c r="D16" s="9"/>
      <c r="E16" s="9"/>
    </row>
    <row r="17" customFormat="false" ht="15" hidden="false" customHeight="true" outlineLevel="0" collapsed="false">
      <c r="A17" s="9" t="s">
        <v>32</v>
      </c>
      <c r="B17" s="9"/>
      <c r="C17" s="9"/>
      <c r="D17" s="9"/>
      <c r="E17" s="9"/>
    </row>
    <row r="18" customFormat="false" ht="15" hidden="false" customHeight="true" outlineLevel="0" collapsed="false">
      <c r="A18" s="9"/>
      <c r="B18" s="9"/>
      <c r="C18" s="9"/>
      <c r="D18" s="9"/>
      <c r="E18" s="9"/>
    </row>
    <row r="19" customFormat="false" ht="15" hidden="false" customHeight="true" outlineLevel="0" collapsed="false">
      <c r="A19" s="9" t="s">
        <v>33</v>
      </c>
      <c r="B19" s="9"/>
      <c r="C19" s="9"/>
      <c r="D19" s="9"/>
      <c r="E19" s="9"/>
    </row>
    <row r="20" customFormat="false" ht="15" hidden="false" customHeight="true" outlineLevel="0" collapsed="false">
      <c r="A20" s="9" t="s">
        <v>34</v>
      </c>
      <c r="B20" s="9"/>
      <c r="C20" s="9"/>
      <c r="D20" s="9"/>
      <c r="E20" s="9"/>
    </row>
    <row r="21" customFormat="false" ht="15" hidden="false" customHeight="true" outlineLevel="0" collapsed="false">
      <c r="A21" s="9" t="s">
        <v>35</v>
      </c>
      <c r="B21" s="9"/>
      <c r="C21" s="9"/>
      <c r="D21" s="9"/>
      <c r="E21" s="9"/>
    </row>
    <row r="22" customFormat="false" ht="15" hidden="false" customHeight="true" outlineLevel="0" collapsed="false">
      <c r="A22" s="9"/>
      <c r="B22" s="9"/>
      <c r="C22" s="9"/>
      <c r="D22" s="9"/>
      <c r="E22" s="9"/>
    </row>
    <row r="23" customFormat="false" ht="15" hidden="false" customHeight="true" outlineLevel="0" collapsed="false">
      <c r="A23" s="9" t="s">
        <v>36</v>
      </c>
      <c r="B23" s="9"/>
      <c r="C23" s="9"/>
      <c r="D23" s="9"/>
      <c r="E23" s="9"/>
    </row>
    <row r="24" customFormat="false" ht="15" hidden="false" customHeight="true" outlineLevel="0" collapsed="false">
      <c r="A24" s="10" t="s">
        <v>37</v>
      </c>
      <c r="B24" s="10"/>
      <c r="C24" s="10"/>
      <c r="D24" s="10"/>
      <c r="E24" s="10"/>
    </row>
    <row r="26" customFormat="false" ht="15" hidden="false" customHeight="false" outlineLevel="0" collapsed="false">
      <c r="A26" s="11" t="s">
        <v>38</v>
      </c>
      <c r="B26" s="11"/>
      <c r="C26" s="11"/>
      <c r="D26" s="11"/>
      <c r="E26" s="11"/>
      <c r="F26" s="11"/>
    </row>
  </sheetData>
  <mergeCells count="12">
    <mergeCell ref="A1:D1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P7" activeCellId="0" sqref="P7"/>
    </sheetView>
  </sheetViews>
  <sheetFormatPr defaultColWidth="8.66796875" defaultRowHeight="15" zeroHeight="false" outlineLevelRow="0" outlineLevelCol="0"/>
  <cols>
    <col collapsed="false" customWidth="true" hidden="false" outlineLevel="0" max="4" min="1" style="1" width="13"/>
    <col collapsed="false" customWidth="true" hidden="false" outlineLevel="0" max="5" min="5" style="1" width="2"/>
    <col collapsed="false" customWidth="true" hidden="false" outlineLevel="0" max="10" min="6" style="1" width="13"/>
    <col collapsed="false" customWidth="true" hidden="false" outlineLevel="0" max="11" min="11" style="1" width="2"/>
    <col collapsed="false" customWidth="true" hidden="false" outlineLevel="0" max="16" min="12" style="1" width="13"/>
  </cols>
  <sheetData>
    <row r="1" customFormat="false" ht="15.75" hidden="false" customHeight="true" outlineLevel="0" collapsed="false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12" t="s">
        <v>40</v>
      </c>
      <c r="B2" s="12"/>
      <c r="C2" s="12"/>
      <c r="D2" s="12"/>
      <c r="F2" s="12" t="s">
        <v>41</v>
      </c>
      <c r="G2" s="12"/>
      <c r="H2" s="12"/>
      <c r="I2" s="12"/>
      <c r="J2" s="12"/>
      <c r="L2" s="12" t="s">
        <v>42</v>
      </c>
      <c r="M2" s="12"/>
      <c r="N2" s="12"/>
      <c r="O2" s="12"/>
      <c r="P2" s="12"/>
    </row>
    <row r="3" customFormat="false" ht="15" hidden="false" customHeight="tru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F3" s="3" t="s">
        <v>47</v>
      </c>
      <c r="G3" s="3" t="s">
        <v>44</v>
      </c>
      <c r="H3" s="3" t="s">
        <v>45</v>
      </c>
      <c r="I3" s="3" t="s">
        <v>46</v>
      </c>
      <c r="J3" s="3" t="s">
        <v>48</v>
      </c>
      <c r="L3" s="3" t="s">
        <v>47</v>
      </c>
      <c r="M3" s="3" t="s">
        <v>44</v>
      </c>
      <c r="N3" s="3" t="s">
        <v>45</v>
      </c>
      <c r="O3" s="3" t="s">
        <v>46</v>
      </c>
      <c r="P3" s="3" t="s">
        <v>48</v>
      </c>
    </row>
    <row r="4" customFormat="false" ht="15" hidden="false" customHeight="true" outlineLevel="0" collapsed="false">
      <c r="A4" s="13" t="s">
        <v>49</v>
      </c>
      <c r="B4" s="14" t="n">
        <f aca="false">(SISEPUEDE!B4*Assumptions!$B$11)/Assumptions!$B$4/Assumptions!$B$5/Assumptions!$B$8/Assumptions!$B$12/Assumptions!$B$10</f>
        <v>12.568650140783</v>
      </c>
      <c r="C4" s="14" t="n">
        <f aca="false">(SISEPUEDE!C4*Assumptions!$B$11)/Assumptions!$B$4/Assumptions!$B$6/Assumptions!$B$8/Assumptions!$B$12/Assumptions!$B$10</f>
        <v>38.8325644977816</v>
      </c>
      <c r="D4" s="14" t="n">
        <f aca="false">(SISEPUEDE!D4*Assumptions!$B$11)/Assumptions!$B$9/Assumptions!$B$12/Assumptions!$B$10</f>
        <v>545.104349144224</v>
      </c>
      <c r="F4" s="13" t="s">
        <v>49</v>
      </c>
      <c r="G4" s="14" t="n">
        <f aca="false">(SISEPUEDE!G4*Assumptions!$B$11)/Assumptions!$B$4/Assumptions!$B$5/Assumptions!$B$8/Assumptions!$B$12/Assumptions!$B$10</f>
        <v>12.568650140783</v>
      </c>
      <c r="H4" s="14" t="n">
        <f aca="false">(SISEPUEDE!H4*Assumptions!$B$11)/Assumptions!$B$4/Assumptions!$B$6/Assumptions!$B$8/Assumptions!$B$12/Assumptions!$B$10</f>
        <v>38.8325644977816</v>
      </c>
      <c r="I4" s="14" t="n">
        <f aca="false">(SISEPUEDE!I4*Assumptions!$B$11)/Assumptions!$B$9/Assumptions!$B$12/Assumptions!$B$10</f>
        <v>545.104349144224</v>
      </c>
      <c r="J4" s="15" t="n">
        <f aca="false">(B4+C4+D4)-(G4+H4+I4)</f>
        <v>0</v>
      </c>
      <c r="L4" s="13" t="s">
        <v>49</v>
      </c>
      <c r="M4" s="14" t="n">
        <f aca="false">(SISEPUEDE!M4*Assumptions!$B$11)/Assumptions!$B$4/Assumptions!$B$5/Assumptions!$B$8/Assumptions!$B$12/Assumptions!$B$10</f>
        <v>12.568650140783</v>
      </c>
      <c r="N4" s="14" t="n">
        <f aca="false">(SISEPUEDE!N4*Assumptions!$B$11)/Assumptions!$B$4/Assumptions!$B$6/Assumptions!$B$8/Assumptions!$B$12/Assumptions!$B$10</f>
        <v>38.8325644977816</v>
      </c>
      <c r="O4" s="14" t="n">
        <f aca="false">(SISEPUEDE!O4*Assumptions!$B$11)/Assumptions!$B$9/Assumptions!$B$12/Assumptions!$B$10</f>
        <v>545.104349144224</v>
      </c>
      <c r="P4" s="15" t="n">
        <f aca="false">(B4+C4+D4)-(M4+N4+O4)</f>
        <v>0</v>
      </c>
    </row>
    <row r="5" customFormat="false" ht="15" hidden="false" customHeight="true" outlineLevel="0" collapsed="false">
      <c r="A5" s="13" t="s">
        <v>50</v>
      </c>
      <c r="B5" s="14" t="n">
        <f aca="false">(SISEPUEDE!B5*Assumptions!$B$11)/Assumptions!$B$4/Assumptions!$B$5/Assumptions!$B$8/Assumptions!$B$12/Assumptions!$B$10</f>
        <v>12.4712701703431</v>
      </c>
      <c r="C5" s="14" t="n">
        <f aca="false">(SISEPUEDE!C5*Assumptions!$B$11)/Assumptions!$B$4/Assumptions!$B$6/Assumptions!$B$8/Assumptions!$B$12/Assumptions!$B$10</f>
        <v>38.5461171651694</v>
      </c>
      <c r="D5" s="14" t="n">
        <f aca="false">(SISEPUEDE!D5*Assumptions!$B$11)/Assumptions!$B$9/Assumptions!$B$12/Assumptions!$B$10</f>
        <v>620.882144275124</v>
      </c>
      <c r="F5" s="13" t="s">
        <v>50</v>
      </c>
      <c r="G5" s="14" t="n">
        <f aca="false">(SISEPUEDE!G5*Assumptions!$B$11)/Assumptions!$B$4/Assumptions!$B$5/Assumptions!$B$8/Assumptions!$B$12/Assumptions!$B$10</f>
        <v>12.2701276983437</v>
      </c>
      <c r="H5" s="14" t="n">
        <f aca="false">(SISEPUEDE!H5*Assumptions!$B$11)/Assumptions!$B$4/Assumptions!$B$6/Assumptions!$B$8/Assumptions!$B$12/Assumptions!$B$10</f>
        <v>40.7197724923039</v>
      </c>
      <c r="I5" s="14" t="n">
        <f aca="false">(SISEPUEDE!I5*Assumptions!$B$11)/Assumptions!$B$9/Assumptions!$B$12/Assumptions!$B$10</f>
        <v>513.874319379679</v>
      </c>
      <c r="J5" s="15" t="n">
        <f aca="false">(B5+C5+D5)-(G5+H5+I5)</f>
        <v>105.03531204031</v>
      </c>
      <c r="L5" s="13" t="s">
        <v>50</v>
      </c>
      <c r="M5" s="14" t="n">
        <f aca="false">(SISEPUEDE!M5*Assumptions!$B$11)/Assumptions!$B$4/Assumptions!$B$5/Assumptions!$B$8/Assumptions!$B$12/Assumptions!$B$10</f>
        <v>12.7790417787687</v>
      </c>
      <c r="N5" s="14" t="n">
        <f aca="false">(SISEPUEDE!N5*Assumptions!$B$11)/Assumptions!$B$4/Assumptions!$B$6/Assumptions!$B$8/Assumptions!$B$12/Assumptions!$B$10</f>
        <v>37.1141139870419</v>
      </c>
      <c r="O5" s="14" t="n">
        <f aca="false">(SISEPUEDE!O5*Assumptions!$B$11)/Assumptions!$B$9/Assumptions!$B$12/Assumptions!$B$10</f>
        <v>545.968750718124</v>
      </c>
      <c r="P5" s="15" t="n">
        <f aca="false">(B5+C5+D5)-(M5+N5+O5)</f>
        <v>76.0376251267021</v>
      </c>
    </row>
    <row r="6" customFormat="false" ht="15" hidden="false" customHeight="true" outlineLevel="0" collapsed="false">
      <c r="A6" s="13" t="s">
        <v>51</v>
      </c>
      <c r="B6" s="14" t="n">
        <f aca="false">(SISEPUEDE!B6*Assumptions!$B$11)/Assumptions!$B$4/Assumptions!$B$5/Assumptions!$B$8/Assumptions!$B$12/Assumptions!$B$10</f>
        <v>12.3720049068414</v>
      </c>
      <c r="C6" s="14" t="n">
        <f aca="false">(SISEPUEDE!C6*Assumptions!$B$11)/Assumptions!$B$4/Assumptions!$B$6/Assumptions!$B$8/Assumptions!$B$12/Assumptions!$B$10</f>
        <v>38.2530462735973</v>
      </c>
      <c r="D6" s="14" t="n">
        <f aca="false">(SISEPUEDE!D6*Assumptions!$B$11)/Assumptions!$B$9/Assumptions!$B$12/Assumptions!$B$10</f>
        <v>696.719006332055</v>
      </c>
      <c r="F6" s="13" t="s">
        <v>51</v>
      </c>
      <c r="G6" s="14" t="n">
        <f aca="false">(SISEPUEDE!G6*Assumptions!$B$11)/Assumptions!$B$4/Assumptions!$B$5/Assumptions!$B$8/Assumptions!$B$12/Assumptions!$B$10</f>
        <v>11.969822798416</v>
      </c>
      <c r="H6" s="14" t="n">
        <f aca="false">(SISEPUEDE!H6*Assumptions!$B$11)/Assumptions!$B$4/Assumptions!$B$6/Assumptions!$B$8/Assumptions!$B$12/Assumptions!$B$10</f>
        <v>42.5993707850758</v>
      </c>
      <c r="I6" s="14" t="n">
        <f aca="false">(SISEPUEDE!I6*Assumptions!$B$11)/Assumptions!$B$9/Assumptions!$B$12/Assumptions!$B$10</f>
        <v>482.660485421662</v>
      </c>
      <c r="J6" s="15" t="n">
        <f aca="false">(B6+C6+D6)-(G6+H6+I6)</f>
        <v>210.11437850734</v>
      </c>
      <c r="L6" s="13" t="s">
        <v>51</v>
      </c>
      <c r="M6" s="14" t="n">
        <f aca="false">(SISEPUEDE!M6*Assumptions!$B$11)/Assumptions!$B$4/Assumptions!$B$5/Assumptions!$B$8/Assumptions!$B$12/Assumptions!$B$10</f>
        <v>12.2126130316223</v>
      </c>
      <c r="N6" s="14" t="n">
        <f aca="false">(SISEPUEDE!N6*Assumptions!$B$11)/Assumptions!$B$4/Assumptions!$B$6/Assumptions!$B$8/Assumptions!$B$12/Assumptions!$B$10</f>
        <v>37.1178972434857</v>
      </c>
      <c r="O6" s="14" t="n">
        <f aca="false">(SISEPUEDE!O6*Assumptions!$B$11)/Assumptions!$B$9/Assumptions!$B$12/Assumptions!$B$10</f>
        <v>513.220048064352</v>
      </c>
      <c r="P6" s="15" t="n">
        <f aca="false">(B6+C6+D6)-(M6+N6+O6)</f>
        <v>184.793499173033</v>
      </c>
    </row>
    <row r="7" customFormat="false" ht="15" hidden="false" customHeight="true" outlineLevel="0" collapsed="false">
      <c r="A7" s="13" t="s">
        <v>52</v>
      </c>
      <c r="B7" s="14" t="n">
        <f aca="false">(SISEPUEDE!B7*Assumptions!$B$11)/Assumptions!$B$4/Assumptions!$B$5/Assumptions!$B$8/Assumptions!$B$12/Assumptions!$B$10</f>
        <v>12.2668058846115</v>
      </c>
      <c r="C7" s="14" t="n">
        <f aca="false">(SISEPUEDE!C7*Assumptions!$B$11)/Assumptions!$B$4/Assumptions!$B$6/Assumptions!$B$8/Assumptions!$B$12/Assumptions!$B$10</f>
        <v>37.9391147841216</v>
      </c>
      <c r="D7" s="14" t="n">
        <f aca="false">(SISEPUEDE!D7*Assumptions!$B$11)/Assumptions!$B$9/Assumptions!$B$12/Assumptions!$B$10</f>
        <v>772.67076950944</v>
      </c>
      <c r="F7" s="13" t="s">
        <v>52</v>
      </c>
      <c r="G7" s="14" t="n">
        <f aca="false">(SISEPUEDE!G7*Assumptions!$B$11)/Assumptions!$B$4/Assumptions!$B$5/Assumptions!$B$8/Assumptions!$B$12/Assumptions!$B$10</f>
        <v>11.6640186036568</v>
      </c>
      <c r="H7" s="14" t="n">
        <f aca="false">(SISEPUEDE!H7*Assumptions!$B$11)/Assumptions!$B$4/Assumptions!$B$6/Assumptions!$B$8/Assumptions!$B$12/Assumptions!$B$10</f>
        <v>44.4547931974803</v>
      </c>
      <c r="I7" s="14" t="n">
        <f aca="false">(SISEPUEDE!I7*Assumptions!$B$11)/Assumptions!$B$9/Assumptions!$B$12/Assumptions!$B$10</f>
        <v>451.473948749505</v>
      </c>
      <c r="J7" s="15" t="n">
        <f aca="false">(B7+C7+D7)-(G7+H7+I7)</f>
        <v>315.283929627531</v>
      </c>
      <c r="L7" s="13" t="s">
        <v>52</v>
      </c>
      <c r="M7" s="14" t="n">
        <f aca="false">(SISEPUEDE!M7*Assumptions!$B$11)/Assumptions!$B$4/Assumptions!$B$5/Assumptions!$B$8/Assumptions!$B$12/Assumptions!$B$10</f>
        <v>11.640045200934</v>
      </c>
      <c r="N7" s="14" t="n">
        <f aca="false">(SISEPUEDE!N7*Assumptions!$B$11)/Assumptions!$B$4/Assumptions!$B$6/Assumptions!$B$8/Assumptions!$B$12/Assumptions!$B$10</f>
        <v>37.0930651818</v>
      </c>
      <c r="O7" s="14" t="n">
        <f aca="false">(SISEPUEDE!O7*Assumptions!$B$11)/Assumptions!$B$9/Assumptions!$B$12/Assumptions!$B$10</f>
        <v>480.460993531405</v>
      </c>
      <c r="P7" s="15" t="n">
        <f aca="false">(B7+C7+D7)-(M7+N7+O7)</f>
        <v>293.682586264034</v>
      </c>
    </row>
    <row r="8" customFormat="false" ht="15" hidden="false" customHeight="true" outlineLevel="0" collapsed="false">
      <c r="A8" s="13" t="s">
        <v>53</v>
      </c>
      <c r="B8" s="14" t="n">
        <f aca="false">(SISEPUEDE!B8*Assumptions!$B$11)/Assumptions!$B$4/Assumptions!$B$5/Assumptions!$B$8/Assumptions!$B$12/Assumptions!$B$10</f>
        <v>12.1509367655296</v>
      </c>
      <c r="C8" s="14" t="n">
        <f aca="false">(SISEPUEDE!C8*Assumptions!$B$11)/Assumptions!$B$4/Assumptions!$B$6/Assumptions!$B$8/Assumptions!$B$12/Assumptions!$B$10</f>
        <v>37.5871211196652</v>
      </c>
      <c r="D8" s="14" t="n">
        <f aca="false">(SISEPUEDE!D8*Assumptions!$B$11)/Assumptions!$B$9/Assumptions!$B$12/Assumptions!$B$10</f>
        <v>848.805300272786</v>
      </c>
      <c r="F8" s="13" t="s">
        <v>53</v>
      </c>
      <c r="G8" s="14" t="n">
        <f aca="false">(SISEPUEDE!G8*Assumptions!$B$11)/Assumptions!$B$4/Assumptions!$B$5/Assumptions!$B$8/Assumptions!$B$12/Assumptions!$B$10</f>
        <v>11.3486650993838</v>
      </c>
      <c r="H8" s="14" t="n">
        <f aca="false">(SISEPUEDE!H8*Assumptions!$B$11)/Assumptions!$B$4/Assumptions!$B$6/Assumptions!$B$8/Assumptions!$B$12/Assumptions!$B$10</f>
        <v>46.2651935914249</v>
      </c>
      <c r="I8" s="14" t="n">
        <f aca="false">(SISEPUEDE!I8*Assumptions!$B$11)/Assumptions!$B$9/Assumptions!$B$12/Assumptions!$B$10</f>
        <v>420.366933387437</v>
      </c>
      <c r="J8" s="15" t="n">
        <f aca="false">(B8+C8+D8)-(G8+H8+I8)</f>
        <v>420.562566079735</v>
      </c>
      <c r="L8" s="13" t="s">
        <v>53</v>
      </c>
      <c r="M8" s="14" t="n">
        <f aca="false">(SISEPUEDE!M8*Assumptions!$B$11)/Assumptions!$B$4/Assumptions!$B$5/Assumptions!$B$8/Assumptions!$B$12/Assumptions!$B$10</f>
        <v>11.0578546787149</v>
      </c>
      <c r="N8" s="14" t="n">
        <f aca="false">(SISEPUEDE!N8*Assumptions!$B$11)/Assumptions!$B$4/Assumptions!$B$6/Assumptions!$B$8/Assumptions!$B$12/Assumptions!$B$10</f>
        <v>37.0141427097061</v>
      </c>
      <c r="O8" s="14" t="n">
        <f aca="false">(SISEPUEDE!O8*Assumptions!$B$11)/Assumptions!$B$9/Assumptions!$B$12/Assumptions!$B$10</f>
        <v>447.766607901776</v>
      </c>
      <c r="P8" s="15" t="n">
        <f aca="false">(B8+C8+D8)-(M8+N8+O8)</f>
        <v>402.704752867784</v>
      </c>
    </row>
    <row r="9" customFormat="false" ht="15" hidden="false" customHeight="true" outlineLevel="0" collapsed="false">
      <c r="A9" s="13" t="s">
        <v>54</v>
      </c>
      <c r="B9" s="14" t="n">
        <f aca="false">(SISEPUEDE!B9*Assumptions!$B$11)/Assumptions!$B$4/Assumptions!$B$5/Assumptions!$B$8/Assumptions!$B$12/Assumptions!$B$10</f>
        <v>12.0194169340539</v>
      </c>
      <c r="C9" s="14" t="n">
        <f aca="false">(SISEPUEDE!C9*Assumptions!$B$11)/Assumptions!$B$4/Assumptions!$B$6/Assumptions!$B$8/Assumptions!$B$12/Assumptions!$B$10</f>
        <v>37.1790011569091</v>
      </c>
      <c r="D9" s="14" t="n">
        <f aca="false">(SISEPUEDE!D9*Assumptions!$B$11)/Assumptions!$B$9/Assumptions!$B$12/Assumptions!$B$10</f>
        <v>925.182839087488</v>
      </c>
      <c r="F9" s="13" t="s">
        <v>54</v>
      </c>
      <c r="G9" s="14" t="n">
        <f aca="false">(SISEPUEDE!G9*Assumptions!$B$11)/Assumptions!$B$4/Assumptions!$B$5/Assumptions!$B$8/Assumptions!$B$12/Assumptions!$B$10</f>
        <v>11.0197668829678</v>
      </c>
      <c r="H9" s="14" t="n">
        <f aca="false">(SISEPUEDE!H9*Assumptions!$B$11)/Assumptions!$B$4/Assumptions!$B$6/Assumptions!$B$8/Assumptions!$B$12/Assumptions!$B$10</f>
        <v>48.0069662411757</v>
      </c>
      <c r="I9" s="14" t="n">
        <f aca="false">(SISEPUEDE!I9*Assumptions!$B$11)/Assumptions!$B$9/Assumptions!$B$12/Assumptions!$B$10</f>
        <v>389.436449910599</v>
      </c>
      <c r="J9" s="15" t="n">
        <f aca="false">(B9+C9+D9)-(G9+H9+I9)</f>
        <v>525.918074143709</v>
      </c>
      <c r="L9" s="13" t="s">
        <v>54</v>
      </c>
      <c r="M9" s="14" t="n">
        <f aca="false">(SISEPUEDE!M9*Assumptions!$B$11)/Assumptions!$B$4/Assumptions!$B$5/Assumptions!$B$8/Assumptions!$B$12/Assumptions!$B$10</f>
        <v>10.4630269909967</v>
      </c>
      <c r="N9" s="14" t="n">
        <f aca="false">(SISEPUEDE!N9*Assumptions!$B$11)/Assumptions!$B$4/Assumptions!$B$6/Assumptions!$B$8/Assumptions!$B$12/Assumptions!$B$10</f>
        <v>36.8527988287461</v>
      </c>
      <c r="O9" s="14" t="n">
        <f aca="false">(SISEPUEDE!O9*Assumptions!$B$11)/Assumptions!$B$9/Assumptions!$B$12/Assumptions!$B$10</f>
        <v>415.264104122775</v>
      </c>
      <c r="P9" s="15" t="n">
        <f aca="false">(B9+C9+D9)-(M9+N9+O9)</f>
        <v>511.801327235933</v>
      </c>
    </row>
    <row r="10" customFormat="false" ht="15" hidden="false" customHeight="true" outlineLevel="0" collapsed="false">
      <c r="A10" s="13" t="s">
        <v>55</v>
      </c>
      <c r="B10" s="14" t="n">
        <f aca="false">(SISEPUEDE!B10*Assumptions!$B$11)/Assumptions!$B$4/Assumptions!$B$5/Assumptions!$B$8/Assumptions!$B$12/Assumptions!$B$10</f>
        <v>11.8674284291034</v>
      </c>
      <c r="C10" s="14" t="n">
        <f aca="false">(SISEPUEDE!C10*Assumptions!$B$11)/Assumptions!$B$4/Assumptions!$B$6/Assumptions!$B$8/Assumptions!$B$12/Assumptions!$B$10</f>
        <v>36.6979547518339</v>
      </c>
      <c r="D10" s="14" t="n">
        <f aca="false">(SISEPUEDE!D10*Assumptions!$B$11)/Assumptions!$B$9/Assumptions!$B$12/Assumptions!$B$10</f>
        <v>1001.83624195646</v>
      </c>
      <c r="F10" s="13" t="s">
        <v>55</v>
      </c>
      <c r="G10" s="14" t="n">
        <f aca="false">(SISEPUEDE!G10*Assumptions!$B$11)/Assumptions!$B$4/Assumptions!$B$5/Assumptions!$B$8/Assumptions!$B$12/Assumptions!$B$10</f>
        <v>10.6737239696266</v>
      </c>
      <c r="H10" s="14" t="n">
        <f aca="false">(SISEPUEDE!H10*Assumptions!$B$11)/Assumptions!$B$4/Assumptions!$B$6/Assumptions!$B$8/Assumptions!$B$12/Assumptions!$B$10</f>
        <v>49.6553193418032</v>
      </c>
      <c r="I10" s="14" t="n">
        <f aca="false">(SISEPUEDE!I10*Assumptions!$B$11)/Assumptions!$B$9/Assumptions!$B$12/Assumptions!$B$10</f>
        <v>358.824220049213</v>
      </c>
      <c r="J10" s="15" t="n">
        <f aca="false">(B10+C10+D10)-(G10+H10+I10)</f>
        <v>631.248361776754</v>
      </c>
      <c r="L10" s="13" t="s">
        <v>55</v>
      </c>
      <c r="M10" s="14" t="n">
        <f aca="false">(SISEPUEDE!M10*Assumptions!$B$11)/Assumptions!$B$4/Assumptions!$B$5/Assumptions!$B$8/Assumptions!$B$12/Assumptions!$B$10</f>
        <v>9.85329716519781</v>
      </c>
      <c r="N10" s="14" t="n">
        <f aca="false">(SISEPUEDE!N10*Assumptions!$B$11)/Assumptions!$B$4/Assumptions!$B$6/Assumptions!$B$8/Assumptions!$B$12/Assumptions!$B$10</f>
        <v>36.5797775080318</v>
      </c>
      <c r="O10" s="14" t="n">
        <f aca="false">(SISEPUEDE!O10*Assumptions!$B$11)/Assumptions!$B$9/Assumptions!$B$12/Assumptions!$B$10</f>
        <v>383.128252208217</v>
      </c>
      <c r="P10" s="15" t="n">
        <f aca="false">(B10+C10+D10)-(M10+N10+O10)</f>
        <v>620.840298255951</v>
      </c>
    </row>
    <row r="11" customFormat="false" ht="15" hidden="false" customHeight="true" outlineLevel="0" collapsed="false">
      <c r="A11" s="13" t="s">
        <v>56</v>
      </c>
      <c r="B11" s="14" t="n">
        <f aca="false">(SISEPUEDE!B11*Assumptions!$B$11)/Assumptions!$B$4/Assumptions!$B$5/Assumptions!$B$8/Assumptions!$B$12/Assumptions!$B$10</f>
        <v>11.6906888152974</v>
      </c>
      <c r="C11" s="14" t="n">
        <f aca="false">(SISEPUEDE!C11*Assumptions!$B$11)/Assumptions!$B$4/Assumptions!$B$6/Assumptions!$B$8/Assumptions!$B$12/Assumptions!$B$10</f>
        <v>36.1294241419277</v>
      </c>
      <c r="D11" s="14" t="n">
        <f aca="false">(SISEPUEDE!D11*Assumptions!$B$11)/Assumptions!$B$9/Assumptions!$B$12/Assumptions!$B$10</f>
        <v>1078.78220656304</v>
      </c>
      <c r="F11" s="13" t="s">
        <v>56</v>
      </c>
      <c r="G11" s="14" t="n">
        <f aca="false">(SISEPUEDE!G11*Assumptions!$B$11)/Assumptions!$B$4/Assumptions!$B$5/Assumptions!$B$8/Assumptions!$B$12/Assumptions!$B$10</f>
        <v>10.3076202935298</v>
      </c>
      <c r="H11" s="14" t="n">
        <f aca="false">(SISEPUEDE!H11*Assumptions!$B$11)/Assumptions!$B$4/Assumptions!$B$6/Assumptions!$B$8/Assumptions!$B$12/Assumptions!$B$10</f>
        <v>51.1859402362697</v>
      </c>
      <c r="I11" s="14" t="n">
        <f aca="false">(SISEPUEDE!I11*Assumptions!$B$11)/Assumptions!$B$9/Assumptions!$B$12/Assumptions!$B$10</f>
        <v>328.713160855035</v>
      </c>
      <c r="J11" s="15" t="n">
        <f aca="false">(B11+C11+D11)-(G11+H11+I11)</f>
        <v>736.395598135426</v>
      </c>
      <c r="L11" s="13" t="s">
        <v>56</v>
      </c>
      <c r="M11" s="14" t="n">
        <f aca="false">(SISEPUEDE!M11*Assumptions!$B$11)/Assumptions!$B$4/Assumptions!$B$5/Assumptions!$B$8/Assumptions!$B$12/Assumptions!$B$10</f>
        <v>9.22735396101704</v>
      </c>
      <c r="N11" s="14" t="n">
        <f aca="false">(SISEPUEDE!N11*Assumptions!$B$11)/Assumptions!$B$4/Assumptions!$B$6/Assumptions!$B$8/Assumptions!$B$12/Assumptions!$B$10</f>
        <v>36.1667950092626</v>
      </c>
      <c r="O11" s="14" t="n">
        <f aca="false">(SISEPUEDE!O11*Assumptions!$B$11)/Assumptions!$B$9/Assumptions!$B$12/Assumptions!$B$10</f>
        <v>351.573541399224</v>
      </c>
      <c r="P11" s="15" t="n">
        <f aca="false">(B11+C11+D11)-(M11+N11+O11)</f>
        <v>729.634629150757</v>
      </c>
    </row>
    <row r="12" customFormat="false" ht="15" hidden="false" customHeight="true" outlineLevel="0" collapsed="false">
      <c r="A12" s="13" t="s">
        <v>57</v>
      </c>
      <c r="B12" s="14" t="n">
        <f aca="false">(SISEPUEDE!B12*Assumptions!$B$11)/Assumptions!$B$4/Assumptions!$B$5/Assumptions!$B$8/Assumptions!$B$12/Assumptions!$B$10</f>
        <v>11.4857719986216</v>
      </c>
      <c r="C12" s="14" t="n">
        <f aca="false">(SISEPUEDE!C12*Assumptions!$B$11)/Assumptions!$B$4/Assumptions!$B$6/Assumptions!$B$8/Assumptions!$B$12/Assumptions!$B$10</f>
        <v>35.4619972472921</v>
      </c>
      <c r="D12" s="14" t="n">
        <f aca="false">(SISEPUEDE!D12*Assumptions!$B$11)/Assumptions!$B$9/Assumptions!$B$12/Assumptions!$B$10</f>
        <v>1156.0358780951</v>
      </c>
      <c r="F12" s="13" t="s">
        <v>57</v>
      </c>
      <c r="G12" s="14" t="n">
        <f aca="false">(SISEPUEDE!G12*Assumptions!$B$11)/Assumptions!$B$4/Assumptions!$B$5/Assumptions!$B$8/Assumptions!$B$12/Assumptions!$B$10</f>
        <v>9.91945415882166</v>
      </c>
      <c r="H12" s="14" t="n">
        <f aca="false">(SISEPUEDE!H12*Assumptions!$B$11)/Assumptions!$B$4/Assumptions!$B$6/Assumptions!$B$8/Assumptions!$B$12/Assumptions!$B$10</f>
        <v>52.5767361648688</v>
      </c>
      <c r="I12" s="14" t="n">
        <f aca="false">(SISEPUEDE!I12*Assumptions!$B$11)/Assumptions!$B$9/Assumptions!$B$12/Assumptions!$B$10</f>
        <v>299.320288940657</v>
      </c>
      <c r="J12" s="15" t="n">
        <f aca="false">(B12+C12+D12)-(G12+H12+I12)</f>
        <v>841.167168076665</v>
      </c>
      <c r="L12" s="13" t="s">
        <v>57</v>
      </c>
      <c r="M12" s="14" t="n">
        <f aca="false">(SISEPUEDE!M12*Assumptions!$B$11)/Assumptions!$B$4/Assumptions!$B$5/Assumptions!$B$8/Assumptions!$B$12/Assumptions!$B$10</f>
        <v>8.58497105834357</v>
      </c>
      <c r="N12" s="14" t="n">
        <f aca="false">(SISEPUEDE!N12*Assumptions!$B$11)/Assumptions!$B$4/Assumptions!$B$6/Assumptions!$B$8/Assumptions!$B$12/Assumptions!$B$10</f>
        <v>35.5883846918252</v>
      </c>
      <c r="O12" s="14" t="n">
        <f aca="false">(SISEPUEDE!O12*Assumptions!$B$11)/Assumptions!$B$9/Assumptions!$B$12/Assumptions!$B$10</f>
        <v>320.843337512393</v>
      </c>
      <c r="P12" s="15" t="n">
        <f aca="false">(B12+C12+D12)-(M12+N12+O12)</f>
        <v>837.966954078451</v>
      </c>
    </row>
    <row r="13" customFormat="false" ht="15" hidden="false" customHeight="true" outlineLevel="0" collapsed="false">
      <c r="A13" s="13" t="s">
        <v>58</v>
      </c>
      <c r="B13" s="14" t="n">
        <f aca="false">(SISEPUEDE!B13*Assumptions!$B$11)/Assumptions!$B$4/Assumptions!$B$5/Assumptions!$B$8/Assumptions!$B$12/Assumptions!$B$10</f>
        <v>11.2504204480266</v>
      </c>
      <c r="C13" s="14" t="n">
        <f aca="false">(SISEPUEDE!C13*Assumptions!$B$11)/Assumptions!$B$4/Assumptions!$B$6/Assumptions!$B$8/Assumptions!$B$12/Assumptions!$B$10</f>
        <v>34.6882403451397</v>
      </c>
      <c r="D13" s="14" t="n">
        <f aca="false">(SISEPUEDE!D13*Assumptions!$B$11)/Assumptions!$B$9/Assumptions!$B$12/Assumptions!$B$10</f>
        <v>1233.62927068627</v>
      </c>
      <c r="F13" s="13" t="s">
        <v>58</v>
      </c>
      <c r="G13" s="14" t="n">
        <f aca="false">(SISEPUEDE!G13*Assumptions!$B$11)/Assumptions!$B$4/Assumptions!$B$5/Assumptions!$B$8/Assumptions!$B$12/Assumptions!$B$10</f>
        <v>9.5083555342108</v>
      </c>
      <c r="H13" s="14" t="n">
        <f aca="false">(SISEPUEDE!H13*Assumptions!$B$11)/Assumptions!$B$4/Assumptions!$B$6/Assumptions!$B$8/Assumptions!$B$12/Assumptions!$B$10</f>
        <v>53.8096526147404</v>
      </c>
      <c r="I13" s="14" t="n">
        <f aca="false">(SISEPUEDE!I13*Assumptions!$B$11)/Assumptions!$B$9/Assumptions!$B$12/Assumptions!$B$10</f>
        <v>270.886575089085</v>
      </c>
      <c r="J13" s="15" t="n">
        <f aca="false">(B13+C13+D13)-(G13+H13+I13)</f>
        <v>945.363348241401</v>
      </c>
      <c r="L13" s="13" t="s">
        <v>58</v>
      </c>
      <c r="M13" s="14" t="n">
        <f aca="false">(SISEPUEDE!M13*Assumptions!$B$11)/Assumptions!$B$4/Assumptions!$B$5/Assumptions!$B$8/Assumptions!$B$12/Assumptions!$B$10</f>
        <v>7.92711244972206</v>
      </c>
      <c r="N13" s="14" t="n">
        <f aca="false">(SISEPUEDE!N13*Assumptions!$B$11)/Assumptions!$B$4/Assumptions!$B$6/Assumptions!$B$8/Assumptions!$B$12/Assumptions!$B$10</f>
        <v>34.8236798708658</v>
      </c>
      <c r="O13" s="14" t="n">
        <f aca="false">(SISEPUEDE!O13*Assumptions!$B$11)/Assumptions!$B$9/Assumptions!$B$12/Assumptions!$B$10</f>
        <v>291.196853881015</v>
      </c>
      <c r="P13" s="15" t="n">
        <f aca="false">(B13+C13+D13)-(M13+N13+O13)</f>
        <v>945.620285277835</v>
      </c>
    </row>
    <row r="14" customFormat="false" ht="15" hidden="false" customHeight="true" outlineLevel="0" collapsed="false">
      <c r="A14" s="13" t="s">
        <v>59</v>
      </c>
      <c r="B14" s="14" t="n">
        <f aca="false">(SISEPUEDE!B14*Assumptions!$B$11)/Assumptions!$B$4/Assumptions!$B$5/Assumptions!$B$8/Assumptions!$B$12/Assumptions!$B$10</f>
        <v>10.9833874654432</v>
      </c>
      <c r="C14" s="14" t="n">
        <f aca="false">(SISEPUEDE!C14*Assumptions!$B$11)/Assumptions!$B$4/Assumptions!$B$6/Assumptions!$B$8/Assumptions!$B$12/Assumptions!$B$10</f>
        <v>33.8041540974426</v>
      </c>
      <c r="D14" s="14" t="n">
        <f aca="false">(SISEPUEDE!D14*Assumptions!$B$11)/Assumptions!$B$9/Assumptions!$B$12/Assumptions!$B$10</f>
        <v>1311.60522075125</v>
      </c>
      <c r="F14" s="13" t="s">
        <v>59</v>
      </c>
      <c r="G14" s="14" t="n">
        <f aca="false">(SISEPUEDE!G14*Assumptions!$B$11)/Assumptions!$B$4/Assumptions!$B$5/Assumptions!$B$8/Assumptions!$B$12/Assumptions!$B$10</f>
        <v>9.07437286807104</v>
      </c>
      <c r="H14" s="14" t="n">
        <f aca="false">(SISEPUEDE!H14*Assumptions!$B$11)/Assumptions!$B$4/Assumptions!$B$6/Assumptions!$B$8/Assumptions!$B$12/Assumptions!$B$10</f>
        <v>54.8707673852074</v>
      </c>
      <c r="I14" s="14" t="n">
        <f aca="false">(SISEPUEDE!I14*Assumptions!$B$11)/Assumptions!$B$9/Assumptions!$B$12/Assumptions!$B$10</f>
        <v>243.655908079153</v>
      </c>
      <c r="J14" s="15" t="n">
        <f aca="false">(B14+C14+D14)-(G14+H14+I14)</f>
        <v>1048.7917139817</v>
      </c>
      <c r="L14" s="13" t="s">
        <v>59</v>
      </c>
      <c r="M14" s="14" t="n">
        <f aca="false">(SISEPUEDE!M14*Assumptions!$B$11)/Assumptions!$B$4/Assumptions!$B$5/Assumptions!$B$8/Assumptions!$B$12/Assumptions!$B$10</f>
        <v>7.25563233391441</v>
      </c>
      <c r="N14" s="14" t="n">
        <f aca="false">(SISEPUEDE!N14*Assumptions!$B$11)/Assumptions!$B$4/Assumptions!$B$6/Assumptions!$B$8/Assumptions!$B$12/Assumptions!$B$10</f>
        <v>33.8566124723165</v>
      </c>
      <c r="O14" s="14" t="n">
        <f aca="false">(SISEPUEDE!O14*Assumptions!$B$11)/Assumptions!$B$9/Assumptions!$B$12/Assumptions!$B$10</f>
        <v>262.886679867612</v>
      </c>
      <c r="P14" s="15" t="n">
        <f aca="false">(B14+C14+D14)-(M14+N14+O14)</f>
        <v>1052.39383764029</v>
      </c>
    </row>
    <row r="15" customFormat="false" ht="15" hidden="false" customHeight="true" outlineLevel="0" collapsed="false">
      <c r="A15" s="13" t="s">
        <v>60</v>
      </c>
      <c r="B15" s="14" t="n">
        <f aca="false">(SISEPUEDE!B15*Assumptions!$B$11)/Assumptions!$B$4/Assumptions!$B$5/Assumptions!$B$8/Assumptions!$B$12/Assumptions!$B$10</f>
        <v>10.6842908046938</v>
      </c>
      <c r="C15" s="14" t="n">
        <f aca="false">(SISEPUEDE!C15*Assumptions!$B$11)/Assumptions!$B$4/Assumptions!$B$6/Assumptions!$B$8/Assumptions!$B$12/Assumptions!$B$10</f>
        <v>32.8086703906818</v>
      </c>
      <c r="D15" s="14" t="n">
        <f aca="false">(SISEPUEDE!D15*Assumptions!$B$11)/Assumptions!$B$9/Assumptions!$B$12/Assumptions!$B$10</f>
        <v>1390.01199030935</v>
      </c>
      <c r="F15" s="13" t="s">
        <v>60</v>
      </c>
      <c r="G15" s="14" t="n">
        <f aca="false">(SISEPUEDE!G15*Assumptions!$B$11)/Assumptions!$B$4/Assumptions!$B$5/Assumptions!$B$8/Assumptions!$B$12/Assumptions!$B$10</f>
        <v>8.61827912312654</v>
      </c>
      <c r="H15" s="14" t="n">
        <f aca="false">(SISEPUEDE!H15*Assumptions!$B$11)/Assumptions!$B$4/Assumptions!$B$6/Assumptions!$B$8/Assumptions!$B$12/Assumptions!$B$10</f>
        <v>55.7504296638475</v>
      </c>
      <c r="I15" s="14" t="n">
        <f aca="false">(SISEPUEDE!I15*Assumptions!$B$11)/Assumptions!$B$9/Assumptions!$B$12/Assumptions!$B$10</f>
        <v>217.854214919699</v>
      </c>
      <c r="J15" s="15" t="n">
        <f aca="false">(B15+C15+D15)-(G15+H15+I15)</f>
        <v>1151.28202779806</v>
      </c>
      <c r="L15" s="13" t="s">
        <v>60</v>
      </c>
      <c r="M15" s="14" t="n">
        <f aca="false">(SISEPUEDE!M15*Assumptions!$B$11)/Assumptions!$B$4/Assumptions!$B$5/Assumptions!$B$8/Assumptions!$B$12/Assumptions!$B$10</f>
        <v>6.57300373909119</v>
      </c>
      <c r="N15" s="14" t="n">
        <f aca="false">(SISEPUEDE!N15*Assumptions!$B$11)/Assumptions!$B$4/Assumptions!$B$6/Assumptions!$B$8/Assumptions!$B$12/Assumptions!$B$10</f>
        <v>32.6760878339242</v>
      </c>
      <c r="O15" s="14" t="n">
        <f aca="false">(SISEPUEDE!O15*Assumptions!$B$11)/Assumptions!$B$9/Assumptions!$B$12/Assumptions!$B$10</f>
        <v>236.138003995553</v>
      </c>
      <c r="P15" s="15" t="n">
        <f aca="false">(B15+C15+D15)-(M15+N15+O15)</f>
        <v>1158.11785593616</v>
      </c>
    </row>
    <row r="16" customFormat="false" ht="15" hidden="false" customHeight="true" outlineLevel="0" collapsed="false">
      <c r="A16" s="13" t="s">
        <v>61</v>
      </c>
      <c r="B16" s="14" t="n">
        <f aca="false">(SISEPUEDE!B16*Assumptions!$B$11)/Assumptions!$B$4/Assumptions!$B$5/Assumptions!$B$8/Assumptions!$B$12/Assumptions!$B$10</f>
        <v>10.35347832101</v>
      </c>
      <c r="C16" s="14" t="n">
        <f aca="false">(SISEPUEDE!C16*Assumptions!$B$11)/Assumptions!$B$4/Assumptions!$B$6/Assumptions!$B$8/Assumptions!$B$12/Assumptions!$B$10</f>
        <v>31.7031919902653</v>
      </c>
      <c r="D16" s="14" t="n">
        <f aca="false">(SISEPUEDE!D16*Assumptions!$B$11)/Assumptions!$B$9/Assumptions!$B$12/Assumptions!$B$10</f>
        <v>1468.89850856794</v>
      </c>
      <c r="F16" s="13" t="s">
        <v>61</v>
      </c>
      <c r="G16" s="14" t="n">
        <f aca="false">(SISEPUEDE!G16*Assumptions!$B$11)/Assumptions!$B$4/Assumptions!$B$5/Assumptions!$B$8/Assumptions!$B$12/Assumptions!$B$10</f>
        <v>8.14139734168944</v>
      </c>
      <c r="H16" s="14" t="n">
        <f aca="false">(SISEPUEDE!H16*Assumptions!$B$11)/Assumptions!$B$4/Assumptions!$B$6/Assumptions!$B$8/Assumptions!$B$12/Assumptions!$B$10</f>
        <v>56.4434512003685</v>
      </c>
      <c r="I16" s="14" t="n">
        <f aca="false">(SISEPUEDE!I16*Assumptions!$B$11)/Assumptions!$B$9/Assumptions!$B$12/Assumptions!$B$10</f>
        <v>193.668640240687</v>
      </c>
      <c r="J16" s="15" t="n">
        <f aca="false">(B16+C16+D16)-(G16+H16+I16)</f>
        <v>1252.70169009647</v>
      </c>
      <c r="L16" s="13" t="s">
        <v>61</v>
      </c>
      <c r="M16" s="14" t="n">
        <f aca="false">(SISEPUEDE!M16*Assumptions!$B$11)/Assumptions!$B$4/Assumptions!$B$5/Assumptions!$B$8/Assumptions!$B$12/Assumptions!$B$10</f>
        <v>5.88207581420436</v>
      </c>
      <c r="N16" s="14" t="n">
        <f aca="false">(SISEPUEDE!N16*Assumptions!$B$11)/Assumptions!$B$4/Assumptions!$B$6/Assumptions!$B$8/Assumptions!$B$12/Assumptions!$B$10</f>
        <v>31.2761394323336</v>
      </c>
      <c r="O16" s="14" t="n">
        <f aca="false">(SISEPUEDE!O16*Assumptions!$B$11)/Assumptions!$B$9/Assumptions!$B$12/Assumptions!$B$10</f>
        <v>211.129556043987</v>
      </c>
      <c r="P16" s="15" t="n">
        <f aca="false">(B16+C16+D16)-(M16+N16+O16)</f>
        <v>1262.66740758869</v>
      </c>
    </row>
    <row r="17" customFormat="false" ht="15" hidden="false" customHeight="true" outlineLevel="0" collapsed="false">
      <c r="A17" s="13" t="s">
        <v>62</v>
      </c>
      <c r="B17" s="14" t="n">
        <f aca="false">(SISEPUEDE!B17*Assumptions!$B$11)/Assumptions!$B$4/Assumptions!$B$5/Assumptions!$B$8/Assumptions!$B$12/Assumptions!$B$10</f>
        <v>9.99190576565835</v>
      </c>
      <c r="C17" s="14" t="n">
        <f aca="false">(SISEPUEDE!C17*Assumptions!$B$11)/Assumptions!$B$4/Assumptions!$B$6/Assumptions!$B$8/Assumptions!$B$12/Assumptions!$B$10</f>
        <v>30.4911751708996</v>
      </c>
      <c r="D17" s="14" t="n">
        <f aca="false">(SISEPUEDE!D17*Assumptions!$B$11)/Assumptions!$B$9/Assumptions!$B$12/Assumptions!$B$10</f>
        <v>1548.31023653992</v>
      </c>
      <c r="F17" s="13" t="s">
        <v>62</v>
      </c>
      <c r="G17" s="14" t="n">
        <f aca="false">(SISEPUEDE!G17*Assumptions!$B$11)/Assumptions!$B$4/Assumptions!$B$5/Assumptions!$B$8/Assumptions!$B$12/Assumptions!$B$10</f>
        <v>7.64544557651267</v>
      </c>
      <c r="H17" s="14" t="n">
        <f aca="false">(SISEPUEDE!H17*Assumptions!$B$11)/Assumptions!$B$4/Assumptions!$B$6/Assumptions!$B$8/Assumptions!$B$12/Assumptions!$B$10</f>
        <v>56.9493539124917</v>
      </c>
      <c r="I17" s="14" t="n">
        <f aca="false">(SISEPUEDE!I17*Assumptions!$B$11)/Assumptions!$B$9/Assumptions!$B$12/Assumptions!$B$10</f>
        <v>171.226696986548</v>
      </c>
      <c r="J17" s="15" t="n">
        <f aca="false">(B17+C17+D17)-(G17+H17+I17)</f>
        <v>1352.97182100092</v>
      </c>
      <c r="L17" s="13" t="s">
        <v>62</v>
      </c>
      <c r="M17" s="14" t="n">
        <f aca="false">(SISEPUEDE!M17*Assumptions!$B$11)/Assumptions!$B$4/Assumptions!$B$5/Assumptions!$B$8/Assumptions!$B$12/Assumptions!$B$10</f>
        <v>5.18585920743699</v>
      </c>
      <c r="N17" s="14" t="n">
        <f aca="false">(SISEPUEDE!N17*Assumptions!$B$11)/Assumptions!$B$4/Assumptions!$B$6/Assumptions!$B$8/Assumptions!$B$12/Assumptions!$B$10</f>
        <v>29.6560639353868</v>
      </c>
      <c r="O17" s="14" t="n">
        <f aca="false">(SISEPUEDE!O17*Assumptions!$B$11)/Assumptions!$B$9/Assumptions!$B$12/Assumptions!$B$10</f>
        <v>187.976316950017</v>
      </c>
      <c r="P17" s="15" t="n">
        <f aca="false">(B17+C17+D17)-(M17+N17+O17)</f>
        <v>1365.97507738363</v>
      </c>
    </row>
    <row r="18" customFormat="false" ht="15" hidden="false" customHeight="true" outlineLevel="0" collapsed="false">
      <c r="A18" s="13" t="s">
        <v>63</v>
      </c>
      <c r="B18" s="14" t="n">
        <f aca="false">(SISEPUEDE!B18*Assumptions!$B$11)/Assumptions!$B$4/Assumptions!$B$5/Assumptions!$B$8/Assumptions!$B$12/Assumptions!$B$10</f>
        <v>9.60102644948603</v>
      </c>
      <c r="C18" s="14" t="n">
        <f aca="false">(SISEPUEDE!C18*Assumptions!$B$11)/Assumptions!$B$4/Assumptions!$B$6/Assumptions!$B$8/Assumptions!$B$12/Assumptions!$B$10</f>
        <v>29.1777539310988</v>
      </c>
      <c r="D18" s="14" t="n">
        <f aca="false">(SISEPUEDE!D18*Assumptions!$B$11)/Assumptions!$B$9/Assumptions!$B$12/Assumptions!$B$10</f>
        <v>1628.28564030616</v>
      </c>
      <c r="F18" s="13" t="s">
        <v>63</v>
      </c>
      <c r="G18" s="14" t="n">
        <f aca="false">(SISEPUEDE!G18*Assumptions!$B$11)/Assumptions!$B$4/Assumptions!$B$5/Assumptions!$B$8/Assumptions!$B$12/Assumptions!$B$10</f>
        <v>7.13240071865708</v>
      </c>
      <c r="H18" s="14" t="n">
        <f aca="false">(SISEPUEDE!H18*Assumptions!$B$11)/Assumptions!$B$4/Assumptions!$B$6/Assumptions!$B$8/Assumptions!$B$12/Assumptions!$B$10</f>
        <v>57.2726753948658</v>
      </c>
      <c r="I18" s="14" t="n">
        <f aca="false">(SISEPUEDE!I18*Assumptions!$B$11)/Assumptions!$B$9/Assumptions!$B$12/Assumptions!$B$10</f>
        <v>150.575324325426</v>
      </c>
      <c r="J18" s="15" t="n">
        <f aca="false">(B18+C18+D18)-(G18+H18+I18)</f>
        <v>1452.0840202478</v>
      </c>
      <c r="L18" s="13" t="s">
        <v>63</v>
      </c>
      <c r="M18" s="14" t="n">
        <f aca="false">(SISEPUEDE!M18*Assumptions!$B$11)/Assumptions!$B$4/Assumptions!$B$5/Assumptions!$B$8/Assumptions!$B$12/Assumptions!$B$10</f>
        <v>4.48733848078731</v>
      </c>
      <c r="N18" s="14" t="n">
        <f aca="false">(SISEPUEDE!N18*Assumptions!$B$11)/Assumptions!$B$4/Assumptions!$B$6/Assumptions!$B$8/Assumptions!$B$12/Assumptions!$B$10</f>
        <v>27.8205336498186</v>
      </c>
      <c r="O18" s="14" t="n">
        <f aca="false">(SISEPUEDE!O18*Assumptions!$B$11)/Assumptions!$B$9/Assumptions!$B$12/Assumptions!$B$10</f>
        <v>166.714083749822</v>
      </c>
      <c r="P18" s="15" t="n">
        <f aca="false">(B18+C18+D18)-(M18+N18+O18)</f>
        <v>1468.04246480632</v>
      </c>
    </row>
    <row r="19" customFormat="false" ht="15" hidden="false" customHeight="true" outlineLevel="0" collapsed="false">
      <c r="A19" s="13" t="s">
        <v>64</v>
      </c>
      <c r="B19" s="14" t="n">
        <f aca="false">(SISEPUEDE!B19*Assumptions!$B$11)/Assumptions!$B$4/Assumptions!$B$5/Assumptions!$B$8/Assumptions!$B$12/Assumptions!$B$10</f>
        <v>9.18269204527847</v>
      </c>
      <c r="C19" s="14" t="n">
        <f aca="false">(SISEPUEDE!C19*Assumptions!$B$11)/Assumptions!$B$4/Assumptions!$B$6/Assumptions!$B$8/Assumptions!$B$12/Assumptions!$B$10</f>
        <v>27.769403106666</v>
      </c>
      <c r="D19" s="14" t="n">
        <f aca="false">(SISEPUEDE!D19*Assumptions!$B$11)/Assumptions!$B$9/Assumptions!$B$12/Assumptions!$B$10</f>
        <v>1708.85325993009</v>
      </c>
      <c r="F19" s="13" t="s">
        <v>64</v>
      </c>
      <c r="G19" s="14" t="n">
        <f aca="false">(SISEPUEDE!G19*Assumptions!$B$11)/Assumptions!$B$4/Assumptions!$B$5/Assumptions!$B$8/Assumptions!$B$12/Assumptions!$B$10</f>
        <v>6.60438049239786</v>
      </c>
      <c r="H19" s="14" t="n">
        <f aca="false">(SISEPUEDE!H19*Assumptions!$B$11)/Assumptions!$B$4/Assumptions!$B$6/Assumptions!$B$8/Assumptions!$B$12/Assumptions!$B$10</f>
        <v>57.4219942876641</v>
      </c>
      <c r="I19" s="14" t="n">
        <f aca="false">(SISEPUEDE!I19*Assumptions!$B$11)/Assumptions!$B$9/Assumptions!$B$12/Assumptions!$B$10</f>
        <v>131.694849604726</v>
      </c>
      <c r="J19" s="15" t="n">
        <f aca="false">(B19+C19+D19)-(G19+H19+I19)</f>
        <v>1550.08413069725</v>
      </c>
      <c r="L19" s="13" t="s">
        <v>64</v>
      </c>
      <c r="M19" s="14" t="n">
        <f aca="false">(SISEPUEDE!M19*Assumptions!$B$11)/Assumptions!$B$4/Assumptions!$B$5/Assumptions!$B$8/Assumptions!$B$12/Assumptions!$B$10</f>
        <v>3.7893018242481</v>
      </c>
      <c r="N19" s="14" t="n">
        <f aca="false">(SISEPUEDE!N19*Assumptions!$B$11)/Assumptions!$B$4/Assumptions!$B$6/Assumptions!$B$8/Assumptions!$B$12/Assumptions!$B$10</f>
        <v>25.7786920912144</v>
      </c>
      <c r="O19" s="14" t="n">
        <f aca="false">(SISEPUEDE!O19*Assumptions!$B$11)/Assumptions!$B$9/Assumptions!$B$12/Assumptions!$B$10</f>
        <v>147.31293024019</v>
      </c>
      <c r="P19" s="15" t="n">
        <f aca="false">(B19+C19+D19)-(M19+N19+O19)</f>
        <v>1568.92443092638</v>
      </c>
    </row>
    <row r="20" customFormat="false" ht="15" hidden="false" customHeight="true" outlineLevel="0" collapsed="false">
      <c r="A20" s="13" t="s">
        <v>65</v>
      </c>
      <c r="B20" s="14" t="n">
        <f aca="false">(SISEPUEDE!B20*Assumptions!$B$11)/Assumptions!$B$4/Assumptions!$B$5/Assumptions!$B$8/Assumptions!$B$12/Assumptions!$B$10</f>
        <v>8.73906350819175</v>
      </c>
      <c r="C20" s="14" t="n">
        <f aca="false">(SISEPUEDE!C20*Assumptions!$B$11)/Assumptions!$B$4/Assumptions!$B$6/Assumptions!$B$8/Assumptions!$B$12/Assumptions!$B$10</f>
        <v>26.2736366399831</v>
      </c>
      <c r="D20" s="14" t="n">
        <f aca="false">(SISEPUEDE!D20*Assumptions!$B$11)/Assumptions!$B$9/Assumptions!$B$12/Assumptions!$B$10</f>
        <v>1790.02936598866</v>
      </c>
      <c r="F20" s="13" t="s">
        <v>65</v>
      </c>
      <c r="G20" s="14" t="n">
        <f aca="false">(SISEPUEDE!G20*Assumptions!$B$11)/Assumptions!$B$4/Assumptions!$B$5/Assumptions!$B$8/Assumptions!$B$12/Assumptions!$B$10</f>
        <v>6.06354378259785</v>
      </c>
      <c r="H20" s="14" t="n">
        <f aca="false">(SISEPUEDE!H20*Assumptions!$B$11)/Assumptions!$B$4/Assumptions!$B$6/Assumptions!$B$8/Assumptions!$B$12/Assumptions!$B$10</f>
        <v>57.4090598478746</v>
      </c>
      <c r="I20" s="14" t="n">
        <f aca="false">(SISEPUEDE!I20*Assumptions!$B$11)/Assumptions!$B$9/Assumptions!$B$12/Assumptions!$B$10</f>
        <v>114.511813171302</v>
      </c>
      <c r="J20" s="15" t="n">
        <f aca="false">(B20+C20+D20)-(G20+H20+I20)</f>
        <v>1647.05764933506</v>
      </c>
      <c r="L20" s="13" t="s">
        <v>65</v>
      </c>
      <c r="M20" s="14" t="n">
        <f aca="false">(SISEPUEDE!M20*Assumptions!$B$11)/Assumptions!$B$4/Assumptions!$B$5/Assumptions!$B$8/Assumptions!$B$12/Assumptions!$B$10</f>
        <v>3.09419955933955</v>
      </c>
      <c r="N20" s="14" t="n">
        <f aca="false">(SISEPUEDE!N20*Assumptions!$B$11)/Assumptions!$B$4/Assumptions!$B$6/Assumptions!$B$8/Assumptions!$B$12/Assumptions!$B$10</f>
        <v>23.5433314081964</v>
      </c>
      <c r="O20" s="14" t="n">
        <f aca="false">(SISEPUEDE!O20*Assumptions!$B$11)/Assumptions!$B$9/Assumptions!$B$12/Assumptions!$B$10</f>
        <v>129.689812319938</v>
      </c>
      <c r="P20" s="15" t="n">
        <f aca="false">(B20+C20+D20)-(M20+N20+O20)</f>
        <v>1668.71472284936</v>
      </c>
    </row>
    <row r="21" customFormat="false" ht="15" hidden="false" customHeight="true" outlineLevel="0" collapsed="false">
      <c r="A21" s="13" t="s">
        <v>66</v>
      </c>
      <c r="B21" s="14" t="n">
        <f aca="false">(SISEPUEDE!B21*Assumptions!$B$11)/Assumptions!$B$4/Assumptions!$B$5/Assumptions!$B$8/Assumptions!$B$12/Assumptions!$B$10</f>
        <v>8.27253084105885</v>
      </c>
      <c r="C21" s="14" t="n">
        <f aca="false">(SISEPUEDE!C21*Assumptions!$B$11)/Assumptions!$B$4/Assumptions!$B$6/Assumptions!$B$8/Assumptions!$B$12/Assumptions!$B$10</f>
        <v>24.6987364142186</v>
      </c>
      <c r="D21" s="14" t="n">
        <f aca="false">(SISEPUEDE!D21*Assumptions!$B$11)/Assumptions!$B$9/Assumptions!$B$12/Assumptions!$B$10</f>
        <v>1871.81620213729</v>
      </c>
      <c r="F21" s="13" t="s">
        <v>66</v>
      </c>
      <c r="G21" s="14" t="n">
        <f aca="false">(SISEPUEDE!G21*Assumptions!$B$11)/Assumptions!$B$4/Assumptions!$B$5/Assumptions!$B$8/Assumptions!$B$12/Assumptions!$B$10</f>
        <v>5.5120088135919</v>
      </c>
      <c r="H21" s="14" t="n">
        <f aca="false">(SISEPUEDE!H21*Assumptions!$B$11)/Assumptions!$B$4/Assumptions!$B$6/Assumptions!$B$8/Assumptions!$B$12/Assumptions!$B$10</f>
        <v>57.2480208216034</v>
      </c>
      <c r="I21" s="14" t="n">
        <f aca="false">(SISEPUEDE!I21*Assumptions!$B$11)/Assumptions!$B$9/Assumptions!$B$12/Assumptions!$B$10</f>
        <v>98.9106795224214</v>
      </c>
      <c r="J21" s="15" t="n">
        <f aca="false">(B21+C21+D21)-(G21+H21+I21)</f>
        <v>1743.11676023495</v>
      </c>
      <c r="L21" s="13" t="s">
        <v>66</v>
      </c>
      <c r="M21" s="14" t="n">
        <f aca="false">(SISEPUEDE!M21*Assumptions!$B$11)/Assumptions!$B$4/Assumptions!$B$5/Assumptions!$B$8/Assumptions!$B$12/Assumptions!$B$10</f>
        <v>2.40402684084555</v>
      </c>
      <c r="N21" s="14" t="n">
        <f aca="false">(SISEPUEDE!N21*Assumptions!$B$11)/Assumptions!$B$4/Assumptions!$B$6/Assumptions!$B$8/Assumptions!$B$12/Assumptions!$B$10</f>
        <v>21.1301362670426</v>
      </c>
      <c r="O21" s="14" t="n">
        <f aca="false">(SISEPUEDE!O21*Assumptions!$B$11)/Assumptions!$B$9/Assumptions!$B$12/Assumptions!$B$10</f>
        <v>113.720332053108</v>
      </c>
      <c r="P21" s="15" t="n">
        <f aca="false">(B21+C21+D21)-(M21+N21+O21)</f>
        <v>1767.53297423157</v>
      </c>
    </row>
    <row r="22" customFormat="false" ht="15" hidden="false" customHeight="true" outlineLevel="0" collapsed="false">
      <c r="A22" s="13" t="s">
        <v>67</v>
      </c>
      <c r="B22" s="14" t="n">
        <f aca="false">(SISEPUEDE!B22*Assumptions!$B$11)/Assumptions!$B$4/Assumptions!$B$5/Assumptions!$B$8/Assumptions!$B$12/Assumptions!$B$10</f>
        <v>7.78564025236985</v>
      </c>
      <c r="C22" s="14" t="n">
        <f aca="false">(SISEPUEDE!C22*Assumptions!$B$11)/Assumptions!$B$4/Assumptions!$B$6/Assumptions!$B$8/Assumptions!$B$12/Assumptions!$B$10</f>
        <v>23.0535064023893</v>
      </c>
      <c r="D22" s="14" t="n">
        <f aca="false">(SISEPUEDE!D22*Assumptions!$B$11)/Assumptions!$B$9/Assumptions!$B$12/Assumptions!$B$10</f>
        <v>1954.20082038779</v>
      </c>
      <c r="F22" s="13" t="s">
        <v>67</v>
      </c>
      <c r="G22" s="14" t="n">
        <f aca="false">(SISEPUEDE!G22*Assumptions!$B$11)/Assumptions!$B$4/Assumptions!$B$5/Assumptions!$B$8/Assumptions!$B$12/Assumptions!$B$10</f>
        <v>4.95178631369417</v>
      </c>
      <c r="H22" s="14" t="n">
        <f aca="false">(SISEPUEDE!H22*Assumptions!$B$11)/Assumptions!$B$4/Assumptions!$B$6/Assumptions!$B$8/Assumptions!$B$12/Assumptions!$B$10</f>
        <v>56.9547307688401</v>
      </c>
      <c r="I22" s="14" t="n">
        <f aca="false">(SISEPUEDE!I22*Assumptions!$B$11)/Assumptions!$B$9/Assumptions!$B$12/Assumptions!$B$10</f>
        <v>84.7444799593604</v>
      </c>
      <c r="J22" s="15" t="n">
        <f aca="false">(B22+C22+D22)-(G22+H22+I22)</f>
        <v>1838.38897000065</v>
      </c>
      <c r="L22" s="13" t="s">
        <v>67</v>
      </c>
      <c r="M22" s="14" t="n">
        <f aca="false">(SISEPUEDE!M22*Assumptions!$B$11)/Assumptions!$B$4/Assumptions!$B$5/Assumptions!$B$8/Assumptions!$B$12/Assumptions!$B$10</f>
        <v>1.72022316019564</v>
      </c>
      <c r="N22" s="14" t="n">
        <f aca="false">(SISEPUEDE!N22*Assumptions!$B$11)/Assumptions!$B$4/Assumptions!$B$6/Assumptions!$B$8/Assumptions!$B$12/Assumptions!$B$10</f>
        <v>18.55699116458</v>
      </c>
      <c r="O22" s="14" t="n">
        <f aca="false">(SISEPUEDE!O22*Assumptions!$B$11)/Assumptions!$B$9/Assumptions!$B$12/Assumptions!$B$10</f>
        <v>99.2497674558182</v>
      </c>
      <c r="P22" s="15" t="n">
        <f aca="false">(B22+C22+D22)-(M22+N22+O22)</f>
        <v>1865.51298526195</v>
      </c>
    </row>
    <row r="23" customFormat="false" ht="15" hidden="false" customHeight="true" outlineLevel="0" collapsed="false">
      <c r="A23" s="13" t="s">
        <v>68</v>
      </c>
      <c r="B23" s="14" t="n">
        <f aca="false">(SISEPUEDE!B23*Assumptions!$B$11)/Assumptions!$B$4/Assumptions!$B$5/Assumptions!$B$8/Assumptions!$B$12/Assumptions!$B$10</f>
        <v>7.28102705548299</v>
      </c>
      <c r="C23" s="14" t="n">
        <f aca="false">(SISEPUEDE!C23*Assumptions!$B$11)/Assumptions!$B$4/Assumptions!$B$6/Assumptions!$B$8/Assumptions!$B$12/Assumptions!$B$10</f>
        <v>21.3470463908535</v>
      </c>
      <c r="D23" s="14" t="n">
        <f aca="false">(SISEPUEDE!D23*Assumptions!$B$11)/Assumptions!$B$9/Assumptions!$B$12/Assumptions!$B$10</f>
        <v>2037.15452380945</v>
      </c>
      <c r="F23" s="13" t="s">
        <v>68</v>
      </c>
      <c r="G23" s="14" t="n">
        <f aca="false">(SISEPUEDE!G23*Assumptions!$B$11)/Assumptions!$B$4/Assumptions!$B$5/Assumptions!$B$8/Assumptions!$B$12/Assumptions!$B$10</f>
        <v>4.38472673666337</v>
      </c>
      <c r="H23" s="14" t="n">
        <f aca="false">(SISEPUEDE!H23*Assumptions!$B$11)/Assumptions!$B$4/Assumptions!$B$6/Assumptions!$B$8/Assumptions!$B$12/Assumptions!$B$10</f>
        <v>56.5461210927948</v>
      </c>
      <c r="I23" s="14" t="n">
        <f aca="false">(SISEPUEDE!I23*Assumptions!$B$11)/Assumptions!$B$9/Assumptions!$B$12/Assumptions!$B$10</f>
        <v>71.8444591595135</v>
      </c>
      <c r="J23" s="15" t="n">
        <f aca="false">(B23+C23+D23)-(G23+H23+I23)</f>
        <v>1933.00729026681</v>
      </c>
      <c r="L23" s="13" t="s">
        <v>68</v>
      </c>
      <c r="M23" s="14" t="n">
        <f aca="false">(SISEPUEDE!M23*Assumptions!$B$11)/Assumptions!$B$4/Assumptions!$B$5/Assumptions!$B$8/Assumptions!$B$12/Assumptions!$B$10</f>
        <v>1.0435776226113</v>
      </c>
      <c r="N23" s="14" t="n">
        <f aca="false">(SISEPUEDE!N23*Assumptions!$B$11)/Assumptions!$B$4/Assumptions!$B$6/Assumptions!$B$8/Assumptions!$B$12/Assumptions!$B$10</f>
        <v>15.8434657305297</v>
      </c>
      <c r="O23" s="14" t="n">
        <f aca="false">(SISEPUEDE!O23*Assumptions!$B$11)/Assumptions!$B$9/Assumptions!$B$12/Assumptions!$B$10</f>
        <v>86.1043055627187</v>
      </c>
      <c r="P23" s="15" t="n">
        <f aca="false">(B23+C23+D23)-(M23+N23+O23)</f>
        <v>1962.79124833992</v>
      </c>
    </row>
    <row r="24" customFormat="false" ht="15" hidden="false" customHeight="true" outlineLevel="0" collapsed="false">
      <c r="A24" s="13" t="s">
        <v>69</v>
      </c>
      <c r="B24" s="14" t="n">
        <f aca="false">(SISEPUEDE!B24*Assumptions!$B$11)/Assumptions!$B$4/Assumptions!$B$5/Assumptions!$B$8/Assumptions!$B$12/Assumptions!$B$10</f>
        <v>6.76135519107004</v>
      </c>
      <c r="C24" s="14" t="n">
        <f aca="false">(SISEPUEDE!C24*Assumptions!$B$11)/Assumptions!$B$4/Assumptions!$B$6/Assumptions!$B$8/Assumptions!$B$12/Assumptions!$B$10</f>
        <v>19.5885484309446</v>
      </c>
      <c r="D24" s="14" t="n">
        <f aca="false">(SISEPUEDE!D24*Assumptions!$B$11)/Assumptions!$B$9/Assumptions!$B$12/Assumptions!$B$10</f>
        <v>2120.63343404762</v>
      </c>
      <c r="F24" s="13" t="s">
        <v>69</v>
      </c>
      <c r="G24" s="14" t="n">
        <f aca="false">(SISEPUEDE!G24*Assumptions!$B$11)/Assumptions!$B$4/Assumptions!$B$5/Assumptions!$B$8/Assumptions!$B$12/Assumptions!$B$10</f>
        <v>3.81249381391908</v>
      </c>
      <c r="H24" s="14" t="n">
        <f aca="false">(SISEPUEDE!H24*Assumptions!$B$11)/Assumptions!$B$4/Assumptions!$B$6/Assumptions!$B$8/Assumptions!$B$12/Assumptions!$B$10</f>
        <v>56.0398064742482</v>
      </c>
      <c r="I24" s="14" t="n">
        <f aca="false">(SISEPUEDE!I24*Assumptions!$B$11)/Assumptions!$B$9/Assumptions!$B$12/Assumptions!$B$10</f>
        <v>60.0290275745515</v>
      </c>
      <c r="J24" s="15" t="n">
        <f aca="false">(B24+C24+D24)-(G24+H24+I24)</f>
        <v>2027.10200980691</v>
      </c>
      <c r="L24" s="13" t="s">
        <v>69</v>
      </c>
      <c r="M24" s="14" t="n">
        <f aca="false">(SISEPUEDE!M24*Assumptions!$B$11)/Assumptions!$B$4/Assumptions!$B$5/Assumptions!$B$8/Assumptions!$B$12/Assumptions!$B$10</f>
        <v>0.374043107547357</v>
      </c>
      <c r="N24" s="14" t="n">
        <f aca="false">(SISEPUEDE!N24*Assumptions!$B$11)/Assumptions!$B$4/Assumptions!$B$6/Assumptions!$B$8/Assumptions!$B$12/Assumptions!$B$10</f>
        <v>13.0100784578546</v>
      </c>
      <c r="O24" s="14" t="n">
        <f aca="false">(SISEPUEDE!O24*Assumptions!$B$11)/Assumptions!$B$9/Assumptions!$B$12/Assumptions!$B$10</f>
        <v>74.1013153012937</v>
      </c>
      <c r="P24" s="15" t="n">
        <f aca="false">(B24+C24+D24)-(M24+N24+O24)</f>
        <v>2059.49790080294</v>
      </c>
    </row>
    <row r="25" customFormat="false" ht="15" hidden="false" customHeight="true" outlineLevel="0" collapsed="false">
      <c r="A25" s="13" t="s">
        <v>70</v>
      </c>
      <c r="B25" s="14" t="n">
        <f aca="false">(SISEPUEDE!B25*Assumptions!$B$11)/Assumptions!$B$4/Assumptions!$B$5/Assumptions!$B$8/Assumptions!$B$12/Assumptions!$B$10</f>
        <v>6.22926002664924</v>
      </c>
      <c r="C25" s="14" t="n">
        <f aca="false">(SISEPUEDE!C25*Assumptions!$B$11)/Assumptions!$B$4/Assumptions!$B$6/Assumptions!$B$8/Assumptions!$B$12/Assumptions!$B$10</f>
        <v>17.7871041124783</v>
      </c>
      <c r="D25" s="14" t="n">
        <f aca="false">(SISEPUEDE!D25*Assumptions!$B$11)/Assumptions!$B$9/Assumptions!$B$12/Assumptions!$B$10</f>
        <v>2204.5800518363</v>
      </c>
      <c r="F25" s="13" t="s">
        <v>70</v>
      </c>
      <c r="G25" s="14" t="n">
        <f aca="false">(SISEPUEDE!G25*Assumptions!$B$11)/Assumptions!$B$4/Assumptions!$B$5/Assumptions!$B$8/Assumptions!$B$12/Assumptions!$B$10</f>
        <v>3.23650024544955</v>
      </c>
      <c r="H25" s="14" t="n">
        <f aca="false">(SISEPUEDE!H25*Assumptions!$B$11)/Assumptions!$B$4/Assumptions!$B$6/Assumptions!$B$8/Assumptions!$B$12/Assumptions!$B$10</f>
        <v>55.4530644995984</v>
      </c>
      <c r="I25" s="14" t="n">
        <f aca="false">(SISEPUEDE!I25*Assumptions!$B$11)/Assumptions!$B$9/Assumptions!$B$12/Assumptions!$B$10</f>
        <v>49.1111085995109</v>
      </c>
      <c r="J25" s="15" t="n">
        <f aca="false">(B25+C25+D25)-(G25+H25+I25)</f>
        <v>2120.79574263086</v>
      </c>
      <c r="L25" s="13" t="s">
        <v>70</v>
      </c>
      <c r="M25" s="14" t="n">
        <f aca="false">(SISEPUEDE!M25*Assumptions!$B$11)/Assumptions!$B$4/Assumptions!$B$5/Assumptions!$B$8/Assumptions!$B$12/Assumptions!$B$10</f>
        <v>0</v>
      </c>
      <c r="N25" s="14" t="n">
        <f aca="false">(SISEPUEDE!N25*Assumptions!$B$11)/Assumptions!$B$4/Assumptions!$B$6/Assumptions!$B$8/Assumptions!$B$12/Assumptions!$B$10</f>
        <v>9.8319008840155</v>
      </c>
      <c r="O25" s="14" t="n">
        <f aca="false">(SISEPUEDE!O25*Assumptions!$B$11)/Assumptions!$B$9/Assumptions!$B$12/Assumptions!$B$10</f>
        <v>61.5250502740914</v>
      </c>
      <c r="P25" s="15" t="n">
        <f aca="false">(B25+C25+D25)-(M25+N25+O25)</f>
        <v>2157.23946481732</v>
      </c>
    </row>
    <row r="26" customFormat="false" ht="15" hidden="false" customHeight="true" outlineLevel="0" collapsed="false">
      <c r="A26" s="13" t="s">
        <v>71</v>
      </c>
      <c r="B26" s="14" t="n">
        <f aca="false">(SISEPUEDE!B26*Assumptions!$B$11)/Assumptions!$B$4/Assumptions!$B$5/Assumptions!$B$8/Assumptions!$B$12/Assumptions!$B$10</f>
        <v>5.6872912689069</v>
      </c>
      <c r="C26" s="14" t="n">
        <f aca="false">(SISEPUEDE!C26*Assumptions!$B$11)/Assumptions!$B$4/Assumptions!$B$6/Assumptions!$B$8/Assumptions!$B$12/Assumptions!$B$10</f>
        <v>15.9515112280107</v>
      </c>
      <c r="D26" s="14" t="n">
        <f aca="false">(SISEPUEDE!D26*Assumptions!$B$11)/Assumptions!$B$9/Assumptions!$B$12/Assumptions!$B$10</f>
        <v>2288.9256222975</v>
      </c>
      <c r="F26" s="13" t="s">
        <v>71</v>
      </c>
      <c r="G26" s="14" t="n">
        <f aca="false">(SISEPUEDE!G26*Assumptions!$B$11)/Assumptions!$B$4/Assumptions!$B$5/Assumptions!$B$8/Assumptions!$B$12/Assumptions!$B$10</f>
        <v>2.65792110733724</v>
      </c>
      <c r="H26" s="14" t="n">
        <f aca="false">(SISEPUEDE!H26*Assumptions!$B$11)/Assumptions!$B$4/Assumptions!$B$6/Assumptions!$B$8/Assumptions!$B$12/Assumptions!$B$10</f>
        <v>54.8026315511084</v>
      </c>
      <c r="I26" s="14" t="n">
        <f aca="false">(SISEPUEDE!I26*Assumptions!$B$11)/Assumptions!$B$9/Assumptions!$B$12/Assumptions!$B$10</f>
        <v>38.9058936988481</v>
      </c>
      <c r="J26" s="15" t="n">
        <f aca="false">(B26+C26+D26)-(G26+H26+I26)</f>
        <v>2214.19797843712</v>
      </c>
      <c r="L26" s="13" t="s">
        <v>71</v>
      </c>
      <c r="M26" s="14" t="n">
        <f aca="false">(SISEPUEDE!M26*Assumptions!$B$11)/Assumptions!$B$4/Assumptions!$B$5/Assumptions!$B$8/Assumptions!$B$12/Assumptions!$B$10</f>
        <v>0</v>
      </c>
      <c r="N26" s="14" t="n">
        <f aca="false">(SISEPUEDE!N26*Assumptions!$B$11)/Assumptions!$B$4/Assumptions!$B$6/Assumptions!$B$8/Assumptions!$B$12/Assumptions!$B$10</f>
        <v>6.28391965634042</v>
      </c>
      <c r="O26" s="14" t="n">
        <f aca="false">(SISEPUEDE!O26*Assumptions!$B$11)/Assumptions!$B$9/Assumptions!$B$12/Assumptions!$B$10</f>
        <v>46.9901420819918</v>
      </c>
      <c r="P26" s="15" t="n">
        <f aca="false">(B26+C26+D26)-(M26+N26+O26)</f>
        <v>2257.29036305609</v>
      </c>
    </row>
    <row r="27" customFormat="false" ht="15" hidden="false" customHeight="true" outlineLevel="0" collapsed="false">
      <c r="A27" s="13" t="s">
        <v>72</v>
      </c>
      <c r="B27" s="14" t="n">
        <f aca="false">(SISEPUEDE!B27*Assumptions!$B$11)/Assumptions!$B$4/Assumptions!$B$5/Assumptions!$B$8/Assumptions!$B$12/Assumptions!$B$10</f>
        <v>5.13785417315026</v>
      </c>
      <c r="C27" s="14" t="n">
        <f aca="false">(SISEPUEDE!C27*Assumptions!$B$11)/Assumptions!$B$4/Assumptions!$B$6/Assumptions!$B$8/Assumptions!$B$12/Assumptions!$B$10</f>
        <v>14.0900734175163</v>
      </c>
      <c r="D27" s="14" t="n">
        <f aca="false">(SISEPUEDE!D27*Assumptions!$B$11)/Assumptions!$B$9/Assumptions!$B$12/Assumptions!$B$10</f>
        <v>2373.5933637083</v>
      </c>
      <c r="F27" s="13" t="s">
        <v>72</v>
      </c>
      <c r="G27" s="14" t="n">
        <f aca="false">(SISEPUEDE!G27*Assumptions!$B$11)/Assumptions!$B$4/Assumptions!$B$5/Assumptions!$B$8/Assumptions!$B$12/Assumptions!$B$10</f>
        <v>2.07769446929802</v>
      </c>
      <c r="H27" s="14" t="n">
        <f aca="false">(SISEPUEDE!H27*Assumptions!$B$11)/Assumptions!$B$4/Assumptions!$B$6/Assumptions!$B$8/Assumptions!$B$12/Assumptions!$B$10</f>
        <v>54.1043389998787</v>
      </c>
      <c r="I27" s="14" t="n">
        <f aca="false">(SISEPUEDE!I27*Assumptions!$B$11)/Assumptions!$B$9/Assumptions!$B$12/Assumptions!$B$10</f>
        <v>29.2375888104752</v>
      </c>
      <c r="J27" s="15" t="n">
        <f aca="false">(B27+C27+D27)-(G27+H27+I27)</f>
        <v>2307.40166901932</v>
      </c>
      <c r="L27" s="13" t="s">
        <v>72</v>
      </c>
      <c r="M27" s="14" t="n">
        <f aca="false">(SISEPUEDE!M27*Assumptions!$B$11)/Assumptions!$B$4/Assumptions!$B$5/Assumptions!$B$8/Assumptions!$B$12/Assumptions!$B$10</f>
        <v>0</v>
      </c>
      <c r="N27" s="14" t="n">
        <f aca="false">(SISEPUEDE!N27*Assumptions!$B$11)/Assumptions!$B$4/Assumptions!$B$6/Assumptions!$B$8/Assumptions!$B$12/Assumptions!$B$10</f>
        <v>2.74891999346242</v>
      </c>
      <c r="O27" s="14" t="n">
        <f aca="false">(SISEPUEDE!O27*Assumptions!$B$11)/Assumptions!$B$9/Assumptions!$B$12/Assumptions!$B$10</f>
        <v>30.6478491581659</v>
      </c>
      <c r="P27" s="15" t="n">
        <f aca="false">(B27+C27+D27)-(M27+N27+O27)</f>
        <v>2359.42452214734</v>
      </c>
    </row>
    <row r="28" customFormat="false" ht="15" hidden="false" customHeight="true" outlineLevel="0" collapsed="false">
      <c r="A28" s="13" t="s">
        <v>73</v>
      </c>
      <c r="B28" s="14" t="n">
        <f aca="false">(SISEPUEDE!B28*Assumptions!$B$11)/Assumptions!$B$4/Assumptions!$B$5/Assumptions!$B$8/Assumptions!$B$12/Assumptions!$B$10</f>
        <v>4.58314727225156</v>
      </c>
      <c r="C28" s="14" t="n">
        <f aca="false">(SISEPUEDE!C28*Assumptions!$B$11)/Assumptions!$B$4/Assumptions!$B$6/Assumptions!$B$8/Assumptions!$B$12/Assumptions!$B$10</f>
        <v>12.2103865504411</v>
      </c>
      <c r="D28" s="14" t="n">
        <f aca="false">(SISEPUEDE!D28*Assumptions!$B$11)/Assumptions!$B$9/Assumptions!$B$12/Assumptions!$B$10</f>
        <v>2458.50262560292</v>
      </c>
      <c r="F28" s="13" t="s">
        <v>73</v>
      </c>
      <c r="G28" s="14" t="n">
        <f aca="false">(SISEPUEDE!G28*Assumptions!$B$11)/Assumptions!$B$4/Assumptions!$B$5/Assumptions!$B$8/Assumptions!$B$12/Assumptions!$B$10</f>
        <v>1.49194765697484</v>
      </c>
      <c r="H28" s="14" t="n">
        <f aca="false">(SISEPUEDE!H28*Assumptions!$B$11)/Assumptions!$B$4/Assumptions!$B$6/Assumptions!$B$8/Assumptions!$B$12/Assumptions!$B$10</f>
        <v>53.209471371016</v>
      </c>
      <c r="I28" s="14" t="n">
        <f aca="false">(SISEPUEDE!I28*Assumptions!$B$11)/Assumptions!$B$9/Assumptions!$B$12/Assumptions!$B$10</f>
        <v>25.83469314341</v>
      </c>
      <c r="J28" s="15" t="n">
        <f aca="false">(B28+C28+D28)-(G28+H28+I28)</f>
        <v>2394.76004725421</v>
      </c>
      <c r="L28" s="13" t="s">
        <v>73</v>
      </c>
      <c r="M28" s="14" t="n">
        <f aca="false">(SISEPUEDE!M28*Assumptions!$B$11)/Assumptions!$B$4/Assumptions!$B$5/Assumptions!$B$8/Assumptions!$B$12/Assumptions!$B$10</f>
        <v>0</v>
      </c>
      <c r="N28" s="14" t="n">
        <f aca="false">(SISEPUEDE!N28*Assumptions!$B$11)/Assumptions!$B$4/Assumptions!$B$6/Assumptions!$B$8/Assumptions!$B$12/Assumptions!$B$10</f>
        <v>0.227701058905344</v>
      </c>
      <c r="O28" s="14" t="n">
        <f aca="false">(SISEPUEDE!O28*Assumptions!$B$11)/Assumptions!$B$9/Assumptions!$B$12/Assumptions!$B$10</f>
        <v>12.9545476498904</v>
      </c>
      <c r="P28" s="15" t="n">
        <f aca="false">(B28+C28+D28)-(M28+N28+O28)</f>
        <v>2462.11391071682</v>
      </c>
    </row>
    <row r="29" customFormat="false" ht="15" hidden="false" customHeight="true" outlineLevel="0" collapsed="false">
      <c r="A29" s="13" t="s">
        <v>74</v>
      </c>
      <c r="B29" s="14" t="n">
        <f aca="false">(SISEPUEDE!B29*Assumptions!$B$11)/Assumptions!$B$4/Assumptions!$B$5/Assumptions!$B$8/Assumptions!$B$12/Assumptions!$B$10</f>
        <v>4.02509495721582</v>
      </c>
      <c r="C29" s="14" t="n">
        <f aca="false">(SISEPUEDE!C29*Assumptions!$B$11)/Assumptions!$B$4/Assumptions!$B$6/Assumptions!$B$8/Assumptions!$B$12/Assumptions!$B$10</f>
        <v>10.3191058942448</v>
      </c>
      <c r="D29" s="14" t="n">
        <f aca="false">(SISEPUEDE!D29*Assumptions!$B$11)/Assumptions!$B$9/Assumptions!$B$12/Assumptions!$B$10</f>
        <v>2543.57404821724</v>
      </c>
      <c r="F29" s="13" t="s">
        <v>74</v>
      </c>
      <c r="G29" s="14" t="n">
        <f aca="false">(SISEPUEDE!G29*Assumptions!$B$11)/Assumptions!$B$4/Assumptions!$B$5/Assumptions!$B$8/Assumptions!$B$12/Assumptions!$B$10</f>
        <v>0.907667904234889</v>
      </c>
      <c r="H29" s="14" t="n">
        <f aca="false">(SISEPUEDE!H29*Assumptions!$B$11)/Assumptions!$B$4/Assumptions!$B$6/Assumptions!$B$8/Assumptions!$B$12/Assumptions!$B$10</f>
        <v>52.2050165444834</v>
      </c>
      <c r="I29" s="14" t="n">
        <f aca="false">(SISEPUEDE!I29*Assumptions!$B$11)/Assumptions!$B$9/Assumptions!$B$12/Assumptions!$B$10</f>
        <v>25.7097825767135</v>
      </c>
      <c r="J29" s="15" t="n">
        <f aca="false">(B29+C29+D29)-(G29+H29+I29)</f>
        <v>2479.09578204327</v>
      </c>
      <c r="L29" s="13" t="s">
        <v>74</v>
      </c>
      <c r="M29" s="14" t="n">
        <f aca="false">(SISEPUEDE!M29*Assumptions!$B$11)/Assumptions!$B$4/Assumptions!$B$5/Assumptions!$B$8/Assumptions!$B$12/Assumptions!$B$10</f>
        <v>0</v>
      </c>
      <c r="N29" s="14" t="n">
        <f aca="false">(SISEPUEDE!N29*Assumptions!$B$11)/Assumptions!$B$4/Assumptions!$B$6/Assumptions!$B$8/Assumptions!$B$12/Assumptions!$B$10</f>
        <v>0</v>
      </c>
      <c r="O29" s="14" t="n">
        <f aca="false">(SISEPUEDE!O29*Assumptions!$B$11)/Assumptions!$B$9/Assumptions!$B$12/Assumptions!$B$10</f>
        <v>4.17010639082487</v>
      </c>
      <c r="P29" s="15" t="n">
        <f aca="false">(B29+C29+D29)-(M29+N29+O29)</f>
        <v>2553.74814267787</v>
      </c>
    </row>
    <row r="30" customFormat="false" ht="15" hidden="false" customHeight="true" outlineLevel="0" collapsed="false">
      <c r="A30" s="13" t="s">
        <v>75</v>
      </c>
      <c r="B30" s="14" t="n">
        <f aca="false">(SISEPUEDE!B30*Assumptions!$B$11)/Assumptions!$B$4/Assumptions!$B$5/Assumptions!$B$8/Assumptions!$B$12/Assumptions!$B$10</f>
        <v>3.46527335338069</v>
      </c>
      <c r="C30" s="14" t="n">
        <f aca="false">(SISEPUEDE!C30*Assumptions!$B$11)/Assumptions!$B$4/Assumptions!$B$6/Assumptions!$B$8/Assumptions!$B$12/Assumptions!$B$10</f>
        <v>8.42168854384047</v>
      </c>
      <c r="D30" s="14" t="n">
        <f aca="false">(SISEPUEDE!D30*Assumptions!$B$11)/Assumptions!$B$9/Assumptions!$B$12/Assumptions!$B$10</f>
        <v>2628.73579788548</v>
      </c>
      <c r="F30" s="13" t="s">
        <v>75</v>
      </c>
      <c r="G30" s="14" t="n">
        <f aca="false">(SISEPUEDE!G30*Assumptions!$B$11)/Assumptions!$B$4/Assumptions!$B$5/Assumptions!$B$8/Assumptions!$B$12/Assumptions!$B$10</f>
        <v>0.328763394295187</v>
      </c>
      <c r="H30" s="14" t="n">
        <f aca="false">(SISEPUEDE!H30*Assumptions!$B$11)/Assumptions!$B$4/Assumptions!$B$6/Assumptions!$B$8/Assumptions!$B$12/Assumptions!$B$10</f>
        <v>51.1876288399557</v>
      </c>
      <c r="I30" s="14" t="n">
        <f aca="false">(SISEPUEDE!I30*Assumptions!$B$11)/Assumptions!$B$9/Assumptions!$B$12/Assumptions!$B$10</f>
        <v>25.5802247310639</v>
      </c>
      <c r="J30" s="15" t="n">
        <f aca="false">(B30+C30+D30)-(G30+H30+I30)</f>
        <v>2563.52614281739</v>
      </c>
      <c r="L30" s="13" t="s">
        <v>75</v>
      </c>
      <c r="M30" s="14" t="n">
        <f aca="false">(SISEPUEDE!M30*Assumptions!$B$11)/Assumptions!$B$4/Assumptions!$B$5/Assumptions!$B$8/Assumptions!$B$12/Assumptions!$B$10</f>
        <v>0</v>
      </c>
      <c r="N30" s="14" t="n">
        <f aca="false">(SISEPUEDE!N30*Assumptions!$B$11)/Assumptions!$B$4/Assumptions!$B$6/Assumptions!$B$8/Assumptions!$B$12/Assumptions!$B$10</f>
        <v>0</v>
      </c>
      <c r="O30" s="14" t="n">
        <f aca="false">(SISEPUEDE!O30*Assumptions!$B$11)/Assumptions!$B$9/Assumptions!$B$12/Assumptions!$B$10</f>
        <v>1.73480259571981</v>
      </c>
      <c r="P30" s="15" t="n">
        <f aca="false">(B30+C30+D30)-(M30+N30+O30)</f>
        <v>2638.88795718698</v>
      </c>
    </row>
    <row r="31" customFormat="false" ht="15" hidden="false" customHeight="true" outlineLevel="0" collapsed="false">
      <c r="A31" s="16" t="s">
        <v>76</v>
      </c>
      <c r="B31" s="17" t="n">
        <f aca="false">(SISEPUEDE!B31*Assumptions!$B$11)/Assumptions!$B$4/Assumptions!$B$5/Assumptions!$B$8/Assumptions!$B$12/Assumptions!$B$10</f>
        <v>3.46388228584553</v>
      </c>
      <c r="C31" s="17" t="n">
        <f aca="false">(SISEPUEDE!C31*Assumptions!$B$11)/Assumptions!$B$4/Assumptions!$B$6/Assumptions!$B$8/Assumptions!$B$12/Assumptions!$B$10</f>
        <v>8.41830781847488</v>
      </c>
      <c r="D31" s="17" t="n">
        <f aca="false">(SISEPUEDE!D31*Assumptions!$B$11)/Assumptions!$B$9/Assumptions!$B$12/Assumptions!$B$10</f>
        <v>2627.68054230995</v>
      </c>
      <c r="F31" s="16" t="s">
        <v>76</v>
      </c>
      <c r="G31" s="17" t="n">
        <f aca="false">(SISEPUEDE!G31*Assumptions!$B$11)/Assumptions!$B$4/Assumptions!$B$5/Assumptions!$B$8/Assumptions!$B$12/Assumptions!$B$10</f>
        <v>0.31867833384173</v>
      </c>
      <c r="H31" s="17" t="n">
        <f aca="false">(SISEPUEDE!H31*Assumptions!$B$11)/Assumptions!$B$4/Assumptions!$B$6/Assumptions!$B$8/Assumptions!$B$12/Assumptions!$B$10</f>
        <v>49.617410438887</v>
      </c>
      <c r="I31" s="17" t="n">
        <f aca="false">(SISEPUEDE!I31*Assumptions!$B$11)/Assumptions!$B$9/Assumptions!$B$12/Assumptions!$B$10</f>
        <v>24.7955324042954</v>
      </c>
      <c r="J31" s="18" t="n">
        <f aca="false">(B31+C31+D31)-(G31+H31+I31)</f>
        <v>2564.83111123724</v>
      </c>
      <c r="L31" s="16" t="s">
        <v>76</v>
      </c>
      <c r="M31" s="17" t="n">
        <f aca="false">(SISEPUEDE!M31*Assumptions!$B$11)/Assumptions!$B$4/Assumptions!$B$5/Assumptions!$B$8/Assumptions!$B$12/Assumptions!$B$10</f>
        <v>0</v>
      </c>
      <c r="N31" s="17" t="n">
        <f aca="false">(SISEPUEDE!N31*Assumptions!$B$11)/Assumptions!$B$4/Assumptions!$B$6/Assumptions!$B$8/Assumptions!$B$12/Assumptions!$B$10</f>
        <v>0</v>
      </c>
      <c r="O31" s="17" t="n">
        <f aca="false">(SISEPUEDE!O31*Assumptions!$B$11)/Assumptions!$B$9/Assumptions!$B$12/Assumptions!$B$10</f>
        <v>1.73480259571981</v>
      </c>
      <c r="P31" s="18" t="n">
        <f aca="false">(B31+C31+D31)-(M31+N31+O31)</f>
        <v>2637.82792981855</v>
      </c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customFormat="false" ht="15" hidden="false" customHeight="true" outlineLevel="0" collapsed="false">
      <c r="A33" s="19" t="s">
        <v>77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</sheetData>
  <mergeCells count="6">
    <mergeCell ref="A1:P1"/>
    <mergeCell ref="A2:D2"/>
    <mergeCell ref="F2:J2"/>
    <mergeCell ref="L2:P2"/>
    <mergeCell ref="A32:P32"/>
    <mergeCell ref="A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B4" activeCellId="0" sqref="B4"/>
    </sheetView>
  </sheetViews>
  <sheetFormatPr defaultColWidth="8.83203125" defaultRowHeight="15" zeroHeight="false" outlineLevelRow="0" outlineLevelCol="0"/>
  <sheetData>
    <row r="1" customFormat="false" ht="15" hidden="false" customHeight="true" outlineLevel="0" collapsed="false">
      <c r="A1" s="20" t="s">
        <v>78</v>
      </c>
    </row>
    <row r="2" customFormat="false" ht="15" hidden="false" customHeight="true" outlineLevel="0" collapsed="false">
      <c r="A2" s="21" t="s">
        <v>40</v>
      </c>
      <c r="B2" s="21"/>
      <c r="C2" s="21"/>
      <c r="D2" s="21"/>
      <c r="F2" s="21" t="s">
        <v>41</v>
      </c>
      <c r="G2" s="21"/>
      <c r="H2" s="21"/>
      <c r="I2" s="21"/>
      <c r="L2" s="20" t="s">
        <v>42</v>
      </c>
    </row>
    <row r="3" customFormat="false" ht="15" hidden="false" customHeight="true" outlineLevel="0" collapsed="false">
      <c r="A3" s="22" t="s">
        <v>43</v>
      </c>
      <c r="B3" s="23" t="s">
        <v>44</v>
      </c>
      <c r="C3" s="23" t="s">
        <v>45</v>
      </c>
      <c r="D3" s="23" t="s">
        <v>46</v>
      </c>
      <c r="G3" s="23" t="s">
        <v>44</v>
      </c>
      <c r="H3" s="23" t="s">
        <v>45</v>
      </c>
      <c r="I3" s="23" t="s">
        <v>46</v>
      </c>
      <c r="J3" s="23" t="s">
        <v>48</v>
      </c>
      <c r="M3" s="23" t="s">
        <v>44</v>
      </c>
      <c r="N3" s="23" t="s">
        <v>45</v>
      </c>
      <c r="O3" s="23" t="s">
        <v>46</v>
      </c>
      <c r="P3" s="23" t="s">
        <v>48</v>
      </c>
    </row>
    <row r="4" customFormat="false" ht="15" hidden="false" customHeight="true" outlineLevel="0" collapsed="false">
      <c r="A4" s="24" t="s">
        <v>49</v>
      </c>
      <c r="B4" s="25" t="n">
        <v>5.07640740742145</v>
      </c>
      <c r="C4" s="25" t="n">
        <v>15.6842553382928</v>
      </c>
      <c r="D4" s="25" t="n">
        <v>6.26733725428572</v>
      </c>
      <c r="E4" s="25"/>
      <c r="F4" s="24" t="s">
        <v>49</v>
      </c>
      <c r="G4" s="25" t="n">
        <v>5.07640740742145</v>
      </c>
      <c r="H4" s="25" t="n">
        <v>15.6842553382928</v>
      </c>
      <c r="I4" s="25" t="n">
        <v>6.26733725428572</v>
      </c>
      <c r="J4" s="26" t="n">
        <v>0</v>
      </c>
      <c r="K4" s="25"/>
      <c r="L4" s="24" t="s">
        <v>49</v>
      </c>
      <c r="M4" s="25" t="n">
        <v>5.07640740742145</v>
      </c>
      <c r="N4" s="25" t="n">
        <v>15.6842553382928</v>
      </c>
      <c r="O4" s="25" t="n">
        <v>6.26733725428572</v>
      </c>
      <c r="P4" s="26" t="n">
        <v>0</v>
      </c>
      <c r="Q4" s="25"/>
    </row>
    <row r="5" customFormat="false" ht="15" hidden="false" customHeight="true" outlineLevel="0" collapsed="false">
      <c r="A5" s="24" t="s">
        <v>50</v>
      </c>
      <c r="B5" s="25" t="n">
        <v>5.03707618268862</v>
      </c>
      <c r="C5" s="25" t="n">
        <v>15.5685608647558</v>
      </c>
      <c r="D5" s="25" t="n">
        <v>7.13859245380324</v>
      </c>
      <c r="E5" s="25" t="n">
        <v>27.7442295012477</v>
      </c>
      <c r="F5" s="24" t="s">
        <v>50</v>
      </c>
      <c r="G5" s="25" t="n">
        <v>4.95583586464591</v>
      </c>
      <c r="H5" s="25" t="n">
        <v>16.4464880789156</v>
      </c>
      <c r="I5" s="25" t="n">
        <v>5.90826998706786</v>
      </c>
      <c r="J5" s="26" t="n">
        <v>0</v>
      </c>
      <c r="K5" s="25" t="n">
        <v>27.3105939306294</v>
      </c>
      <c r="L5" s="24" t="s">
        <v>50</v>
      </c>
      <c r="M5" s="25" t="n">
        <v>5.1613834118107</v>
      </c>
      <c r="N5" s="25" t="n">
        <v>14.9901828003279</v>
      </c>
      <c r="O5" s="25" t="n">
        <v>6.27727571138163</v>
      </c>
      <c r="P5" s="26" t="n">
        <v>0</v>
      </c>
      <c r="Q5" s="25" t="n">
        <v>26.4288419235202</v>
      </c>
    </row>
    <row r="6" customFormat="false" ht="15" hidden="false" customHeight="true" outlineLevel="0" collapsed="false">
      <c r="A6" s="24" t="s">
        <v>51</v>
      </c>
      <c r="B6" s="25" t="n">
        <v>4.99698349864576</v>
      </c>
      <c r="C6" s="25" t="n">
        <v>15.4501911728468</v>
      </c>
      <c r="D6" s="25" t="n">
        <v>8.0105267753028</v>
      </c>
      <c r="E6" s="25" t="n">
        <v>28.4577014467953</v>
      </c>
      <c r="F6" s="24" t="s">
        <v>51</v>
      </c>
      <c r="G6" s="25" t="n">
        <v>4.83454439727256</v>
      </c>
      <c r="H6" s="25" t="n">
        <v>17.2056473036157</v>
      </c>
      <c r="I6" s="25" t="n">
        <v>5.54938893113556</v>
      </c>
      <c r="J6" s="26" t="n">
        <f aca="false">+SUM(B6:D6)-SUM(G6:I6)</f>
        <v>0.868120814771544</v>
      </c>
      <c r="K6" s="25" t="n">
        <v>27.5895806320238</v>
      </c>
      <c r="L6" s="24" t="s">
        <v>51</v>
      </c>
      <c r="M6" s="25" t="n">
        <v>4.93260601283925</v>
      </c>
      <c r="N6" s="25" t="n">
        <v>14.9917108364193</v>
      </c>
      <c r="O6" s="25" t="n">
        <v>5.90074750261989</v>
      </c>
      <c r="P6" s="26" t="n">
        <f aca="false">+SUM(B6:D6)-SUM(M6:O6)</f>
        <v>2.63263709491692</v>
      </c>
      <c r="Q6" s="25" t="n">
        <v>25.8250643518784</v>
      </c>
    </row>
    <row r="7" customFormat="false" ht="15" hidden="false" customHeight="true" outlineLevel="0" collapsed="false">
      <c r="A7" s="24" t="s">
        <v>52</v>
      </c>
      <c r="B7" s="25" t="n">
        <v>4.95449420268163</v>
      </c>
      <c r="C7" s="25" t="n">
        <v>15.3233960022639</v>
      </c>
      <c r="D7" s="25" t="n">
        <v>8.88378217243479</v>
      </c>
      <c r="E7" s="25" t="n">
        <v>29.1616723773804</v>
      </c>
      <c r="F7" s="24" t="s">
        <v>52</v>
      </c>
      <c r="G7" s="25" t="n">
        <v>4.71103179551282</v>
      </c>
      <c r="H7" s="25" t="n">
        <v>17.9550420256204</v>
      </c>
      <c r="I7" s="25" t="n">
        <v>5.19082172574743</v>
      </c>
      <c r="J7" s="26" t="n">
        <f aca="false">+SUM(B7:D7)-SUM(G7:I7)</f>
        <v>1.30477683049967</v>
      </c>
      <c r="K7" s="25" t="n">
        <v>27.8568955468807</v>
      </c>
      <c r="L7" s="24" t="s">
        <v>52</v>
      </c>
      <c r="M7" s="25" t="n">
        <v>4.70134907240413</v>
      </c>
      <c r="N7" s="25" t="n">
        <v>14.981681305764</v>
      </c>
      <c r="O7" s="25" t="n">
        <v>5.52410027312733</v>
      </c>
      <c r="P7" s="26" t="n">
        <f aca="false">+SUM(B7:D7)-SUM(M7:O7)</f>
        <v>3.95454172608486</v>
      </c>
      <c r="Q7" s="25" t="n">
        <v>25.2071306512955</v>
      </c>
    </row>
    <row r="8" customFormat="false" ht="15" hidden="false" customHeight="true" outlineLevel="0" collapsed="false">
      <c r="A8" s="24" t="s">
        <v>53</v>
      </c>
      <c r="B8" s="25" t="n">
        <v>4.90769531435153</v>
      </c>
      <c r="C8" s="25" t="n">
        <v>15.1812277323545</v>
      </c>
      <c r="D8" s="25" t="n">
        <v>9.75913893988636</v>
      </c>
      <c r="E8" s="25" t="n">
        <v>29.8480619865924</v>
      </c>
      <c r="F8" s="24" t="s">
        <v>53</v>
      </c>
      <c r="G8" s="25" t="n">
        <v>4.58366228111657</v>
      </c>
      <c r="H8" s="25" t="n">
        <v>18.6862526064924</v>
      </c>
      <c r="I8" s="25" t="n">
        <v>4.83316881662206</v>
      </c>
      <c r="J8" s="26" t="n">
        <f aca="false">+SUM(B8:D8)-SUM(G8:I8)</f>
        <v>1.74497828236136</v>
      </c>
      <c r="K8" s="25" t="n">
        <v>28.103083704231</v>
      </c>
      <c r="L8" s="24" t="s">
        <v>53</v>
      </c>
      <c r="M8" s="25" t="n">
        <v>4.46620558074675</v>
      </c>
      <c r="N8" s="25" t="n">
        <v>14.9498049612511</v>
      </c>
      <c r="O8" s="25" t="n">
        <v>5.14819657435067</v>
      </c>
      <c r="P8" s="26" t="n">
        <f aca="false">+SUM(B8:D8)-SUM(M8:O8)</f>
        <v>5.28385487024387</v>
      </c>
      <c r="Q8" s="25" t="n">
        <v>24.5642071163485</v>
      </c>
    </row>
    <row r="9" customFormat="false" ht="15" hidden="false" customHeight="true" outlineLevel="0" collapsed="false">
      <c r="A9" s="24" t="s">
        <v>54</v>
      </c>
      <c r="B9" s="25" t="n">
        <v>4.85457519092952</v>
      </c>
      <c r="C9" s="25" t="n">
        <v>15.0163903648691</v>
      </c>
      <c r="D9" s="25" t="n">
        <v>10.6372896924084</v>
      </c>
      <c r="E9" s="25" t="n">
        <v>30.5082552482069</v>
      </c>
      <c r="F9" s="24" t="s">
        <v>54</v>
      </c>
      <c r="G9" s="25" t="n">
        <v>4.45082213333614</v>
      </c>
      <c r="H9" s="25" t="n">
        <v>19.3897448257999</v>
      </c>
      <c r="I9" s="25" t="n">
        <v>4.47754558284711</v>
      </c>
      <c r="J9" s="26" t="n">
        <f aca="false">+SUM(B9:D9)-SUM(G9:I9)</f>
        <v>2.19014270622387</v>
      </c>
      <c r="K9" s="25" t="n">
        <v>28.3181125419832</v>
      </c>
      <c r="L9" s="24" t="s">
        <v>54</v>
      </c>
      <c r="M9" s="25" t="n">
        <v>4.2259580087124</v>
      </c>
      <c r="N9" s="25" t="n">
        <v>14.8846390712571</v>
      </c>
      <c r="O9" s="25" t="n">
        <v>4.77449903715161</v>
      </c>
      <c r="P9" s="26" t="n">
        <f aca="false">+SUM(B9:D9)-SUM(M9:O9)</f>
        <v>6.62315913108591</v>
      </c>
      <c r="Q9" s="25" t="n">
        <v>23.8850961171211</v>
      </c>
    </row>
    <row r="10" customFormat="false" ht="15" hidden="false" customHeight="true" outlineLevel="0" collapsed="false">
      <c r="A10" s="24" t="s">
        <v>55</v>
      </c>
      <c r="B10" s="25" t="n">
        <v>4.79318788491567</v>
      </c>
      <c r="C10" s="25" t="n">
        <v>14.8220984157191</v>
      </c>
      <c r="D10" s="25" t="n">
        <v>11.5186121918944</v>
      </c>
      <c r="E10" s="25" t="n">
        <v>31.1338984925292</v>
      </c>
      <c r="F10" s="24" t="s">
        <v>55</v>
      </c>
      <c r="G10" s="25" t="n">
        <v>4.31105733847797</v>
      </c>
      <c r="H10" s="25" t="n">
        <v>20.055505412366</v>
      </c>
      <c r="I10" s="25" t="n">
        <v>4.12558147001583</v>
      </c>
      <c r="J10" s="26" t="n">
        <f aca="false">+SUM(B10:D10)-SUM(G10:I10)</f>
        <v>2.64175427166937</v>
      </c>
      <c r="K10" s="25" t="n">
        <v>28.4921442208598</v>
      </c>
      <c r="L10" s="24" t="s">
        <v>55</v>
      </c>
      <c r="M10" s="25" t="n">
        <v>3.97969154655927</v>
      </c>
      <c r="N10" s="25" t="n">
        <v>14.77436728874</v>
      </c>
      <c r="O10" s="25" t="n">
        <v>4.40501707976397</v>
      </c>
      <c r="P10" s="26" t="n">
        <f aca="false">+SUM(B10:D10)-SUM(M10:O10)</f>
        <v>7.97482257746593</v>
      </c>
      <c r="Q10" s="25" t="n">
        <v>23.1590759150633</v>
      </c>
    </row>
    <row r="11" customFormat="false" ht="15" hidden="false" customHeight="true" outlineLevel="0" collapsed="false">
      <c r="A11" s="24" t="s">
        <v>56</v>
      </c>
      <c r="B11" s="25" t="n">
        <v>4.72180374464127</v>
      </c>
      <c r="C11" s="25" t="n">
        <v>14.5924720861494</v>
      </c>
      <c r="D11" s="25" t="n">
        <v>12.4032984199585</v>
      </c>
      <c r="E11" s="25" t="n">
        <v>31.7175742507492</v>
      </c>
      <c r="F11" s="24" t="s">
        <v>56</v>
      </c>
      <c r="G11" s="25" t="n">
        <v>4.16319011388305</v>
      </c>
      <c r="H11" s="25" t="n">
        <v>20.673714620164</v>
      </c>
      <c r="I11" s="25" t="n">
        <v>3.77937956693076</v>
      </c>
      <c r="J11" s="26" t="n">
        <f aca="false">+SUM(B11:D11)-SUM(G11:I11)</f>
        <v>3.10128994977136</v>
      </c>
      <c r="K11" s="25" t="n">
        <v>28.6162843009778</v>
      </c>
      <c r="L11" s="24" t="s">
        <v>56</v>
      </c>
      <c r="M11" s="25" t="n">
        <v>3.7268765916726</v>
      </c>
      <c r="N11" s="25" t="n">
        <v>14.6075659701891</v>
      </c>
      <c r="O11" s="25" t="n">
        <v>4.04221679223758</v>
      </c>
      <c r="P11" s="26" t="n">
        <f aca="false">+SUM(B11:D11)-SUM(M11:O11)</f>
        <v>9.34091489664989</v>
      </c>
      <c r="Q11" s="25" t="n">
        <v>22.3766593540993</v>
      </c>
    </row>
    <row r="12" customFormat="false" ht="15" hidden="false" customHeight="true" outlineLevel="0" collapsed="false">
      <c r="A12" s="24" t="s">
        <v>57</v>
      </c>
      <c r="B12" s="25" t="n">
        <v>4.63903898992006</v>
      </c>
      <c r="C12" s="25" t="n">
        <v>14.3229021009967</v>
      </c>
      <c r="D12" s="25" t="n">
        <v>13.2915225083984</v>
      </c>
      <c r="E12" s="25" t="n">
        <v>32.2534635993152</v>
      </c>
      <c r="F12" s="24" t="s">
        <v>57</v>
      </c>
      <c r="G12" s="25" t="n">
        <v>4.00641198580478</v>
      </c>
      <c r="H12" s="25" t="n">
        <v>21.235449307268</v>
      </c>
      <c r="I12" s="25" t="n">
        <v>3.4414350220952</v>
      </c>
      <c r="J12" s="26" t="n">
        <f aca="false">+SUM(B12:D12)-SUM(G12:I12)</f>
        <v>3.57016728414718</v>
      </c>
      <c r="K12" s="25" t="n">
        <v>28.683296315168</v>
      </c>
      <c r="L12" s="24" t="s">
        <v>57</v>
      </c>
      <c r="M12" s="25" t="n">
        <v>3.46742173462704</v>
      </c>
      <c r="N12" s="25" t="n">
        <v>14.3739492820739</v>
      </c>
      <c r="O12" s="25" t="n">
        <v>3.68889627304874</v>
      </c>
      <c r="P12" s="26" t="n">
        <f aca="false">+SUM(B12:D12)-SUM(M12:O12)</f>
        <v>10.7231963095655</v>
      </c>
      <c r="Q12" s="25" t="n">
        <v>21.5302672897497</v>
      </c>
    </row>
    <row r="13" customFormat="false" ht="15" hidden="false" customHeight="true" outlineLevel="0" collapsed="false">
      <c r="A13" s="24" t="s">
        <v>58</v>
      </c>
      <c r="B13" s="25" t="n">
        <v>4.54398181660342</v>
      </c>
      <c r="C13" s="25" t="n">
        <v>14.010386021256</v>
      </c>
      <c r="D13" s="25" t="n">
        <v>14.1836525397154</v>
      </c>
      <c r="E13" s="25" t="n">
        <v>32.7380203775748</v>
      </c>
      <c r="F13" s="24" t="s">
        <v>58</v>
      </c>
      <c r="G13" s="25" t="n">
        <v>3.84037155347675</v>
      </c>
      <c r="H13" s="25" t="n">
        <v>21.733417357039</v>
      </c>
      <c r="I13" s="25" t="n">
        <v>3.11451839708675</v>
      </c>
      <c r="J13" s="26" t="n">
        <f aca="false">+SUM(B13:D13)-SUM(G13:I13)</f>
        <v>4.04971306997232</v>
      </c>
      <c r="K13" s="25" t="n">
        <v>28.6883073076025</v>
      </c>
      <c r="L13" s="24" t="s">
        <v>58</v>
      </c>
      <c r="M13" s="25" t="n">
        <v>3.20171632661302</v>
      </c>
      <c r="N13" s="25" t="n">
        <v>14.0650892872354</v>
      </c>
      <c r="O13" s="25" t="n">
        <v>3.34803582749697</v>
      </c>
      <c r="P13" s="26" t="n">
        <f aca="false">+SUM(B13:D13)-SUM(M13:O13)</f>
        <v>12.1231789362294</v>
      </c>
      <c r="Q13" s="25" t="n">
        <v>20.6148414413454</v>
      </c>
    </row>
    <row r="14" customFormat="false" ht="15" hidden="false" customHeight="true" outlineLevel="0" collapsed="false">
      <c r="A14" s="24" t="s">
        <v>59</v>
      </c>
      <c r="B14" s="25" t="n">
        <v>4.4361286903227</v>
      </c>
      <c r="C14" s="25" t="n">
        <v>13.6533085366941</v>
      </c>
      <c r="D14" s="25" t="n">
        <v>15.0801810255875</v>
      </c>
      <c r="E14" s="25" t="n">
        <v>33.1696182526043</v>
      </c>
      <c r="F14" s="24" t="s">
        <v>59</v>
      </c>
      <c r="G14" s="25" t="n">
        <v>3.66508838492583</v>
      </c>
      <c r="H14" s="25" t="n">
        <v>22.1619956705879</v>
      </c>
      <c r="I14" s="25" t="n">
        <v>2.80143380314006</v>
      </c>
      <c r="J14" s="26" t="n">
        <f aca="false">+SUM(B14:D14)-SUM(G14:I14)</f>
        <v>4.54110039395051</v>
      </c>
      <c r="K14" s="25" t="n">
        <v>28.6285178586538</v>
      </c>
      <c r="L14" s="24" t="s">
        <v>59</v>
      </c>
      <c r="M14" s="25" t="n">
        <v>2.93050926812696</v>
      </c>
      <c r="N14" s="25" t="n">
        <v>13.6744961805388</v>
      </c>
      <c r="O14" s="25" t="n">
        <v>3.02253960177787</v>
      </c>
      <c r="P14" s="26" t="n">
        <f aca="false">+SUM(B14:D14)-SUM(M14:O14)</f>
        <v>13.5420732021607</v>
      </c>
      <c r="Q14" s="25" t="n">
        <v>19.6275450504436</v>
      </c>
    </row>
    <row r="15" customFormat="false" ht="15" hidden="false" customHeight="true" outlineLevel="0" collapsed="false">
      <c r="A15" s="24" t="s">
        <v>60</v>
      </c>
      <c r="B15" s="25" t="n">
        <v>4.31532522398731</v>
      </c>
      <c r="C15" s="25" t="n">
        <v>13.2512382422422</v>
      </c>
      <c r="D15" s="25" t="n">
        <v>15.9816628585818</v>
      </c>
      <c r="E15" s="25" t="n">
        <v>33.5482263248113</v>
      </c>
      <c r="F15" s="24" t="s">
        <v>60</v>
      </c>
      <c r="G15" s="25" t="n">
        <v>3.48087467546772</v>
      </c>
      <c r="H15" s="25" t="n">
        <v>22.5172863388219</v>
      </c>
      <c r="I15" s="25" t="n">
        <v>2.50477883603924</v>
      </c>
      <c r="J15" s="26" t="n">
        <f aca="false">+SUM(B15:D15)-SUM(G15:I15)</f>
        <v>5.04528647448245</v>
      </c>
      <c r="K15" s="25" t="n">
        <v>28.5029398503288</v>
      </c>
      <c r="L15" s="24" t="s">
        <v>60</v>
      </c>
      <c r="M15" s="25" t="n">
        <v>2.65479940139799</v>
      </c>
      <c r="N15" s="25" t="n">
        <v>13.1976888900301</v>
      </c>
      <c r="O15" s="25" t="n">
        <v>2.71499670093887</v>
      </c>
      <c r="P15" s="26" t="n">
        <f aca="false">+SUM(B15:D15)-SUM(M15:O15)</f>
        <v>14.9807413324444</v>
      </c>
      <c r="Q15" s="25" t="n">
        <v>18.567484992367</v>
      </c>
    </row>
    <row r="16" customFormat="false" ht="15" hidden="false" customHeight="true" outlineLevel="0" collapsed="false">
      <c r="A16" s="24" t="s">
        <v>61</v>
      </c>
      <c r="B16" s="25" t="n">
        <v>4.18171191437736</v>
      </c>
      <c r="C16" s="25" t="n">
        <v>12.804741706993</v>
      </c>
      <c r="D16" s="25" t="n">
        <v>16.8886606022599</v>
      </c>
      <c r="E16" s="25" t="n">
        <v>33.8751142236303</v>
      </c>
      <c r="F16" s="24" t="s">
        <v>61</v>
      </c>
      <c r="G16" s="25" t="n">
        <v>3.28826479448325</v>
      </c>
      <c r="H16" s="25" t="n">
        <v>22.7971938565021</v>
      </c>
      <c r="I16" s="25" t="n">
        <v>2.2267051911673</v>
      </c>
      <c r="J16" s="26" t="n">
        <f aca="false">+SUM(B16:D16)-SUM(G16:I16)</f>
        <v>5.56295038147761</v>
      </c>
      <c r="K16" s="25" t="n">
        <v>28.3121638421526</v>
      </c>
      <c r="L16" s="24" t="s">
        <v>61</v>
      </c>
      <c r="M16" s="25" t="n">
        <v>2.37573748173258</v>
      </c>
      <c r="N16" s="25" t="n">
        <v>12.6322575703387</v>
      </c>
      <c r="O16" s="25" t="n">
        <v>2.42746207061574</v>
      </c>
      <c r="P16" s="26" t="n">
        <f aca="false">+SUM(B16:D16)-SUM(M16:O16)</f>
        <v>16.4396571009432</v>
      </c>
      <c r="Q16" s="25" t="n">
        <v>17.435457122687</v>
      </c>
    </row>
    <row r="17" customFormat="false" ht="15" hidden="false" customHeight="true" outlineLevel="0" collapsed="false">
      <c r="A17" s="24" t="s">
        <v>62</v>
      </c>
      <c r="B17" s="25" t="n">
        <v>4.03567478407712</v>
      </c>
      <c r="C17" s="25" t="n">
        <v>12.3152149009454</v>
      </c>
      <c r="D17" s="25" t="n">
        <v>17.8016969446177</v>
      </c>
      <c r="E17" s="25" t="n">
        <v>34.1525866296402</v>
      </c>
      <c r="F17" s="24" t="s">
        <v>62</v>
      </c>
      <c r="G17" s="25" t="n">
        <v>3.08795265385824</v>
      </c>
      <c r="H17" s="25" t="n">
        <v>23.0015251288735</v>
      </c>
      <c r="I17" s="25" t="n">
        <v>1.96867894860284</v>
      </c>
      <c r="J17" s="26" t="n">
        <f aca="false">+SUM(B17:D17)-SUM(G17:I17)</f>
        <v>6.09442989830564</v>
      </c>
      <c r="K17" s="25" t="n">
        <v>28.0581567313346</v>
      </c>
      <c r="L17" s="24" t="s">
        <v>62</v>
      </c>
      <c r="M17" s="25" t="n">
        <v>2.09453949307224</v>
      </c>
      <c r="N17" s="25" t="n">
        <v>11.9779181495447</v>
      </c>
      <c r="O17" s="25" t="n">
        <v>2.16125770413282</v>
      </c>
      <c r="P17" s="26" t="n">
        <f aca="false">+SUM(B17:D17)-SUM(M17:O17)</f>
        <v>17.9188712828905</v>
      </c>
      <c r="Q17" s="25" t="n">
        <v>16.2337153467498</v>
      </c>
    </row>
    <row r="18" customFormat="false" ht="15" hidden="false" customHeight="true" outlineLevel="0" collapsed="false">
      <c r="A18" s="24" t="s">
        <v>63</v>
      </c>
      <c r="B18" s="25" t="n">
        <v>3.87780081719929</v>
      </c>
      <c r="C18" s="25" t="n">
        <v>11.7847314173488</v>
      </c>
      <c r="D18" s="25" t="n">
        <v>18.7212141494201</v>
      </c>
      <c r="E18" s="25" t="n">
        <v>34.3837463839681</v>
      </c>
      <c r="F18" s="24" t="s">
        <v>63</v>
      </c>
      <c r="G18" s="25" t="n">
        <v>2.88073670882157</v>
      </c>
      <c r="H18" s="25" t="n">
        <v>23.1321128650041</v>
      </c>
      <c r="I18" s="25" t="n">
        <v>1.73123979143159</v>
      </c>
      <c r="J18" s="26" t="n">
        <f aca="false">+SUM(B18:D18)-SUM(G18:I18)</f>
        <v>6.63965701871093</v>
      </c>
      <c r="K18" s="25" t="n">
        <v>27.7440893652572</v>
      </c>
      <c r="L18" s="24" t="s">
        <v>63</v>
      </c>
      <c r="M18" s="25" t="n">
        <v>1.8124108832945</v>
      </c>
      <c r="N18" s="25" t="n">
        <v>11.2365577461733</v>
      </c>
      <c r="O18" s="25" t="n">
        <v>1.91679517791358</v>
      </c>
      <c r="P18" s="26" t="n">
        <f aca="false">+SUM(B18:D18)-SUM(M18:O18)</f>
        <v>19.4179825765868</v>
      </c>
      <c r="Q18" s="25" t="n">
        <v>14.9657638073814</v>
      </c>
    </row>
    <row r="19" customFormat="false" ht="15" hidden="false" customHeight="true" outlineLevel="0" collapsed="false">
      <c r="A19" s="24" t="s">
        <v>64</v>
      </c>
      <c r="B19" s="25" t="n">
        <v>3.70883789401252</v>
      </c>
      <c r="C19" s="25" t="n">
        <v>11.215906406125</v>
      </c>
      <c r="D19" s="25" t="n">
        <v>19.6475403560462</v>
      </c>
      <c r="E19" s="25" t="n">
        <v>34.5722846561837</v>
      </c>
      <c r="F19" s="24" t="s">
        <v>64</v>
      </c>
      <c r="G19" s="25" t="n">
        <v>2.66747229634874</v>
      </c>
      <c r="H19" s="25" t="n">
        <v>23.1924219296195</v>
      </c>
      <c r="I19" s="25" t="n">
        <v>1.51416153333034</v>
      </c>
      <c r="J19" s="26" t="n">
        <f aca="false">+SUM(B19:D19)-SUM(G19:I19)</f>
        <v>7.19822889688514</v>
      </c>
      <c r="K19" s="25" t="n">
        <v>27.3740557592986</v>
      </c>
      <c r="L19" s="24" t="s">
        <v>64</v>
      </c>
      <c r="M19" s="25" t="n">
        <v>1.53047778672359</v>
      </c>
      <c r="N19" s="25" t="n">
        <v>10.4118693749658</v>
      </c>
      <c r="O19" s="25" t="n">
        <v>1.69373041543658</v>
      </c>
      <c r="P19" s="26" t="n">
        <f aca="false">+SUM(B19:D19)-SUM(M19:O19)</f>
        <v>20.9362070790578</v>
      </c>
      <c r="Q19" s="25" t="n">
        <v>13.636077577126</v>
      </c>
    </row>
    <row r="20" customFormat="false" ht="15" hidden="false" customHeight="true" outlineLevel="0" collapsed="false">
      <c r="A20" s="24" t="s">
        <v>65</v>
      </c>
      <c r="B20" s="25" t="n">
        <v>3.529658812203</v>
      </c>
      <c r="C20" s="25" t="n">
        <v>10.611774706524</v>
      </c>
      <c r="D20" s="25" t="n">
        <v>20.5808626354546</v>
      </c>
      <c r="E20" s="25" t="n">
        <v>34.7222961541816</v>
      </c>
      <c r="F20" s="24" t="s">
        <v>65</v>
      </c>
      <c r="G20" s="25" t="n">
        <v>2.44903137794609</v>
      </c>
      <c r="H20" s="25" t="n">
        <v>23.1871977818214</v>
      </c>
      <c r="I20" s="25" t="n">
        <v>1.31659957193704</v>
      </c>
      <c r="J20" s="26" t="n">
        <f aca="false">+SUM(B20:D20)-SUM(G20:I20)</f>
        <v>7.76946742247707</v>
      </c>
      <c r="K20" s="25" t="n">
        <v>26.9528287317046</v>
      </c>
      <c r="L20" s="24" t="s">
        <v>65</v>
      </c>
      <c r="M20" s="25" t="n">
        <v>1.24972987449971</v>
      </c>
      <c r="N20" s="25" t="n">
        <v>9.50901971311466</v>
      </c>
      <c r="O20" s="25" t="n">
        <v>1.49110861714849</v>
      </c>
      <c r="P20" s="26" t="n">
        <f aca="false">+SUM(B20:D20)-SUM(M20:O20)</f>
        <v>22.4724379494187</v>
      </c>
      <c r="Q20" s="25" t="n">
        <v>12.2498582047629</v>
      </c>
    </row>
    <row r="21" customFormat="false" ht="15" hidden="false" customHeight="true" outlineLevel="0" collapsed="false">
      <c r="A21" s="24" t="s">
        <v>66</v>
      </c>
      <c r="B21" s="25" t="n">
        <v>3.34122888053096</v>
      </c>
      <c r="C21" s="25" t="n">
        <v>9.97568132477899</v>
      </c>
      <c r="D21" s="25" t="n">
        <v>21.5212067840735</v>
      </c>
      <c r="E21" s="25" t="n">
        <v>34.8381169893834</v>
      </c>
      <c r="F21" s="24" t="s">
        <v>66</v>
      </c>
      <c r="G21" s="25" t="n">
        <v>2.22626949256041</v>
      </c>
      <c r="H21" s="25" t="n">
        <v>23.122155020929</v>
      </c>
      <c r="I21" s="25" t="n">
        <v>1.13722553780904</v>
      </c>
      <c r="J21" s="26" t="n">
        <f aca="false">+SUM(B21:D21)-SUM(G21:I21)</f>
        <v>8.352466938085</v>
      </c>
      <c r="K21" s="25" t="n">
        <v>26.4856500512984</v>
      </c>
      <c r="L21" s="24" t="s">
        <v>66</v>
      </c>
      <c r="M21" s="25" t="n">
        <v>0.970972978467209</v>
      </c>
      <c r="N21" s="25" t="n">
        <v>8.5343437094954</v>
      </c>
      <c r="O21" s="25" t="n">
        <v>1.30749951778061</v>
      </c>
      <c r="P21" s="26" t="n">
        <f aca="false">+SUM(B21:D21)-SUM(M21:O21)</f>
        <v>24.0253007836402</v>
      </c>
      <c r="Q21" s="25" t="n">
        <v>10.8128162057432</v>
      </c>
    </row>
    <row r="22" customFormat="false" ht="15" hidden="false" customHeight="true" outlineLevel="0" collapsed="false">
      <c r="A22" s="24" t="s">
        <v>67</v>
      </c>
      <c r="B22" s="25" t="n">
        <v>3.14457649834677</v>
      </c>
      <c r="C22" s="25" t="n">
        <v>9.3111821362892</v>
      </c>
      <c r="D22" s="25" t="n">
        <v>22.4684239324086</v>
      </c>
      <c r="E22" s="25" t="n">
        <v>34.9241825670446</v>
      </c>
      <c r="F22" s="24" t="s">
        <v>67</v>
      </c>
      <c r="G22" s="25" t="n">
        <v>1.99999876209772</v>
      </c>
      <c r="H22" s="25" t="n">
        <v>23.0036968110422</v>
      </c>
      <c r="I22" s="25" t="n">
        <v>0.974349658332746</v>
      </c>
      <c r="J22" s="26" t="n">
        <f aca="false">+SUM(B22:D22)-SUM(G22:I22)</f>
        <v>8.9461373355719</v>
      </c>
      <c r="K22" s="25" t="n">
        <v>25.9780452314727</v>
      </c>
      <c r="L22" s="24" t="s">
        <v>67</v>
      </c>
      <c r="M22" s="25" t="n">
        <v>0.694788501153321</v>
      </c>
      <c r="N22" s="25" t="n">
        <v>7.49506481222332</v>
      </c>
      <c r="O22" s="25" t="n">
        <v>1.14112420132327</v>
      </c>
      <c r="P22" s="26" t="n">
        <f aca="false">+SUM(B22:D22)-SUM(M22:O22)</f>
        <v>25.5932050523447</v>
      </c>
      <c r="Q22" s="25" t="n">
        <v>9.33097751469991</v>
      </c>
    </row>
    <row r="23" customFormat="false" ht="15" hidden="false" customHeight="true" outlineLevel="0" collapsed="false">
      <c r="A23" s="24" t="s">
        <v>68</v>
      </c>
      <c r="B23" s="25" t="n">
        <v>2.94076605395807</v>
      </c>
      <c r="C23" s="25" t="n">
        <v>8.62195249380593</v>
      </c>
      <c r="D23" s="25" t="n">
        <v>23.4221841374991</v>
      </c>
      <c r="E23" s="25" t="n">
        <v>34.9849026852631</v>
      </c>
      <c r="F23" s="24" t="s">
        <v>68</v>
      </c>
      <c r="G23" s="25" t="n">
        <v>1.77096657446861</v>
      </c>
      <c r="H23" s="25" t="n">
        <v>22.8386616511017</v>
      </c>
      <c r="I23" s="25" t="n">
        <v>0.826031669186506</v>
      </c>
      <c r="J23" s="26" t="n">
        <f aca="false">+SUM(B23:D23)-SUM(G23:I23)</f>
        <v>9.54924279050629</v>
      </c>
      <c r="K23" s="25" t="n">
        <v>25.4356598947568</v>
      </c>
      <c r="L23" s="24" t="s">
        <v>68</v>
      </c>
      <c r="M23" s="25" t="n">
        <v>0.421495157738018</v>
      </c>
      <c r="N23" s="25" t="n">
        <v>6.39908708515287</v>
      </c>
      <c r="O23" s="25" t="n">
        <v>0.989984253207358</v>
      </c>
      <c r="P23" s="26" t="n">
        <f aca="false">+SUM(B23:D23)-SUM(M23:O23)</f>
        <v>27.1743361891649</v>
      </c>
      <c r="Q23" s="25" t="n">
        <v>7.81056649609824</v>
      </c>
    </row>
    <row r="24" customFormat="false" ht="15" hidden="false" customHeight="true" outlineLevel="0" collapsed="false">
      <c r="A24" s="24" t="s">
        <v>69</v>
      </c>
      <c r="B24" s="25" t="n">
        <v>2.73087349808412</v>
      </c>
      <c r="C24" s="25" t="n">
        <v>7.91170501538731</v>
      </c>
      <c r="D24" s="25" t="n">
        <v>24.3819829079625</v>
      </c>
      <c r="E24" s="25" t="n">
        <v>35.0245614214339</v>
      </c>
      <c r="F24" s="24" t="s">
        <v>69</v>
      </c>
      <c r="G24" s="25" t="n">
        <v>1.53984490147656</v>
      </c>
      <c r="H24" s="25" t="n">
        <v>22.6341640120326</v>
      </c>
      <c r="I24" s="25" t="n">
        <v>0.690183744538406</v>
      </c>
      <c r="J24" s="26" t="n">
        <f aca="false">+SUM(B24:D24)-SUM(G24:I24)</f>
        <v>10.1603687633864</v>
      </c>
      <c r="K24" s="25" t="n">
        <v>24.8641926580475</v>
      </c>
      <c r="L24" s="24" t="s">
        <v>69</v>
      </c>
      <c r="M24" s="25" t="n">
        <v>0.151073916496975</v>
      </c>
      <c r="N24" s="25" t="n">
        <v>5.25469783268809</v>
      </c>
      <c r="O24" s="25" t="n">
        <v>0.851979872676624</v>
      </c>
      <c r="P24" s="26" t="n">
        <f aca="false">+SUM(B24:D24)-SUM(M24:O24)</f>
        <v>28.7668097995722</v>
      </c>
      <c r="Q24" s="25" t="n">
        <v>6.25775162186169</v>
      </c>
    </row>
    <row r="25" customFormat="false" ht="15" hidden="false" customHeight="true" outlineLevel="0" collapsed="false">
      <c r="A25" s="24" t="s">
        <v>70</v>
      </c>
      <c r="B25" s="25" t="n">
        <v>2.51596324090748</v>
      </c>
      <c r="C25" s="25" t="n">
        <v>7.18411174324694</v>
      </c>
      <c r="D25" s="25" t="n">
        <v>25.3471591459878</v>
      </c>
      <c r="E25" s="25" t="n">
        <v>35.0472341301423</v>
      </c>
      <c r="F25" s="24" t="s">
        <v>70</v>
      </c>
      <c r="G25" s="25" t="n">
        <v>1.3072043247357</v>
      </c>
      <c r="H25" s="25" t="n">
        <v>22.3971822142266</v>
      </c>
      <c r="I25" s="25" t="n">
        <v>0.564654971122876</v>
      </c>
      <c r="J25" s="26" t="n">
        <f aca="false">+SUM(B25:D25)-SUM(G25:I25)</f>
        <v>10.778192620057</v>
      </c>
      <c r="K25" s="25" t="n">
        <v>24.2690415100852</v>
      </c>
      <c r="L25" s="24" t="s">
        <v>70</v>
      </c>
      <c r="M25" s="25" t="n">
        <v>0</v>
      </c>
      <c r="N25" s="25" t="n">
        <v>3.97104970840891</v>
      </c>
      <c r="O25" s="25" t="n">
        <v>0.707384265526366</v>
      </c>
      <c r="P25" s="26" t="n">
        <f aca="false">+SUM(B25:D25)-SUM(M25:O25)</f>
        <v>30.3688001562069</v>
      </c>
      <c r="Q25" s="25" t="n">
        <v>4.67843397393528</v>
      </c>
    </row>
    <row r="26" customFormat="false" ht="15" hidden="false" customHeight="true" outlineLevel="0" collapsed="false">
      <c r="A26" s="24" t="s">
        <v>71</v>
      </c>
      <c r="B26" s="25" t="n">
        <v>2.29706509468039</v>
      </c>
      <c r="C26" s="25" t="n">
        <v>6.44272605653065</v>
      </c>
      <c r="D26" s="25" t="n">
        <v>26.3169223423655</v>
      </c>
      <c r="E26" s="25" t="n">
        <v>35.0567134935765</v>
      </c>
      <c r="F26" s="24" t="s">
        <v>71</v>
      </c>
      <c r="G26" s="25" t="n">
        <v>1.07351945089531</v>
      </c>
      <c r="H26" s="25" t="n">
        <v>22.134475988756</v>
      </c>
      <c r="I26" s="25" t="n">
        <v>0.447320512802506</v>
      </c>
      <c r="J26" s="26" t="n">
        <f aca="false">+SUM(B26:D26)-SUM(G26:I26)</f>
        <v>11.4013975411227</v>
      </c>
      <c r="K26" s="25" t="n">
        <v>23.6553159524538</v>
      </c>
      <c r="L26" s="24" t="s">
        <v>71</v>
      </c>
      <c r="M26" s="25" t="n">
        <v>0</v>
      </c>
      <c r="N26" s="25" t="n">
        <v>2.53803995924582</v>
      </c>
      <c r="O26" s="25" t="n">
        <v>0.540269158587701</v>
      </c>
      <c r="P26" s="26" t="n">
        <f aca="false">+SUM(B26:D26)-SUM(M26:O26)</f>
        <v>31.978404375743</v>
      </c>
      <c r="Q26" s="25" t="n">
        <v>3.07830911783353</v>
      </c>
    </row>
    <row r="27" customFormat="false" ht="15" hidden="false" customHeight="true" outlineLevel="0" collapsed="false">
      <c r="A27" s="24" t="s">
        <v>72</v>
      </c>
      <c r="B27" s="25" t="n">
        <v>2.07515052855202</v>
      </c>
      <c r="C27" s="25" t="n">
        <v>5.69090174892371</v>
      </c>
      <c r="D27" s="25" t="n">
        <v>27.2903896992362</v>
      </c>
      <c r="E27" s="25" t="n">
        <v>35.0564419767119</v>
      </c>
      <c r="F27" s="24" t="s">
        <v>72</v>
      </c>
      <c r="G27" s="25" t="n">
        <v>0.839169161060441</v>
      </c>
      <c r="H27" s="25" t="n">
        <v>21.8524395377526</v>
      </c>
      <c r="I27" s="25" t="n">
        <v>0.336159177348439</v>
      </c>
      <c r="J27" s="26" t="n">
        <f aca="false">+SUM(B27:D27)-SUM(G27:I27)</f>
        <v>12.0286741005505</v>
      </c>
      <c r="K27" s="25" t="n">
        <v>23.0277678761615</v>
      </c>
      <c r="L27" s="24" t="s">
        <v>72</v>
      </c>
      <c r="M27" s="25" t="n">
        <v>0</v>
      </c>
      <c r="N27" s="25" t="n">
        <v>1.11027339140751</v>
      </c>
      <c r="O27" s="25" t="n">
        <v>0.352373645696012</v>
      </c>
      <c r="P27" s="26" t="n">
        <f aca="false">+SUM(B27:D27)-SUM(M27:O27)</f>
        <v>33.5937949396084</v>
      </c>
      <c r="Q27" s="25" t="n">
        <v>1.46264703710352</v>
      </c>
    </row>
    <row r="28" customFormat="false" ht="15" hidden="false" customHeight="true" outlineLevel="0" collapsed="false">
      <c r="A28" s="24" t="s">
        <v>73</v>
      </c>
      <c r="B28" s="25" t="n">
        <v>1.85110751763768</v>
      </c>
      <c r="C28" s="25" t="n">
        <v>4.93170674955849</v>
      </c>
      <c r="D28" s="25" t="n">
        <v>28.2666339378696</v>
      </c>
      <c r="E28" s="25" t="n">
        <v>35.0494482050658</v>
      </c>
      <c r="F28" s="24" t="s">
        <v>73</v>
      </c>
      <c r="G28" s="25" t="n">
        <v>0.602589303745258</v>
      </c>
      <c r="H28" s="25" t="n">
        <v>21.4910075137137</v>
      </c>
      <c r="I28" s="25" t="n">
        <v>0.297034384416357</v>
      </c>
      <c r="J28" s="26" t="n">
        <f aca="false">+SUM(B28:D28)-SUM(G28:I28)</f>
        <v>12.6588170031905</v>
      </c>
      <c r="K28" s="25" t="n">
        <v>22.3906312018753</v>
      </c>
      <c r="L28" s="24" t="s">
        <v>73</v>
      </c>
      <c r="M28" s="25" t="n">
        <v>0</v>
      </c>
      <c r="N28" s="25" t="n">
        <v>0.0919671825659387</v>
      </c>
      <c r="O28" s="25" t="n">
        <v>0.148944911604615</v>
      </c>
      <c r="P28" s="26" t="n">
        <f aca="false">+SUM(B28:D28)-SUM(M28:O28)</f>
        <v>34.8085361108952</v>
      </c>
      <c r="Q28" s="25" t="n">
        <v>0.240912094170554</v>
      </c>
    </row>
    <row r="29" customFormat="false" ht="15" hidden="false" customHeight="true" outlineLevel="0" collapsed="false">
      <c r="A29" s="24" t="s">
        <v>74</v>
      </c>
      <c r="B29" s="25" t="n">
        <v>1.62571331268771</v>
      </c>
      <c r="C29" s="25" t="n">
        <v>4.16782908369246</v>
      </c>
      <c r="D29" s="25" t="n">
        <v>29.2447426193777</v>
      </c>
      <c r="E29" s="25" t="n">
        <v>35.0382850157579</v>
      </c>
      <c r="F29" s="24" t="s">
        <v>74</v>
      </c>
      <c r="G29" s="25" t="n">
        <v>0.366601983580208</v>
      </c>
      <c r="H29" s="25" t="n">
        <v>21.0853138342242</v>
      </c>
      <c r="I29" s="25" t="n">
        <v>0.295598225175764</v>
      </c>
      <c r="J29" s="26" t="n">
        <f aca="false">+SUM(B29:D29)-SUM(G29:I29)</f>
        <v>13.2907709727777</v>
      </c>
      <c r="K29" s="25" t="n">
        <v>21.7475140429801</v>
      </c>
      <c r="L29" s="24" t="s">
        <v>74</v>
      </c>
      <c r="M29" s="25" t="n">
        <v>0</v>
      </c>
      <c r="N29" s="25" t="n">
        <v>0</v>
      </c>
      <c r="O29" s="25" t="n">
        <v>0.0479457982285089</v>
      </c>
      <c r="P29" s="26" t="n">
        <f aca="false">+SUM(B29:D29)-SUM(M29:O29)</f>
        <v>34.9903392175294</v>
      </c>
      <c r="Q29" s="25" t="n">
        <v>0.0479457982285089</v>
      </c>
    </row>
    <row r="30" customFormat="false" ht="15" hidden="false" customHeight="true" outlineLevel="0" collapsed="false">
      <c r="A30" s="24" t="s">
        <v>75</v>
      </c>
      <c r="B30" s="25" t="n">
        <v>1.39960450189968</v>
      </c>
      <c r="C30" s="25" t="n">
        <v>3.40147284140132</v>
      </c>
      <c r="D30" s="25" t="n">
        <v>30.2238898361883</v>
      </c>
      <c r="E30" s="25" t="n">
        <v>35.0249671794893</v>
      </c>
      <c r="F30" s="24" t="s">
        <v>75</v>
      </c>
      <c r="G30" s="25" t="n">
        <v>0.132785693880818</v>
      </c>
      <c r="H30" s="25" t="n">
        <v>20.6743966377366</v>
      </c>
      <c r="I30" s="25" t="n">
        <v>0.294108633845407</v>
      </c>
      <c r="J30" s="26" t="n">
        <f aca="false">+SUM(B30:D30)-SUM(G30:I30)</f>
        <v>13.9236762140265</v>
      </c>
      <c r="K30" s="25" t="n">
        <v>21.1012909654628</v>
      </c>
      <c r="L30" s="24" t="s">
        <v>75</v>
      </c>
      <c r="M30" s="25" t="n">
        <v>0</v>
      </c>
      <c r="N30" s="25" t="n">
        <v>0</v>
      </c>
      <c r="O30" s="25" t="n">
        <v>0.0199458928442885</v>
      </c>
      <c r="P30" s="26" t="n">
        <f aca="false">+SUM(B30:D30)-SUM(M30:O30)</f>
        <v>35.005021286645</v>
      </c>
      <c r="Q30" s="25" t="n">
        <v>0.0199458928442885</v>
      </c>
    </row>
    <row r="31" customFormat="false" ht="15" hidden="false" customHeight="true" outlineLevel="0" collapsed="false">
      <c r="A31" s="1" t="s">
        <v>76</v>
      </c>
      <c r="B31" s="27" t="n">
        <v>1.39904265751221</v>
      </c>
      <c r="C31" s="27" t="n">
        <v>3.40010738535822</v>
      </c>
      <c r="D31" s="27" t="n">
        <v>30.2117570352086</v>
      </c>
      <c r="E31" s="27" t="n">
        <v>35.010907078079</v>
      </c>
      <c r="F31" s="1" t="s">
        <v>76</v>
      </c>
      <c r="G31" s="27" t="n">
        <v>0.128712394440005</v>
      </c>
      <c r="H31" s="27" t="n">
        <v>20.040194218768</v>
      </c>
      <c r="I31" s="27" t="n">
        <v>0.285086633818386</v>
      </c>
      <c r="J31" s="27" t="n">
        <f aca="false">+SUM(B30:D30)-SUM(G30:I30)</f>
        <v>13.9236762140265</v>
      </c>
      <c r="K31" s="27" t="n">
        <v>20.4539932470264</v>
      </c>
      <c r="L31" s="1" t="s">
        <v>76</v>
      </c>
      <c r="M31" s="27" t="n">
        <v>0</v>
      </c>
      <c r="N31" s="27" t="n">
        <v>0</v>
      </c>
      <c r="O31" s="27" t="n">
        <v>0.0199458928442885</v>
      </c>
      <c r="P31" s="27" t="n">
        <f aca="false">+SUM(B30:D30)-SUM(M30:O30)</f>
        <v>35.005021286645</v>
      </c>
      <c r="Q31" s="27" t="n">
        <v>0.0199458928442885</v>
      </c>
    </row>
    <row r="32" customFormat="false" ht="15" hidden="false" customHeight="true" outlineLevel="0" collapsed="false">
      <c r="B32" s="25"/>
      <c r="C32" s="25"/>
      <c r="D32" s="25"/>
      <c r="N32" s="25"/>
    </row>
    <row r="33" customFormat="false" ht="15" hidden="false" customHeight="true" outlineLevel="0" collapsed="false">
      <c r="N33" s="25"/>
    </row>
    <row r="34" customFormat="false" ht="15" hidden="false" customHeight="true" outlineLevel="0" collapsed="false">
      <c r="N34" s="25"/>
    </row>
    <row r="35" customFormat="false" ht="15" hidden="false" customHeight="true" outlineLevel="0" collapsed="false">
      <c r="N35" s="25"/>
    </row>
    <row r="36" customFormat="false" ht="15" hidden="false" customHeight="true" outlineLevel="0" collapsed="false">
      <c r="N36" s="25"/>
    </row>
    <row r="37" customFormat="false" ht="15" hidden="false" customHeight="true" outlineLevel="0" collapsed="false">
      <c r="N37" s="25"/>
    </row>
    <row r="38" customFormat="false" ht="15" hidden="false" customHeight="true" outlineLevel="0" collapsed="false">
      <c r="N38" s="25"/>
    </row>
    <row r="39" customFormat="false" ht="15" hidden="false" customHeight="true" outlineLevel="0" collapsed="false">
      <c r="N39" s="25"/>
    </row>
    <row r="40" customFormat="false" ht="15" hidden="false" customHeight="true" outlineLevel="0" collapsed="false">
      <c r="N40" s="25"/>
    </row>
    <row r="41" customFormat="false" ht="15" hidden="false" customHeight="true" outlineLevel="0" collapsed="false">
      <c r="N41" s="25"/>
    </row>
    <row r="42" customFormat="false" ht="15" hidden="false" customHeight="true" outlineLevel="0" collapsed="false">
      <c r="N42" s="25"/>
    </row>
    <row r="43" customFormat="false" ht="15" hidden="false" customHeight="true" outlineLevel="0" collapsed="false">
      <c r="N43" s="25"/>
    </row>
    <row r="44" customFormat="false" ht="15" hidden="false" customHeight="true" outlineLevel="0" collapsed="false">
      <c r="N44" s="25"/>
    </row>
    <row r="45" customFormat="false" ht="15" hidden="false" customHeight="true" outlineLevel="0" collapsed="false">
      <c r="N45" s="25"/>
    </row>
    <row r="46" customFormat="false" ht="15" hidden="false" customHeight="true" outlineLevel="0" collapsed="false">
      <c r="N46" s="25"/>
    </row>
    <row r="47" customFormat="false" ht="15" hidden="false" customHeight="true" outlineLevel="0" collapsed="false">
      <c r="N47" s="25"/>
    </row>
    <row r="48" customFormat="false" ht="15" hidden="false" customHeight="true" outlineLevel="0" collapsed="false">
      <c r="N48" s="25"/>
    </row>
    <row r="49" customFormat="false" ht="15" hidden="false" customHeight="true" outlineLevel="0" collapsed="false">
      <c r="N49" s="25"/>
    </row>
    <row r="50" customFormat="false" ht="15" hidden="false" customHeight="true" outlineLevel="0" collapsed="false">
      <c r="N50" s="25"/>
    </row>
    <row r="51" customFormat="false" ht="15" hidden="false" customHeight="true" outlineLevel="0" collapsed="false">
      <c r="N51" s="25"/>
    </row>
    <row r="52" customFormat="false" ht="15" hidden="false" customHeight="true" outlineLevel="0" collapsed="false">
      <c r="N52" s="25"/>
    </row>
    <row r="53" customFormat="false" ht="15" hidden="false" customHeight="true" outlineLevel="0" collapsed="false">
      <c r="N53" s="25"/>
    </row>
    <row r="54" customFormat="false" ht="15" hidden="false" customHeight="true" outlineLevel="0" collapsed="false">
      <c r="N54" s="25"/>
    </row>
    <row r="55" customFormat="false" ht="15" hidden="false" customHeight="true" outlineLevel="0" collapsed="false">
      <c r="N55" s="25"/>
    </row>
    <row r="56" customFormat="false" ht="15" hidden="false" customHeight="true" outlineLevel="0" collapsed="false">
      <c r="N56" s="25"/>
    </row>
    <row r="57" customFormat="false" ht="15" hidden="false" customHeight="true" outlineLevel="0" collapsed="false">
      <c r="N57" s="25"/>
    </row>
    <row r="58" customFormat="false" ht="15" hidden="false" customHeight="true" outlineLevel="0" collapsed="false">
      <c r="N58" s="25"/>
    </row>
  </sheetData>
  <mergeCells count="2">
    <mergeCell ref="A2:D2"/>
    <mergeCell ref="F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12" min="8" style="1" width="13"/>
  </cols>
  <sheetData>
    <row r="1" customFormat="false" ht="15.75" hidden="false" customHeight="true" outlineLevel="0" collapsed="false">
      <c r="A1" s="28" t="s">
        <v>79</v>
      </c>
      <c r="B1" s="28"/>
      <c r="C1" s="28"/>
      <c r="D1" s="28"/>
      <c r="E1" s="28"/>
      <c r="F1" s="28"/>
    </row>
    <row r="3" customFormat="false" ht="15" hidden="false" customHeight="true" outlineLevel="0" collapsed="false">
      <c r="A3" s="29" t="s">
        <v>47</v>
      </c>
      <c r="B3" s="29" t="s">
        <v>80</v>
      </c>
      <c r="C3" s="29" t="s">
        <v>81</v>
      </c>
      <c r="D3" s="29" t="s">
        <v>2</v>
      </c>
      <c r="E3" s="29" t="s">
        <v>3</v>
      </c>
      <c r="F3" s="29" t="s">
        <v>82</v>
      </c>
      <c r="H3" s="30" t="s">
        <v>83</v>
      </c>
      <c r="I3" s="30"/>
      <c r="J3" s="30"/>
      <c r="K3" s="30"/>
    </row>
    <row r="4" customFormat="false" ht="15" hidden="false" customHeight="true" outlineLevel="0" collapsed="false">
      <c r="A4" s="16" t="n">
        <v>2023</v>
      </c>
      <c r="B4" s="31" t="s">
        <v>40</v>
      </c>
      <c r="C4" s="31" t="s">
        <v>44</v>
      </c>
      <c r="D4" s="32" t="n">
        <f aca="false">SISEPUEDE!B4</f>
        <v>5.07640740742145</v>
      </c>
      <c r="E4" s="31" t="s">
        <v>84</v>
      </c>
      <c r="F4" s="31" t="s">
        <v>85</v>
      </c>
      <c r="H4" s="33" t="s">
        <v>47</v>
      </c>
      <c r="I4" s="29" t="s">
        <v>44</v>
      </c>
      <c r="J4" s="29" t="s">
        <v>45</v>
      </c>
      <c r="K4" s="29" t="s">
        <v>46</v>
      </c>
    </row>
    <row r="5" customFormat="false" ht="15" hidden="false" customHeight="true" outlineLevel="0" collapsed="false">
      <c r="A5" s="16" t="n">
        <v>2024</v>
      </c>
      <c r="B5" s="31" t="s">
        <v>40</v>
      </c>
      <c r="C5" s="31" t="s">
        <v>44</v>
      </c>
      <c r="D5" s="32" t="n">
        <f aca="false">SISEPUEDE!B5</f>
        <v>5.03707618268862</v>
      </c>
      <c r="E5" s="31" t="s">
        <v>84</v>
      </c>
      <c r="F5" s="31" t="s">
        <v>85</v>
      </c>
      <c r="H5" s="16" t="n">
        <v>2023</v>
      </c>
      <c r="I5" s="34" t="n">
        <f aca="false">SISEPUEDE!B4</f>
        <v>5.07640740742145</v>
      </c>
      <c r="J5" s="34" t="n">
        <f aca="false">SISEPUEDE!C4</f>
        <v>15.6842553382928</v>
      </c>
      <c r="K5" s="34" t="n">
        <f aca="false">SISEPUEDE!D4</f>
        <v>6.26733725428572</v>
      </c>
    </row>
    <row r="6" customFormat="false" ht="15" hidden="false" customHeight="true" outlineLevel="0" collapsed="false">
      <c r="A6" s="16" t="n">
        <v>2025</v>
      </c>
      <c r="B6" s="31" t="s">
        <v>40</v>
      </c>
      <c r="C6" s="31" t="s">
        <v>44</v>
      </c>
      <c r="D6" s="32" t="n">
        <f aca="false">SISEPUEDE!B6</f>
        <v>4.99698349864576</v>
      </c>
      <c r="E6" s="31" t="s">
        <v>84</v>
      </c>
      <c r="F6" s="31" t="s">
        <v>85</v>
      </c>
      <c r="H6" s="16" t="n">
        <v>2024</v>
      </c>
      <c r="I6" s="34" t="n">
        <f aca="false">SISEPUEDE!B5</f>
        <v>5.03707618268862</v>
      </c>
      <c r="J6" s="34" t="n">
        <f aca="false">SISEPUEDE!C5</f>
        <v>15.5685608647558</v>
      </c>
      <c r="K6" s="34" t="n">
        <f aca="false">SISEPUEDE!D5</f>
        <v>7.13859245380324</v>
      </c>
    </row>
    <row r="7" customFormat="false" ht="15" hidden="false" customHeight="true" outlineLevel="0" collapsed="false">
      <c r="A7" s="16" t="n">
        <v>2026</v>
      </c>
      <c r="B7" s="31" t="s">
        <v>40</v>
      </c>
      <c r="C7" s="31" t="s">
        <v>44</v>
      </c>
      <c r="D7" s="32" t="n">
        <f aca="false">SISEPUEDE!B7</f>
        <v>4.95449420268163</v>
      </c>
      <c r="E7" s="31" t="s">
        <v>84</v>
      </c>
      <c r="F7" s="31" t="s">
        <v>85</v>
      </c>
      <c r="H7" s="16" t="n">
        <v>2025</v>
      </c>
      <c r="I7" s="34" t="n">
        <f aca="false">SISEPUEDE!B6</f>
        <v>4.99698349864576</v>
      </c>
      <c r="J7" s="34" t="n">
        <f aca="false">SISEPUEDE!C6</f>
        <v>15.4501911728468</v>
      </c>
      <c r="K7" s="34" t="n">
        <f aca="false">SISEPUEDE!D6</f>
        <v>8.0105267753028</v>
      </c>
    </row>
    <row r="8" customFormat="false" ht="15" hidden="false" customHeight="true" outlineLevel="0" collapsed="false">
      <c r="A8" s="16" t="n">
        <v>2027</v>
      </c>
      <c r="B8" s="31" t="s">
        <v>40</v>
      </c>
      <c r="C8" s="31" t="s">
        <v>44</v>
      </c>
      <c r="D8" s="32" t="n">
        <f aca="false">SISEPUEDE!B8</f>
        <v>4.90769531435153</v>
      </c>
      <c r="E8" s="31" t="s">
        <v>84</v>
      </c>
      <c r="F8" s="31" t="s">
        <v>85</v>
      </c>
      <c r="H8" s="16" t="n">
        <v>2026</v>
      </c>
      <c r="I8" s="34" t="n">
        <f aca="false">SISEPUEDE!B7</f>
        <v>4.95449420268163</v>
      </c>
      <c r="J8" s="34" t="n">
        <f aca="false">SISEPUEDE!C7</f>
        <v>15.3233960022639</v>
      </c>
      <c r="K8" s="34" t="n">
        <f aca="false">SISEPUEDE!D7</f>
        <v>8.88378217243479</v>
      </c>
    </row>
    <row r="9" customFormat="false" ht="15" hidden="false" customHeight="true" outlineLevel="0" collapsed="false">
      <c r="A9" s="16" t="n">
        <v>2028</v>
      </c>
      <c r="B9" s="31" t="s">
        <v>40</v>
      </c>
      <c r="C9" s="31" t="s">
        <v>44</v>
      </c>
      <c r="D9" s="32" t="n">
        <f aca="false">SISEPUEDE!B9</f>
        <v>4.85457519092952</v>
      </c>
      <c r="E9" s="31" t="s">
        <v>84</v>
      </c>
      <c r="F9" s="31" t="s">
        <v>85</v>
      </c>
      <c r="H9" s="16" t="n">
        <v>2027</v>
      </c>
      <c r="I9" s="34" t="n">
        <f aca="false">SISEPUEDE!B8</f>
        <v>4.90769531435153</v>
      </c>
      <c r="J9" s="34" t="n">
        <f aca="false">SISEPUEDE!C8</f>
        <v>15.1812277323545</v>
      </c>
      <c r="K9" s="34" t="n">
        <f aca="false">SISEPUEDE!D8</f>
        <v>9.75913893988636</v>
      </c>
    </row>
    <row r="10" customFormat="false" ht="15" hidden="false" customHeight="true" outlineLevel="0" collapsed="false">
      <c r="A10" s="16" t="n">
        <v>2029</v>
      </c>
      <c r="B10" s="31" t="s">
        <v>40</v>
      </c>
      <c r="C10" s="31" t="s">
        <v>44</v>
      </c>
      <c r="D10" s="32" t="n">
        <f aca="false">SISEPUEDE!B10</f>
        <v>4.79318788491567</v>
      </c>
      <c r="E10" s="31" t="s">
        <v>84</v>
      </c>
      <c r="F10" s="31" t="s">
        <v>85</v>
      </c>
      <c r="H10" s="16" t="n">
        <v>2028</v>
      </c>
      <c r="I10" s="34" t="n">
        <f aca="false">SISEPUEDE!B9</f>
        <v>4.85457519092952</v>
      </c>
      <c r="J10" s="34" t="n">
        <f aca="false">SISEPUEDE!C9</f>
        <v>15.0163903648691</v>
      </c>
      <c r="K10" s="34" t="n">
        <f aca="false">SISEPUEDE!D9</f>
        <v>10.6372896924084</v>
      </c>
    </row>
    <row r="11" customFormat="false" ht="15" hidden="false" customHeight="true" outlineLevel="0" collapsed="false">
      <c r="A11" s="16" t="n">
        <v>2030</v>
      </c>
      <c r="B11" s="31" t="s">
        <v>40</v>
      </c>
      <c r="C11" s="31" t="s">
        <v>44</v>
      </c>
      <c r="D11" s="32" t="n">
        <f aca="false">SISEPUEDE!B11</f>
        <v>4.72180374464127</v>
      </c>
      <c r="E11" s="31" t="s">
        <v>84</v>
      </c>
      <c r="F11" s="31" t="s">
        <v>85</v>
      </c>
      <c r="H11" s="16" t="n">
        <v>2029</v>
      </c>
      <c r="I11" s="34" t="n">
        <f aca="false">SISEPUEDE!B10</f>
        <v>4.79318788491567</v>
      </c>
      <c r="J11" s="34" t="n">
        <f aca="false">SISEPUEDE!C10</f>
        <v>14.8220984157191</v>
      </c>
      <c r="K11" s="34" t="n">
        <f aca="false">SISEPUEDE!D10</f>
        <v>11.5186121918944</v>
      </c>
    </row>
    <row r="12" customFormat="false" ht="15" hidden="false" customHeight="true" outlineLevel="0" collapsed="false">
      <c r="A12" s="16" t="n">
        <v>2031</v>
      </c>
      <c r="B12" s="31" t="s">
        <v>40</v>
      </c>
      <c r="C12" s="31" t="s">
        <v>44</v>
      </c>
      <c r="D12" s="32" t="n">
        <f aca="false">SISEPUEDE!B12</f>
        <v>4.63903898992006</v>
      </c>
      <c r="E12" s="31" t="s">
        <v>84</v>
      </c>
      <c r="F12" s="31" t="s">
        <v>85</v>
      </c>
      <c r="H12" s="16" t="n">
        <v>2030</v>
      </c>
      <c r="I12" s="34" t="n">
        <f aca="false">SISEPUEDE!B11</f>
        <v>4.72180374464127</v>
      </c>
      <c r="J12" s="34" t="n">
        <f aca="false">SISEPUEDE!C11</f>
        <v>14.5924720861494</v>
      </c>
      <c r="K12" s="34" t="n">
        <f aca="false">SISEPUEDE!D11</f>
        <v>12.4032984199585</v>
      </c>
    </row>
    <row r="13" customFormat="false" ht="15" hidden="false" customHeight="true" outlineLevel="0" collapsed="false">
      <c r="A13" s="16" t="n">
        <v>2032</v>
      </c>
      <c r="B13" s="31" t="s">
        <v>40</v>
      </c>
      <c r="C13" s="31" t="s">
        <v>44</v>
      </c>
      <c r="D13" s="32" t="n">
        <f aca="false">SISEPUEDE!B13</f>
        <v>4.54398181660342</v>
      </c>
      <c r="E13" s="31" t="s">
        <v>84</v>
      </c>
      <c r="F13" s="31" t="s">
        <v>85</v>
      </c>
      <c r="H13" s="16" t="n">
        <v>2031</v>
      </c>
      <c r="I13" s="34" t="n">
        <f aca="false">SISEPUEDE!B12</f>
        <v>4.63903898992006</v>
      </c>
      <c r="J13" s="34" t="n">
        <f aca="false">SISEPUEDE!C12</f>
        <v>14.3229021009967</v>
      </c>
      <c r="K13" s="34" t="n">
        <f aca="false">SISEPUEDE!D12</f>
        <v>13.2915225083984</v>
      </c>
    </row>
    <row r="14" customFormat="false" ht="15" hidden="false" customHeight="true" outlineLevel="0" collapsed="false">
      <c r="A14" s="16" t="n">
        <v>2033</v>
      </c>
      <c r="B14" s="31" t="s">
        <v>40</v>
      </c>
      <c r="C14" s="31" t="s">
        <v>44</v>
      </c>
      <c r="D14" s="32" t="n">
        <f aca="false">SISEPUEDE!B14</f>
        <v>4.4361286903227</v>
      </c>
      <c r="E14" s="31" t="s">
        <v>84</v>
      </c>
      <c r="F14" s="31" t="s">
        <v>85</v>
      </c>
      <c r="H14" s="16" t="n">
        <v>2032</v>
      </c>
      <c r="I14" s="34" t="n">
        <f aca="false">SISEPUEDE!B13</f>
        <v>4.54398181660342</v>
      </c>
      <c r="J14" s="34" t="n">
        <f aca="false">SISEPUEDE!C13</f>
        <v>14.010386021256</v>
      </c>
      <c r="K14" s="34" t="n">
        <f aca="false">SISEPUEDE!D13</f>
        <v>14.1836525397154</v>
      </c>
    </row>
    <row r="15" customFormat="false" ht="15" hidden="false" customHeight="true" outlineLevel="0" collapsed="false">
      <c r="A15" s="16" t="n">
        <v>2034</v>
      </c>
      <c r="B15" s="31" t="s">
        <v>40</v>
      </c>
      <c r="C15" s="31" t="s">
        <v>44</v>
      </c>
      <c r="D15" s="32" t="n">
        <f aca="false">SISEPUEDE!B15</f>
        <v>4.31532522398731</v>
      </c>
      <c r="E15" s="31" t="s">
        <v>84</v>
      </c>
      <c r="F15" s="31" t="s">
        <v>85</v>
      </c>
      <c r="H15" s="16" t="n">
        <v>2033</v>
      </c>
      <c r="I15" s="34" t="n">
        <f aca="false">SISEPUEDE!B14</f>
        <v>4.4361286903227</v>
      </c>
      <c r="J15" s="34" t="n">
        <f aca="false">SISEPUEDE!C14</f>
        <v>13.6533085366941</v>
      </c>
      <c r="K15" s="34" t="n">
        <f aca="false">SISEPUEDE!D14</f>
        <v>15.0801810255875</v>
      </c>
    </row>
    <row r="16" customFormat="false" ht="15" hidden="false" customHeight="true" outlineLevel="0" collapsed="false">
      <c r="A16" s="16" t="n">
        <v>2035</v>
      </c>
      <c r="B16" s="31" t="s">
        <v>40</v>
      </c>
      <c r="C16" s="31" t="s">
        <v>44</v>
      </c>
      <c r="D16" s="32" t="n">
        <f aca="false">SISEPUEDE!B16</f>
        <v>4.18171191437736</v>
      </c>
      <c r="E16" s="31" t="s">
        <v>84</v>
      </c>
      <c r="F16" s="31" t="s">
        <v>85</v>
      </c>
      <c r="H16" s="16" t="n">
        <v>2034</v>
      </c>
      <c r="I16" s="34" t="n">
        <f aca="false">SISEPUEDE!B15</f>
        <v>4.31532522398731</v>
      </c>
      <c r="J16" s="34" t="n">
        <f aca="false">SISEPUEDE!C15</f>
        <v>13.2512382422422</v>
      </c>
      <c r="K16" s="34" t="n">
        <f aca="false">SISEPUEDE!D15</f>
        <v>15.9816628585818</v>
      </c>
    </row>
    <row r="17" customFormat="false" ht="15" hidden="false" customHeight="true" outlineLevel="0" collapsed="false">
      <c r="A17" s="16" t="n">
        <v>2036</v>
      </c>
      <c r="B17" s="31" t="s">
        <v>40</v>
      </c>
      <c r="C17" s="31" t="s">
        <v>44</v>
      </c>
      <c r="D17" s="32" t="n">
        <f aca="false">SISEPUEDE!B17</f>
        <v>4.03567478407712</v>
      </c>
      <c r="E17" s="31" t="s">
        <v>84</v>
      </c>
      <c r="F17" s="31" t="s">
        <v>85</v>
      </c>
      <c r="H17" s="16" t="n">
        <v>2035</v>
      </c>
      <c r="I17" s="34" t="n">
        <f aca="false">SISEPUEDE!B16</f>
        <v>4.18171191437736</v>
      </c>
      <c r="J17" s="34" t="n">
        <f aca="false">SISEPUEDE!C16</f>
        <v>12.804741706993</v>
      </c>
      <c r="K17" s="34" t="n">
        <f aca="false">SISEPUEDE!D16</f>
        <v>16.8886606022599</v>
      </c>
    </row>
    <row r="18" customFormat="false" ht="15" hidden="false" customHeight="true" outlineLevel="0" collapsed="false">
      <c r="A18" s="16" t="n">
        <v>2037</v>
      </c>
      <c r="B18" s="31" t="s">
        <v>40</v>
      </c>
      <c r="C18" s="31" t="s">
        <v>44</v>
      </c>
      <c r="D18" s="32" t="n">
        <f aca="false">SISEPUEDE!B18</f>
        <v>3.87780081719929</v>
      </c>
      <c r="E18" s="31" t="s">
        <v>84</v>
      </c>
      <c r="F18" s="31" t="s">
        <v>85</v>
      </c>
      <c r="H18" s="16" t="n">
        <v>2036</v>
      </c>
      <c r="I18" s="34" t="n">
        <f aca="false">SISEPUEDE!B17</f>
        <v>4.03567478407712</v>
      </c>
      <c r="J18" s="34" t="n">
        <f aca="false">SISEPUEDE!C17</f>
        <v>12.3152149009454</v>
      </c>
      <c r="K18" s="34" t="n">
        <f aca="false">SISEPUEDE!D17</f>
        <v>17.8016969446177</v>
      </c>
    </row>
    <row r="19" customFormat="false" ht="15" hidden="false" customHeight="true" outlineLevel="0" collapsed="false">
      <c r="A19" s="16" t="n">
        <v>2038</v>
      </c>
      <c r="B19" s="31" t="s">
        <v>40</v>
      </c>
      <c r="C19" s="31" t="s">
        <v>44</v>
      </c>
      <c r="D19" s="32" t="n">
        <f aca="false">SISEPUEDE!B19</f>
        <v>3.70883789401252</v>
      </c>
      <c r="E19" s="31" t="s">
        <v>84</v>
      </c>
      <c r="F19" s="31" t="s">
        <v>85</v>
      </c>
      <c r="H19" s="16" t="n">
        <v>2037</v>
      </c>
      <c r="I19" s="34" t="n">
        <f aca="false">SISEPUEDE!B18</f>
        <v>3.87780081719929</v>
      </c>
      <c r="J19" s="34" t="n">
        <f aca="false">SISEPUEDE!C18</f>
        <v>11.7847314173488</v>
      </c>
      <c r="K19" s="34" t="n">
        <f aca="false">SISEPUEDE!D18</f>
        <v>18.7212141494201</v>
      </c>
    </row>
    <row r="20" customFormat="false" ht="15" hidden="false" customHeight="true" outlineLevel="0" collapsed="false">
      <c r="A20" s="16" t="n">
        <v>2039</v>
      </c>
      <c r="B20" s="31" t="s">
        <v>40</v>
      </c>
      <c r="C20" s="31" t="s">
        <v>44</v>
      </c>
      <c r="D20" s="32" t="n">
        <f aca="false">SISEPUEDE!B20</f>
        <v>3.529658812203</v>
      </c>
      <c r="E20" s="31" t="s">
        <v>84</v>
      </c>
      <c r="F20" s="31" t="s">
        <v>85</v>
      </c>
      <c r="H20" s="16" t="n">
        <v>2038</v>
      </c>
      <c r="I20" s="34" t="n">
        <f aca="false">SISEPUEDE!B19</f>
        <v>3.70883789401252</v>
      </c>
      <c r="J20" s="34" t="n">
        <f aca="false">SISEPUEDE!C19</f>
        <v>11.215906406125</v>
      </c>
      <c r="K20" s="34" t="n">
        <f aca="false">SISEPUEDE!D19</f>
        <v>19.6475403560462</v>
      </c>
    </row>
    <row r="21" customFormat="false" ht="15" hidden="false" customHeight="true" outlineLevel="0" collapsed="false">
      <c r="A21" s="16" t="n">
        <v>2040</v>
      </c>
      <c r="B21" s="31" t="s">
        <v>40</v>
      </c>
      <c r="C21" s="31" t="s">
        <v>44</v>
      </c>
      <c r="D21" s="32" t="n">
        <f aca="false">SISEPUEDE!B21</f>
        <v>3.34122888053096</v>
      </c>
      <c r="E21" s="31" t="s">
        <v>84</v>
      </c>
      <c r="F21" s="31" t="s">
        <v>85</v>
      </c>
      <c r="H21" s="16" t="n">
        <v>2039</v>
      </c>
      <c r="I21" s="34" t="n">
        <f aca="false">SISEPUEDE!B20</f>
        <v>3.529658812203</v>
      </c>
      <c r="J21" s="34" t="n">
        <f aca="false">SISEPUEDE!C20</f>
        <v>10.611774706524</v>
      </c>
      <c r="K21" s="34" t="n">
        <f aca="false">SISEPUEDE!D20</f>
        <v>20.5808626354546</v>
      </c>
    </row>
    <row r="22" customFormat="false" ht="15" hidden="false" customHeight="true" outlineLevel="0" collapsed="false">
      <c r="A22" s="16" t="n">
        <v>2041</v>
      </c>
      <c r="B22" s="31" t="s">
        <v>40</v>
      </c>
      <c r="C22" s="31" t="s">
        <v>44</v>
      </c>
      <c r="D22" s="32" t="n">
        <f aca="false">SISEPUEDE!B22</f>
        <v>3.14457649834677</v>
      </c>
      <c r="E22" s="31" t="s">
        <v>84</v>
      </c>
      <c r="F22" s="31" t="s">
        <v>85</v>
      </c>
      <c r="H22" s="16" t="n">
        <v>2040</v>
      </c>
      <c r="I22" s="34" t="n">
        <f aca="false">SISEPUEDE!B21</f>
        <v>3.34122888053096</v>
      </c>
      <c r="J22" s="34" t="n">
        <f aca="false">SISEPUEDE!C21</f>
        <v>9.97568132477899</v>
      </c>
      <c r="K22" s="34" t="n">
        <f aca="false">SISEPUEDE!D21</f>
        <v>21.5212067840735</v>
      </c>
    </row>
    <row r="23" customFormat="false" ht="15" hidden="false" customHeight="true" outlineLevel="0" collapsed="false">
      <c r="A23" s="16" t="n">
        <v>2042</v>
      </c>
      <c r="B23" s="31" t="s">
        <v>40</v>
      </c>
      <c r="C23" s="31" t="s">
        <v>44</v>
      </c>
      <c r="D23" s="32" t="n">
        <f aca="false">SISEPUEDE!B23</f>
        <v>2.94076605395807</v>
      </c>
      <c r="E23" s="31" t="s">
        <v>84</v>
      </c>
      <c r="F23" s="31" t="s">
        <v>85</v>
      </c>
      <c r="H23" s="16" t="n">
        <v>2041</v>
      </c>
      <c r="I23" s="34" t="n">
        <f aca="false">SISEPUEDE!B22</f>
        <v>3.14457649834677</v>
      </c>
      <c r="J23" s="34" t="n">
        <f aca="false">SISEPUEDE!C22</f>
        <v>9.3111821362892</v>
      </c>
      <c r="K23" s="34" t="n">
        <f aca="false">SISEPUEDE!D22</f>
        <v>22.4684239324086</v>
      </c>
    </row>
    <row r="24" customFormat="false" ht="15" hidden="false" customHeight="true" outlineLevel="0" collapsed="false">
      <c r="A24" s="16" t="n">
        <v>2043</v>
      </c>
      <c r="B24" s="31" t="s">
        <v>40</v>
      </c>
      <c r="C24" s="31" t="s">
        <v>44</v>
      </c>
      <c r="D24" s="32" t="n">
        <f aca="false">SISEPUEDE!B24</f>
        <v>2.73087349808412</v>
      </c>
      <c r="E24" s="31" t="s">
        <v>84</v>
      </c>
      <c r="F24" s="31" t="s">
        <v>85</v>
      </c>
      <c r="H24" s="16" t="n">
        <v>2042</v>
      </c>
      <c r="I24" s="34" t="n">
        <f aca="false">SISEPUEDE!B23</f>
        <v>2.94076605395807</v>
      </c>
      <c r="J24" s="34" t="n">
        <f aca="false">SISEPUEDE!C23</f>
        <v>8.62195249380593</v>
      </c>
      <c r="K24" s="34" t="n">
        <f aca="false">SISEPUEDE!D23</f>
        <v>23.4221841374991</v>
      </c>
    </row>
    <row r="25" customFormat="false" ht="15" hidden="false" customHeight="true" outlineLevel="0" collapsed="false">
      <c r="A25" s="16" t="n">
        <v>2044</v>
      </c>
      <c r="B25" s="31" t="s">
        <v>40</v>
      </c>
      <c r="C25" s="31" t="s">
        <v>44</v>
      </c>
      <c r="D25" s="32" t="n">
        <f aca="false">SISEPUEDE!B25</f>
        <v>2.51596324090748</v>
      </c>
      <c r="E25" s="31" t="s">
        <v>84</v>
      </c>
      <c r="F25" s="31" t="s">
        <v>85</v>
      </c>
      <c r="H25" s="16" t="n">
        <v>2043</v>
      </c>
      <c r="I25" s="34" t="n">
        <f aca="false">SISEPUEDE!B24</f>
        <v>2.73087349808412</v>
      </c>
      <c r="J25" s="34" t="n">
        <f aca="false">SISEPUEDE!C24</f>
        <v>7.91170501538731</v>
      </c>
      <c r="K25" s="34" t="n">
        <f aca="false">SISEPUEDE!D24</f>
        <v>24.3819829079625</v>
      </c>
    </row>
    <row r="26" customFormat="false" ht="15" hidden="false" customHeight="true" outlineLevel="0" collapsed="false">
      <c r="A26" s="16" t="n">
        <v>2045</v>
      </c>
      <c r="B26" s="31" t="s">
        <v>40</v>
      </c>
      <c r="C26" s="31" t="s">
        <v>44</v>
      </c>
      <c r="D26" s="32" t="n">
        <f aca="false">SISEPUEDE!B26</f>
        <v>2.29706509468039</v>
      </c>
      <c r="E26" s="31" t="s">
        <v>84</v>
      </c>
      <c r="F26" s="31" t="s">
        <v>85</v>
      </c>
      <c r="H26" s="16" t="n">
        <v>2044</v>
      </c>
      <c r="I26" s="34" t="n">
        <f aca="false">SISEPUEDE!B25</f>
        <v>2.51596324090748</v>
      </c>
      <c r="J26" s="34" t="n">
        <f aca="false">SISEPUEDE!C25</f>
        <v>7.18411174324694</v>
      </c>
      <c r="K26" s="34" t="n">
        <f aca="false">SISEPUEDE!D25</f>
        <v>25.3471591459878</v>
      </c>
    </row>
    <row r="27" customFormat="false" ht="15" hidden="false" customHeight="true" outlineLevel="0" collapsed="false">
      <c r="A27" s="16" t="n">
        <v>2046</v>
      </c>
      <c r="B27" s="31" t="s">
        <v>40</v>
      </c>
      <c r="C27" s="31" t="s">
        <v>44</v>
      </c>
      <c r="D27" s="32" t="n">
        <f aca="false">SISEPUEDE!B27</f>
        <v>2.07515052855202</v>
      </c>
      <c r="E27" s="31" t="s">
        <v>84</v>
      </c>
      <c r="F27" s="31" t="s">
        <v>85</v>
      </c>
      <c r="H27" s="16" t="n">
        <v>2045</v>
      </c>
      <c r="I27" s="34" t="n">
        <f aca="false">SISEPUEDE!B26</f>
        <v>2.29706509468039</v>
      </c>
      <c r="J27" s="34" t="n">
        <f aca="false">SISEPUEDE!C26</f>
        <v>6.44272605653065</v>
      </c>
      <c r="K27" s="34" t="n">
        <f aca="false">SISEPUEDE!D26</f>
        <v>26.3169223423655</v>
      </c>
    </row>
    <row r="28" customFormat="false" ht="15" hidden="false" customHeight="true" outlineLevel="0" collapsed="false">
      <c r="A28" s="16" t="n">
        <v>2047</v>
      </c>
      <c r="B28" s="31" t="s">
        <v>40</v>
      </c>
      <c r="C28" s="31" t="s">
        <v>44</v>
      </c>
      <c r="D28" s="32" t="n">
        <f aca="false">SISEPUEDE!B28</f>
        <v>1.85110751763768</v>
      </c>
      <c r="E28" s="31" t="s">
        <v>84</v>
      </c>
      <c r="F28" s="31" t="s">
        <v>85</v>
      </c>
      <c r="H28" s="16" t="n">
        <v>2046</v>
      </c>
      <c r="I28" s="34" t="n">
        <f aca="false">SISEPUEDE!B27</f>
        <v>2.07515052855202</v>
      </c>
      <c r="J28" s="34" t="n">
        <f aca="false">SISEPUEDE!C27</f>
        <v>5.69090174892371</v>
      </c>
      <c r="K28" s="34" t="n">
        <f aca="false">SISEPUEDE!D27</f>
        <v>27.2903896992362</v>
      </c>
    </row>
    <row r="29" customFormat="false" ht="15" hidden="false" customHeight="true" outlineLevel="0" collapsed="false">
      <c r="A29" s="16" t="n">
        <v>2048</v>
      </c>
      <c r="B29" s="31" t="s">
        <v>40</v>
      </c>
      <c r="C29" s="31" t="s">
        <v>44</v>
      </c>
      <c r="D29" s="32" t="n">
        <f aca="false">SISEPUEDE!B29</f>
        <v>1.62571331268771</v>
      </c>
      <c r="E29" s="31" t="s">
        <v>84</v>
      </c>
      <c r="F29" s="31" t="s">
        <v>85</v>
      </c>
      <c r="H29" s="16" t="n">
        <v>2047</v>
      </c>
      <c r="I29" s="34" t="n">
        <f aca="false">SISEPUEDE!B28</f>
        <v>1.85110751763768</v>
      </c>
      <c r="J29" s="34" t="n">
        <f aca="false">SISEPUEDE!C28</f>
        <v>4.93170674955849</v>
      </c>
      <c r="K29" s="34" t="n">
        <f aca="false">SISEPUEDE!D28</f>
        <v>28.2666339378696</v>
      </c>
    </row>
    <row r="30" customFormat="false" ht="15" hidden="false" customHeight="true" outlineLevel="0" collapsed="false">
      <c r="A30" s="16" t="n">
        <v>2049</v>
      </c>
      <c r="B30" s="31" t="s">
        <v>40</v>
      </c>
      <c r="C30" s="31" t="s">
        <v>44</v>
      </c>
      <c r="D30" s="32" t="n">
        <f aca="false">SISEPUEDE!B30</f>
        <v>1.39960450189968</v>
      </c>
      <c r="E30" s="31" t="s">
        <v>84</v>
      </c>
      <c r="F30" s="31" t="s">
        <v>85</v>
      </c>
      <c r="H30" s="16" t="n">
        <v>2048</v>
      </c>
      <c r="I30" s="34" t="n">
        <f aca="false">SISEPUEDE!B29</f>
        <v>1.62571331268771</v>
      </c>
      <c r="J30" s="34" t="n">
        <f aca="false">SISEPUEDE!C29</f>
        <v>4.16782908369246</v>
      </c>
      <c r="K30" s="34" t="n">
        <f aca="false">SISEPUEDE!D29</f>
        <v>29.2447426193777</v>
      </c>
    </row>
    <row r="31" customFormat="false" ht="15" hidden="false" customHeight="true" outlineLevel="0" collapsed="false">
      <c r="A31" s="16" t="n">
        <v>2050</v>
      </c>
      <c r="B31" s="31" t="s">
        <v>40</v>
      </c>
      <c r="C31" s="31" t="s">
        <v>44</v>
      </c>
      <c r="D31" s="32" t="n">
        <f aca="false">SISEPUEDE!B31</f>
        <v>1.39904265751221</v>
      </c>
      <c r="E31" s="31" t="s">
        <v>84</v>
      </c>
      <c r="F31" s="31" t="s">
        <v>85</v>
      </c>
      <c r="H31" s="16" t="n">
        <v>2049</v>
      </c>
      <c r="I31" s="34" t="n">
        <f aca="false">SISEPUEDE!B30</f>
        <v>1.39960450189968</v>
      </c>
      <c r="J31" s="34" t="n">
        <f aca="false">SISEPUEDE!C30</f>
        <v>3.40147284140132</v>
      </c>
      <c r="K31" s="34" t="n">
        <f aca="false">SISEPUEDE!D30</f>
        <v>30.2238898361883</v>
      </c>
    </row>
    <row r="32" customFormat="false" ht="15" hidden="false" customHeight="true" outlineLevel="0" collapsed="false">
      <c r="A32" s="16" t="n">
        <v>2023</v>
      </c>
      <c r="B32" s="31" t="s">
        <v>40</v>
      </c>
      <c r="C32" s="31" t="s">
        <v>45</v>
      </c>
      <c r="D32" s="32" t="n">
        <f aca="false">SISEPUEDE!C4</f>
        <v>15.6842553382928</v>
      </c>
      <c r="E32" s="31" t="s">
        <v>84</v>
      </c>
      <c r="F32" s="31" t="s">
        <v>85</v>
      </c>
      <c r="H32" s="16" t="n">
        <v>2050</v>
      </c>
      <c r="I32" s="34" t="n">
        <f aca="false">SISEPUEDE!B31</f>
        <v>1.39904265751221</v>
      </c>
      <c r="J32" s="34" t="n">
        <f aca="false">SISEPUEDE!C31</f>
        <v>3.40010738535822</v>
      </c>
      <c r="K32" s="34" t="n">
        <f aca="false">SISEPUEDE!D31</f>
        <v>30.2117570352086</v>
      </c>
    </row>
    <row r="33" customFormat="false" ht="15" hidden="false" customHeight="true" outlineLevel="0" collapsed="false">
      <c r="A33" s="16" t="n">
        <v>2024</v>
      </c>
      <c r="B33" s="31" t="s">
        <v>40</v>
      </c>
      <c r="C33" s="31" t="s">
        <v>45</v>
      </c>
      <c r="D33" s="32" t="n">
        <f aca="false">SISEPUEDE!C5</f>
        <v>15.5685608647558</v>
      </c>
      <c r="E33" s="31" t="s">
        <v>84</v>
      </c>
      <c r="F33" s="31" t="s">
        <v>85</v>
      </c>
    </row>
    <row r="34" customFormat="false" ht="15" hidden="false" customHeight="true" outlineLevel="0" collapsed="false">
      <c r="A34" s="16" t="n">
        <v>2025</v>
      </c>
      <c r="B34" s="31" t="s">
        <v>40</v>
      </c>
      <c r="C34" s="31" t="s">
        <v>45</v>
      </c>
      <c r="D34" s="32" t="n">
        <f aca="false">SISEPUEDE!C6</f>
        <v>15.4501911728468</v>
      </c>
      <c r="E34" s="31" t="s">
        <v>84</v>
      </c>
      <c r="F34" s="31" t="s">
        <v>85</v>
      </c>
    </row>
    <row r="35" customFormat="false" ht="15" hidden="false" customHeight="true" outlineLevel="0" collapsed="false">
      <c r="A35" s="16" t="n">
        <v>2026</v>
      </c>
      <c r="B35" s="31" t="s">
        <v>40</v>
      </c>
      <c r="C35" s="31" t="s">
        <v>45</v>
      </c>
      <c r="D35" s="32" t="n">
        <f aca="false">SISEPUEDE!C7</f>
        <v>15.3233960022639</v>
      </c>
      <c r="E35" s="31" t="s">
        <v>84</v>
      </c>
      <c r="F35" s="31" t="s">
        <v>85</v>
      </c>
      <c r="H35" s="30" t="s">
        <v>86</v>
      </c>
      <c r="I35" s="30"/>
      <c r="J35" s="30"/>
      <c r="K35" s="30"/>
      <c r="L35" s="30"/>
    </row>
    <row r="36" customFormat="false" ht="15" hidden="false" customHeight="true" outlineLevel="0" collapsed="false">
      <c r="A36" s="16" t="n">
        <v>2027</v>
      </c>
      <c r="B36" s="31" t="s">
        <v>40</v>
      </c>
      <c r="C36" s="31" t="s">
        <v>45</v>
      </c>
      <c r="D36" s="32" t="n">
        <f aca="false">SISEPUEDE!C8</f>
        <v>15.1812277323545</v>
      </c>
      <c r="E36" s="31" t="s">
        <v>84</v>
      </c>
      <c r="F36" s="31" t="s">
        <v>85</v>
      </c>
      <c r="H36" s="33" t="s">
        <v>47</v>
      </c>
      <c r="I36" s="29" t="s">
        <v>44</v>
      </c>
      <c r="J36" s="29" t="s">
        <v>45</v>
      </c>
      <c r="K36" s="29" t="s">
        <v>46</v>
      </c>
      <c r="L36" s="29" t="s">
        <v>48</v>
      </c>
    </row>
    <row r="37" customFormat="false" ht="15" hidden="false" customHeight="true" outlineLevel="0" collapsed="false">
      <c r="A37" s="16" t="n">
        <v>2028</v>
      </c>
      <c r="B37" s="31" t="s">
        <v>40</v>
      </c>
      <c r="C37" s="31" t="s">
        <v>45</v>
      </c>
      <c r="D37" s="32" t="n">
        <f aca="false">SISEPUEDE!C9</f>
        <v>15.0163903648691</v>
      </c>
      <c r="E37" s="31" t="s">
        <v>84</v>
      </c>
      <c r="F37" s="31" t="s">
        <v>85</v>
      </c>
      <c r="H37" s="16" t="n">
        <v>2023</v>
      </c>
      <c r="I37" s="34" t="n">
        <f aca="false">SISEPUEDE!G4</f>
        <v>5.07640740742145</v>
      </c>
      <c r="J37" s="34" t="n">
        <f aca="false">SISEPUEDE!H4</f>
        <v>15.6842553382928</v>
      </c>
      <c r="K37" s="34" t="n">
        <f aca="false">SISEPUEDE!I4</f>
        <v>6.26733725428572</v>
      </c>
      <c r="L37" s="34" t="n">
        <f aca="false">SISEPUEDE!J4</f>
        <v>0</v>
      </c>
    </row>
    <row r="38" customFormat="false" ht="15" hidden="false" customHeight="true" outlineLevel="0" collapsed="false">
      <c r="A38" s="16" t="n">
        <v>2029</v>
      </c>
      <c r="B38" s="31" t="s">
        <v>40</v>
      </c>
      <c r="C38" s="31" t="s">
        <v>45</v>
      </c>
      <c r="D38" s="32" t="n">
        <f aca="false">SISEPUEDE!C10</f>
        <v>14.8220984157191</v>
      </c>
      <c r="E38" s="31" t="s">
        <v>84</v>
      </c>
      <c r="F38" s="31" t="s">
        <v>85</v>
      </c>
      <c r="H38" s="16" t="n">
        <v>2024</v>
      </c>
      <c r="I38" s="34" t="n">
        <f aca="false">SISEPUEDE!G5</f>
        <v>4.95583586464591</v>
      </c>
      <c r="J38" s="34" t="n">
        <f aca="false">SISEPUEDE!H5</f>
        <v>16.4464880789156</v>
      </c>
      <c r="K38" s="34" t="n">
        <f aca="false">SISEPUEDE!I5</f>
        <v>5.90826998706786</v>
      </c>
      <c r="L38" s="34" t="n">
        <f aca="false">SISEPUEDE!J5</f>
        <v>0</v>
      </c>
    </row>
    <row r="39" customFormat="false" ht="15" hidden="false" customHeight="true" outlineLevel="0" collapsed="false">
      <c r="A39" s="16" t="n">
        <v>2030</v>
      </c>
      <c r="B39" s="31" t="s">
        <v>40</v>
      </c>
      <c r="C39" s="31" t="s">
        <v>45</v>
      </c>
      <c r="D39" s="32" t="n">
        <f aca="false">SISEPUEDE!C11</f>
        <v>14.5924720861494</v>
      </c>
      <c r="E39" s="31" t="s">
        <v>84</v>
      </c>
      <c r="F39" s="31" t="s">
        <v>85</v>
      </c>
      <c r="H39" s="16" t="n">
        <v>2025</v>
      </c>
      <c r="I39" s="34" t="n">
        <f aca="false">SISEPUEDE!G6</f>
        <v>4.83454439727256</v>
      </c>
      <c r="J39" s="34" t="n">
        <f aca="false">SISEPUEDE!H6</f>
        <v>17.2056473036157</v>
      </c>
      <c r="K39" s="34" t="n">
        <f aca="false">SISEPUEDE!I6</f>
        <v>5.54938893113556</v>
      </c>
      <c r="L39" s="34" t="n">
        <f aca="false">SISEPUEDE!J6</f>
        <v>0.868120814771544</v>
      </c>
    </row>
    <row r="40" customFormat="false" ht="15" hidden="false" customHeight="true" outlineLevel="0" collapsed="false">
      <c r="A40" s="16" t="n">
        <v>2031</v>
      </c>
      <c r="B40" s="31" t="s">
        <v>40</v>
      </c>
      <c r="C40" s="31" t="s">
        <v>45</v>
      </c>
      <c r="D40" s="32" t="n">
        <f aca="false">SISEPUEDE!C12</f>
        <v>14.3229021009967</v>
      </c>
      <c r="E40" s="31" t="s">
        <v>84</v>
      </c>
      <c r="F40" s="31" t="s">
        <v>85</v>
      </c>
      <c r="H40" s="16" t="n">
        <v>2026</v>
      </c>
      <c r="I40" s="34" t="n">
        <f aca="false">SISEPUEDE!G7</f>
        <v>4.71103179551282</v>
      </c>
      <c r="J40" s="34" t="n">
        <f aca="false">SISEPUEDE!H7</f>
        <v>17.9550420256204</v>
      </c>
      <c r="K40" s="34" t="n">
        <f aca="false">SISEPUEDE!I7</f>
        <v>5.19082172574743</v>
      </c>
      <c r="L40" s="34" t="n">
        <f aca="false">SISEPUEDE!J7</f>
        <v>1.30477683049967</v>
      </c>
    </row>
    <row r="41" customFormat="false" ht="15" hidden="false" customHeight="true" outlineLevel="0" collapsed="false">
      <c r="A41" s="16" t="n">
        <v>2032</v>
      </c>
      <c r="B41" s="31" t="s">
        <v>40</v>
      </c>
      <c r="C41" s="31" t="s">
        <v>45</v>
      </c>
      <c r="D41" s="32" t="n">
        <f aca="false">SISEPUEDE!C13</f>
        <v>14.010386021256</v>
      </c>
      <c r="E41" s="31" t="s">
        <v>84</v>
      </c>
      <c r="F41" s="31" t="s">
        <v>85</v>
      </c>
      <c r="H41" s="16" t="n">
        <v>2027</v>
      </c>
      <c r="I41" s="34" t="n">
        <f aca="false">SISEPUEDE!G8</f>
        <v>4.58366228111657</v>
      </c>
      <c r="J41" s="34" t="n">
        <f aca="false">SISEPUEDE!H8</f>
        <v>18.6862526064924</v>
      </c>
      <c r="K41" s="34" t="n">
        <f aca="false">SISEPUEDE!I8</f>
        <v>4.83316881662206</v>
      </c>
      <c r="L41" s="34" t="n">
        <f aca="false">SISEPUEDE!J8</f>
        <v>1.74497828236136</v>
      </c>
    </row>
    <row r="42" customFormat="false" ht="15" hidden="false" customHeight="true" outlineLevel="0" collapsed="false">
      <c r="A42" s="16" t="n">
        <v>2033</v>
      </c>
      <c r="B42" s="31" t="s">
        <v>40</v>
      </c>
      <c r="C42" s="31" t="s">
        <v>45</v>
      </c>
      <c r="D42" s="32" t="n">
        <f aca="false">SISEPUEDE!C14</f>
        <v>13.6533085366941</v>
      </c>
      <c r="E42" s="31" t="s">
        <v>84</v>
      </c>
      <c r="F42" s="31" t="s">
        <v>85</v>
      </c>
      <c r="H42" s="16" t="n">
        <v>2028</v>
      </c>
      <c r="I42" s="34" t="n">
        <f aca="false">SISEPUEDE!G9</f>
        <v>4.45082213333614</v>
      </c>
      <c r="J42" s="34" t="n">
        <f aca="false">SISEPUEDE!H9</f>
        <v>19.3897448257999</v>
      </c>
      <c r="K42" s="34" t="n">
        <f aca="false">SISEPUEDE!I9</f>
        <v>4.47754558284711</v>
      </c>
      <c r="L42" s="34" t="n">
        <f aca="false">SISEPUEDE!J9</f>
        <v>2.19014270622387</v>
      </c>
    </row>
    <row r="43" customFormat="false" ht="15" hidden="false" customHeight="true" outlineLevel="0" collapsed="false">
      <c r="A43" s="16" t="n">
        <v>2034</v>
      </c>
      <c r="B43" s="31" t="s">
        <v>40</v>
      </c>
      <c r="C43" s="31" t="s">
        <v>45</v>
      </c>
      <c r="D43" s="32" t="n">
        <f aca="false">SISEPUEDE!C15</f>
        <v>13.2512382422422</v>
      </c>
      <c r="E43" s="31" t="s">
        <v>84</v>
      </c>
      <c r="F43" s="31" t="s">
        <v>85</v>
      </c>
      <c r="H43" s="16" t="n">
        <v>2029</v>
      </c>
      <c r="I43" s="34" t="n">
        <f aca="false">SISEPUEDE!G10</f>
        <v>4.31105733847797</v>
      </c>
      <c r="J43" s="34" t="n">
        <f aca="false">SISEPUEDE!H10</f>
        <v>20.055505412366</v>
      </c>
      <c r="K43" s="34" t="n">
        <f aca="false">SISEPUEDE!I10</f>
        <v>4.12558147001583</v>
      </c>
      <c r="L43" s="34" t="n">
        <f aca="false">SISEPUEDE!J10</f>
        <v>2.64175427166937</v>
      </c>
    </row>
    <row r="44" customFormat="false" ht="15" hidden="false" customHeight="true" outlineLevel="0" collapsed="false">
      <c r="A44" s="16" t="n">
        <v>2035</v>
      </c>
      <c r="B44" s="31" t="s">
        <v>40</v>
      </c>
      <c r="C44" s="31" t="s">
        <v>45</v>
      </c>
      <c r="D44" s="32" t="n">
        <f aca="false">SISEPUEDE!C16</f>
        <v>12.804741706993</v>
      </c>
      <c r="E44" s="31" t="s">
        <v>84</v>
      </c>
      <c r="F44" s="31" t="s">
        <v>85</v>
      </c>
      <c r="H44" s="16" t="n">
        <v>2030</v>
      </c>
      <c r="I44" s="34" t="n">
        <f aca="false">SISEPUEDE!G11</f>
        <v>4.16319011388305</v>
      </c>
      <c r="J44" s="34" t="n">
        <f aca="false">SISEPUEDE!H11</f>
        <v>20.673714620164</v>
      </c>
      <c r="K44" s="34" t="n">
        <f aca="false">SISEPUEDE!I11</f>
        <v>3.77937956693076</v>
      </c>
      <c r="L44" s="34" t="n">
        <f aca="false">SISEPUEDE!J11</f>
        <v>3.10128994977136</v>
      </c>
    </row>
    <row r="45" customFormat="false" ht="15" hidden="false" customHeight="true" outlineLevel="0" collapsed="false">
      <c r="A45" s="16" t="n">
        <v>2036</v>
      </c>
      <c r="B45" s="31" t="s">
        <v>40</v>
      </c>
      <c r="C45" s="31" t="s">
        <v>45</v>
      </c>
      <c r="D45" s="32" t="n">
        <f aca="false">SISEPUEDE!C17</f>
        <v>12.3152149009454</v>
      </c>
      <c r="E45" s="31" t="s">
        <v>84</v>
      </c>
      <c r="F45" s="31" t="s">
        <v>85</v>
      </c>
      <c r="H45" s="16" t="n">
        <v>2031</v>
      </c>
      <c r="I45" s="34" t="n">
        <f aca="false">SISEPUEDE!G12</f>
        <v>4.00641198580478</v>
      </c>
      <c r="J45" s="34" t="n">
        <f aca="false">SISEPUEDE!H12</f>
        <v>21.235449307268</v>
      </c>
      <c r="K45" s="34" t="n">
        <f aca="false">SISEPUEDE!I12</f>
        <v>3.4414350220952</v>
      </c>
      <c r="L45" s="34" t="n">
        <f aca="false">SISEPUEDE!J12</f>
        <v>3.57016728414718</v>
      </c>
    </row>
    <row r="46" customFormat="false" ht="15" hidden="false" customHeight="true" outlineLevel="0" collapsed="false">
      <c r="A46" s="16" t="n">
        <v>2037</v>
      </c>
      <c r="B46" s="31" t="s">
        <v>40</v>
      </c>
      <c r="C46" s="31" t="s">
        <v>45</v>
      </c>
      <c r="D46" s="32" t="n">
        <f aca="false">SISEPUEDE!C18</f>
        <v>11.7847314173488</v>
      </c>
      <c r="E46" s="31" t="s">
        <v>84</v>
      </c>
      <c r="F46" s="31" t="s">
        <v>85</v>
      </c>
      <c r="H46" s="16" t="n">
        <v>2032</v>
      </c>
      <c r="I46" s="34" t="n">
        <f aca="false">SISEPUEDE!G13</f>
        <v>3.84037155347675</v>
      </c>
      <c r="J46" s="34" t="n">
        <f aca="false">SISEPUEDE!H13</f>
        <v>21.733417357039</v>
      </c>
      <c r="K46" s="34" t="n">
        <f aca="false">SISEPUEDE!I13</f>
        <v>3.11451839708675</v>
      </c>
      <c r="L46" s="34" t="n">
        <f aca="false">SISEPUEDE!J13</f>
        <v>4.04971306997232</v>
      </c>
    </row>
    <row r="47" customFormat="false" ht="15" hidden="false" customHeight="true" outlineLevel="0" collapsed="false">
      <c r="A47" s="16" t="n">
        <v>2038</v>
      </c>
      <c r="B47" s="31" t="s">
        <v>40</v>
      </c>
      <c r="C47" s="31" t="s">
        <v>45</v>
      </c>
      <c r="D47" s="32" t="n">
        <f aca="false">SISEPUEDE!C19</f>
        <v>11.215906406125</v>
      </c>
      <c r="E47" s="31" t="s">
        <v>84</v>
      </c>
      <c r="F47" s="31" t="s">
        <v>85</v>
      </c>
      <c r="H47" s="16" t="n">
        <v>2033</v>
      </c>
      <c r="I47" s="34" t="n">
        <f aca="false">SISEPUEDE!G14</f>
        <v>3.66508838492583</v>
      </c>
      <c r="J47" s="34" t="n">
        <f aca="false">SISEPUEDE!H14</f>
        <v>22.1619956705879</v>
      </c>
      <c r="K47" s="34" t="n">
        <f aca="false">SISEPUEDE!I14</f>
        <v>2.80143380314006</v>
      </c>
      <c r="L47" s="34" t="n">
        <f aca="false">SISEPUEDE!J14</f>
        <v>4.54110039395051</v>
      </c>
    </row>
    <row r="48" customFormat="false" ht="15" hidden="false" customHeight="true" outlineLevel="0" collapsed="false">
      <c r="A48" s="16" t="n">
        <v>2039</v>
      </c>
      <c r="B48" s="31" t="s">
        <v>40</v>
      </c>
      <c r="C48" s="31" t="s">
        <v>45</v>
      </c>
      <c r="D48" s="32" t="n">
        <f aca="false">SISEPUEDE!C20</f>
        <v>10.611774706524</v>
      </c>
      <c r="E48" s="31" t="s">
        <v>84</v>
      </c>
      <c r="F48" s="31" t="s">
        <v>85</v>
      </c>
      <c r="H48" s="16" t="n">
        <v>2034</v>
      </c>
      <c r="I48" s="34" t="n">
        <f aca="false">SISEPUEDE!G15</f>
        <v>3.48087467546772</v>
      </c>
      <c r="J48" s="34" t="n">
        <f aca="false">SISEPUEDE!H15</f>
        <v>22.5172863388219</v>
      </c>
      <c r="K48" s="34" t="n">
        <f aca="false">SISEPUEDE!I15</f>
        <v>2.50477883603924</v>
      </c>
      <c r="L48" s="34" t="n">
        <f aca="false">SISEPUEDE!J15</f>
        <v>5.04528647448245</v>
      </c>
    </row>
    <row r="49" customFormat="false" ht="15" hidden="false" customHeight="true" outlineLevel="0" collapsed="false">
      <c r="A49" s="16" t="n">
        <v>2040</v>
      </c>
      <c r="B49" s="31" t="s">
        <v>40</v>
      </c>
      <c r="C49" s="31" t="s">
        <v>45</v>
      </c>
      <c r="D49" s="32" t="n">
        <f aca="false">SISEPUEDE!C21</f>
        <v>9.97568132477899</v>
      </c>
      <c r="E49" s="31" t="s">
        <v>84</v>
      </c>
      <c r="F49" s="31" t="s">
        <v>85</v>
      </c>
      <c r="H49" s="16" t="n">
        <v>2035</v>
      </c>
      <c r="I49" s="34" t="n">
        <f aca="false">SISEPUEDE!G16</f>
        <v>3.28826479448325</v>
      </c>
      <c r="J49" s="34" t="n">
        <f aca="false">SISEPUEDE!H16</f>
        <v>22.7971938565021</v>
      </c>
      <c r="K49" s="34" t="n">
        <f aca="false">SISEPUEDE!I16</f>
        <v>2.2267051911673</v>
      </c>
      <c r="L49" s="34" t="n">
        <f aca="false">SISEPUEDE!J16</f>
        <v>5.56295038147761</v>
      </c>
    </row>
    <row r="50" customFormat="false" ht="15" hidden="false" customHeight="true" outlineLevel="0" collapsed="false">
      <c r="A50" s="16" t="n">
        <v>2041</v>
      </c>
      <c r="B50" s="31" t="s">
        <v>40</v>
      </c>
      <c r="C50" s="31" t="s">
        <v>45</v>
      </c>
      <c r="D50" s="32" t="n">
        <f aca="false">SISEPUEDE!C22</f>
        <v>9.3111821362892</v>
      </c>
      <c r="E50" s="31" t="s">
        <v>84</v>
      </c>
      <c r="F50" s="31" t="s">
        <v>85</v>
      </c>
      <c r="H50" s="16" t="n">
        <v>2036</v>
      </c>
      <c r="I50" s="34" t="n">
        <f aca="false">SISEPUEDE!G17</f>
        <v>3.08795265385824</v>
      </c>
      <c r="J50" s="34" t="n">
        <f aca="false">SISEPUEDE!H17</f>
        <v>23.0015251288735</v>
      </c>
      <c r="K50" s="34" t="n">
        <f aca="false">SISEPUEDE!I17</f>
        <v>1.96867894860284</v>
      </c>
      <c r="L50" s="34" t="n">
        <f aca="false">SISEPUEDE!J17</f>
        <v>6.09442989830564</v>
      </c>
    </row>
    <row r="51" customFormat="false" ht="15" hidden="false" customHeight="true" outlineLevel="0" collapsed="false">
      <c r="A51" s="16" t="n">
        <v>2042</v>
      </c>
      <c r="B51" s="31" t="s">
        <v>40</v>
      </c>
      <c r="C51" s="31" t="s">
        <v>45</v>
      </c>
      <c r="D51" s="32" t="n">
        <f aca="false">SISEPUEDE!C23</f>
        <v>8.62195249380593</v>
      </c>
      <c r="E51" s="31" t="s">
        <v>84</v>
      </c>
      <c r="F51" s="31" t="s">
        <v>85</v>
      </c>
      <c r="H51" s="16" t="n">
        <v>2037</v>
      </c>
      <c r="I51" s="34" t="n">
        <f aca="false">SISEPUEDE!G18</f>
        <v>2.88073670882157</v>
      </c>
      <c r="J51" s="34" t="n">
        <f aca="false">SISEPUEDE!H18</f>
        <v>23.1321128650041</v>
      </c>
      <c r="K51" s="34" t="n">
        <f aca="false">SISEPUEDE!I18</f>
        <v>1.73123979143159</v>
      </c>
      <c r="L51" s="34" t="n">
        <f aca="false">SISEPUEDE!J18</f>
        <v>6.63965701871093</v>
      </c>
    </row>
    <row r="52" customFormat="false" ht="15" hidden="false" customHeight="true" outlineLevel="0" collapsed="false">
      <c r="A52" s="16" t="n">
        <v>2043</v>
      </c>
      <c r="B52" s="31" t="s">
        <v>40</v>
      </c>
      <c r="C52" s="31" t="s">
        <v>45</v>
      </c>
      <c r="D52" s="32" t="n">
        <f aca="false">SISEPUEDE!C24</f>
        <v>7.91170501538731</v>
      </c>
      <c r="E52" s="31" t="s">
        <v>84</v>
      </c>
      <c r="F52" s="31" t="s">
        <v>85</v>
      </c>
      <c r="H52" s="16" t="n">
        <v>2038</v>
      </c>
      <c r="I52" s="34" t="n">
        <f aca="false">SISEPUEDE!G19</f>
        <v>2.66747229634874</v>
      </c>
      <c r="J52" s="34" t="n">
        <f aca="false">SISEPUEDE!H19</f>
        <v>23.1924219296195</v>
      </c>
      <c r="K52" s="34" t="n">
        <f aca="false">SISEPUEDE!I19</f>
        <v>1.51416153333034</v>
      </c>
      <c r="L52" s="34" t="n">
        <f aca="false">SISEPUEDE!J19</f>
        <v>7.19822889688514</v>
      </c>
    </row>
    <row r="53" customFormat="false" ht="15" hidden="false" customHeight="true" outlineLevel="0" collapsed="false">
      <c r="A53" s="16" t="n">
        <v>2044</v>
      </c>
      <c r="B53" s="31" t="s">
        <v>40</v>
      </c>
      <c r="C53" s="31" t="s">
        <v>45</v>
      </c>
      <c r="D53" s="32" t="n">
        <f aca="false">SISEPUEDE!C25</f>
        <v>7.18411174324694</v>
      </c>
      <c r="E53" s="31" t="s">
        <v>84</v>
      </c>
      <c r="F53" s="31" t="s">
        <v>85</v>
      </c>
      <c r="H53" s="16" t="n">
        <v>2039</v>
      </c>
      <c r="I53" s="34" t="n">
        <f aca="false">SISEPUEDE!G20</f>
        <v>2.44903137794609</v>
      </c>
      <c r="J53" s="34" t="n">
        <f aca="false">SISEPUEDE!H20</f>
        <v>23.1871977818214</v>
      </c>
      <c r="K53" s="34" t="n">
        <f aca="false">SISEPUEDE!I20</f>
        <v>1.31659957193704</v>
      </c>
      <c r="L53" s="34" t="n">
        <f aca="false">SISEPUEDE!J20</f>
        <v>7.76946742247707</v>
      </c>
    </row>
    <row r="54" customFormat="false" ht="15" hidden="false" customHeight="true" outlineLevel="0" collapsed="false">
      <c r="A54" s="16" t="n">
        <v>2045</v>
      </c>
      <c r="B54" s="31" t="s">
        <v>40</v>
      </c>
      <c r="C54" s="31" t="s">
        <v>45</v>
      </c>
      <c r="D54" s="32" t="n">
        <f aca="false">SISEPUEDE!C26</f>
        <v>6.44272605653065</v>
      </c>
      <c r="E54" s="31" t="s">
        <v>84</v>
      </c>
      <c r="F54" s="31" t="s">
        <v>85</v>
      </c>
      <c r="H54" s="16" t="n">
        <v>2040</v>
      </c>
      <c r="I54" s="34" t="n">
        <f aca="false">SISEPUEDE!G21</f>
        <v>2.22626949256041</v>
      </c>
      <c r="J54" s="34" t="n">
        <f aca="false">SISEPUEDE!H21</f>
        <v>23.122155020929</v>
      </c>
      <c r="K54" s="34" t="n">
        <f aca="false">SISEPUEDE!I21</f>
        <v>1.13722553780904</v>
      </c>
      <c r="L54" s="34" t="n">
        <f aca="false">SISEPUEDE!J21</f>
        <v>8.352466938085</v>
      </c>
    </row>
    <row r="55" customFormat="false" ht="15" hidden="false" customHeight="true" outlineLevel="0" collapsed="false">
      <c r="A55" s="16" t="n">
        <v>2046</v>
      </c>
      <c r="B55" s="31" t="s">
        <v>40</v>
      </c>
      <c r="C55" s="31" t="s">
        <v>45</v>
      </c>
      <c r="D55" s="32" t="n">
        <f aca="false">SISEPUEDE!C27</f>
        <v>5.69090174892371</v>
      </c>
      <c r="E55" s="31" t="s">
        <v>84</v>
      </c>
      <c r="F55" s="31" t="s">
        <v>85</v>
      </c>
      <c r="H55" s="16" t="n">
        <v>2041</v>
      </c>
      <c r="I55" s="34" t="n">
        <f aca="false">SISEPUEDE!G22</f>
        <v>1.99999876209772</v>
      </c>
      <c r="J55" s="34" t="n">
        <f aca="false">SISEPUEDE!H22</f>
        <v>23.0036968110422</v>
      </c>
      <c r="K55" s="34" t="n">
        <f aca="false">SISEPUEDE!I22</f>
        <v>0.974349658332746</v>
      </c>
      <c r="L55" s="34" t="n">
        <f aca="false">SISEPUEDE!J22</f>
        <v>8.9461373355719</v>
      </c>
    </row>
    <row r="56" customFormat="false" ht="15" hidden="false" customHeight="true" outlineLevel="0" collapsed="false">
      <c r="A56" s="16" t="n">
        <v>2047</v>
      </c>
      <c r="B56" s="31" t="s">
        <v>40</v>
      </c>
      <c r="C56" s="31" t="s">
        <v>45</v>
      </c>
      <c r="D56" s="32" t="n">
        <f aca="false">SISEPUEDE!C28</f>
        <v>4.93170674955849</v>
      </c>
      <c r="E56" s="31" t="s">
        <v>84</v>
      </c>
      <c r="F56" s="31" t="s">
        <v>85</v>
      </c>
      <c r="H56" s="16" t="n">
        <v>2042</v>
      </c>
      <c r="I56" s="34" t="n">
        <f aca="false">SISEPUEDE!G23</f>
        <v>1.77096657446861</v>
      </c>
      <c r="J56" s="34" t="n">
        <f aca="false">SISEPUEDE!H23</f>
        <v>22.8386616511017</v>
      </c>
      <c r="K56" s="34" t="n">
        <f aca="false">SISEPUEDE!I23</f>
        <v>0.826031669186506</v>
      </c>
      <c r="L56" s="34" t="n">
        <f aca="false">SISEPUEDE!J23</f>
        <v>9.54924279050629</v>
      </c>
    </row>
    <row r="57" customFormat="false" ht="15" hidden="false" customHeight="true" outlineLevel="0" collapsed="false">
      <c r="A57" s="16" t="n">
        <v>2048</v>
      </c>
      <c r="B57" s="31" t="s">
        <v>40</v>
      </c>
      <c r="C57" s="31" t="s">
        <v>45</v>
      </c>
      <c r="D57" s="32" t="n">
        <f aca="false">SISEPUEDE!C29</f>
        <v>4.16782908369246</v>
      </c>
      <c r="E57" s="31" t="s">
        <v>84</v>
      </c>
      <c r="F57" s="31" t="s">
        <v>85</v>
      </c>
      <c r="H57" s="16" t="n">
        <v>2043</v>
      </c>
      <c r="I57" s="34" t="n">
        <f aca="false">SISEPUEDE!G24</f>
        <v>1.53984490147656</v>
      </c>
      <c r="J57" s="34" t="n">
        <f aca="false">SISEPUEDE!H24</f>
        <v>22.6341640120326</v>
      </c>
      <c r="K57" s="34" t="n">
        <f aca="false">SISEPUEDE!I24</f>
        <v>0.690183744538406</v>
      </c>
      <c r="L57" s="34" t="n">
        <f aca="false">SISEPUEDE!J24</f>
        <v>10.1603687633864</v>
      </c>
    </row>
    <row r="58" customFormat="false" ht="15" hidden="false" customHeight="true" outlineLevel="0" collapsed="false">
      <c r="A58" s="16" t="n">
        <v>2049</v>
      </c>
      <c r="B58" s="31" t="s">
        <v>40</v>
      </c>
      <c r="C58" s="31" t="s">
        <v>45</v>
      </c>
      <c r="D58" s="32" t="n">
        <f aca="false">SISEPUEDE!C30</f>
        <v>3.40147284140132</v>
      </c>
      <c r="E58" s="31" t="s">
        <v>84</v>
      </c>
      <c r="F58" s="31" t="s">
        <v>85</v>
      </c>
      <c r="H58" s="16" t="n">
        <v>2044</v>
      </c>
      <c r="I58" s="34" t="n">
        <f aca="false">SISEPUEDE!G25</f>
        <v>1.3072043247357</v>
      </c>
      <c r="J58" s="34" t="n">
        <f aca="false">SISEPUEDE!H25</f>
        <v>22.3971822142266</v>
      </c>
      <c r="K58" s="34" t="n">
        <f aca="false">SISEPUEDE!I25</f>
        <v>0.564654971122876</v>
      </c>
      <c r="L58" s="34" t="n">
        <f aca="false">SISEPUEDE!J25</f>
        <v>10.778192620057</v>
      </c>
    </row>
    <row r="59" customFormat="false" ht="15" hidden="false" customHeight="true" outlineLevel="0" collapsed="false">
      <c r="A59" s="16" t="n">
        <v>2050</v>
      </c>
      <c r="B59" s="31" t="s">
        <v>40</v>
      </c>
      <c r="C59" s="31" t="s">
        <v>45</v>
      </c>
      <c r="D59" s="32" t="n">
        <f aca="false">SISEPUEDE!C31</f>
        <v>3.40010738535822</v>
      </c>
      <c r="E59" s="31" t="s">
        <v>84</v>
      </c>
      <c r="F59" s="31" t="s">
        <v>85</v>
      </c>
      <c r="H59" s="16" t="n">
        <v>2045</v>
      </c>
      <c r="I59" s="34" t="n">
        <f aca="false">SISEPUEDE!G26</f>
        <v>1.07351945089531</v>
      </c>
      <c r="J59" s="34" t="n">
        <f aca="false">SISEPUEDE!H26</f>
        <v>22.134475988756</v>
      </c>
      <c r="K59" s="34" t="n">
        <f aca="false">SISEPUEDE!I26</f>
        <v>0.447320512802506</v>
      </c>
      <c r="L59" s="34" t="n">
        <f aca="false">SISEPUEDE!J26</f>
        <v>11.4013975411227</v>
      </c>
    </row>
    <row r="60" customFormat="false" ht="15" hidden="false" customHeight="true" outlineLevel="0" collapsed="false">
      <c r="A60" s="16" t="n">
        <v>2023</v>
      </c>
      <c r="B60" s="31" t="s">
        <v>40</v>
      </c>
      <c r="C60" s="31" t="s">
        <v>46</v>
      </c>
      <c r="D60" s="32" t="n">
        <f aca="false">SISEPUEDE!D4</f>
        <v>6.26733725428572</v>
      </c>
      <c r="E60" s="31" t="s">
        <v>84</v>
      </c>
      <c r="F60" s="31" t="s">
        <v>85</v>
      </c>
      <c r="H60" s="16" t="n">
        <v>2046</v>
      </c>
      <c r="I60" s="34" t="n">
        <f aca="false">SISEPUEDE!G27</f>
        <v>0.839169161060441</v>
      </c>
      <c r="J60" s="34" t="n">
        <f aca="false">SISEPUEDE!H27</f>
        <v>21.8524395377526</v>
      </c>
      <c r="K60" s="34" t="n">
        <f aca="false">SISEPUEDE!I27</f>
        <v>0.336159177348439</v>
      </c>
      <c r="L60" s="34" t="n">
        <f aca="false">SISEPUEDE!J27</f>
        <v>12.0286741005505</v>
      </c>
    </row>
    <row r="61" customFormat="false" ht="15" hidden="false" customHeight="true" outlineLevel="0" collapsed="false">
      <c r="A61" s="16" t="n">
        <v>2024</v>
      </c>
      <c r="B61" s="31" t="s">
        <v>40</v>
      </c>
      <c r="C61" s="31" t="s">
        <v>46</v>
      </c>
      <c r="D61" s="32" t="n">
        <f aca="false">SISEPUEDE!D5</f>
        <v>7.13859245380324</v>
      </c>
      <c r="E61" s="31" t="s">
        <v>84</v>
      </c>
      <c r="F61" s="31" t="s">
        <v>85</v>
      </c>
      <c r="H61" s="16" t="n">
        <v>2047</v>
      </c>
      <c r="I61" s="34" t="n">
        <f aca="false">SISEPUEDE!G28</f>
        <v>0.602589303745258</v>
      </c>
      <c r="J61" s="34" t="n">
        <f aca="false">SISEPUEDE!H28</f>
        <v>21.4910075137137</v>
      </c>
      <c r="K61" s="34" t="n">
        <f aca="false">SISEPUEDE!I28</f>
        <v>0.297034384416357</v>
      </c>
      <c r="L61" s="34" t="n">
        <f aca="false">SISEPUEDE!J28</f>
        <v>12.6588170031905</v>
      </c>
    </row>
    <row r="62" customFormat="false" ht="15" hidden="false" customHeight="true" outlineLevel="0" collapsed="false">
      <c r="A62" s="16" t="n">
        <v>2025</v>
      </c>
      <c r="B62" s="31" t="s">
        <v>40</v>
      </c>
      <c r="C62" s="31" t="s">
        <v>46</v>
      </c>
      <c r="D62" s="32" t="n">
        <f aca="false">SISEPUEDE!D6</f>
        <v>8.0105267753028</v>
      </c>
      <c r="E62" s="31" t="s">
        <v>84</v>
      </c>
      <c r="F62" s="31" t="s">
        <v>85</v>
      </c>
      <c r="H62" s="16" t="n">
        <v>2048</v>
      </c>
      <c r="I62" s="34" t="n">
        <f aca="false">SISEPUEDE!G29</f>
        <v>0.366601983580208</v>
      </c>
      <c r="J62" s="34" t="n">
        <f aca="false">SISEPUEDE!H29</f>
        <v>21.0853138342242</v>
      </c>
      <c r="K62" s="34" t="n">
        <f aca="false">SISEPUEDE!I29</f>
        <v>0.295598225175764</v>
      </c>
      <c r="L62" s="34" t="n">
        <f aca="false">SISEPUEDE!J29</f>
        <v>13.2907709727777</v>
      </c>
    </row>
    <row r="63" customFormat="false" ht="15" hidden="false" customHeight="true" outlineLevel="0" collapsed="false">
      <c r="A63" s="16" t="n">
        <v>2026</v>
      </c>
      <c r="B63" s="31" t="s">
        <v>40</v>
      </c>
      <c r="C63" s="31" t="s">
        <v>46</v>
      </c>
      <c r="D63" s="32" t="n">
        <f aca="false">SISEPUEDE!D7</f>
        <v>8.88378217243479</v>
      </c>
      <c r="E63" s="31" t="s">
        <v>84</v>
      </c>
      <c r="F63" s="31" t="s">
        <v>85</v>
      </c>
      <c r="H63" s="16" t="n">
        <v>2049</v>
      </c>
      <c r="I63" s="34" t="n">
        <f aca="false">SISEPUEDE!G30</f>
        <v>0.132785693880818</v>
      </c>
      <c r="J63" s="34" t="n">
        <f aca="false">SISEPUEDE!H30</f>
        <v>20.6743966377366</v>
      </c>
      <c r="K63" s="34" t="n">
        <f aca="false">SISEPUEDE!I30</f>
        <v>0.294108633845407</v>
      </c>
      <c r="L63" s="34" t="n">
        <f aca="false">SISEPUEDE!J30</f>
        <v>13.9236762140265</v>
      </c>
    </row>
    <row r="64" customFormat="false" ht="15" hidden="false" customHeight="true" outlineLevel="0" collapsed="false">
      <c r="A64" s="16" t="n">
        <v>2027</v>
      </c>
      <c r="B64" s="31" t="s">
        <v>40</v>
      </c>
      <c r="C64" s="31" t="s">
        <v>46</v>
      </c>
      <c r="D64" s="32" t="n">
        <f aca="false">SISEPUEDE!D8</f>
        <v>9.75913893988636</v>
      </c>
      <c r="E64" s="31" t="s">
        <v>84</v>
      </c>
      <c r="F64" s="31" t="s">
        <v>85</v>
      </c>
      <c r="H64" s="16" t="n">
        <v>2050</v>
      </c>
      <c r="I64" s="34" t="n">
        <f aca="false">SISEPUEDE!G31</f>
        <v>0.128712394440005</v>
      </c>
      <c r="J64" s="34" t="n">
        <f aca="false">SISEPUEDE!H31</f>
        <v>20.040194218768</v>
      </c>
      <c r="K64" s="34" t="n">
        <f aca="false">SISEPUEDE!I31</f>
        <v>0.285086633818386</v>
      </c>
      <c r="L64" s="34" t="n">
        <f aca="false">SISEPUEDE!J31</f>
        <v>13.9236762140265</v>
      </c>
    </row>
    <row r="65" customFormat="false" ht="15" hidden="false" customHeight="true" outlineLevel="0" collapsed="false">
      <c r="A65" s="16" t="n">
        <v>2028</v>
      </c>
      <c r="B65" s="31" t="s">
        <v>40</v>
      </c>
      <c r="C65" s="31" t="s">
        <v>46</v>
      </c>
      <c r="D65" s="32" t="n">
        <f aca="false">SISEPUEDE!D9</f>
        <v>10.6372896924084</v>
      </c>
      <c r="E65" s="31" t="s">
        <v>84</v>
      </c>
      <c r="F65" s="31" t="s">
        <v>85</v>
      </c>
    </row>
    <row r="66" customFormat="false" ht="15" hidden="false" customHeight="true" outlineLevel="0" collapsed="false">
      <c r="A66" s="16" t="n">
        <v>2029</v>
      </c>
      <c r="B66" s="31" t="s">
        <v>40</v>
      </c>
      <c r="C66" s="31" t="s">
        <v>46</v>
      </c>
      <c r="D66" s="32" t="n">
        <f aca="false">SISEPUEDE!D10</f>
        <v>11.5186121918944</v>
      </c>
      <c r="E66" s="31" t="s">
        <v>84</v>
      </c>
      <c r="F66" s="31" t="s">
        <v>85</v>
      </c>
    </row>
    <row r="67" customFormat="false" ht="15" hidden="false" customHeight="true" outlineLevel="0" collapsed="false">
      <c r="A67" s="16" t="n">
        <v>2030</v>
      </c>
      <c r="B67" s="31" t="s">
        <v>40</v>
      </c>
      <c r="C67" s="31" t="s">
        <v>46</v>
      </c>
      <c r="D67" s="32" t="n">
        <f aca="false">SISEPUEDE!D11</f>
        <v>12.4032984199585</v>
      </c>
      <c r="E67" s="31" t="s">
        <v>84</v>
      </c>
      <c r="F67" s="31" t="s">
        <v>85</v>
      </c>
      <c r="H67" s="30" t="s">
        <v>87</v>
      </c>
      <c r="I67" s="30"/>
      <c r="J67" s="30"/>
      <c r="K67" s="30"/>
      <c r="L67" s="30"/>
    </row>
    <row r="68" customFormat="false" ht="15" hidden="false" customHeight="true" outlineLevel="0" collapsed="false">
      <c r="A68" s="16" t="n">
        <v>2031</v>
      </c>
      <c r="B68" s="31" t="s">
        <v>40</v>
      </c>
      <c r="C68" s="31" t="s">
        <v>46</v>
      </c>
      <c r="D68" s="32" t="n">
        <f aca="false">SISEPUEDE!D12</f>
        <v>13.2915225083984</v>
      </c>
      <c r="E68" s="31" t="s">
        <v>84</v>
      </c>
      <c r="F68" s="31" t="s">
        <v>85</v>
      </c>
      <c r="H68" s="33" t="s">
        <v>47</v>
      </c>
      <c r="I68" s="29" t="s">
        <v>44</v>
      </c>
      <c r="J68" s="29" t="s">
        <v>45</v>
      </c>
      <c r="K68" s="29" t="s">
        <v>46</v>
      </c>
      <c r="L68" s="29" t="s">
        <v>48</v>
      </c>
    </row>
    <row r="69" customFormat="false" ht="15" hidden="false" customHeight="true" outlineLevel="0" collapsed="false">
      <c r="A69" s="16" t="n">
        <v>2032</v>
      </c>
      <c r="B69" s="31" t="s">
        <v>40</v>
      </c>
      <c r="C69" s="31" t="s">
        <v>46</v>
      </c>
      <c r="D69" s="32" t="n">
        <f aca="false">SISEPUEDE!D13</f>
        <v>14.1836525397154</v>
      </c>
      <c r="E69" s="31" t="s">
        <v>84</v>
      </c>
      <c r="F69" s="31" t="s">
        <v>85</v>
      </c>
      <c r="H69" s="16" t="n">
        <v>2023</v>
      </c>
      <c r="I69" s="34" t="n">
        <f aca="false">SISEPUEDE!M4</f>
        <v>5.07640740742145</v>
      </c>
      <c r="J69" s="34" t="n">
        <f aca="false">SISEPUEDE!N4</f>
        <v>15.6842553382928</v>
      </c>
      <c r="K69" s="34" t="n">
        <f aca="false">SISEPUEDE!O4</f>
        <v>6.26733725428572</v>
      </c>
      <c r="L69" s="34" t="n">
        <f aca="false">SISEPUEDE!P4</f>
        <v>0</v>
      </c>
    </row>
    <row r="70" customFormat="false" ht="15" hidden="false" customHeight="true" outlineLevel="0" collapsed="false">
      <c r="A70" s="16" t="n">
        <v>2033</v>
      </c>
      <c r="B70" s="31" t="s">
        <v>40</v>
      </c>
      <c r="C70" s="31" t="s">
        <v>46</v>
      </c>
      <c r="D70" s="32" t="n">
        <f aca="false">SISEPUEDE!D14</f>
        <v>15.0801810255875</v>
      </c>
      <c r="E70" s="31" t="s">
        <v>84</v>
      </c>
      <c r="F70" s="31" t="s">
        <v>85</v>
      </c>
      <c r="H70" s="16" t="n">
        <v>2024</v>
      </c>
      <c r="I70" s="34" t="n">
        <f aca="false">SISEPUEDE!M5</f>
        <v>5.1613834118107</v>
      </c>
      <c r="J70" s="34" t="n">
        <f aca="false">SISEPUEDE!N5</f>
        <v>14.9901828003279</v>
      </c>
      <c r="K70" s="34" t="n">
        <f aca="false">SISEPUEDE!O5</f>
        <v>6.27727571138163</v>
      </c>
      <c r="L70" s="34" t="n">
        <f aca="false">SISEPUEDE!P5</f>
        <v>0</v>
      </c>
    </row>
    <row r="71" customFormat="false" ht="15" hidden="false" customHeight="true" outlineLevel="0" collapsed="false">
      <c r="A71" s="16" t="n">
        <v>2034</v>
      </c>
      <c r="B71" s="31" t="s">
        <v>40</v>
      </c>
      <c r="C71" s="31" t="s">
        <v>46</v>
      </c>
      <c r="D71" s="32" t="n">
        <f aca="false">SISEPUEDE!D15</f>
        <v>15.9816628585818</v>
      </c>
      <c r="E71" s="31" t="s">
        <v>84</v>
      </c>
      <c r="F71" s="31" t="s">
        <v>85</v>
      </c>
      <c r="H71" s="16" t="n">
        <v>2025</v>
      </c>
      <c r="I71" s="34" t="n">
        <f aca="false">SISEPUEDE!M6</f>
        <v>4.93260601283925</v>
      </c>
      <c r="J71" s="34" t="n">
        <f aca="false">SISEPUEDE!N6</f>
        <v>14.9917108364193</v>
      </c>
      <c r="K71" s="34" t="n">
        <f aca="false">SISEPUEDE!O6</f>
        <v>5.90074750261989</v>
      </c>
      <c r="L71" s="34" t="n">
        <f aca="false">SISEPUEDE!P6</f>
        <v>2.63263709491692</v>
      </c>
    </row>
    <row r="72" customFormat="false" ht="15" hidden="false" customHeight="true" outlineLevel="0" collapsed="false">
      <c r="A72" s="16" t="n">
        <v>2035</v>
      </c>
      <c r="B72" s="31" t="s">
        <v>40</v>
      </c>
      <c r="C72" s="31" t="s">
        <v>46</v>
      </c>
      <c r="D72" s="32" t="n">
        <f aca="false">SISEPUEDE!D16</f>
        <v>16.8886606022599</v>
      </c>
      <c r="E72" s="31" t="s">
        <v>84</v>
      </c>
      <c r="F72" s="31" t="s">
        <v>85</v>
      </c>
      <c r="H72" s="16" t="n">
        <v>2026</v>
      </c>
      <c r="I72" s="34" t="n">
        <f aca="false">SISEPUEDE!M7</f>
        <v>4.70134907240413</v>
      </c>
      <c r="J72" s="34" t="n">
        <f aca="false">SISEPUEDE!N7</f>
        <v>14.981681305764</v>
      </c>
      <c r="K72" s="34" t="n">
        <f aca="false">SISEPUEDE!O7</f>
        <v>5.52410027312733</v>
      </c>
      <c r="L72" s="34" t="n">
        <f aca="false">SISEPUEDE!P7</f>
        <v>3.95454172608486</v>
      </c>
    </row>
    <row r="73" customFormat="false" ht="15" hidden="false" customHeight="true" outlineLevel="0" collapsed="false">
      <c r="A73" s="16" t="n">
        <v>2036</v>
      </c>
      <c r="B73" s="31" t="s">
        <v>40</v>
      </c>
      <c r="C73" s="31" t="s">
        <v>46</v>
      </c>
      <c r="D73" s="32" t="n">
        <f aca="false">SISEPUEDE!D17</f>
        <v>17.8016969446177</v>
      </c>
      <c r="E73" s="31" t="s">
        <v>84</v>
      </c>
      <c r="F73" s="31" t="s">
        <v>85</v>
      </c>
      <c r="H73" s="16" t="n">
        <v>2027</v>
      </c>
      <c r="I73" s="34" t="n">
        <f aca="false">SISEPUEDE!M8</f>
        <v>4.46620558074675</v>
      </c>
      <c r="J73" s="34" t="n">
        <f aca="false">SISEPUEDE!N8</f>
        <v>14.9498049612511</v>
      </c>
      <c r="K73" s="34" t="n">
        <f aca="false">SISEPUEDE!O8</f>
        <v>5.14819657435067</v>
      </c>
      <c r="L73" s="34" t="n">
        <f aca="false">SISEPUEDE!P8</f>
        <v>5.28385487024387</v>
      </c>
    </row>
    <row r="74" customFormat="false" ht="15" hidden="false" customHeight="true" outlineLevel="0" collapsed="false">
      <c r="A74" s="16" t="n">
        <v>2037</v>
      </c>
      <c r="B74" s="31" t="s">
        <v>40</v>
      </c>
      <c r="C74" s="31" t="s">
        <v>46</v>
      </c>
      <c r="D74" s="32" t="n">
        <f aca="false">SISEPUEDE!D18</f>
        <v>18.7212141494201</v>
      </c>
      <c r="E74" s="31" t="s">
        <v>84</v>
      </c>
      <c r="F74" s="31" t="s">
        <v>85</v>
      </c>
      <c r="H74" s="16" t="n">
        <v>2028</v>
      </c>
      <c r="I74" s="34" t="n">
        <f aca="false">SISEPUEDE!M9</f>
        <v>4.2259580087124</v>
      </c>
      <c r="J74" s="34" t="n">
        <f aca="false">SISEPUEDE!N9</f>
        <v>14.8846390712571</v>
      </c>
      <c r="K74" s="34" t="n">
        <f aca="false">SISEPUEDE!O9</f>
        <v>4.77449903715161</v>
      </c>
      <c r="L74" s="34" t="n">
        <f aca="false">SISEPUEDE!P9</f>
        <v>6.62315913108591</v>
      </c>
    </row>
    <row r="75" customFormat="false" ht="15" hidden="false" customHeight="true" outlineLevel="0" collapsed="false">
      <c r="A75" s="16" t="n">
        <v>2038</v>
      </c>
      <c r="B75" s="31" t="s">
        <v>40</v>
      </c>
      <c r="C75" s="31" t="s">
        <v>46</v>
      </c>
      <c r="D75" s="32" t="n">
        <f aca="false">SISEPUEDE!D19</f>
        <v>19.6475403560462</v>
      </c>
      <c r="E75" s="31" t="s">
        <v>84</v>
      </c>
      <c r="F75" s="31" t="s">
        <v>85</v>
      </c>
      <c r="H75" s="16" t="n">
        <v>2029</v>
      </c>
      <c r="I75" s="34" t="n">
        <f aca="false">SISEPUEDE!M10</f>
        <v>3.97969154655927</v>
      </c>
      <c r="J75" s="34" t="n">
        <f aca="false">SISEPUEDE!N10</f>
        <v>14.77436728874</v>
      </c>
      <c r="K75" s="34" t="n">
        <f aca="false">SISEPUEDE!O10</f>
        <v>4.40501707976397</v>
      </c>
      <c r="L75" s="34" t="n">
        <f aca="false">SISEPUEDE!P10</f>
        <v>7.97482257746593</v>
      </c>
    </row>
    <row r="76" customFormat="false" ht="15" hidden="false" customHeight="true" outlineLevel="0" collapsed="false">
      <c r="A76" s="16" t="n">
        <v>2039</v>
      </c>
      <c r="B76" s="31" t="s">
        <v>40</v>
      </c>
      <c r="C76" s="31" t="s">
        <v>46</v>
      </c>
      <c r="D76" s="32" t="n">
        <f aca="false">SISEPUEDE!D20</f>
        <v>20.5808626354546</v>
      </c>
      <c r="E76" s="31" t="s">
        <v>84</v>
      </c>
      <c r="F76" s="31" t="s">
        <v>85</v>
      </c>
      <c r="H76" s="16" t="n">
        <v>2030</v>
      </c>
      <c r="I76" s="34" t="n">
        <f aca="false">SISEPUEDE!M11</f>
        <v>3.7268765916726</v>
      </c>
      <c r="J76" s="34" t="n">
        <f aca="false">SISEPUEDE!N11</f>
        <v>14.6075659701891</v>
      </c>
      <c r="K76" s="34" t="n">
        <f aca="false">SISEPUEDE!O11</f>
        <v>4.04221679223758</v>
      </c>
      <c r="L76" s="34" t="n">
        <f aca="false">SISEPUEDE!P11</f>
        <v>9.34091489664989</v>
      </c>
    </row>
    <row r="77" customFormat="false" ht="15" hidden="false" customHeight="true" outlineLevel="0" collapsed="false">
      <c r="A77" s="16" t="n">
        <v>2040</v>
      </c>
      <c r="B77" s="31" t="s">
        <v>40</v>
      </c>
      <c r="C77" s="31" t="s">
        <v>46</v>
      </c>
      <c r="D77" s="32" t="n">
        <f aca="false">SISEPUEDE!D21</f>
        <v>21.5212067840735</v>
      </c>
      <c r="E77" s="31" t="s">
        <v>84</v>
      </c>
      <c r="F77" s="31" t="s">
        <v>85</v>
      </c>
      <c r="H77" s="16" t="n">
        <v>2031</v>
      </c>
      <c r="I77" s="34" t="n">
        <f aca="false">SISEPUEDE!M12</f>
        <v>3.46742173462704</v>
      </c>
      <c r="J77" s="34" t="n">
        <f aca="false">SISEPUEDE!N12</f>
        <v>14.3739492820739</v>
      </c>
      <c r="K77" s="34" t="n">
        <f aca="false">SISEPUEDE!O12</f>
        <v>3.68889627304874</v>
      </c>
      <c r="L77" s="34" t="n">
        <f aca="false">SISEPUEDE!P12</f>
        <v>10.7231963095655</v>
      </c>
    </row>
    <row r="78" customFormat="false" ht="15" hidden="false" customHeight="true" outlineLevel="0" collapsed="false">
      <c r="A78" s="16" t="n">
        <v>2041</v>
      </c>
      <c r="B78" s="31" t="s">
        <v>40</v>
      </c>
      <c r="C78" s="31" t="s">
        <v>46</v>
      </c>
      <c r="D78" s="32" t="n">
        <f aca="false">SISEPUEDE!D22</f>
        <v>22.4684239324086</v>
      </c>
      <c r="E78" s="31" t="s">
        <v>84</v>
      </c>
      <c r="F78" s="31" t="s">
        <v>85</v>
      </c>
      <c r="H78" s="16" t="n">
        <v>2032</v>
      </c>
      <c r="I78" s="34" t="n">
        <f aca="false">SISEPUEDE!M13</f>
        <v>3.20171632661302</v>
      </c>
      <c r="J78" s="34" t="n">
        <f aca="false">SISEPUEDE!N13</f>
        <v>14.0650892872354</v>
      </c>
      <c r="K78" s="34" t="n">
        <f aca="false">SISEPUEDE!O13</f>
        <v>3.34803582749697</v>
      </c>
      <c r="L78" s="34" t="n">
        <f aca="false">SISEPUEDE!P13</f>
        <v>12.1231789362294</v>
      </c>
    </row>
    <row r="79" customFormat="false" ht="15" hidden="false" customHeight="true" outlineLevel="0" collapsed="false">
      <c r="A79" s="16" t="n">
        <v>2042</v>
      </c>
      <c r="B79" s="31" t="s">
        <v>40</v>
      </c>
      <c r="C79" s="31" t="s">
        <v>46</v>
      </c>
      <c r="D79" s="32" t="n">
        <f aca="false">SISEPUEDE!D23</f>
        <v>23.4221841374991</v>
      </c>
      <c r="E79" s="31" t="s">
        <v>84</v>
      </c>
      <c r="F79" s="31" t="s">
        <v>85</v>
      </c>
      <c r="H79" s="16" t="n">
        <v>2033</v>
      </c>
      <c r="I79" s="34" t="n">
        <f aca="false">SISEPUEDE!M14</f>
        <v>2.93050926812696</v>
      </c>
      <c r="J79" s="34" t="n">
        <f aca="false">SISEPUEDE!N14</f>
        <v>13.6744961805388</v>
      </c>
      <c r="K79" s="34" t="n">
        <f aca="false">SISEPUEDE!O14</f>
        <v>3.02253960177787</v>
      </c>
      <c r="L79" s="34" t="n">
        <f aca="false">SISEPUEDE!P14</f>
        <v>13.5420732021607</v>
      </c>
    </row>
    <row r="80" customFormat="false" ht="15" hidden="false" customHeight="true" outlineLevel="0" collapsed="false">
      <c r="A80" s="16" t="n">
        <v>2043</v>
      </c>
      <c r="B80" s="31" t="s">
        <v>40</v>
      </c>
      <c r="C80" s="31" t="s">
        <v>46</v>
      </c>
      <c r="D80" s="32" t="n">
        <f aca="false">SISEPUEDE!D24</f>
        <v>24.3819829079625</v>
      </c>
      <c r="E80" s="31" t="s">
        <v>84</v>
      </c>
      <c r="F80" s="31" t="s">
        <v>85</v>
      </c>
      <c r="H80" s="16" t="n">
        <v>2034</v>
      </c>
      <c r="I80" s="34" t="n">
        <f aca="false">SISEPUEDE!M15</f>
        <v>2.65479940139799</v>
      </c>
      <c r="J80" s="34" t="n">
        <f aca="false">SISEPUEDE!N15</f>
        <v>13.1976888900301</v>
      </c>
      <c r="K80" s="34" t="n">
        <f aca="false">SISEPUEDE!O15</f>
        <v>2.71499670093887</v>
      </c>
      <c r="L80" s="34" t="n">
        <f aca="false">SISEPUEDE!P15</f>
        <v>14.9807413324444</v>
      </c>
    </row>
    <row r="81" customFormat="false" ht="15" hidden="false" customHeight="true" outlineLevel="0" collapsed="false">
      <c r="A81" s="16" t="n">
        <v>2044</v>
      </c>
      <c r="B81" s="31" t="s">
        <v>40</v>
      </c>
      <c r="C81" s="31" t="s">
        <v>46</v>
      </c>
      <c r="D81" s="32" t="n">
        <f aca="false">SISEPUEDE!D25</f>
        <v>25.3471591459878</v>
      </c>
      <c r="E81" s="31" t="s">
        <v>84</v>
      </c>
      <c r="F81" s="31" t="s">
        <v>85</v>
      </c>
      <c r="H81" s="16" t="n">
        <v>2035</v>
      </c>
      <c r="I81" s="34" t="n">
        <f aca="false">SISEPUEDE!M16</f>
        <v>2.37573748173258</v>
      </c>
      <c r="J81" s="34" t="n">
        <f aca="false">SISEPUEDE!N16</f>
        <v>12.6322575703387</v>
      </c>
      <c r="K81" s="34" t="n">
        <f aca="false">SISEPUEDE!O16</f>
        <v>2.42746207061574</v>
      </c>
      <c r="L81" s="34" t="n">
        <f aca="false">SISEPUEDE!P16</f>
        <v>16.4396571009432</v>
      </c>
    </row>
    <row r="82" customFormat="false" ht="15" hidden="false" customHeight="true" outlineLevel="0" collapsed="false">
      <c r="A82" s="16" t="n">
        <v>2045</v>
      </c>
      <c r="B82" s="31" t="s">
        <v>40</v>
      </c>
      <c r="C82" s="31" t="s">
        <v>46</v>
      </c>
      <c r="D82" s="32" t="n">
        <f aca="false">SISEPUEDE!D26</f>
        <v>26.3169223423655</v>
      </c>
      <c r="E82" s="31" t="s">
        <v>84</v>
      </c>
      <c r="F82" s="31" t="s">
        <v>85</v>
      </c>
      <c r="H82" s="16" t="n">
        <v>2036</v>
      </c>
      <c r="I82" s="34" t="n">
        <f aca="false">SISEPUEDE!M17</f>
        <v>2.09453949307224</v>
      </c>
      <c r="J82" s="34" t="n">
        <f aca="false">SISEPUEDE!N17</f>
        <v>11.9779181495447</v>
      </c>
      <c r="K82" s="34" t="n">
        <f aca="false">SISEPUEDE!O17</f>
        <v>2.16125770413282</v>
      </c>
      <c r="L82" s="34" t="n">
        <f aca="false">SISEPUEDE!P17</f>
        <v>17.9188712828905</v>
      </c>
    </row>
    <row r="83" customFormat="false" ht="15" hidden="false" customHeight="true" outlineLevel="0" collapsed="false">
      <c r="A83" s="16" t="n">
        <v>2046</v>
      </c>
      <c r="B83" s="31" t="s">
        <v>40</v>
      </c>
      <c r="C83" s="31" t="s">
        <v>46</v>
      </c>
      <c r="D83" s="32" t="n">
        <f aca="false">SISEPUEDE!D27</f>
        <v>27.2903896992362</v>
      </c>
      <c r="E83" s="31" t="s">
        <v>84</v>
      </c>
      <c r="F83" s="31" t="s">
        <v>85</v>
      </c>
      <c r="H83" s="16" t="n">
        <v>2037</v>
      </c>
      <c r="I83" s="34" t="n">
        <f aca="false">SISEPUEDE!M18</f>
        <v>1.8124108832945</v>
      </c>
      <c r="J83" s="34" t="n">
        <f aca="false">SISEPUEDE!N18</f>
        <v>11.2365577461733</v>
      </c>
      <c r="K83" s="34" t="n">
        <f aca="false">SISEPUEDE!O18</f>
        <v>1.91679517791358</v>
      </c>
      <c r="L83" s="34" t="n">
        <f aca="false">SISEPUEDE!P18</f>
        <v>19.4179825765868</v>
      </c>
    </row>
    <row r="84" customFormat="false" ht="15" hidden="false" customHeight="true" outlineLevel="0" collapsed="false">
      <c r="A84" s="16" t="n">
        <v>2047</v>
      </c>
      <c r="B84" s="31" t="s">
        <v>40</v>
      </c>
      <c r="C84" s="31" t="s">
        <v>46</v>
      </c>
      <c r="D84" s="32" t="n">
        <f aca="false">SISEPUEDE!D28</f>
        <v>28.2666339378696</v>
      </c>
      <c r="E84" s="31" t="s">
        <v>84</v>
      </c>
      <c r="F84" s="31" t="s">
        <v>85</v>
      </c>
      <c r="H84" s="16" t="n">
        <v>2038</v>
      </c>
      <c r="I84" s="34" t="n">
        <f aca="false">SISEPUEDE!M19</f>
        <v>1.53047778672359</v>
      </c>
      <c r="J84" s="34" t="n">
        <f aca="false">SISEPUEDE!N19</f>
        <v>10.4118693749658</v>
      </c>
      <c r="K84" s="34" t="n">
        <f aca="false">SISEPUEDE!O19</f>
        <v>1.69373041543658</v>
      </c>
      <c r="L84" s="34" t="n">
        <f aca="false">SISEPUEDE!P19</f>
        <v>20.9362070790578</v>
      </c>
    </row>
    <row r="85" customFormat="false" ht="15" hidden="false" customHeight="true" outlineLevel="0" collapsed="false">
      <c r="A85" s="16" t="n">
        <v>2048</v>
      </c>
      <c r="B85" s="31" t="s">
        <v>40</v>
      </c>
      <c r="C85" s="31" t="s">
        <v>46</v>
      </c>
      <c r="D85" s="32" t="n">
        <f aca="false">SISEPUEDE!D29</f>
        <v>29.2447426193777</v>
      </c>
      <c r="E85" s="31" t="s">
        <v>84</v>
      </c>
      <c r="F85" s="31" t="s">
        <v>85</v>
      </c>
      <c r="H85" s="16" t="n">
        <v>2039</v>
      </c>
      <c r="I85" s="34" t="n">
        <f aca="false">SISEPUEDE!M20</f>
        <v>1.24972987449971</v>
      </c>
      <c r="J85" s="34" t="n">
        <f aca="false">SISEPUEDE!N20</f>
        <v>9.50901971311466</v>
      </c>
      <c r="K85" s="34" t="n">
        <f aca="false">SISEPUEDE!O20</f>
        <v>1.49110861714849</v>
      </c>
      <c r="L85" s="34" t="n">
        <f aca="false">SISEPUEDE!P20</f>
        <v>22.4724379494187</v>
      </c>
    </row>
    <row r="86" customFormat="false" ht="15" hidden="false" customHeight="true" outlineLevel="0" collapsed="false">
      <c r="A86" s="16" t="n">
        <v>2049</v>
      </c>
      <c r="B86" s="31" t="s">
        <v>40</v>
      </c>
      <c r="C86" s="31" t="s">
        <v>46</v>
      </c>
      <c r="D86" s="32" t="n">
        <f aca="false">SISEPUEDE!D30</f>
        <v>30.2238898361883</v>
      </c>
      <c r="E86" s="31" t="s">
        <v>84</v>
      </c>
      <c r="F86" s="31" t="s">
        <v>85</v>
      </c>
      <c r="H86" s="16" t="n">
        <v>2040</v>
      </c>
      <c r="I86" s="34" t="n">
        <f aca="false">SISEPUEDE!M21</f>
        <v>0.970972978467209</v>
      </c>
      <c r="J86" s="34" t="n">
        <f aca="false">SISEPUEDE!N21</f>
        <v>8.5343437094954</v>
      </c>
      <c r="K86" s="34" t="n">
        <f aca="false">SISEPUEDE!O21</f>
        <v>1.30749951778061</v>
      </c>
      <c r="L86" s="34" t="n">
        <f aca="false">SISEPUEDE!P21</f>
        <v>24.0253007836402</v>
      </c>
    </row>
    <row r="87" customFormat="false" ht="15" hidden="false" customHeight="true" outlineLevel="0" collapsed="false">
      <c r="A87" s="16" t="n">
        <v>2050</v>
      </c>
      <c r="B87" s="31" t="s">
        <v>40</v>
      </c>
      <c r="C87" s="31" t="s">
        <v>46</v>
      </c>
      <c r="D87" s="32" t="n">
        <f aca="false">SISEPUEDE!D31</f>
        <v>30.2117570352086</v>
      </c>
      <c r="E87" s="31" t="s">
        <v>84</v>
      </c>
      <c r="F87" s="31" t="s">
        <v>85</v>
      </c>
      <c r="H87" s="16" t="n">
        <v>2041</v>
      </c>
      <c r="I87" s="34" t="n">
        <f aca="false">SISEPUEDE!M22</f>
        <v>0.694788501153321</v>
      </c>
      <c r="J87" s="34" t="n">
        <f aca="false">SISEPUEDE!N22</f>
        <v>7.49506481222332</v>
      </c>
      <c r="K87" s="34" t="n">
        <f aca="false">SISEPUEDE!O22</f>
        <v>1.14112420132327</v>
      </c>
      <c r="L87" s="34" t="n">
        <f aca="false">SISEPUEDE!P22</f>
        <v>25.5932050523447</v>
      </c>
    </row>
    <row r="88" customFormat="false" ht="15" hidden="false" customHeight="true" outlineLevel="0" collapsed="false">
      <c r="A88" s="16" t="n">
        <v>2023</v>
      </c>
      <c r="B88" s="31" t="s">
        <v>41</v>
      </c>
      <c r="C88" s="31" t="s">
        <v>44</v>
      </c>
      <c r="D88" s="32" t="n">
        <f aca="false">SISEPUEDE!G4</f>
        <v>5.07640740742145</v>
      </c>
      <c r="E88" s="31" t="s">
        <v>84</v>
      </c>
      <c r="F88" s="31" t="s">
        <v>85</v>
      </c>
      <c r="H88" s="16" t="n">
        <v>2042</v>
      </c>
      <c r="I88" s="34" t="n">
        <f aca="false">SISEPUEDE!M23</f>
        <v>0.421495157738018</v>
      </c>
      <c r="J88" s="34" t="n">
        <f aca="false">SISEPUEDE!N23</f>
        <v>6.39908708515287</v>
      </c>
      <c r="K88" s="34" t="n">
        <f aca="false">SISEPUEDE!O23</f>
        <v>0.989984253207358</v>
      </c>
      <c r="L88" s="34" t="n">
        <f aca="false">SISEPUEDE!P23</f>
        <v>27.1743361891649</v>
      </c>
    </row>
    <row r="89" customFormat="false" ht="15" hidden="false" customHeight="true" outlineLevel="0" collapsed="false">
      <c r="A89" s="16" t="n">
        <v>2024</v>
      </c>
      <c r="B89" s="31" t="s">
        <v>41</v>
      </c>
      <c r="C89" s="31" t="s">
        <v>44</v>
      </c>
      <c r="D89" s="32" t="n">
        <f aca="false">SISEPUEDE!G5</f>
        <v>4.95583586464591</v>
      </c>
      <c r="E89" s="31" t="s">
        <v>84</v>
      </c>
      <c r="F89" s="31" t="s">
        <v>85</v>
      </c>
      <c r="H89" s="16" t="n">
        <v>2043</v>
      </c>
      <c r="I89" s="34" t="n">
        <f aca="false">SISEPUEDE!M24</f>
        <v>0.151073916496975</v>
      </c>
      <c r="J89" s="34" t="n">
        <f aca="false">SISEPUEDE!N24</f>
        <v>5.25469783268809</v>
      </c>
      <c r="K89" s="34" t="n">
        <f aca="false">SISEPUEDE!O24</f>
        <v>0.851979872676624</v>
      </c>
      <c r="L89" s="34" t="n">
        <f aca="false">SISEPUEDE!P24</f>
        <v>28.7668097995722</v>
      </c>
    </row>
    <row r="90" customFormat="false" ht="15" hidden="false" customHeight="true" outlineLevel="0" collapsed="false">
      <c r="A90" s="16" t="n">
        <v>2025</v>
      </c>
      <c r="B90" s="31" t="s">
        <v>41</v>
      </c>
      <c r="C90" s="31" t="s">
        <v>44</v>
      </c>
      <c r="D90" s="32" t="n">
        <f aca="false">SISEPUEDE!G6</f>
        <v>4.83454439727256</v>
      </c>
      <c r="E90" s="31" t="s">
        <v>84</v>
      </c>
      <c r="F90" s="31" t="s">
        <v>85</v>
      </c>
      <c r="H90" s="16" t="n">
        <v>2044</v>
      </c>
      <c r="I90" s="34" t="n">
        <f aca="false">SISEPUEDE!M25</f>
        <v>0</v>
      </c>
      <c r="J90" s="34" t="n">
        <f aca="false">SISEPUEDE!N25</f>
        <v>3.97104970840891</v>
      </c>
      <c r="K90" s="34" t="n">
        <f aca="false">SISEPUEDE!O25</f>
        <v>0.707384265526366</v>
      </c>
      <c r="L90" s="34" t="n">
        <f aca="false">SISEPUEDE!P25</f>
        <v>30.3688001562069</v>
      </c>
    </row>
    <row r="91" customFormat="false" ht="15" hidden="false" customHeight="true" outlineLevel="0" collapsed="false">
      <c r="A91" s="16" t="n">
        <v>2026</v>
      </c>
      <c r="B91" s="31" t="s">
        <v>41</v>
      </c>
      <c r="C91" s="31" t="s">
        <v>44</v>
      </c>
      <c r="D91" s="32" t="n">
        <f aca="false">SISEPUEDE!G7</f>
        <v>4.71103179551282</v>
      </c>
      <c r="E91" s="31" t="s">
        <v>84</v>
      </c>
      <c r="F91" s="31" t="s">
        <v>85</v>
      </c>
      <c r="H91" s="16" t="n">
        <v>2045</v>
      </c>
      <c r="I91" s="34" t="n">
        <f aca="false">SISEPUEDE!M26</f>
        <v>0</v>
      </c>
      <c r="J91" s="34" t="n">
        <f aca="false">SISEPUEDE!N26</f>
        <v>2.53803995924582</v>
      </c>
      <c r="K91" s="34" t="n">
        <f aca="false">SISEPUEDE!O26</f>
        <v>0.540269158587701</v>
      </c>
      <c r="L91" s="34" t="n">
        <f aca="false">SISEPUEDE!P26</f>
        <v>31.978404375743</v>
      </c>
    </row>
    <row r="92" customFormat="false" ht="15" hidden="false" customHeight="true" outlineLevel="0" collapsed="false">
      <c r="A92" s="16" t="n">
        <v>2027</v>
      </c>
      <c r="B92" s="31" t="s">
        <v>41</v>
      </c>
      <c r="C92" s="31" t="s">
        <v>44</v>
      </c>
      <c r="D92" s="32" t="n">
        <f aca="false">SISEPUEDE!G8</f>
        <v>4.58366228111657</v>
      </c>
      <c r="E92" s="31" t="s">
        <v>84</v>
      </c>
      <c r="F92" s="31" t="s">
        <v>85</v>
      </c>
      <c r="H92" s="16" t="n">
        <v>2046</v>
      </c>
      <c r="I92" s="34" t="n">
        <f aca="false">SISEPUEDE!M27</f>
        <v>0</v>
      </c>
      <c r="J92" s="34" t="n">
        <f aca="false">SISEPUEDE!N27</f>
        <v>1.11027339140751</v>
      </c>
      <c r="K92" s="34" t="n">
        <f aca="false">SISEPUEDE!O27</f>
        <v>0.352373645696012</v>
      </c>
      <c r="L92" s="34" t="n">
        <f aca="false">SISEPUEDE!P27</f>
        <v>33.5937949396084</v>
      </c>
    </row>
    <row r="93" customFormat="false" ht="15" hidden="false" customHeight="true" outlineLevel="0" collapsed="false">
      <c r="A93" s="16" t="n">
        <v>2028</v>
      </c>
      <c r="B93" s="31" t="s">
        <v>41</v>
      </c>
      <c r="C93" s="31" t="s">
        <v>44</v>
      </c>
      <c r="D93" s="32" t="n">
        <f aca="false">SISEPUEDE!G9</f>
        <v>4.45082213333614</v>
      </c>
      <c r="E93" s="31" t="s">
        <v>84</v>
      </c>
      <c r="F93" s="31" t="s">
        <v>85</v>
      </c>
      <c r="H93" s="16" t="n">
        <v>2047</v>
      </c>
      <c r="I93" s="34" t="n">
        <f aca="false">SISEPUEDE!M28</f>
        <v>0</v>
      </c>
      <c r="J93" s="34" t="n">
        <f aca="false">SISEPUEDE!N28</f>
        <v>0.0919671825659387</v>
      </c>
      <c r="K93" s="34" t="n">
        <f aca="false">SISEPUEDE!O28</f>
        <v>0.148944911604615</v>
      </c>
      <c r="L93" s="34" t="n">
        <f aca="false">SISEPUEDE!P28</f>
        <v>34.8085361108952</v>
      </c>
    </row>
    <row r="94" customFormat="false" ht="15" hidden="false" customHeight="true" outlineLevel="0" collapsed="false">
      <c r="A94" s="16" t="n">
        <v>2029</v>
      </c>
      <c r="B94" s="31" t="s">
        <v>41</v>
      </c>
      <c r="C94" s="31" t="s">
        <v>44</v>
      </c>
      <c r="D94" s="32" t="n">
        <f aca="false">SISEPUEDE!G10</f>
        <v>4.31105733847797</v>
      </c>
      <c r="E94" s="31" t="s">
        <v>84</v>
      </c>
      <c r="F94" s="31" t="s">
        <v>85</v>
      </c>
      <c r="H94" s="16" t="n">
        <v>2048</v>
      </c>
      <c r="I94" s="34" t="n">
        <f aca="false">SISEPUEDE!M29</f>
        <v>0</v>
      </c>
      <c r="J94" s="34" t="n">
        <f aca="false">SISEPUEDE!N29</f>
        <v>0</v>
      </c>
      <c r="K94" s="34" t="n">
        <f aca="false">SISEPUEDE!O29</f>
        <v>0.0479457982285089</v>
      </c>
      <c r="L94" s="34" t="n">
        <f aca="false">SISEPUEDE!P29</f>
        <v>34.9903392175294</v>
      </c>
    </row>
    <row r="95" customFormat="false" ht="15" hidden="false" customHeight="true" outlineLevel="0" collapsed="false">
      <c r="A95" s="16" t="n">
        <v>2030</v>
      </c>
      <c r="B95" s="31" t="s">
        <v>41</v>
      </c>
      <c r="C95" s="31" t="s">
        <v>44</v>
      </c>
      <c r="D95" s="32" t="n">
        <f aca="false">SISEPUEDE!G11</f>
        <v>4.16319011388305</v>
      </c>
      <c r="E95" s="31" t="s">
        <v>84</v>
      </c>
      <c r="F95" s="31" t="s">
        <v>85</v>
      </c>
      <c r="H95" s="16" t="n">
        <v>2049</v>
      </c>
      <c r="I95" s="34" t="n">
        <f aca="false">SISEPUEDE!M30</f>
        <v>0</v>
      </c>
      <c r="J95" s="34" t="n">
        <f aca="false">SISEPUEDE!N30</f>
        <v>0</v>
      </c>
      <c r="K95" s="34" t="n">
        <f aca="false">SISEPUEDE!O30</f>
        <v>0.0199458928442885</v>
      </c>
      <c r="L95" s="34" t="n">
        <f aca="false">SISEPUEDE!P30</f>
        <v>35.005021286645</v>
      </c>
    </row>
    <row r="96" customFormat="false" ht="15" hidden="false" customHeight="true" outlineLevel="0" collapsed="false">
      <c r="A96" s="16" t="n">
        <v>2031</v>
      </c>
      <c r="B96" s="31" t="s">
        <v>41</v>
      </c>
      <c r="C96" s="31" t="s">
        <v>44</v>
      </c>
      <c r="D96" s="32" t="n">
        <f aca="false">SISEPUEDE!G12</f>
        <v>4.00641198580478</v>
      </c>
      <c r="E96" s="31" t="s">
        <v>84</v>
      </c>
      <c r="F96" s="31" t="s">
        <v>85</v>
      </c>
      <c r="H96" s="16" t="n">
        <v>2050</v>
      </c>
      <c r="I96" s="34" t="n">
        <f aca="false">SISEPUEDE!M31</f>
        <v>0</v>
      </c>
      <c r="J96" s="34" t="n">
        <f aca="false">SISEPUEDE!N31</f>
        <v>0</v>
      </c>
      <c r="K96" s="34" t="n">
        <f aca="false">SISEPUEDE!O31</f>
        <v>0.0199458928442885</v>
      </c>
      <c r="L96" s="34" t="n">
        <f aca="false">SISEPUEDE!P31</f>
        <v>35.005021286645</v>
      </c>
    </row>
    <row r="97" customFormat="false" ht="15" hidden="false" customHeight="true" outlineLevel="0" collapsed="false">
      <c r="A97" s="16" t="n">
        <v>2032</v>
      </c>
      <c r="B97" s="31" t="s">
        <v>41</v>
      </c>
      <c r="C97" s="31" t="s">
        <v>44</v>
      </c>
      <c r="D97" s="32" t="n">
        <f aca="false">SISEPUEDE!G13</f>
        <v>3.84037155347675</v>
      </c>
      <c r="E97" s="31" t="s">
        <v>84</v>
      </c>
      <c r="F97" s="31" t="s">
        <v>85</v>
      </c>
    </row>
    <row r="98" customFormat="false" ht="15" hidden="false" customHeight="true" outlineLevel="0" collapsed="false">
      <c r="A98" s="16" t="n">
        <v>2033</v>
      </c>
      <c r="B98" s="31" t="s">
        <v>41</v>
      </c>
      <c r="C98" s="31" t="s">
        <v>44</v>
      </c>
      <c r="D98" s="32" t="n">
        <f aca="false">SISEPUEDE!G14</f>
        <v>3.66508838492583</v>
      </c>
      <c r="E98" s="31" t="s">
        <v>84</v>
      </c>
      <c r="F98" s="31" t="s">
        <v>85</v>
      </c>
    </row>
    <row r="99" customFormat="false" ht="15" hidden="false" customHeight="true" outlineLevel="0" collapsed="false">
      <c r="A99" s="16" t="n">
        <v>2034</v>
      </c>
      <c r="B99" s="31" t="s">
        <v>41</v>
      </c>
      <c r="C99" s="31" t="s">
        <v>44</v>
      </c>
      <c r="D99" s="32" t="n">
        <f aca="false">SISEPUEDE!G15</f>
        <v>3.48087467546772</v>
      </c>
      <c r="E99" s="31" t="s">
        <v>84</v>
      </c>
      <c r="F99" s="31" t="s">
        <v>85</v>
      </c>
      <c r="H99" s="30" t="s">
        <v>88</v>
      </c>
      <c r="I99" s="30"/>
      <c r="J99" s="30"/>
      <c r="K99" s="30"/>
    </row>
    <row r="100" customFormat="false" ht="15" hidden="false" customHeight="true" outlineLevel="0" collapsed="false">
      <c r="A100" s="16" t="n">
        <v>2035</v>
      </c>
      <c r="B100" s="31" t="s">
        <v>41</v>
      </c>
      <c r="C100" s="31" t="s">
        <v>44</v>
      </c>
      <c r="D100" s="32" t="n">
        <f aca="false">SISEPUEDE!G16</f>
        <v>3.28826479448325</v>
      </c>
      <c r="E100" s="31" t="s">
        <v>84</v>
      </c>
      <c r="F100" s="31" t="s">
        <v>85</v>
      </c>
      <c r="H100" s="33" t="s">
        <v>47</v>
      </c>
      <c r="I100" s="29" t="s">
        <v>44</v>
      </c>
      <c r="J100" s="29" t="s">
        <v>45</v>
      </c>
      <c r="K100" s="29" t="s">
        <v>46</v>
      </c>
    </row>
    <row r="101" customFormat="false" ht="15" hidden="false" customHeight="true" outlineLevel="0" collapsed="false">
      <c r="A101" s="16" t="n">
        <v>2036</v>
      </c>
      <c r="B101" s="31" t="s">
        <v>41</v>
      </c>
      <c r="C101" s="31" t="s">
        <v>44</v>
      </c>
      <c r="D101" s="32" t="n">
        <f aca="false">SISEPUEDE!G17</f>
        <v>3.08795265385824</v>
      </c>
      <c r="E101" s="31" t="s">
        <v>84</v>
      </c>
      <c r="F101" s="31" t="s">
        <v>85</v>
      </c>
      <c r="H101" s="16" t="n">
        <v>2023</v>
      </c>
      <c r="I101" s="34" t="n">
        <f aca="false">MMcfd!B4</f>
        <v>12.568650140783</v>
      </c>
      <c r="J101" s="34" t="n">
        <f aca="false">MMcfd!C4</f>
        <v>38.8325644977816</v>
      </c>
      <c r="K101" s="34" t="n">
        <f aca="false">MMcfd!D4</f>
        <v>545.104349144224</v>
      </c>
    </row>
    <row r="102" customFormat="false" ht="15" hidden="false" customHeight="true" outlineLevel="0" collapsed="false">
      <c r="A102" s="16" t="n">
        <v>2037</v>
      </c>
      <c r="B102" s="31" t="s">
        <v>41</v>
      </c>
      <c r="C102" s="31" t="s">
        <v>44</v>
      </c>
      <c r="D102" s="32" t="n">
        <f aca="false">SISEPUEDE!G18</f>
        <v>2.88073670882157</v>
      </c>
      <c r="E102" s="31" t="s">
        <v>84</v>
      </c>
      <c r="F102" s="31" t="s">
        <v>85</v>
      </c>
      <c r="H102" s="16" t="n">
        <v>2024</v>
      </c>
      <c r="I102" s="34" t="n">
        <f aca="false">MMcfd!B5</f>
        <v>12.4712701703431</v>
      </c>
      <c r="J102" s="34" t="n">
        <f aca="false">MMcfd!C5</f>
        <v>38.5461171651694</v>
      </c>
      <c r="K102" s="34" t="n">
        <f aca="false">MMcfd!D5</f>
        <v>620.882144275124</v>
      </c>
    </row>
    <row r="103" customFormat="false" ht="15" hidden="false" customHeight="true" outlineLevel="0" collapsed="false">
      <c r="A103" s="16" t="n">
        <v>2038</v>
      </c>
      <c r="B103" s="31" t="s">
        <v>41</v>
      </c>
      <c r="C103" s="31" t="s">
        <v>44</v>
      </c>
      <c r="D103" s="32" t="n">
        <f aca="false">SISEPUEDE!G19</f>
        <v>2.66747229634874</v>
      </c>
      <c r="E103" s="31" t="s">
        <v>84</v>
      </c>
      <c r="F103" s="31" t="s">
        <v>85</v>
      </c>
      <c r="H103" s="16" t="n">
        <v>2025</v>
      </c>
      <c r="I103" s="34" t="n">
        <f aca="false">MMcfd!B6</f>
        <v>12.3720049068414</v>
      </c>
      <c r="J103" s="34" t="n">
        <f aca="false">MMcfd!C6</f>
        <v>38.2530462735973</v>
      </c>
      <c r="K103" s="34" t="n">
        <f aca="false">MMcfd!D6</f>
        <v>696.719006332055</v>
      </c>
    </row>
    <row r="104" customFormat="false" ht="15" hidden="false" customHeight="true" outlineLevel="0" collapsed="false">
      <c r="A104" s="16" t="n">
        <v>2039</v>
      </c>
      <c r="B104" s="31" t="s">
        <v>41</v>
      </c>
      <c r="C104" s="31" t="s">
        <v>44</v>
      </c>
      <c r="D104" s="32" t="n">
        <f aca="false">SISEPUEDE!G20</f>
        <v>2.44903137794609</v>
      </c>
      <c r="E104" s="31" t="s">
        <v>84</v>
      </c>
      <c r="F104" s="31" t="s">
        <v>85</v>
      </c>
      <c r="H104" s="16" t="n">
        <v>2026</v>
      </c>
      <c r="I104" s="34" t="n">
        <f aca="false">MMcfd!B7</f>
        <v>12.2668058846115</v>
      </c>
      <c r="J104" s="34" t="n">
        <f aca="false">MMcfd!C7</f>
        <v>37.9391147841216</v>
      </c>
      <c r="K104" s="34" t="n">
        <f aca="false">MMcfd!D7</f>
        <v>772.67076950944</v>
      </c>
    </row>
    <row r="105" customFormat="false" ht="15" hidden="false" customHeight="true" outlineLevel="0" collapsed="false">
      <c r="A105" s="16" t="n">
        <v>2040</v>
      </c>
      <c r="B105" s="31" t="s">
        <v>41</v>
      </c>
      <c r="C105" s="31" t="s">
        <v>44</v>
      </c>
      <c r="D105" s="32" t="n">
        <f aca="false">SISEPUEDE!G21</f>
        <v>2.22626949256041</v>
      </c>
      <c r="E105" s="31" t="s">
        <v>84</v>
      </c>
      <c r="F105" s="31" t="s">
        <v>85</v>
      </c>
      <c r="H105" s="16" t="n">
        <v>2027</v>
      </c>
      <c r="I105" s="34" t="n">
        <f aca="false">MMcfd!B8</f>
        <v>12.1509367655296</v>
      </c>
      <c r="J105" s="34" t="n">
        <f aca="false">MMcfd!C8</f>
        <v>37.5871211196652</v>
      </c>
      <c r="K105" s="34" t="n">
        <f aca="false">MMcfd!D8</f>
        <v>848.805300272786</v>
      </c>
    </row>
    <row r="106" customFormat="false" ht="15" hidden="false" customHeight="true" outlineLevel="0" collapsed="false">
      <c r="A106" s="16" t="n">
        <v>2041</v>
      </c>
      <c r="B106" s="31" t="s">
        <v>41</v>
      </c>
      <c r="C106" s="31" t="s">
        <v>44</v>
      </c>
      <c r="D106" s="32" t="n">
        <f aca="false">SISEPUEDE!G22</f>
        <v>1.99999876209772</v>
      </c>
      <c r="E106" s="31" t="s">
        <v>84</v>
      </c>
      <c r="F106" s="31" t="s">
        <v>85</v>
      </c>
      <c r="H106" s="16" t="n">
        <v>2028</v>
      </c>
      <c r="I106" s="34" t="n">
        <f aca="false">MMcfd!B9</f>
        <v>12.0194169340539</v>
      </c>
      <c r="J106" s="34" t="n">
        <f aca="false">MMcfd!C9</f>
        <v>37.1790011569091</v>
      </c>
      <c r="K106" s="34" t="n">
        <f aca="false">MMcfd!D9</f>
        <v>925.182839087488</v>
      </c>
    </row>
    <row r="107" customFormat="false" ht="15" hidden="false" customHeight="true" outlineLevel="0" collapsed="false">
      <c r="A107" s="16" t="n">
        <v>2042</v>
      </c>
      <c r="B107" s="31" t="s">
        <v>41</v>
      </c>
      <c r="C107" s="31" t="s">
        <v>44</v>
      </c>
      <c r="D107" s="32" t="n">
        <f aca="false">SISEPUEDE!G23</f>
        <v>1.77096657446861</v>
      </c>
      <c r="E107" s="31" t="s">
        <v>84</v>
      </c>
      <c r="F107" s="31" t="s">
        <v>85</v>
      </c>
      <c r="H107" s="16" t="n">
        <v>2029</v>
      </c>
      <c r="I107" s="34" t="n">
        <f aca="false">MMcfd!B10</f>
        <v>11.8674284291034</v>
      </c>
      <c r="J107" s="34" t="n">
        <f aca="false">MMcfd!C10</f>
        <v>36.6979547518339</v>
      </c>
      <c r="K107" s="34" t="n">
        <f aca="false">MMcfd!D10</f>
        <v>1001.83624195646</v>
      </c>
    </row>
    <row r="108" customFormat="false" ht="15" hidden="false" customHeight="true" outlineLevel="0" collapsed="false">
      <c r="A108" s="16" t="n">
        <v>2043</v>
      </c>
      <c r="B108" s="31" t="s">
        <v>41</v>
      </c>
      <c r="C108" s="31" t="s">
        <v>44</v>
      </c>
      <c r="D108" s="32" t="n">
        <f aca="false">SISEPUEDE!G24</f>
        <v>1.53984490147656</v>
      </c>
      <c r="E108" s="31" t="s">
        <v>84</v>
      </c>
      <c r="F108" s="31" t="s">
        <v>85</v>
      </c>
      <c r="H108" s="16" t="n">
        <v>2030</v>
      </c>
      <c r="I108" s="34" t="n">
        <f aca="false">MMcfd!B11</f>
        <v>11.6906888152974</v>
      </c>
      <c r="J108" s="34" t="n">
        <f aca="false">MMcfd!C11</f>
        <v>36.1294241419277</v>
      </c>
      <c r="K108" s="34" t="n">
        <f aca="false">MMcfd!D11</f>
        <v>1078.78220656304</v>
      </c>
    </row>
    <row r="109" customFormat="false" ht="15" hidden="false" customHeight="true" outlineLevel="0" collapsed="false">
      <c r="A109" s="16" t="n">
        <v>2044</v>
      </c>
      <c r="B109" s="31" t="s">
        <v>41</v>
      </c>
      <c r="C109" s="31" t="s">
        <v>44</v>
      </c>
      <c r="D109" s="32" t="n">
        <f aca="false">SISEPUEDE!G25</f>
        <v>1.3072043247357</v>
      </c>
      <c r="E109" s="31" t="s">
        <v>84</v>
      </c>
      <c r="F109" s="31" t="s">
        <v>85</v>
      </c>
      <c r="H109" s="16" t="n">
        <v>2031</v>
      </c>
      <c r="I109" s="34" t="n">
        <f aca="false">MMcfd!B12</f>
        <v>11.4857719986216</v>
      </c>
      <c r="J109" s="34" t="n">
        <f aca="false">MMcfd!C12</f>
        <v>35.4619972472921</v>
      </c>
      <c r="K109" s="34" t="n">
        <f aca="false">MMcfd!D12</f>
        <v>1156.0358780951</v>
      </c>
    </row>
    <row r="110" customFormat="false" ht="15" hidden="false" customHeight="true" outlineLevel="0" collapsed="false">
      <c r="A110" s="16" t="n">
        <v>2045</v>
      </c>
      <c r="B110" s="31" t="s">
        <v>41</v>
      </c>
      <c r="C110" s="31" t="s">
        <v>44</v>
      </c>
      <c r="D110" s="32" t="n">
        <f aca="false">SISEPUEDE!G26</f>
        <v>1.07351945089531</v>
      </c>
      <c r="E110" s="31" t="s">
        <v>84</v>
      </c>
      <c r="F110" s="31" t="s">
        <v>85</v>
      </c>
      <c r="H110" s="16" t="n">
        <v>2032</v>
      </c>
      <c r="I110" s="34" t="n">
        <f aca="false">MMcfd!B13</f>
        <v>11.2504204480266</v>
      </c>
      <c r="J110" s="34" t="n">
        <f aca="false">MMcfd!C13</f>
        <v>34.6882403451397</v>
      </c>
      <c r="K110" s="34" t="n">
        <f aca="false">MMcfd!D13</f>
        <v>1233.62927068627</v>
      </c>
    </row>
    <row r="111" customFormat="false" ht="15" hidden="false" customHeight="true" outlineLevel="0" collapsed="false">
      <c r="A111" s="16" t="n">
        <v>2046</v>
      </c>
      <c r="B111" s="31" t="s">
        <v>41</v>
      </c>
      <c r="C111" s="31" t="s">
        <v>44</v>
      </c>
      <c r="D111" s="32" t="n">
        <f aca="false">SISEPUEDE!G27</f>
        <v>0.839169161060441</v>
      </c>
      <c r="E111" s="31" t="s">
        <v>84</v>
      </c>
      <c r="F111" s="31" t="s">
        <v>85</v>
      </c>
      <c r="H111" s="16" t="n">
        <v>2033</v>
      </c>
      <c r="I111" s="34" t="n">
        <f aca="false">MMcfd!B14</f>
        <v>10.9833874654432</v>
      </c>
      <c r="J111" s="34" t="n">
        <f aca="false">MMcfd!C14</f>
        <v>33.8041540974426</v>
      </c>
      <c r="K111" s="34" t="n">
        <f aca="false">MMcfd!D14</f>
        <v>1311.60522075125</v>
      </c>
    </row>
    <row r="112" customFormat="false" ht="15" hidden="false" customHeight="true" outlineLevel="0" collapsed="false">
      <c r="A112" s="16" t="n">
        <v>2047</v>
      </c>
      <c r="B112" s="31" t="s">
        <v>41</v>
      </c>
      <c r="C112" s="31" t="s">
        <v>44</v>
      </c>
      <c r="D112" s="32" t="n">
        <f aca="false">SISEPUEDE!G28</f>
        <v>0.602589303745258</v>
      </c>
      <c r="E112" s="31" t="s">
        <v>84</v>
      </c>
      <c r="F112" s="31" t="s">
        <v>85</v>
      </c>
      <c r="H112" s="16" t="n">
        <v>2034</v>
      </c>
      <c r="I112" s="34" t="n">
        <f aca="false">MMcfd!B15</f>
        <v>10.6842908046938</v>
      </c>
      <c r="J112" s="34" t="n">
        <f aca="false">MMcfd!C15</f>
        <v>32.8086703906818</v>
      </c>
      <c r="K112" s="34" t="n">
        <f aca="false">MMcfd!D15</f>
        <v>1390.01199030935</v>
      </c>
    </row>
    <row r="113" customFormat="false" ht="15" hidden="false" customHeight="true" outlineLevel="0" collapsed="false">
      <c r="A113" s="16" t="n">
        <v>2048</v>
      </c>
      <c r="B113" s="31" t="s">
        <v>41</v>
      </c>
      <c r="C113" s="31" t="s">
        <v>44</v>
      </c>
      <c r="D113" s="32" t="n">
        <f aca="false">SISEPUEDE!G29</f>
        <v>0.366601983580208</v>
      </c>
      <c r="E113" s="31" t="s">
        <v>84</v>
      </c>
      <c r="F113" s="31" t="s">
        <v>85</v>
      </c>
      <c r="H113" s="16" t="n">
        <v>2035</v>
      </c>
      <c r="I113" s="34" t="n">
        <f aca="false">MMcfd!B16</f>
        <v>10.35347832101</v>
      </c>
      <c r="J113" s="34" t="n">
        <f aca="false">MMcfd!C16</f>
        <v>31.7031919902653</v>
      </c>
      <c r="K113" s="34" t="n">
        <f aca="false">MMcfd!D16</f>
        <v>1468.89850856794</v>
      </c>
    </row>
    <row r="114" customFormat="false" ht="15" hidden="false" customHeight="true" outlineLevel="0" collapsed="false">
      <c r="A114" s="16" t="n">
        <v>2049</v>
      </c>
      <c r="B114" s="31" t="s">
        <v>41</v>
      </c>
      <c r="C114" s="31" t="s">
        <v>44</v>
      </c>
      <c r="D114" s="32" t="n">
        <f aca="false">SISEPUEDE!G30</f>
        <v>0.132785693880818</v>
      </c>
      <c r="E114" s="31" t="s">
        <v>84</v>
      </c>
      <c r="F114" s="31" t="s">
        <v>85</v>
      </c>
      <c r="H114" s="16" t="n">
        <v>2036</v>
      </c>
      <c r="I114" s="34" t="n">
        <f aca="false">MMcfd!B17</f>
        <v>9.99190576565835</v>
      </c>
      <c r="J114" s="34" t="n">
        <f aca="false">MMcfd!C17</f>
        <v>30.4911751708996</v>
      </c>
      <c r="K114" s="34" t="n">
        <f aca="false">MMcfd!D17</f>
        <v>1548.31023653992</v>
      </c>
    </row>
    <row r="115" customFormat="false" ht="15" hidden="false" customHeight="true" outlineLevel="0" collapsed="false">
      <c r="A115" s="16" t="n">
        <v>2050</v>
      </c>
      <c r="B115" s="31" t="s">
        <v>41</v>
      </c>
      <c r="C115" s="31" t="s">
        <v>44</v>
      </c>
      <c r="D115" s="32" t="n">
        <f aca="false">SISEPUEDE!G31</f>
        <v>0.128712394440005</v>
      </c>
      <c r="E115" s="31" t="s">
        <v>84</v>
      </c>
      <c r="F115" s="31" t="s">
        <v>85</v>
      </c>
      <c r="H115" s="16" t="n">
        <v>2037</v>
      </c>
      <c r="I115" s="34" t="n">
        <f aca="false">MMcfd!B18</f>
        <v>9.60102644948603</v>
      </c>
      <c r="J115" s="34" t="n">
        <f aca="false">MMcfd!C18</f>
        <v>29.1777539310988</v>
      </c>
      <c r="K115" s="34" t="n">
        <f aca="false">MMcfd!D18</f>
        <v>1628.28564030616</v>
      </c>
    </row>
    <row r="116" customFormat="false" ht="15" hidden="false" customHeight="true" outlineLevel="0" collapsed="false">
      <c r="A116" s="16" t="n">
        <v>2023</v>
      </c>
      <c r="B116" s="31" t="s">
        <v>41</v>
      </c>
      <c r="C116" s="31" t="s">
        <v>45</v>
      </c>
      <c r="D116" s="32" t="n">
        <f aca="false">SISEPUEDE!H4</f>
        <v>15.6842553382928</v>
      </c>
      <c r="E116" s="31" t="s">
        <v>84</v>
      </c>
      <c r="F116" s="31" t="s">
        <v>85</v>
      </c>
      <c r="H116" s="16" t="n">
        <v>2038</v>
      </c>
      <c r="I116" s="34" t="n">
        <f aca="false">MMcfd!B19</f>
        <v>9.18269204527847</v>
      </c>
      <c r="J116" s="34" t="n">
        <f aca="false">MMcfd!C19</f>
        <v>27.769403106666</v>
      </c>
      <c r="K116" s="34" t="n">
        <f aca="false">MMcfd!D19</f>
        <v>1708.85325993009</v>
      </c>
    </row>
    <row r="117" customFormat="false" ht="15" hidden="false" customHeight="true" outlineLevel="0" collapsed="false">
      <c r="A117" s="16" t="n">
        <v>2024</v>
      </c>
      <c r="B117" s="31" t="s">
        <v>41</v>
      </c>
      <c r="C117" s="31" t="s">
        <v>45</v>
      </c>
      <c r="D117" s="32" t="n">
        <f aca="false">SISEPUEDE!H5</f>
        <v>16.4464880789156</v>
      </c>
      <c r="E117" s="31" t="s">
        <v>84</v>
      </c>
      <c r="F117" s="31" t="s">
        <v>85</v>
      </c>
      <c r="H117" s="16" t="n">
        <v>2039</v>
      </c>
      <c r="I117" s="34" t="n">
        <f aca="false">MMcfd!B20</f>
        <v>8.73906350819175</v>
      </c>
      <c r="J117" s="34" t="n">
        <f aca="false">MMcfd!C20</f>
        <v>26.2736366399831</v>
      </c>
      <c r="K117" s="34" t="n">
        <f aca="false">MMcfd!D20</f>
        <v>1790.02936598866</v>
      </c>
    </row>
    <row r="118" customFormat="false" ht="15" hidden="false" customHeight="true" outlineLevel="0" collapsed="false">
      <c r="A118" s="16" t="n">
        <v>2025</v>
      </c>
      <c r="B118" s="31" t="s">
        <v>41</v>
      </c>
      <c r="C118" s="31" t="s">
        <v>45</v>
      </c>
      <c r="D118" s="32" t="n">
        <f aca="false">SISEPUEDE!H6</f>
        <v>17.2056473036157</v>
      </c>
      <c r="E118" s="31" t="s">
        <v>84</v>
      </c>
      <c r="F118" s="31" t="s">
        <v>85</v>
      </c>
      <c r="H118" s="16" t="n">
        <v>2040</v>
      </c>
      <c r="I118" s="34" t="n">
        <f aca="false">MMcfd!B21</f>
        <v>8.27253084105885</v>
      </c>
      <c r="J118" s="34" t="n">
        <f aca="false">MMcfd!C21</f>
        <v>24.6987364142186</v>
      </c>
      <c r="K118" s="34" t="n">
        <f aca="false">MMcfd!D21</f>
        <v>1871.81620213729</v>
      </c>
    </row>
    <row r="119" customFormat="false" ht="15" hidden="false" customHeight="true" outlineLevel="0" collapsed="false">
      <c r="A119" s="16" t="n">
        <v>2026</v>
      </c>
      <c r="B119" s="31" t="s">
        <v>41</v>
      </c>
      <c r="C119" s="31" t="s">
        <v>45</v>
      </c>
      <c r="D119" s="32" t="n">
        <f aca="false">SISEPUEDE!H7</f>
        <v>17.9550420256204</v>
      </c>
      <c r="E119" s="31" t="s">
        <v>84</v>
      </c>
      <c r="F119" s="31" t="s">
        <v>85</v>
      </c>
      <c r="H119" s="16" t="n">
        <v>2041</v>
      </c>
      <c r="I119" s="34" t="n">
        <f aca="false">MMcfd!B22</f>
        <v>7.78564025236985</v>
      </c>
      <c r="J119" s="34" t="n">
        <f aca="false">MMcfd!C22</f>
        <v>23.0535064023893</v>
      </c>
      <c r="K119" s="34" t="n">
        <f aca="false">MMcfd!D22</f>
        <v>1954.20082038779</v>
      </c>
    </row>
    <row r="120" customFormat="false" ht="15" hidden="false" customHeight="true" outlineLevel="0" collapsed="false">
      <c r="A120" s="16" t="n">
        <v>2027</v>
      </c>
      <c r="B120" s="31" t="s">
        <v>41</v>
      </c>
      <c r="C120" s="31" t="s">
        <v>45</v>
      </c>
      <c r="D120" s="32" t="n">
        <f aca="false">SISEPUEDE!H8</f>
        <v>18.6862526064924</v>
      </c>
      <c r="E120" s="31" t="s">
        <v>84</v>
      </c>
      <c r="F120" s="31" t="s">
        <v>85</v>
      </c>
      <c r="H120" s="16" t="n">
        <v>2042</v>
      </c>
      <c r="I120" s="34" t="n">
        <f aca="false">MMcfd!B23</f>
        <v>7.28102705548299</v>
      </c>
      <c r="J120" s="34" t="n">
        <f aca="false">MMcfd!C23</f>
        <v>21.3470463908535</v>
      </c>
      <c r="K120" s="34" t="n">
        <f aca="false">MMcfd!D23</f>
        <v>2037.15452380945</v>
      </c>
    </row>
    <row r="121" customFormat="false" ht="15" hidden="false" customHeight="true" outlineLevel="0" collapsed="false">
      <c r="A121" s="16" t="n">
        <v>2028</v>
      </c>
      <c r="B121" s="31" t="s">
        <v>41</v>
      </c>
      <c r="C121" s="31" t="s">
        <v>45</v>
      </c>
      <c r="D121" s="32" t="n">
        <f aca="false">SISEPUEDE!H9</f>
        <v>19.3897448257999</v>
      </c>
      <c r="E121" s="31" t="s">
        <v>84</v>
      </c>
      <c r="F121" s="31" t="s">
        <v>85</v>
      </c>
      <c r="H121" s="16" t="n">
        <v>2043</v>
      </c>
      <c r="I121" s="34" t="n">
        <f aca="false">MMcfd!B24</f>
        <v>6.76135519107004</v>
      </c>
      <c r="J121" s="34" t="n">
        <f aca="false">MMcfd!C24</f>
        <v>19.5885484309446</v>
      </c>
      <c r="K121" s="34" t="n">
        <f aca="false">MMcfd!D24</f>
        <v>2120.63343404762</v>
      </c>
    </row>
    <row r="122" customFormat="false" ht="15" hidden="false" customHeight="true" outlineLevel="0" collapsed="false">
      <c r="A122" s="16" t="n">
        <v>2029</v>
      </c>
      <c r="B122" s="31" t="s">
        <v>41</v>
      </c>
      <c r="C122" s="31" t="s">
        <v>45</v>
      </c>
      <c r="D122" s="32" t="n">
        <f aca="false">SISEPUEDE!H10</f>
        <v>20.055505412366</v>
      </c>
      <c r="E122" s="31" t="s">
        <v>84</v>
      </c>
      <c r="F122" s="31" t="s">
        <v>85</v>
      </c>
      <c r="H122" s="16" t="n">
        <v>2044</v>
      </c>
      <c r="I122" s="34" t="n">
        <f aca="false">MMcfd!B25</f>
        <v>6.22926002664924</v>
      </c>
      <c r="J122" s="34" t="n">
        <f aca="false">MMcfd!C25</f>
        <v>17.7871041124783</v>
      </c>
      <c r="K122" s="34" t="n">
        <f aca="false">MMcfd!D25</f>
        <v>2204.5800518363</v>
      </c>
    </row>
    <row r="123" customFormat="false" ht="15" hidden="false" customHeight="true" outlineLevel="0" collapsed="false">
      <c r="A123" s="16" t="n">
        <v>2030</v>
      </c>
      <c r="B123" s="31" t="s">
        <v>41</v>
      </c>
      <c r="C123" s="31" t="s">
        <v>45</v>
      </c>
      <c r="D123" s="32" t="n">
        <f aca="false">SISEPUEDE!H11</f>
        <v>20.673714620164</v>
      </c>
      <c r="E123" s="31" t="s">
        <v>84</v>
      </c>
      <c r="F123" s="31" t="s">
        <v>85</v>
      </c>
      <c r="H123" s="16" t="n">
        <v>2045</v>
      </c>
      <c r="I123" s="34" t="n">
        <f aca="false">MMcfd!B26</f>
        <v>5.6872912689069</v>
      </c>
      <c r="J123" s="34" t="n">
        <f aca="false">MMcfd!C26</f>
        <v>15.9515112280107</v>
      </c>
      <c r="K123" s="34" t="n">
        <f aca="false">MMcfd!D26</f>
        <v>2288.9256222975</v>
      </c>
    </row>
    <row r="124" customFormat="false" ht="15" hidden="false" customHeight="true" outlineLevel="0" collapsed="false">
      <c r="A124" s="16" t="n">
        <v>2031</v>
      </c>
      <c r="B124" s="31" t="s">
        <v>41</v>
      </c>
      <c r="C124" s="31" t="s">
        <v>45</v>
      </c>
      <c r="D124" s="32" t="n">
        <f aca="false">SISEPUEDE!H12</f>
        <v>21.235449307268</v>
      </c>
      <c r="E124" s="31" t="s">
        <v>84</v>
      </c>
      <c r="F124" s="31" t="s">
        <v>85</v>
      </c>
      <c r="H124" s="16" t="n">
        <v>2046</v>
      </c>
      <c r="I124" s="34" t="n">
        <f aca="false">MMcfd!B27</f>
        <v>5.13785417315026</v>
      </c>
      <c r="J124" s="34" t="n">
        <f aca="false">MMcfd!C27</f>
        <v>14.0900734175163</v>
      </c>
      <c r="K124" s="34" t="n">
        <f aca="false">MMcfd!D27</f>
        <v>2373.5933637083</v>
      </c>
    </row>
    <row r="125" customFormat="false" ht="15" hidden="false" customHeight="true" outlineLevel="0" collapsed="false">
      <c r="A125" s="16" t="n">
        <v>2032</v>
      </c>
      <c r="B125" s="31" t="s">
        <v>41</v>
      </c>
      <c r="C125" s="31" t="s">
        <v>45</v>
      </c>
      <c r="D125" s="32" t="n">
        <f aca="false">SISEPUEDE!H13</f>
        <v>21.733417357039</v>
      </c>
      <c r="E125" s="31" t="s">
        <v>84</v>
      </c>
      <c r="F125" s="31" t="s">
        <v>85</v>
      </c>
      <c r="H125" s="16" t="n">
        <v>2047</v>
      </c>
      <c r="I125" s="34" t="n">
        <f aca="false">MMcfd!B28</f>
        <v>4.58314727225156</v>
      </c>
      <c r="J125" s="34" t="n">
        <f aca="false">MMcfd!C28</f>
        <v>12.2103865504411</v>
      </c>
      <c r="K125" s="34" t="n">
        <f aca="false">MMcfd!D28</f>
        <v>2458.50262560292</v>
      </c>
    </row>
    <row r="126" customFormat="false" ht="15" hidden="false" customHeight="true" outlineLevel="0" collapsed="false">
      <c r="A126" s="16" t="n">
        <v>2033</v>
      </c>
      <c r="B126" s="31" t="s">
        <v>41</v>
      </c>
      <c r="C126" s="31" t="s">
        <v>45</v>
      </c>
      <c r="D126" s="32" t="n">
        <f aca="false">SISEPUEDE!H14</f>
        <v>22.1619956705879</v>
      </c>
      <c r="E126" s="31" t="s">
        <v>84</v>
      </c>
      <c r="F126" s="31" t="s">
        <v>85</v>
      </c>
      <c r="H126" s="16" t="n">
        <v>2048</v>
      </c>
      <c r="I126" s="34" t="n">
        <f aca="false">MMcfd!B29</f>
        <v>4.02509495721582</v>
      </c>
      <c r="J126" s="34" t="n">
        <f aca="false">MMcfd!C29</f>
        <v>10.3191058942448</v>
      </c>
      <c r="K126" s="34" t="n">
        <f aca="false">MMcfd!D29</f>
        <v>2543.57404821724</v>
      </c>
    </row>
    <row r="127" customFormat="false" ht="15" hidden="false" customHeight="true" outlineLevel="0" collapsed="false">
      <c r="A127" s="16" t="n">
        <v>2034</v>
      </c>
      <c r="B127" s="31" t="s">
        <v>41</v>
      </c>
      <c r="C127" s="31" t="s">
        <v>45</v>
      </c>
      <c r="D127" s="32" t="n">
        <f aca="false">SISEPUEDE!H15</f>
        <v>22.5172863388219</v>
      </c>
      <c r="E127" s="31" t="s">
        <v>84</v>
      </c>
      <c r="F127" s="31" t="s">
        <v>85</v>
      </c>
      <c r="H127" s="16" t="n">
        <v>2049</v>
      </c>
      <c r="I127" s="34" t="n">
        <f aca="false">MMcfd!B30</f>
        <v>3.46527335338069</v>
      </c>
      <c r="J127" s="34" t="n">
        <f aca="false">MMcfd!C30</f>
        <v>8.42168854384047</v>
      </c>
      <c r="K127" s="34" t="n">
        <f aca="false">MMcfd!D30</f>
        <v>2628.73579788548</v>
      </c>
    </row>
    <row r="128" customFormat="false" ht="15" hidden="false" customHeight="true" outlineLevel="0" collapsed="false">
      <c r="A128" s="16" t="n">
        <v>2035</v>
      </c>
      <c r="B128" s="31" t="s">
        <v>41</v>
      </c>
      <c r="C128" s="31" t="s">
        <v>45</v>
      </c>
      <c r="D128" s="32" t="n">
        <f aca="false">SISEPUEDE!H16</f>
        <v>22.7971938565021</v>
      </c>
      <c r="E128" s="31" t="s">
        <v>84</v>
      </c>
      <c r="F128" s="31" t="s">
        <v>85</v>
      </c>
      <c r="H128" s="16" t="n">
        <v>2050</v>
      </c>
      <c r="I128" s="34" t="n">
        <f aca="false">MMcfd!B31</f>
        <v>3.46388228584553</v>
      </c>
      <c r="J128" s="34" t="n">
        <f aca="false">MMcfd!C31</f>
        <v>8.41830781847488</v>
      </c>
      <c r="K128" s="34" t="n">
        <f aca="false">MMcfd!D31</f>
        <v>2627.68054230995</v>
      </c>
    </row>
    <row r="129" customFormat="false" ht="15" hidden="false" customHeight="true" outlineLevel="0" collapsed="false">
      <c r="A129" s="16" t="n">
        <v>2036</v>
      </c>
      <c r="B129" s="31" t="s">
        <v>41</v>
      </c>
      <c r="C129" s="31" t="s">
        <v>45</v>
      </c>
      <c r="D129" s="32" t="n">
        <f aca="false">SISEPUEDE!H17</f>
        <v>23.0015251288735</v>
      </c>
      <c r="E129" s="31" t="s">
        <v>84</v>
      </c>
      <c r="F129" s="31" t="s">
        <v>85</v>
      </c>
    </row>
    <row r="130" customFormat="false" ht="15" hidden="false" customHeight="true" outlineLevel="0" collapsed="false">
      <c r="A130" s="16" t="n">
        <v>2037</v>
      </c>
      <c r="B130" s="31" t="s">
        <v>41</v>
      </c>
      <c r="C130" s="31" t="s">
        <v>45</v>
      </c>
      <c r="D130" s="32" t="n">
        <f aca="false">SISEPUEDE!H18</f>
        <v>23.1321128650041</v>
      </c>
      <c r="E130" s="31" t="s">
        <v>84</v>
      </c>
      <c r="F130" s="31" t="s">
        <v>85</v>
      </c>
    </row>
    <row r="131" customFormat="false" ht="15" hidden="false" customHeight="true" outlineLevel="0" collapsed="false">
      <c r="A131" s="16" t="n">
        <v>2038</v>
      </c>
      <c r="B131" s="31" t="s">
        <v>41</v>
      </c>
      <c r="C131" s="31" t="s">
        <v>45</v>
      </c>
      <c r="D131" s="32" t="n">
        <f aca="false">SISEPUEDE!H19</f>
        <v>23.1924219296195</v>
      </c>
      <c r="E131" s="31" t="s">
        <v>84</v>
      </c>
      <c r="F131" s="31" t="s">
        <v>85</v>
      </c>
      <c r="H131" s="30" t="s">
        <v>89</v>
      </c>
      <c r="I131" s="30"/>
      <c r="J131" s="30"/>
      <c r="K131" s="30"/>
      <c r="L131" s="30"/>
    </row>
    <row r="132" customFormat="false" ht="15" hidden="false" customHeight="true" outlineLevel="0" collapsed="false">
      <c r="A132" s="16" t="n">
        <v>2039</v>
      </c>
      <c r="B132" s="31" t="s">
        <v>41</v>
      </c>
      <c r="C132" s="31" t="s">
        <v>45</v>
      </c>
      <c r="D132" s="32" t="n">
        <f aca="false">SISEPUEDE!H20</f>
        <v>23.1871977818214</v>
      </c>
      <c r="E132" s="31" t="s">
        <v>84</v>
      </c>
      <c r="F132" s="31" t="s">
        <v>85</v>
      </c>
      <c r="H132" s="33" t="s">
        <v>47</v>
      </c>
      <c r="I132" s="29" t="s">
        <v>44</v>
      </c>
      <c r="J132" s="29" t="s">
        <v>45</v>
      </c>
      <c r="K132" s="29" t="s">
        <v>46</v>
      </c>
      <c r="L132" s="29" t="s">
        <v>48</v>
      </c>
    </row>
    <row r="133" customFormat="false" ht="15" hidden="false" customHeight="true" outlineLevel="0" collapsed="false">
      <c r="A133" s="16" t="n">
        <v>2040</v>
      </c>
      <c r="B133" s="31" t="s">
        <v>41</v>
      </c>
      <c r="C133" s="31" t="s">
        <v>45</v>
      </c>
      <c r="D133" s="32" t="n">
        <f aca="false">SISEPUEDE!H21</f>
        <v>23.122155020929</v>
      </c>
      <c r="E133" s="31" t="s">
        <v>84</v>
      </c>
      <c r="F133" s="31" t="s">
        <v>85</v>
      </c>
      <c r="H133" s="16" t="n">
        <v>2023</v>
      </c>
      <c r="I133" s="34" t="n">
        <f aca="false">MMcfd!G4</f>
        <v>12.568650140783</v>
      </c>
      <c r="J133" s="34" t="n">
        <f aca="false">MMcfd!H4</f>
        <v>38.8325644977816</v>
      </c>
      <c r="K133" s="34" t="n">
        <f aca="false">MMcfd!I4</f>
        <v>545.104349144224</v>
      </c>
      <c r="L133" s="34" t="n">
        <f aca="false">MMcfd!J4</f>
        <v>0</v>
      </c>
    </row>
    <row r="134" customFormat="false" ht="15" hidden="false" customHeight="true" outlineLevel="0" collapsed="false">
      <c r="A134" s="16" t="n">
        <v>2041</v>
      </c>
      <c r="B134" s="31" t="s">
        <v>41</v>
      </c>
      <c r="C134" s="31" t="s">
        <v>45</v>
      </c>
      <c r="D134" s="32" t="n">
        <f aca="false">SISEPUEDE!H22</f>
        <v>23.0036968110422</v>
      </c>
      <c r="E134" s="31" t="s">
        <v>84</v>
      </c>
      <c r="F134" s="31" t="s">
        <v>85</v>
      </c>
      <c r="H134" s="16" t="n">
        <v>2024</v>
      </c>
      <c r="I134" s="34" t="n">
        <f aca="false">MMcfd!G5</f>
        <v>12.2701276983437</v>
      </c>
      <c r="J134" s="34" t="n">
        <f aca="false">MMcfd!H5</f>
        <v>40.7197724923039</v>
      </c>
      <c r="K134" s="34" t="n">
        <f aca="false">MMcfd!I5</f>
        <v>513.874319379679</v>
      </c>
      <c r="L134" s="34" t="n">
        <f aca="false">MMcfd!J5</f>
        <v>105.03531204031</v>
      </c>
    </row>
    <row r="135" customFormat="false" ht="15" hidden="false" customHeight="true" outlineLevel="0" collapsed="false">
      <c r="A135" s="16" t="n">
        <v>2042</v>
      </c>
      <c r="B135" s="31" t="s">
        <v>41</v>
      </c>
      <c r="C135" s="31" t="s">
        <v>45</v>
      </c>
      <c r="D135" s="32" t="n">
        <f aca="false">SISEPUEDE!H23</f>
        <v>22.8386616511017</v>
      </c>
      <c r="E135" s="31" t="s">
        <v>84</v>
      </c>
      <c r="F135" s="31" t="s">
        <v>85</v>
      </c>
      <c r="H135" s="16" t="n">
        <v>2025</v>
      </c>
      <c r="I135" s="34" t="n">
        <f aca="false">MMcfd!G6</f>
        <v>11.969822798416</v>
      </c>
      <c r="J135" s="34" t="n">
        <f aca="false">MMcfd!H6</f>
        <v>42.5993707850758</v>
      </c>
      <c r="K135" s="34" t="n">
        <f aca="false">MMcfd!I6</f>
        <v>482.660485421662</v>
      </c>
      <c r="L135" s="34" t="n">
        <f aca="false">MMcfd!J6</f>
        <v>210.11437850734</v>
      </c>
    </row>
    <row r="136" customFormat="false" ht="15" hidden="false" customHeight="true" outlineLevel="0" collapsed="false">
      <c r="A136" s="16" t="n">
        <v>2043</v>
      </c>
      <c r="B136" s="31" t="s">
        <v>41</v>
      </c>
      <c r="C136" s="31" t="s">
        <v>45</v>
      </c>
      <c r="D136" s="32" t="n">
        <f aca="false">SISEPUEDE!H24</f>
        <v>22.6341640120326</v>
      </c>
      <c r="E136" s="31" t="s">
        <v>84</v>
      </c>
      <c r="F136" s="31" t="s">
        <v>85</v>
      </c>
      <c r="H136" s="16" t="n">
        <v>2026</v>
      </c>
      <c r="I136" s="34" t="n">
        <f aca="false">MMcfd!G7</f>
        <v>11.6640186036568</v>
      </c>
      <c r="J136" s="34" t="n">
        <f aca="false">MMcfd!H7</f>
        <v>44.4547931974803</v>
      </c>
      <c r="K136" s="34" t="n">
        <f aca="false">MMcfd!I7</f>
        <v>451.473948749505</v>
      </c>
      <c r="L136" s="34" t="n">
        <f aca="false">MMcfd!J7</f>
        <v>315.283929627531</v>
      </c>
    </row>
    <row r="137" customFormat="false" ht="15" hidden="false" customHeight="true" outlineLevel="0" collapsed="false">
      <c r="A137" s="16" t="n">
        <v>2044</v>
      </c>
      <c r="B137" s="31" t="s">
        <v>41</v>
      </c>
      <c r="C137" s="31" t="s">
        <v>45</v>
      </c>
      <c r="D137" s="32" t="n">
        <f aca="false">SISEPUEDE!H25</f>
        <v>22.3971822142266</v>
      </c>
      <c r="E137" s="31" t="s">
        <v>84</v>
      </c>
      <c r="F137" s="31" t="s">
        <v>85</v>
      </c>
      <c r="H137" s="16" t="n">
        <v>2027</v>
      </c>
      <c r="I137" s="34" t="n">
        <f aca="false">MMcfd!G8</f>
        <v>11.3486650993838</v>
      </c>
      <c r="J137" s="34" t="n">
        <f aca="false">MMcfd!H8</f>
        <v>46.2651935914249</v>
      </c>
      <c r="K137" s="34" t="n">
        <f aca="false">MMcfd!I8</f>
        <v>420.366933387437</v>
      </c>
      <c r="L137" s="34" t="n">
        <f aca="false">MMcfd!J8</f>
        <v>420.562566079735</v>
      </c>
    </row>
    <row r="138" customFormat="false" ht="15" hidden="false" customHeight="true" outlineLevel="0" collapsed="false">
      <c r="A138" s="16" t="n">
        <v>2045</v>
      </c>
      <c r="B138" s="31" t="s">
        <v>41</v>
      </c>
      <c r="C138" s="31" t="s">
        <v>45</v>
      </c>
      <c r="D138" s="32" t="n">
        <f aca="false">SISEPUEDE!H26</f>
        <v>22.134475988756</v>
      </c>
      <c r="E138" s="31" t="s">
        <v>84</v>
      </c>
      <c r="F138" s="31" t="s">
        <v>85</v>
      </c>
      <c r="H138" s="16" t="n">
        <v>2028</v>
      </c>
      <c r="I138" s="34" t="n">
        <f aca="false">MMcfd!G9</f>
        <v>11.0197668829678</v>
      </c>
      <c r="J138" s="34" t="n">
        <f aca="false">MMcfd!H9</f>
        <v>48.0069662411757</v>
      </c>
      <c r="K138" s="34" t="n">
        <f aca="false">MMcfd!I9</f>
        <v>389.436449910599</v>
      </c>
      <c r="L138" s="34" t="n">
        <f aca="false">MMcfd!J9</f>
        <v>525.918074143709</v>
      </c>
    </row>
    <row r="139" customFormat="false" ht="15" hidden="false" customHeight="true" outlineLevel="0" collapsed="false">
      <c r="A139" s="16" t="n">
        <v>2046</v>
      </c>
      <c r="B139" s="31" t="s">
        <v>41</v>
      </c>
      <c r="C139" s="31" t="s">
        <v>45</v>
      </c>
      <c r="D139" s="32" t="n">
        <f aca="false">SISEPUEDE!H27</f>
        <v>21.8524395377526</v>
      </c>
      <c r="E139" s="31" t="s">
        <v>84</v>
      </c>
      <c r="F139" s="31" t="s">
        <v>85</v>
      </c>
      <c r="H139" s="16" t="n">
        <v>2029</v>
      </c>
      <c r="I139" s="34" t="n">
        <f aca="false">MMcfd!G10</f>
        <v>10.6737239696266</v>
      </c>
      <c r="J139" s="34" t="n">
        <f aca="false">MMcfd!H10</f>
        <v>49.6553193418032</v>
      </c>
      <c r="K139" s="34" t="n">
        <f aca="false">MMcfd!I10</f>
        <v>358.824220049213</v>
      </c>
      <c r="L139" s="34" t="n">
        <f aca="false">MMcfd!J10</f>
        <v>631.248361776754</v>
      </c>
    </row>
    <row r="140" customFormat="false" ht="15" hidden="false" customHeight="true" outlineLevel="0" collapsed="false">
      <c r="A140" s="16" t="n">
        <v>2047</v>
      </c>
      <c r="B140" s="31" t="s">
        <v>41</v>
      </c>
      <c r="C140" s="31" t="s">
        <v>45</v>
      </c>
      <c r="D140" s="32" t="n">
        <f aca="false">SISEPUEDE!H28</f>
        <v>21.4910075137137</v>
      </c>
      <c r="E140" s="31" t="s">
        <v>84</v>
      </c>
      <c r="F140" s="31" t="s">
        <v>85</v>
      </c>
      <c r="H140" s="16" t="n">
        <v>2030</v>
      </c>
      <c r="I140" s="34" t="n">
        <f aca="false">MMcfd!G11</f>
        <v>10.3076202935298</v>
      </c>
      <c r="J140" s="34" t="n">
        <f aca="false">MMcfd!H11</f>
        <v>51.1859402362697</v>
      </c>
      <c r="K140" s="34" t="n">
        <f aca="false">MMcfd!I11</f>
        <v>328.713160855035</v>
      </c>
      <c r="L140" s="34" t="n">
        <f aca="false">MMcfd!J11</f>
        <v>736.395598135426</v>
      </c>
    </row>
    <row r="141" customFormat="false" ht="15" hidden="false" customHeight="true" outlineLevel="0" collapsed="false">
      <c r="A141" s="16" t="n">
        <v>2048</v>
      </c>
      <c r="B141" s="31" t="s">
        <v>41</v>
      </c>
      <c r="C141" s="31" t="s">
        <v>45</v>
      </c>
      <c r="D141" s="32" t="n">
        <f aca="false">SISEPUEDE!H29</f>
        <v>21.0853138342242</v>
      </c>
      <c r="E141" s="31" t="s">
        <v>84</v>
      </c>
      <c r="F141" s="31" t="s">
        <v>85</v>
      </c>
      <c r="H141" s="16" t="n">
        <v>2031</v>
      </c>
      <c r="I141" s="34" t="n">
        <f aca="false">MMcfd!G12</f>
        <v>9.91945415882166</v>
      </c>
      <c r="J141" s="34" t="n">
        <f aca="false">MMcfd!H12</f>
        <v>52.5767361648688</v>
      </c>
      <c r="K141" s="34" t="n">
        <f aca="false">MMcfd!I12</f>
        <v>299.320288940657</v>
      </c>
      <c r="L141" s="34" t="n">
        <f aca="false">MMcfd!J12</f>
        <v>841.167168076665</v>
      </c>
    </row>
    <row r="142" customFormat="false" ht="15" hidden="false" customHeight="true" outlineLevel="0" collapsed="false">
      <c r="A142" s="16" t="n">
        <v>2049</v>
      </c>
      <c r="B142" s="31" t="s">
        <v>41</v>
      </c>
      <c r="C142" s="31" t="s">
        <v>45</v>
      </c>
      <c r="D142" s="32" t="n">
        <f aca="false">SISEPUEDE!H30</f>
        <v>20.6743966377366</v>
      </c>
      <c r="E142" s="31" t="s">
        <v>84</v>
      </c>
      <c r="F142" s="31" t="s">
        <v>85</v>
      </c>
      <c r="H142" s="16" t="n">
        <v>2032</v>
      </c>
      <c r="I142" s="34" t="n">
        <f aca="false">MMcfd!G13</f>
        <v>9.5083555342108</v>
      </c>
      <c r="J142" s="34" t="n">
        <f aca="false">MMcfd!H13</f>
        <v>53.8096526147404</v>
      </c>
      <c r="K142" s="34" t="n">
        <f aca="false">MMcfd!I13</f>
        <v>270.886575089085</v>
      </c>
      <c r="L142" s="34" t="n">
        <f aca="false">MMcfd!J13</f>
        <v>945.363348241401</v>
      </c>
    </row>
    <row r="143" customFormat="false" ht="15" hidden="false" customHeight="true" outlineLevel="0" collapsed="false">
      <c r="A143" s="16" t="n">
        <v>2050</v>
      </c>
      <c r="B143" s="31" t="s">
        <v>41</v>
      </c>
      <c r="C143" s="31" t="s">
        <v>45</v>
      </c>
      <c r="D143" s="32" t="n">
        <f aca="false">SISEPUEDE!H31</f>
        <v>20.040194218768</v>
      </c>
      <c r="E143" s="31" t="s">
        <v>84</v>
      </c>
      <c r="F143" s="31" t="s">
        <v>85</v>
      </c>
      <c r="H143" s="16" t="n">
        <v>2033</v>
      </c>
      <c r="I143" s="34" t="n">
        <f aca="false">MMcfd!G14</f>
        <v>9.07437286807104</v>
      </c>
      <c r="J143" s="34" t="n">
        <f aca="false">MMcfd!H14</f>
        <v>54.8707673852074</v>
      </c>
      <c r="K143" s="34" t="n">
        <f aca="false">MMcfd!I14</f>
        <v>243.655908079153</v>
      </c>
      <c r="L143" s="34" t="n">
        <f aca="false">MMcfd!J14</f>
        <v>1048.7917139817</v>
      </c>
    </row>
    <row r="144" customFormat="false" ht="15" hidden="false" customHeight="true" outlineLevel="0" collapsed="false">
      <c r="A144" s="16" t="n">
        <v>2023</v>
      </c>
      <c r="B144" s="31" t="s">
        <v>41</v>
      </c>
      <c r="C144" s="31" t="s">
        <v>46</v>
      </c>
      <c r="D144" s="32" t="n">
        <f aca="false">SISEPUEDE!I4</f>
        <v>6.26733725428572</v>
      </c>
      <c r="E144" s="31" t="s">
        <v>84</v>
      </c>
      <c r="F144" s="31" t="s">
        <v>85</v>
      </c>
      <c r="H144" s="16" t="n">
        <v>2034</v>
      </c>
      <c r="I144" s="34" t="n">
        <f aca="false">MMcfd!G15</f>
        <v>8.61827912312654</v>
      </c>
      <c r="J144" s="34" t="n">
        <f aca="false">MMcfd!H15</f>
        <v>55.7504296638475</v>
      </c>
      <c r="K144" s="34" t="n">
        <f aca="false">MMcfd!I15</f>
        <v>217.854214919699</v>
      </c>
      <c r="L144" s="34" t="n">
        <f aca="false">MMcfd!J15</f>
        <v>1151.28202779806</v>
      </c>
    </row>
    <row r="145" customFormat="false" ht="15" hidden="false" customHeight="true" outlineLevel="0" collapsed="false">
      <c r="A145" s="16" t="n">
        <v>2024</v>
      </c>
      <c r="B145" s="31" t="s">
        <v>41</v>
      </c>
      <c r="C145" s="31" t="s">
        <v>46</v>
      </c>
      <c r="D145" s="32" t="n">
        <f aca="false">SISEPUEDE!I5</f>
        <v>5.90826998706786</v>
      </c>
      <c r="E145" s="31" t="s">
        <v>84</v>
      </c>
      <c r="F145" s="31" t="s">
        <v>85</v>
      </c>
      <c r="H145" s="16" t="n">
        <v>2035</v>
      </c>
      <c r="I145" s="34" t="n">
        <f aca="false">MMcfd!G16</f>
        <v>8.14139734168944</v>
      </c>
      <c r="J145" s="34" t="n">
        <f aca="false">MMcfd!H16</f>
        <v>56.4434512003685</v>
      </c>
      <c r="K145" s="34" t="n">
        <f aca="false">MMcfd!I16</f>
        <v>193.668640240687</v>
      </c>
      <c r="L145" s="34" t="n">
        <f aca="false">MMcfd!J16</f>
        <v>1252.70169009647</v>
      </c>
    </row>
    <row r="146" customFormat="false" ht="15" hidden="false" customHeight="true" outlineLevel="0" collapsed="false">
      <c r="A146" s="16" t="n">
        <v>2025</v>
      </c>
      <c r="B146" s="31" t="s">
        <v>41</v>
      </c>
      <c r="C146" s="31" t="s">
        <v>46</v>
      </c>
      <c r="D146" s="32" t="n">
        <f aca="false">SISEPUEDE!I6</f>
        <v>5.54938893113556</v>
      </c>
      <c r="E146" s="31" t="s">
        <v>84</v>
      </c>
      <c r="F146" s="31" t="s">
        <v>85</v>
      </c>
      <c r="H146" s="16" t="n">
        <v>2036</v>
      </c>
      <c r="I146" s="34" t="n">
        <f aca="false">MMcfd!G17</f>
        <v>7.64544557651267</v>
      </c>
      <c r="J146" s="34" t="n">
        <f aca="false">MMcfd!H17</f>
        <v>56.9493539124917</v>
      </c>
      <c r="K146" s="34" t="n">
        <f aca="false">MMcfd!I17</f>
        <v>171.226696986548</v>
      </c>
      <c r="L146" s="34" t="n">
        <f aca="false">MMcfd!J17</f>
        <v>1352.97182100092</v>
      </c>
    </row>
    <row r="147" customFormat="false" ht="15" hidden="false" customHeight="true" outlineLevel="0" collapsed="false">
      <c r="A147" s="16" t="n">
        <v>2026</v>
      </c>
      <c r="B147" s="31" t="s">
        <v>41</v>
      </c>
      <c r="C147" s="31" t="s">
        <v>46</v>
      </c>
      <c r="D147" s="32" t="n">
        <f aca="false">SISEPUEDE!I7</f>
        <v>5.19082172574743</v>
      </c>
      <c r="E147" s="31" t="s">
        <v>84</v>
      </c>
      <c r="F147" s="31" t="s">
        <v>85</v>
      </c>
      <c r="H147" s="16" t="n">
        <v>2037</v>
      </c>
      <c r="I147" s="34" t="n">
        <f aca="false">MMcfd!G18</f>
        <v>7.13240071865708</v>
      </c>
      <c r="J147" s="34" t="n">
        <f aca="false">MMcfd!H18</f>
        <v>57.2726753948658</v>
      </c>
      <c r="K147" s="34" t="n">
        <f aca="false">MMcfd!I18</f>
        <v>150.575324325426</v>
      </c>
      <c r="L147" s="34" t="n">
        <f aca="false">MMcfd!J18</f>
        <v>1452.0840202478</v>
      </c>
    </row>
    <row r="148" customFormat="false" ht="15" hidden="false" customHeight="true" outlineLevel="0" collapsed="false">
      <c r="A148" s="16" t="n">
        <v>2027</v>
      </c>
      <c r="B148" s="31" t="s">
        <v>41</v>
      </c>
      <c r="C148" s="31" t="s">
        <v>46</v>
      </c>
      <c r="D148" s="32" t="n">
        <f aca="false">SISEPUEDE!I8</f>
        <v>4.83316881662206</v>
      </c>
      <c r="E148" s="31" t="s">
        <v>84</v>
      </c>
      <c r="F148" s="31" t="s">
        <v>85</v>
      </c>
      <c r="H148" s="16" t="n">
        <v>2038</v>
      </c>
      <c r="I148" s="34" t="n">
        <f aca="false">MMcfd!G19</f>
        <v>6.60438049239786</v>
      </c>
      <c r="J148" s="34" t="n">
        <f aca="false">MMcfd!H19</f>
        <v>57.4219942876641</v>
      </c>
      <c r="K148" s="34" t="n">
        <f aca="false">MMcfd!I19</f>
        <v>131.694849604726</v>
      </c>
      <c r="L148" s="34" t="n">
        <f aca="false">MMcfd!J19</f>
        <v>1550.08413069725</v>
      </c>
    </row>
    <row r="149" customFormat="false" ht="15" hidden="false" customHeight="true" outlineLevel="0" collapsed="false">
      <c r="A149" s="16" t="n">
        <v>2028</v>
      </c>
      <c r="B149" s="31" t="s">
        <v>41</v>
      </c>
      <c r="C149" s="31" t="s">
        <v>46</v>
      </c>
      <c r="D149" s="32" t="n">
        <f aca="false">SISEPUEDE!I9</f>
        <v>4.47754558284711</v>
      </c>
      <c r="E149" s="31" t="s">
        <v>84</v>
      </c>
      <c r="F149" s="31" t="s">
        <v>85</v>
      </c>
      <c r="H149" s="16" t="n">
        <v>2039</v>
      </c>
      <c r="I149" s="34" t="n">
        <f aca="false">MMcfd!G20</f>
        <v>6.06354378259785</v>
      </c>
      <c r="J149" s="34" t="n">
        <f aca="false">MMcfd!H20</f>
        <v>57.4090598478746</v>
      </c>
      <c r="K149" s="34" t="n">
        <f aca="false">MMcfd!I20</f>
        <v>114.511813171302</v>
      </c>
      <c r="L149" s="34" t="n">
        <f aca="false">MMcfd!J20</f>
        <v>1647.05764933506</v>
      </c>
    </row>
    <row r="150" customFormat="false" ht="15" hidden="false" customHeight="true" outlineLevel="0" collapsed="false">
      <c r="A150" s="16" t="n">
        <v>2029</v>
      </c>
      <c r="B150" s="31" t="s">
        <v>41</v>
      </c>
      <c r="C150" s="31" t="s">
        <v>46</v>
      </c>
      <c r="D150" s="32" t="n">
        <f aca="false">SISEPUEDE!I10</f>
        <v>4.12558147001583</v>
      </c>
      <c r="E150" s="31" t="s">
        <v>84</v>
      </c>
      <c r="F150" s="31" t="s">
        <v>85</v>
      </c>
      <c r="H150" s="16" t="n">
        <v>2040</v>
      </c>
      <c r="I150" s="34" t="n">
        <f aca="false">MMcfd!G21</f>
        <v>5.5120088135919</v>
      </c>
      <c r="J150" s="34" t="n">
        <f aca="false">MMcfd!H21</f>
        <v>57.2480208216034</v>
      </c>
      <c r="K150" s="34" t="n">
        <f aca="false">MMcfd!I21</f>
        <v>98.9106795224214</v>
      </c>
      <c r="L150" s="34" t="n">
        <f aca="false">MMcfd!J21</f>
        <v>1743.11676023495</v>
      </c>
    </row>
    <row r="151" customFormat="false" ht="15" hidden="false" customHeight="true" outlineLevel="0" collapsed="false">
      <c r="A151" s="16" t="n">
        <v>2030</v>
      </c>
      <c r="B151" s="31" t="s">
        <v>41</v>
      </c>
      <c r="C151" s="31" t="s">
        <v>46</v>
      </c>
      <c r="D151" s="32" t="n">
        <f aca="false">SISEPUEDE!I11</f>
        <v>3.77937956693076</v>
      </c>
      <c r="E151" s="31" t="s">
        <v>84</v>
      </c>
      <c r="F151" s="31" t="s">
        <v>85</v>
      </c>
      <c r="H151" s="16" t="n">
        <v>2041</v>
      </c>
      <c r="I151" s="34" t="n">
        <f aca="false">MMcfd!G22</f>
        <v>4.95178631369417</v>
      </c>
      <c r="J151" s="34" t="n">
        <f aca="false">MMcfd!H22</f>
        <v>56.9547307688401</v>
      </c>
      <c r="K151" s="34" t="n">
        <f aca="false">MMcfd!I22</f>
        <v>84.7444799593604</v>
      </c>
      <c r="L151" s="34" t="n">
        <f aca="false">MMcfd!J22</f>
        <v>1838.38897000065</v>
      </c>
    </row>
    <row r="152" customFormat="false" ht="15" hidden="false" customHeight="true" outlineLevel="0" collapsed="false">
      <c r="A152" s="16" t="n">
        <v>2031</v>
      </c>
      <c r="B152" s="31" t="s">
        <v>41</v>
      </c>
      <c r="C152" s="31" t="s">
        <v>46</v>
      </c>
      <c r="D152" s="32" t="n">
        <f aca="false">SISEPUEDE!I12</f>
        <v>3.4414350220952</v>
      </c>
      <c r="E152" s="31" t="s">
        <v>84</v>
      </c>
      <c r="F152" s="31" t="s">
        <v>85</v>
      </c>
      <c r="H152" s="16" t="n">
        <v>2042</v>
      </c>
      <c r="I152" s="34" t="n">
        <f aca="false">MMcfd!G23</f>
        <v>4.38472673666337</v>
      </c>
      <c r="J152" s="34" t="n">
        <f aca="false">MMcfd!H23</f>
        <v>56.5461210927948</v>
      </c>
      <c r="K152" s="34" t="n">
        <f aca="false">MMcfd!I23</f>
        <v>71.8444591595135</v>
      </c>
      <c r="L152" s="34" t="n">
        <f aca="false">MMcfd!J23</f>
        <v>1933.00729026681</v>
      </c>
    </row>
    <row r="153" customFormat="false" ht="15" hidden="false" customHeight="true" outlineLevel="0" collapsed="false">
      <c r="A153" s="16" t="n">
        <v>2032</v>
      </c>
      <c r="B153" s="31" t="s">
        <v>41</v>
      </c>
      <c r="C153" s="31" t="s">
        <v>46</v>
      </c>
      <c r="D153" s="32" t="n">
        <f aca="false">SISEPUEDE!I13</f>
        <v>3.11451839708675</v>
      </c>
      <c r="E153" s="31" t="s">
        <v>84</v>
      </c>
      <c r="F153" s="31" t="s">
        <v>85</v>
      </c>
      <c r="H153" s="16" t="n">
        <v>2043</v>
      </c>
      <c r="I153" s="34" t="n">
        <f aca="false">MMcfd!G24</f>
        <v>3.81249381391908</v>
      </c>
      <c r="J153" s="34" t="n">
        <f aca="false">MMcfd!H24</f>
        <v>56.0398064742482</v>
      </c>
      <c r="K153" s="34" t="n">
        <f aca="false">MMcfd!I24</f>
        <v>60.0290275745515</v>
      </c>
      <c r="L153" s="34" t="n">
        <f aca="false">MMcfd!J24</f>
        <v>2027.10200980691</v>
      </c>
    </row>
    <row r="154" customFormat="false" ht="15" hidden="false" customHeight="true" outlineLevel="0" collapsed="false">
      <c r="A154" s="16" t="n">
        <v>2033</v>
      </c>
      <c r="B154" s="31" t="s">
        <v>41</v>
      </c>
      <c r="C154" s="31" t="s">
        <v>46</v>
      </c>
      <c r="D154" s="32" t="n">
        <f aca="false">SISEPUEDE!I14</f>
        <v>2.80143380314006</v>
      </c>
      <c r="E154" s="31" t="s">
        <v>84</v>
      </c>
      <c r="F154" s="31" t="s">
        <v>85</v>
      </c>
      <c r="H154" s="16" t="n">
        <v>2044</v>
      </c>
      <c r="I154" s="34" t="n">
        <f aca="false">MMcfd!G25</f>
        <v>3.23650024544955</v>
      </c>
      <c r="J154" s="34" t="n">
        <f aca="false">MMcfd!H25</f>
        <v>55.4530644995984</v>
      </c>
      <c r="K154" s="34" t="n">
        <f aca="false">MMcfd!I25</f>
        <v>49.1111085995109</v>
      </c>
      <c r="L154" s="34" t="n">
        <f aca="false">MMcfd!J25</f>
        <v>2120.79574263086</v>
      </c>
    </row>
    <row r="155" customFormat="false" ht="15" hidden="false" customHeight="true" outlineLevel="0" collapsed="false">
      <c r="A155" s="16" t="n">
        <v>2034</v>
      </c>
      <c r="B155" s="31" t="s">
        <v>41</v>
      </c>
      <c r="C155" s="31" t="s">
        <v>46</v>
      </c>
      <c r="D155" s="32" t="n">
        <f aca="false">SISEPUEDE!I15</f>
        <v>2.50477883603924</v>
      </c>
      <c r="E155" s="31" t="s">
        <v>84</v>
      </c>
      <c r="F155" s="31" t="s">
        <v>85</v>
      </c>
      <c r="H155" s="16" t="n">
        <v>2045</v>
      </c>
      <c r="I155" s="34" t="n">
        <f aca="false">MMcfd!G26</f>
        <v>2.65792110733724</v>
      </c>
      <c r="J155" s="34" t="n">
        <f aca="false">MMcfd!H26</f>
        <v>54.8026315511084</v>
      </c>
      <c r="K155" s="34" t="n">
        <f aca="false">MMcfd!I26</f>
        <v>38.9058936988481</v>
      </c>
      <c r="L155" s="34" t="n">
        <f aca="false">MMcfd!J26</f>
        <v>2214.19797843712</v>
      </c>
    </row>
    <row r="156" customFormat="false" ht="15" hidden="false" customHeight="true" outlineLevel="0" collapsed="false">
      <c r="A156" s="16" t="n">
        <v>2035</v>
      </c>
      <c r="B156" s="31" t="s">
        <v>41</v>
      </c>
      <c r="C156" s="31" t="s">
        <v>46</v>
      </c>
      <c r="D156" s="32" t="n">
        <f aca="false">SISEPUEDE!I16</f>
        <v>2.2267051911673</v>
      </c>
      <c r="E156" s="31" t="s">
        <v>84</v>
      </c>
      <c r="F156" s="31" t="s">
        <v>85</v>
      </c>
      <c r="H156" s="16" t="n">
        <v>2046</v>
      </c>
      <c r="I156" s="34" t="n">
        <f aca="false">MMcfd!G27</f>
        <v>2.07769446929802</v>
      </c>
      <c r="J156" s="34" t="n">
        <f aca="false">MMcfd!H27</f>
        <v>54.1043389998787</v>
      </c>
      <c r="K156" s="34" t="n">
        <f aca="false">MMcfd!I27</f>
        <v>29.2375888104752</v>
      </c>
      <c r="L156" s="34" t="n">
        <f aca="false">MMcfd!J27</f>
        <v>2307.40166901932</v>
      </c>
    </row>
    <row r="157" customFormat="false" ht="15" hidden="false" customHeight="true" outlineLevel="0" collapsed="false">
      <c r="A157" s="16" t="n">
        <v>2036</v>
      </c>
      <c r="B157" s="31" t="s">
        <v>41</v>
      </c>
      <c r="C157" s="31" t="s">
        <v>46</v>
      </c>
      <c r="D157" s="32" t="n">
        <f aca="false">SISEPUEDE!I17</f>
        <v>1.96867894860284</v>
      </c>
      <c r="E157" s="31" t="s">
        <v>84</v>
      </c>
      <c r="F157" s="31" t="s">
        <v>85</v>
      </c>
      <c r="H157" s="16" t="n">
        <v>2047</v>
      </c>
      <c r="I157" s="34" t="n">
        <f aca="false">MMcfd!G28</f>
        <v>1.49194765697484</v>
      </c>
      <c r="J157" s="34" t="n">
        <f aca="false">MMcfd!H28</f>
        <v>53.209471371016</v>
      </c>
      <c r="K157" s="34" t="n">
        <f aca="false">MMcfd!I28</f>
        <v>25.83469314341</v>
      </c>
      <c r="L157" s="34" t="n">
        <f aca="false">MMcfd!J28</f>
        <v>2394.76004725421</v>
      </c>
    </row>
    <row r="158" customFormat="false" ht="15" hidden="false" customHeight="true" outlineLevel="0" collapsed="false">
      <c r="A158" s="16" t="n">
        <v>2037</v>
      </c>
      <c r="B158" s="31" t="s">
        <v>41</v>
      </c>
      <c r="C158" s="31" t="s">
        <v>46</v>
      </c>
      <c r="D158" s="32" t="n">
        <f aca="false">SISEPUEDE!I18</f>
        <v>1.73123979143159</v>
      </c>
      <c r="E158" s="31" t="s">
        <v>84</v>
      </c>
      <c r="F158" s="31" t="s">
        <v>85</v>
      </c>
      <c r="H158" s="16" t="n">
        <v>2048</v>
      </c>
      <c r="I158" s="34" t="n">
        <f aca="false">MMcfd!G29</f>
        <v>0.907667904234889</v>
      </c>
      <c r="J158" s="34" t="n">
        <f aca="false">MMcfd!H29</f>
        <v>52.2050165444834</v>
      </c>
      <c r="K158" s="34" t="n">
        <f aca="false">MMcfd!I29</f>
        <v>25.7097825767135</v>
      </c>
      <c r="L158" s="34" t="n">
        <f aca="false">MMcfd!J29</f>
        <v>2479.09578204327</v>
      </c>
    </row>
    <row r="159" customFormat="false" ht="15" hidden="false" customHeight="true" outlineLevel="0" collapsed="false">
      <c r="A159" s="16" t="n">
        <v>2038</v>
      </c>
      <c r="B159" s="31" t="s">
        <v>41</v>
      </c>
      <c r="C159" s="31" t="s">
        <v>46</v>
      </c>
      <c r="D159" s="32" t="n">
        <f aca="false">SISEPUEDE!I19</f>
        <v>1.51416153333034</v>
      </c>
      <c r="E159" s="31" t="s">
        <v>84</v>
      </c>
      <c r="F159" s="31" t="s">
        <v>85</v>
      </c>
      <c r="H159" s="16" t="n">
        <v>2049</v>
      </c>
      <c r="I159" s="34" t="n">
        <f aca="false">MMcfd!G30</f>
        <v>0.328763394295187</v>
      </c>
      <c r="J159" s="34" t="n">
        <f aca="false">MMcfd!H30</f>
        <v>51.1876288399557</v>
      </c>
      <c r="K159" s="34" t="n">
        <f aca="false">MMcfd!I30</f>
        <v>25.5802247310639</v>
      </c>
      <c r="L159" s="34" t="n">
        <f aca="false">MMcfd!J30</f>
        <v>2563.52614281739</v>
      </c>
    </row>
    <row r="160" customFormat="false" ht="15" hidden="false" customHeight="true" outlineLevel="0" collapsed="false">
      <c r="A160" s="16" t="n">
        <v>2039</v>
      </c>
      <c r="B160" s="31" t="s">
        <v>41</v>
      </c>
      <c r="C160" s="31" t="s">
        <v>46</v>
      </c>
      <c r="D160" s="32" t="n">
        <f aca="false">SISEPUEDE!I20</f>
        <v>1.31659957193704</v>
      </c>
      <c r="E160" s="31" t="s">
        <v>84</v>
      </c>
      <c r="F160" s="31" t="s">
        <v>85</v>
      </c>
      <c r="H160" s="16" t="n">
        <v>2050</v>
      </c>
      <c r="I160" s="34" t="n">
        <f aca="false">MMcfd!G31</f>
        <v>0.31867833384173</v>
      </c>
      <c r="J160" s="34" t="n">
        <f aca="false">MMcfd!H31</f>
        <v>49.617410438887</v>
      </c>
      <c r="K160" s="34" t="n">
        <f aca="false">MMcfd!I31</f>
        <v>24.7955324042954</v>
      </c>
      <c r="L160" s="34" t="n">
        <f aca="false">MMcfd!J31</f>
        <v>2564.83111123724</v>
      </c>
    </row>
    <row r="161" customFormat="false" ht="15" hidden="false" customHeight="true" outlineLevel="0" collapsed="false">
      <c r="A161" s="16" t="n">
        <v>2040</v>
      </c>
      <c r="B161" s="31" t="s">
        <v>41</v>
      </c>
      <c r="C161" s="31" t="s">
        <v>46</v>
      </c>
      <c r="D161" s="32" t="n">
        <f aca="false">SISEPUEDE!I21</f>
        <v>1.13722553780904</v>
      </c>
      <c r="E161" s="31" t="s">
        <v>84</v>
      </c>
      <c r="F161" s="31" t="s">
        <v>85</v>
      </c>
    </row>
    <row r="162" customFormat="false" ht="15" hidden="false" customHeight="true" outlineLevel="0" collapsed="false">
      <c r="A162" s="16" t="n">
        <v>2041</v>
      </c>
      <c r="B162" s="31" t="s">
        <v>41</v>
      </c>
      <c r="C162" s="31" t="s">
        <v>46</v>
      </c>
      <c r="D162" s="32" t="n">
        <f aca="false">SISEPUEDE!I22</f>
        <v>0.974349658332746</v>
      </c>
      <c r="E162" s="31" t="s">
        <v>84</v>
      </c>
      <c r="F162" s="31" t="s">
        <v>85</v>
      </c>
    </row>
    <row r="163" customFormat="false" ht="15" hidden="false" customHeight="true" outlineLevel="0" collapsed="false">
      <c r="A163" s="16" t="n">
        <v>2042</v>
      </c>
      <c r="B163" s="31" t="s">
        <v>41</v>
      </c>
      <c r="C163" s="31" t="s">
        <v>46</v>
      </c>
      <c r="D163" s="32" t="n">
        <f aca="false">SISEPUEDE!I23</f>
        <v>0.826031669186506</v>
      </c>
      <c r="E163" s="31" t="s">
        <v>84</v>
      </c>
      <c r="F163" s="31" t="s">
        <v>85</v>
      </c>
      <c r="H163" s="30" t="s">
        <v>90</v>
      </c>
      <c r="I163" s="30"/>
      <c r="J163" s="30"/>
      <c r="K163" s="30"/>
      <c r="L163" s="30"/>
    </row>
    <row r="164" customFormat="false" ht="15" hidden="false" customHeight="true" outlineLevel="0" collapsed="false">
      <c r="A164" s="16" t="n">
        <v>2043</v>
      </c>
      <c r="B164" s="31" t="s">
        <v>41</v>
      </c>
      <c r="C164" s="31" t="s">
        <v>46</v>
      </c>
      <c r="D164" s="32" t="n">
        <f aca="false">SISEPUEDE!I24</f>
        <v>0.690183744538406</v>
      </c>
      <c r="E164" s="31" t="s">
        <v>84</v>
      </c>
      <c r="F164" s="31" t="s">
        <v>85</v>
      </c>
      <c r="H164" s="33" t="s">
        <v>47</v>
      </c>
      <c r="I164" s="29" t="s">
        <v>44</v>
      </c>
      <c r="J164" s="29" t="s">
        <v>45</v>
      </c>
      <c r="K164" s="29" t="s">
        <v>46</v>
      </c>
      <c r="L164" s="29" t="s">
        <v>48</v>
      </c>
    </row>
    <row r="165" customFormat="false" ht="15" hidden="false" customHeight="true" outlineLevel="0" collapsed="false">
      <c r="A165" s="16" t="n">
        <v>2044</v>
      </c>
      <c r="B165" s="31" t="s">
        <v>41</v>
      </c>
      <c r="C165" s="31" t="s">
        <v>46</v>
      </c>
      <c r="D165" s="32" t="n">
        <f aca="false">SISEPUEDE!I25</f>
        <v>0.564654971122876</v>
      </c>
      <c r="E165" s="31" t="s">
        <v>84</v>
      </c>
      <c r="F165" s="31" t="s">
        <v>85</v>
      </c>
      <c r="H165" s="16" t="n">
        <v>2023</v>
      </c>
      <c r="I165" s="34" t="n">
        <f aca="false">MMcfd!M4</f>
        <v>12.568650140783</v>
      </c>
      <c r="J165" s="34" t="n">
        <f aca="false">MMcfd!N4</f>
        <v>38.8325644977816</v>
      </c>
      <c r="K165" s="34" t="n">
        <f aca="false">MMcfd!O4</f>
        <v>545.104349144224</v>
      </c>
      <c r="L165" s="34" t="n">
        <f aca="false">MMcfd!P4</f>
        <v>0</v>
      </c>
    </row>
    <row r="166" customFormat="false" ht="15" hidden="false" customHeight="true" outlineLevel="0" collapsed="false">
      <c r="A166" s="16" t="n">
        <v>2045</v>
      </c>
      <c r="B166" s="31" t="s">
        <v>41</v>
      </c>
      <c r="C166" s="31" t="s">
        <v>46</v>
      </c>
      <c r="D166" s="32" t="n">
        <f aca="false">SISEPUEDE!I26</f>
        <v>0.447320512802506</v>
      </c>
      <c r="E166" s="31" t="s">
        <v>84</v>
      </c>
      <c r="F166" s="31" t="s">
        <v>85</v>
      </c>
      <c r="H166" s="16" t="n">
        <v>2024</v>
      </c>
      <c r="I166" s="34" t="n">
        <f aca="false">MMcfd!M5</f>
        <v>12.7790417787687</v>
      </c>
      <c r="J166" s="34" t="n">
        <f aca="false">MMcfd!N5</f>
        <v>37.1141139870419</v>
      </c>
      <c r="K166" s="34" t="n">
        <f aca="false">MMcfd!O5</f>
        <v>545.968750718124</v>
      </c>
      <c r="L166" s="34" t="n">
        <f aca="false">MMcfd!P5</f>
        <v>76.0376251267021</v>
      </c>
    </row>
    <row r="167" customFormat="false" ht="15" hidden="false" customHeight="true" outlineLevel="0" collapsed="false">
      <c r="A167" s="16" t="n">
        <v>2046</v>
      </c>
      <c r="B167" s="31" t="s">
        <v>41</v>
      </c>
      <c r="C167" s="31" t="s">
        <v>46</v>
      </c>
      <c r="D167" s="32" t="n">
        <f aca="false">SISEPUEDE!I27</f>
        <v>0.336159177348439</v>
      </c>
      <c r="E167" s="31" t="s">
        <v>84</v>
      </c>
      <c r="F167" s="31" t="s">
        <v>85</v>
      </c>
      <c r="H167" s="16" t="n">
        <v>2025</v>
      </c>
      <c r="I167" s="34" t="n">
        <f aca="false">MMcfd!M6</f>
        <v>12.2126130316223</v>
      </c>
      <c r="J167" s="34" t="n">
        <f aca="false">MMcfd!N6</f>
        <v>37.1178972434857</v>
      </c>
      <c r="K167" s="34" t="n">
        <f aca="false">MMcfd!O6</f>
        <v>513.220048064352</v>
      </c>
      <c r="L167" s="34" t="n">
        <f aca="false">MMcfd!P6</f>
        <v>184.793499173033</v>
      </c>
    </row>
    <row r="168" customFormat="false" ht="15" hidden="false" customHeight="true" outlineLevel="0" collapsed="false">
      <c r="A168" s="16" t="n">
        <v>2047</v>
      </c>
      <c r="B168" s="31" t="s">
        <v>41</v>
      </c>
      <c r="C168" s="31" t="s">
        <v>46</v>
      </c>
      <c r="D168" s="32" t="n">
        <f aca="false">SISEPUEDE!I28</f>
        <v>0.297034384416357</v>
      </c>
      <c r="E168" s="31" t="s">
        <v>84</v>
      </c>
      <c r="F168" s="31" t="s">
        <v>85</v>
      </c>
      <c r="H168" s="16" t="n">
        <v>2026</v>
      </c>
      <c r="I168" s="34" t="n">
        <f aca="false">MMcfd!M7</f>
        <v>11.640045200934</v>
      </c>
      <c r="J168" s="34" t="n">
        <f aca="false">MMcfd!N7</f>
        <v>37.0930651818</v>
      </c>
      <c r="K168" s="34" t="n">
        <f aca="false">MMcfd!O7</f>
        <v>480.460993531405</v>
      </c>
      <c r="L168" s="34" t="n">
        <f aca="false">MMcfd!P7</f>
        <v>293.682586264034</v>
      </c>
    </row>
    <row r="169" customFormat="false" ht="15" hidden="false" customHeight="true" outlineLevel="0" collapsed="false">
      <c r="A169" s="16" t="n">
        <v>2048</v>
      </c>
      <c r="B169" s="31" t="s">
        <v>41</v>
      </c>
      <c r="C169" s="31" t="s">
        <v>46</v>
      </c>
      <c r="D169" s="32" t="n">
        <f aca="false">SISEPUEDE!I29</f>
        <v>0.295598225175764</v>
      </c>
      <c r="E169" s="31" t="s">
        <v>84</v>
      </c>
      <c r="F169" s="31" t="s">
        <v>85</v>
      </c>
      <c r="H169" s="16" t="n">
        <v>2027</v>
      </c>
      <c r="I169" s="34" t="n">
        <f aca="false">MMcfd!M8</f>
        <v>11.0578546787149</v>
      </c>
      <c r="J169" s="34" t="n">
        <f aca="false">MMcfd!N8</f>
        <v>37.0141427097061</v>
      </c>
      <c r="K169" s="34" t="n">
        <f aca="false">MMcfd!O8</f>
        <v>447.766607901776</v>
      </c>
      <c r="L169" s="34" t="n">
        <f aca="false">MMcfd!P8</f>
        <v>402.704752867784</v>
      </c>
    </row>
    <row r="170" customFormat="false" ht="15" hidden="false" customHeight="true" outlineLevel="0" collapsed="false">
      <c r="A170" s="16" t="n">
        <v>2049</v>
      </c>
      <c r="B170" s="31" t="s">
        <v>41</v>
      </c>
      <c r="C170" s="31" t="s">
        <v>46</v>
      </c>
      <c r="D170" s="32" t="n">
        <f aca="false">SISEPUEDE!I30</f>
        <v>0.294108633845407</v>
      </c>
      <c r="E170" s="31" t="s">
        <v>84</v>
      </c>
      <c r="F170" s="31" t="s">
        <v>85</v>
      </c>
      <c r="H170" s="16" t="n">
        <v>2028</v>
      </c>
      <c r="I170" s="34" t="n">
        <f aca="false">MMcfd!M9</f>
        <v>10.4630269909967</v>
      </c>
      <c r="J170" s="34" t="n">
        <f aca="false">MMcfd!N9</f>
        <v>36.8527988287461</v>
      </c>
      <c r="K170" s="34" t="n">
        <f aca="false">MMcfd!O9</f>
        <v>415.264104122775</v>
      </c>
      <c r="L170" s="34" t="n">
        <f aca="false">MMcfd!P9</f>
        <v>511.801327235933</v>
      </c>
    </row>
    <row r="171" customFormat="false" ht="15" hidden="false" customHeight="true" outlineLevel="0" collapsed="false">
      <c r="A171" s="16" t="n">
        <v>2050</v>
      </c>
      <c r="B171" s="31" t="s">
        <v>41</v>
      </c>
      <c r="C171" s="31" t="s">
        <v>46</v>
      </c>
      <c r="D171" s="32" t="n">
        <f aca="false">SISEPUEDE!I31</f>
        <v>0.285086633818386</v>
      </c>
      <c r="E171" s="31" t="s">
        <v>84</v>
      </c>
      <c r="F171" s="31" t="s">
        <v>85</v>
      </c>
      <c r="H171" s="16" t="n">
        <v>2029</v>
      </c>
      <c r="I171" s="34" t="n">
        <f aca="false">MMcfd!M10</f>
        <v>9.85329716519781</v>
      </c>
      <c r="J171" s="34" t="n">
        <f aca="false">MMcfd!N10</f>
        <v>36.5797775080318</v>
      </c>
      <c r="K171" s="34" t="n">
        <f aca="false">MMcfd!O10</f>
        <v>383.128252208217</v>
      </c>
      <c r="L171" s="34" t="n">
        <f aca="false">MMcfd!P10</f>
        <v>620.840298255951</v>
      </c>
    </row>
    <row r="172" customFormat="false" ht="15" hidden="false" customHeight="true" outlineLevel="0" collapsed="false">
      <c r="A172" s="16" t="n">
        <v>2023</v>
      </c>
      <c r="B172" s="31" t="s">
        <v>41</v>
      </c>
      <c r="C172" s="31" t="s">
        <v>48</v>
      </c>
      <c r="D172" s="32" t="n">
        <f aca="false">SISEPUEDE!J4</f>
        <v>0</v>
      </c>
      <c r="E172" s="31" t="s">
        <v>84</v>
      </c>
      <c r="F172" s="31" t="s">
        <v>85</v>
      </c>
      <c r="H172" s="16" t="n">
        <v>2030</v>
      </c>
      <c r="I172" s="34" t="n">
        <f aca="false">MMcfd!M11</f>
        <v>9.22735396101704</v>
      </c>
      <c r="J172" s="34" t="n">
        <f aca="false">MMcfd!N11</f>
        <v>36.1667950092626</v>
      </c>
      <c r="K172" s="34" t="n">
        <f aca="false">MMcfd!O11</f>
        <v>351.573541399224</v>
      </c>
      <c r="L172" s="34" t="n">
        <f aca="false">MMcfd!P11</f>
        <v>729.634629150757</v>
      </c>
    </row>
    <row r="173" customFormat="false" ht="15" hidden="false" customHeight="true" outlineLevel="0" collapsed="false">
      <c r="A173" s="16" t="n">
        <v>2024</v>
      </c>
      <c r="B173" s="31" t="s">
        <v>41</v>
      </c>
      <c r="C173" s="31" t="s">
        <v>48</v>
      </c>
      <c r="D173" s="32" t="n">
        <f aca="false">SISEPUEDE!J5</f>
        <v>0</v>
      </c>
      <c r="E173" s="31" t="s">
        <v>84</v>
      </c>
      <c r="F173" s="31" t="s">
        <v>85</v>
      </c>
      <c r="H173" s="16" t="n">
        <v>2031</v>
      </c>
      <c r="I173" s="34" t="n">
        <f aca="false">MMcfd!M12</f>
        <v>8.58497105834357</v>
      </c>
      <c r="J173" s="34" t="n">
        <f aca="false">MMcfd!N12</f>
        <v>35.5883846918252</v>
      </c>
      <c r="K173" s="34" t="n">
        <f aca="false">MMcfd!O12</f>
        <v>320.843337512393</v>
      </c>
      <c r="L173" s="34" t="n">
        <f aca="false">MMcfd!P12</f>
        <v>837.966954078451</v>
      </c>
    </row>
    <row r="174" customFormat="false" ht="15" hidden="false" customHeight="true" outlineLevel="0" collapsed="false">
      <c r="A174" s="16" t="n">
        <v>2025</v>
      </c>
      <c r="B174" s="31" t="s">
        <v>41</v>
      </c>
      <c r="C174" s="31" t="s">
        <v>48</v>
      </c>
      <c r="D174" s="32" t="n">
        <f aca="false">SISEPUEDE!J6</f>
        <v>0.868120814771544</v>
      </c>
      <c r="E174" s="31" t="s">
        <v>84</v>
      </c>
      <c r="F174" s="31" t="s">
        <v>85</v>
      </c>
      <c r="H174" s="16" t="n">
        <v>2032</v>
      </c>
      <c r="I174" s="34" t="n">
        <f aca="false">MMcfd!M13</f>
        <v>7.92711244972206</v>
      </c>
      <c r="J174" s="34" t="n">
        <f aca="false">MMcfd!N13</f>
        <v>34.8236798708658</v>
      </c>
      <c r="K174" s="34" t="n">
        <f aca="false">MMcfd!O13</f>
        <v>291.196853881015</v>
      </c>
      <c r="L174" s="34" t="n">
        <f aca="false">MMcfd!P13</f>
        <v>945.620285277835</v>
      </c>
    </row>
    <row r="175" customFormat="false" ht="15" hidden="false" customHeight="true" outlineLevel="0" collapsed="false">
      <c r="A175" s="16" t="n">
        <v>2026</v>
      </c>
      <c r="B175" s="31" t="s">
        <v>41</v>
      </c>
      <c r="C175" s="31" t="s">
        <v>48</v>
      </c>
      <c r="D175" s="32" t="n">
        <f aca="false">SISEPUEDE!J7</f>
        <v>1.30477683049967</v>
      </c>
      <c r="E175" s="31" t="s">
        <v>84</v>
      </c>
      <c r="F175" s="31" t="s">
        <v>85</v>
      </c>
      <c r="H175" s="16" t="n">
        <v>2033</v>
      </c>
      <c r="I175" s="34" t="n">
        <f aca="false">MMcfd!M14</f>
        <v>7.25563233391441</v>
      </c>
      <c r="J175" s="34" t="n">
        <f aca="false">MMcfd!N14</f>
        <v>33.8566124723165</v>
      </c>
      <c r="K175" s="34" t="n">
        <f aca="false">MMcfd!O14</f>
        <v>262.886679867612</v>
      </c>
      <c r="L175" s="34" t="n">
        <f aca="false">MMcfd!P14</f>
        <v>1052.39383764029</v>
      </c>
    </row>
    <row r="176" customFormat="false" ht="15" hidden="false" customHeight="true" outlineLevel="0" collapsed="false">
      <c r="A176" s="16" t="n">
        <v>2027</v>
      </c>
      <c r="B176" s="31" t="s">
        <v>41</v>
      </c>
      <c r="C176" s="31" t="s">
        <v>48</v>
      </c>
      <c r="D176" s="32" t="n">
        <f aca="false">SISEPUEDE!J8</f>
        <v>1.74497828236136</v>
      </c>
      <c r="E176" s="31" t="s">
        <v>84</v>
      </c>
      <c r="F176" s="31" t="s">
        <v>85</v>
      </c>
      <c r="H176" s="16" t="n">
        <v>2034</v>
      </c>
      <c r="I176" s="34" t="n">
        <f aca="false">MMcfd!M15</f>
        <v>6.57300373909119</v>
      </c>
      <c r="J176" s="34" t="n">
        <f aca="false">MMcfd!N15</f>
        <v>32.6760878339242</v>
      </c>
      <c r="K176" s="34" t="n">
        <f aca="false">MMcfd!O15</f>
        <v>236.138003995553</v>
      </c>
      <c r="L176" s="34" t="n">
        <f aca="false">MMcfd!P15</f>
        <v>1158.11785593616</v>
      </c>
    </row>
    <row r="177" customFormat="false" ht="15" hidden="false" customHeight="true" outlineLevel="0" collapsed="false">
      <c r="A177" s="16" t="n">
        <v>2028</v>
      </c>
      <c r="B177" s="31" t="s">
        <v>41</v>
      </c>
      <c r="C177" s="31" t="s">
        <v>48</v>
      </c>
      <c r="D177" s="32" t="n">
        <f aca="false">SISEPUEDE!J9</f>
        <v>2.19014270622387</v>
      </c>
      <c r="E177" s="31" t="s">
        <v>84</v>
      </c>
      <c r="F177" s="31" t="s">
        <v>85</v>
      </c>
      <c r="H177" s="16" t="n">
        <v>2035</v>
      </c>
      <c r="I177" s="34" t="n">
        <f aca="false">MMcfd!M16</f>
        <v>5.88207581420436</v>
      </c>
      <c r="J177" s="34" t="n">
        <f aca="false">MMcfd!N16</f>
        <v>31.2761394323336</v>
      </c>
      <c r="K177" s="34" t="n">
        <f aca="false">MMcfd!O16</f>
        <v>211.129556043987</v>
      </c>
      <c r="L177" s="34" t="n">
        <f aca="false">MMcfd!P16</f>
        <v>1262.66740758869</v>
      </c>
    </row>
    <row r="178" customFormat="false" ht="15" hidden="false" customHeight="true" outlineLevel="0" collapsed="false">
      <c r="A178" s="16" t="n">
        <v>2029</v>
      </c>
      <c r="B178" s="31" t="s">
        <v>41</v>
      </c>
      <c r="C178" s="31" t="s">
        <v>48</v>
      </c>
      <c r="D178" s="32" t="n">
        <f aca="false">SISEPUEDE!J10</f>
        <v>2.64175427166937</v>
      </c>
      <c r="E178" s="31" t="s">
        <v>84</v>
      </c>
      <c r="F178" s="31" t="s">
        <v>85</v>
      </c>
      <c r="H178" s="16" t="n">
        <v>2036</v>
      </c>
      <c r="I178" s="34" t="n">
        <f aca="false">MMcfd!M17</f>
        <v>5.18585920743699</v>
      </c>
      <c r="J178" s="34" t="n">
        <f aca="false">MMcfd!N17</f>
        <v>29.6560639353868</v>
      </c>
      <c r="K178" s="34" t="n">
        <f aca="false">MMcfd!O17</f>
        <v>187.976316950017</v>
      </c>
      <c r="L178" s="34" t="n">
        <f aca="false">MMcfd!P17</f>
        <v>1365.97507738363</v>
      </c>
    </row>
    <row r="179" customFormat="false" ht="15" hidden="false" customHeight="true" outlineLevel="0" collapsed="false">
      <c r="A179" s="16" t="n">
        <v>2030</v>
      </c>
      <c r="B179" s="31" t="s">
        <v>41</v>
      </c>
      <c r="C179" s="31" t="s">
        <v>48</v>
      </c>
      <c r="D179" s="32" t="n">
        <f aca="false">SISEPUEDE!J11</f>
        <v>3.10128994977136</v>
      </c>
      <c r="E179" s="31" t="s">
        <v>84</v>
      </c>
      <c r="F179" s="31" t="s">
        <v>85</v>
      </c>
      <c r="H179" s="16" t="n">
        <v>2037</v>
      </c>
      <c r="I179" s="34" t="n">
        <f aca="false">MMcfd!M18</f>
        <v>4.48733848078731</v>
      </c>
      <c r="J179" s="34" t="n">
        <f aca="false">MMcfd!N18</f>
        <v>27.8205336498186</v>
      </c>
      <c r="K179" s="34" t="n">
        <f aca="false">MMcfd!O18</f>
        <v>166.714083749822</v>
      </c>
      <c r="L179" s="34" t="n">
        <f aca="false">MMcfd!P18</f>
        <v>1468.04246480632</v>
      </c>
    </row>
    <row r="180" customFormat="false" ht="15" hidden="false" customHeight="true" outlineLevel="0" collapsed="false">
      <c r="A180" s="16" t="n">
        <v>2031</v>
      </c>
      <c r="B180" s="31" t="s">
        <v>41</v>
      </c>
      <c r="C180" s="31" t="s">
        <v>48</v>
      </c>
      <c r="D180" s="32" t="n">
        <f aca="false">SISEPUEDE!J12</f>
        <v>3.57016728414718</v>
      </c>
      <c r="E180" s="31" t="s">
        <v>84</v>
      </c>
      <c r="F180" s="31" t="s">
        <v>85</v>
      </c>
      <c r="H180" s="16" t="n">
        <v>2038</v>
      </c>
      <c r="I180" s="34" t="n">
        <f aca="false">MMcfd!M19</f>
        <v>3.7893018242481</v>
      </c>
      <c r="J180" s="34" t="n">
        <f aca="false">MMcfd!N19</f>
        <v>25.7786920912144</v>
      </c>
      <c r="K180" s="34" t="n">
        <f aca="false">MMcfd!O19</f>
        <v>147.31293024019</v>
      </c>
      <c r="L180" s="34" t="n">
        <f aca="false">MMcfd!P19</f>
        <v>1568.92443092638</v>
      </c>
    </row>
    <row r="181" customFormat="false" ht="15" hidden="false" customHeight="true" outlineLevel="0" collapsed="false">
      <c r="A181" s="16" t="n">
        <v>2032</v>
      </c>
      <c r="B181" s="31" t="s">
        <v>41</v>
      </c>
      <c r="C181" s="31" t="s">
        <v>48</v>
      </c>
      <c r="D181" s="32" t="n">
        <f aca="false">SISEPUEDE!J13</f>
        <v>4.04971306997232</v>
      </c>
      <c r="E181" s="31" t="s">
        <v>84</v>
      </c>
      <c r="F181" s="31" t="s">
        <v>85</v>
      </c>
      <c r="H181" s="16" t="n">
        <v>2039</v>
      </c>
      <c r="I181" s="34" t="n">
        <f aca="false">MMcfd!M20</f>
        <v>3.09419955933955</v>
      </c>
      <c r="J181" s="34" t="n">
        <f aca="false">MMcfd!N20</f>
        <v>23.5433314081964</v>
      </c>
      <c r="K181" s="34" t="n">
        <f aca="false">MMcfd!O20</f>
        <v>129.689812319938</v>
      </c>
      <c r="L181" s="34" t="n">
        <f aca="false">MMcfd!P20</f>
        <v>1668.71472284936</v>
      </c>
    </row>
    <row r="182" customFormat="false" ht="15" hidden="false" customHeight="true" outlineLevel="0" collapsed="false">
      <c r="A182" s="16" t="n">
        <v>2033</v>
      </c>
      <c r="B182" s="31" t="s">
        <v>41</v>
      </c>
      <c r="C182" s="31" t="s">
        <v>48</v>
      </c>
      <c r="D182" s="32" t="n">
        <f aca="false">SISEPUEDE!J14</f>
        <v>4.54110039395051</v>
      </c>
      <c r="E182" s="31" t="s">
        <v>84</v>
      </c>
      <c r="F182" s="31" t="s">
        <v>85</v>
      </c>
      <c r="H182" s="16" t="n">
        <v>2040</v>
      </c>
      <c r="I182" s="34" t="n">
        <f aca="false">MMcfd!M21</f>
        <v>2.40402684084555</v>
      </c>
      <c r="J182" s="34" t="n">
        <f aca="false">MMcfd!N21</f>
        <v>21.1301362670426</v>
      </c>
      <c r="K182" s="34" t="n">
        <f aca="false">MMcfd!O21</f>
        <v>113.720332053108</v>
      </c>
      <c r="L182" s="34" t="n">
        <f aca="false">MMcfd!P21</f>
        <v>1767.53297423157</v>
      </c>
    </row>
    <row r="183" customFormat="false" ht="15" hidden="false" customHeight="true" outlineLevel="0" collapsed="false">
      <c r="A183" s="16" t="n">
        <v>2034</v>
      </c>
      <c r="B183" s="31" t="s">
        <v>41</v>
      </c>
      <c r="C183" s="31" t="s">
        <v>48</v>
      </c>
      <c r="D183" s="32" t="n">
        <f aca="false">SISEPUEDE!J15</f>
        <v>5.04528647448245</v>
      </c>
      <c r="E183" s="31" t="s">
        <v>84</v>
      </c>
      <c r="F183" s="31" t="s">
        <v>85</v>
      </c>
      <c r="H183" s="16" t="n">
        <v>2041</v>
      </c>
      <c r="I183" s="34" t="n">
        <f aca="false">MMcfd!M22</f>
        <v>1.72022316019564</v>
      </c>
      <c r="J183" s="34" t="n">
        <f aca="false">MMcfd!N22</f>
        <v>18.55699116458</v>
      </c>
      <c r="K183" s="34" t="n">
        <f aca="false">MMcfd!O22</f>
        <v>99.2497674558182</v>
      </c>
      <c r="L183" s="34" t="n">
        <f aca="false">MMcfd!P22</f>
        <v>1865.51298526195</v>
      </c>
    </row>
    <row r="184" customFormat="false" ht="15" hidden="false" customHeight="true" outlineLevel="0" collapsed="false">
      <c r="A184" s="16" t="n">
        <v>2035</v>
      </c>
      <c r="B184" s="31" t="s">
        <v>41</v>
      </c>
      <c r="C184" s="31" t="s">
        <v>48</v>
      </c>
      <c r="D184" s="32" t="n">
        <f aca="false">SISEPUEDE!J16</f>
        <v>5.56295038147761</v>
      </c>
      <c r="E184" s="31" t="s">
        <v>84</v>
      </c>
      <c r="F184" s="31" t="s">
        <v>85</v>
      </c>
      <c r="H184" s="16" t="n">
        <v>2042</v>
      </c>
      <c r="I184" s="34" t="n">
        <f aca="false">MMcfd!M23</f>
        <v>1.0435776226113</v>
      </c>
      <c r="J184" s="34" t="n">
        <f aca="false">MMcfd!N23</f>
        <v>15.8434657305297</v>
      </c>
      <c r="K184" s="34" t="n">
        <f aca="false">MMcfd!O23</f>
        <v>86.1043055627187</v>
      </c>
      <c r="L184" s="34" t="n">
        <f aca="false">MMcfd!P23</f>
        <v>1962.79124833992</v>
      </c>
    </row>
    <row r="185" customFormat="false" ht="15" hidden="false" customHeight="true" outlineLevel="0" collapsed="false">
      <c r="A185" s="16" t="n">
        <v>2036</v>
      </c>
      <c r="B185" s="31" t="s">
        <v>41</v>
      </c>
      <c r="C185" s="31" t="s">
        <v>48</v>
      </c>
      <c r="D185" s="32" t="n">
        <f aca="false">SISEPUEDE!J17</f>
        <v>6.09442989830564</v>
      </c>
      <c r="E185" s="31" t="s">
        <v>84</v>
      </c>
      <c r="F185" s="31" t="s">
        <v>85</v>
      </c>
      <c r="H185" s="16" t="n">
        <v>2043</v>
      </c>
      <c r="I185" s="34" t="n">
        <f aca="false">MMcfd!M24</f>
        <v>0.374043107547357</v>
      </c>
      <c r="J185" s="34" t="n">
        <f aca="false">MMcfd!N24</f>
        <v>13.0100784578546</v>
      </c>
      <c r="K185" s="34" t="n">
        <f aca="false">MMcfd!O24</f>
        <v>74.1013153012937</v>
      </c>
      <c r="L185" s="34" t="n">
        <f aca="false">MMcfd!P24</f>
        <v>2059.49790080294</v>
      </c>
    </row>
    <row r="186" customFormat="false" ht="15" hidden="false" customHeight="true" outlineLevel="0" collapsed="false">
      <c r="A186" s="16" t="n">
        <v>2037</v>
      </c>
      <c r="B186" s="31" t="s">
        <v>41</v>
      </c>
      <c r="C186" s="31" t="s">
        <v>48</v>
      </c>
      <c r="D186" s="32" t="n">
        <f aca="false">SISEPUEDE!J18</f>
        <v>6.63965701871093</v>
      </c>
      <c r="E186" s="31" t="s">
        <v>84</v>
      </c>
      <c r="F186" s="31" t="s">
        <v>85</v>
      </c>
      <c r="H186" s="16" t="n">
        <v>2044</v>
      </c>
      <c r="I186" s="34" t="n">
        <f aca="false">MMcfd!M25</f>
        <v>0</v>
      </c>
      <c r="J186" s="34" t="n">
        <f aca="false">MMcfd!N25</f>
        <v>9.8319008840155</v>
      </c>
      <c r="K186" s="34" t="n">
        <f aca="false">MMcfd!O25</f>
        <v>61.5250502740914</v>
      </c>
      <c r="L186" s="34" t="n">
        <f aca="false">MMcfd!P25</f>
        <v>2157.23946481732</v>
      </c>
    </row>
    <row r="187" customFormat="false" ht="15" hidden="false" customHeight="true" outlineLevel="0" collapsed="false">
      <c r="A187" s="16" t="n">
        <v>2038</v>
      </c>
      <c r="B187" s="31" t="s">
        <v>41</v>
      </c>
      <c r="C187" s="31" t="s">
        <v>48</v>
      </c>
      <c r="D187" s="32" t="n">
        <f aca="false">SISEPUEDE!J19</f>
        <v>7.19822889688514</v>
      </c>
      <c r="E187" s="31" t="s">
        <v>84</v>
      </c>
      <c r="F187" s="31" t="s">
        <v>85</v>
      </c>
      <c r="H187" s="16" t="n">
        <v>2045</v>
      </c>
      <c r="I187" s="34" t="n">
        <f aca="false">MMcfd!M26</f>
        <v>0</v>
      </c>
      <c r="J187" s="34" t="n">
        <f aca="false">MMcfd!N26</f>
        <v>6.28391965634042</v>
      </c>
      <c r="K187" s="34" t="n">
        <f aca="false">MMcfd!O26</f>
        <v>46.9901420819918</v>
      </c>
      <c r="L187" s="34" t="n">
        <f aca="false">MMcfd!P26</f>
        <v>2257.29036305609</v>
      </c>
    </row>
    <row r="188" customFormat="false" ht="15" hidden="false" customHeight="true" outlineLevel="0" collapsed="false">
      <c r="A188" s="16" t="n">
        <v>2039</v>
      </c>
      <c r="B188" s="31" t="s">
        <v>41</v>
      </c>
      <c r="C188" s="31" t="s">
        <v>48</v>
      </c>
      <c r="D188" s="32" t="n">
        <f aca="false">SISEPUEDE!J20</f>
        <v>7.76946742247707</v>
      </c>
      <c r="E188" s="31" t="s">
        <v>84</v>
      </c>
      <c r="F188" s="31" t="s">
        <v>85</v>
      </c>
      <c r="H188" s="16" t="n">
        <v>2046</v>
      </c>
      <c r="I188" s="34" t="n">
        <f aca="false">MMcfd!M27</f>
        <v>0</v>
      </c>
      <c r="J188" s="34" t="n">
        <f aca="false">MMcfd!N27</f>
        <v>2.74891999346242</v>
      </c>
      <c r="K188" s="34" t="n">
        <f aca="false">MMcfd!O27</f>
        <v>30.6478491581659</v>
      </c>
      <c r="L188" s="34" t="n">
        <f aca="false">MMcfd!P27</f>
        <v>2359.42452214734</v>
      </c>
    </row>
    <row r="189" customFormat="false" ht="15" hidden="false" customHeight="true" outlineLevel="0" collapsed="false">
      <c r="A189" s="16" t="n">
        <v>2040</v>
      </c>
      <c r="B189" s="31" t="s">
        <v>41</v>
      </c>
      <c r="C189" s="31" t="s">
        <v>48</v>
      </c>
      <c r="D189" s="32" t="n">
        <f aca="false">SISEPUEDE!J21</f>
        <v>8.352466938085</v>
      </c>
      <c r="E189" s="31" t="s">
        <v>84</v>
      </c>
      <c r="F189" s="31" t="s">
        <v>85</v>
      </c>
      <c r="H189" s="16" t="n">
        <v>2047</v>
      </c>
      <c r="I189" s="34" t="n">
        <f aca="false">MMcfd!M28</f>
        <v>0</v>
      </c>
      <c r="J189" s="34" t="n">
        <f aca="false">MMcfd!N28</f>
        <v>0.227701058905344</v>
      </c>
      <c r="K189" s="34" t="n">
        <f aca="false">MMcfd!O28</f>
        <v>12.9545476498904</v>
      </c>
      <c r="L189" s="34" t="n">
        <f aca="false">MMcfd!P28</f>
        <v>2462.11391071682</v>
      </c>
    </row>
    <row r="190" customFormat="false" ht="15" hidden="false" customHeight="true" outlineLevel="0" collapsed="false">
      <c r="A190" s="16" t="n">
        <v>2041</v>
      </c>
      <c r="B190" s="31" t="s">
        <v>41</v>
      </c>
      <c r="C190" s="31" t="s">
        <v>48</v>
      </c>
      <c r="D190" s="32" t="n">
        <f aca="false">SISEPUEDE!J22</f>
        <v>8.9461373355719</v>
      </c>
      <c r="E190" s="31" t="s">
        <v>84</v>
      </c>
      <c r="F190" s="31" t="s">
        <v>85</v>
      </c>
      <c r="H190" s="16" t="n">
        <v>2048</v>
      </c>
      <c r="I190" s="34" t="n">
        <f aca="false">MMcfd!M29</f>
        <v>0</v>
      </c>
      <c r="J190" s="34" t="n">
        <f aca="false">MMcfd!N29</f>
        <v>0</v>
      </c>
      <c r="K190" s="34" t="n">
        <f aca="false">MMcfd!O29</f>
        <v>4.17010639082487</v>
      </c>
      <c r="L190" s="34" t="n">
        <f aca="false">MMcfd!P29</f>
        <v>2553.74814267787</v>
      </c>
    </row>
    <row r="191" customFormat="false" ht="15" hidden="false" customHeight="true" outlineLevel="0" collapsed="false">
      <c r="A191" s="16" t="n">
        <v>2042</v>
      </c>
      <c r="B191" s="31" t="s">
        <v>41</v>
      </c>
      <c r="C191" s="31" t="s">
        <v>48</v>
      </c>
      <c r="D191" s="32" t="n">
        <f aca="false">SISEPUEDE!J23</f>
        <v>9.54924279050629</v>
      </c>
      <c r="E191" s="31" t="s">
        <v>84</v>
      </c>
      <c r="F191" s="31" t="s">
        <v>85</v>
      </c>
      <c r="H191" s="16" t="n">
        <v>2049</v>
      </c>
      <c r="I191" s="34" t="n">
        <f aca="false">MMcfd!M30</f>
        <v>0</v>
      </c>
      <c r="J191" s="34" t="n">
        <f aca="false">MMcfd!N30</f>
        <v>0</v>
      </c>
      <c r="K191" s="34" t="n">
        <f aca="false">MMcfd!O30</f>
        <v>1.73480259571981</v>
      </c>
      <c r="L191" s="34" t="n">
        <f aca="false">MMcfd!P30</f>
        <v>2638.88795718698</v>
      </c>
    </row>
    <row r="192" customFormat="false" ht="15" hidden="false" customHeight="true" outlineLevel="0" collapsed="false">
      <c r="A192" s="16" t="n">
        <v>2043</v>
      </c>
      <c r="B192" s="31" t="s">
        <v>41</v>
      </c>
      <c r="C192" s="31" t="s">
        <v>48</v>
      </c>
      <c r="D192" s="32" t="n">
        <f aca="false">SISEPUEDE!J24</f>
        <v>10.1603687633864</v>
      </c>
      <c r="E192" s="31" t="s">
        <v>84</v>
      </c>
      <c r="F192" s="31" t="s">
        <v>85</v>
      </c>
      <c r="H192" s="16" t="n">
        <v>2050</v>
      </c>
      <c r="I192" s="34" t="n">
        <f aca="false">MMcfd!M31</f>
        <v>0</v>
      </c>
      <c r="J192" s="34" t="n">
        <f aca="false">MMcfd!N31</f>
        <v>0</v>
      </c>
      <c r="K192" s="34" t="n">
        <f aca="false">MMcfd!O31</f>
        <v>1.73480259571981</v>
      </c>
      <c r="L192" s="34" t="n">
        <f aca="false">MMcfd!P31</f>
        <v>2637.82792981855</v>
      </c>
    </row>
    <row r="193" customFormat="false" ht="15" hidden="false" customHeight="true" outlineLevel="0" collapsed="false">
      <c r="A193" s="16" t="n">
        <v>2044</v>
      </c>
      <c r="B193" s="31" t="s">
        <v>41</v>
      </c>
      <c r="C193" s="31" t="s">
        <v>48</v>
      </c>
      <c r="D193" s="32" t="n">
        <f aca="false">SISEPUEDE!J25</f>
        <v>10.778192620057</v>
      </c>
      <c r="E193" s="31" t="s">
        <v>84</v>
      </c>
      <c r="F193" s="31" t="s">
        <v>85</v>
      </c>
    </row>
    <row r="194" customFormat="false" ht="15" hidden="false" customHeight="true" outlineLevel="0" collapsed="false">
      <c r="A194" s="16" t="n">
        <v>2045</v>
      </c>
      <c r="B194" s="31" t="s">
        <v>41</v>
      </c>
      <c r="C194" s="31" t="s">
        <v>48</v>
      </c>
      <c r="D194" s="32" t="n">
        <f aca="false">SISEPUEDE!J26</f>
        <v>11.4013975411227</v>
      </c>
      <c r="E194" s="31" t="s">
        <v>84</v>
      </c>
      <c r="F194" s="31" t="s">
        <v>85</v>
      </c>
    </row>
    <row r="195" customFormat="false" ht="15" hidden="false" customHeight="true" outlineLevel="0" collapsed="false">
      <c r="A195" s="16" t="n">
        <v>2046</v>
      </c>
      <c r="B195" s="31" t="s">
        <v>41</v>
      </c>
      <c r="C195" s="31" t="s">
        <v>48</v>
      </c>
      <c r="D195" s="32" t="n">
        <f aca="false">SISEPUEDE!J27</f>
        <v>12.0286741005505</v>
      </c>
      <c r="E195" s="31" t="s">
        <v>84</v>
      </c>
      <c r="F195" s="31" t="s">
        <v>85</v>
      </c>
    </row>
    <row r="196" customFormat="false" ht="15" hidden="false" customHeight="true" outlineLevel="0" collapsed="false">
      <c r="A196" s="16" t="n">
        <v>2047</v>
      </c>
      <c r="B196" s="31" t="s">
        <v>41</v>
      </c>
      <c r="C196" s="31" t="s">
        <v>48</v>
      </c>
      <c r="D196" s="32" t="n">
        <f aca="false">SISEPUEDE!J28</f>
        <v>12.6588170031905</v>
      </c>
      <c r="E196" s="31" t="s">
        <v>84</v>
      </c>
      <c r="F196" s="31" t="s">
        <v>85</v>
      </c>
    </row>
    <row r="197" customFormat="false" ht="15" hidden="false" customHeight="true" outlineLevel="0" collapsed="false">
      <c r="A197" s="16" t="n">
        <v>2048</v>
      </c>
      <c r="B197" s="31" t="s">
        <v>41</v>
      </c>
      <c r="C197" s="31" t="s">
        <v>48</v>
      </c>
      <c r="D197" s="32" t="n">
        <f aca="false">SISEPUEDE!J29</f>
        <v>13.2907709727777</v>
      </c>
      <c r="E197" s="31" t="s">
        <v>84</v>
      </c>
      <c r="F197" s="31" t="s">
        <v>85</v>
      </c>
    </row>
    <row r="198" customFormat="false" ht="15" hidden="false" customHeight="true" outlineLevel="0" collapsed="false">
      <c r="A198" s="16" t="n">
        <v>2049</v>
      </c>
      <c r="B198" s="31" t="s">
        <v>41</v>
      </c>
      <c r="C198" s="31" t="s">
        <v>48</v>
      </c>
      <c r="D198" s="32" t="n">
        <f aca="false">SISEPUEDE!J30</f>
        <v>13.9236762140265</v>
      </c>
      <c r="E198" s="31" t="s">
        <v>84</v>
      </c>
      <c r="F198" s="31" t="s">
        <v>85</v>
      </c>
    </row>
    <row r="199" customFormat="false" ht="15" hidden="false" customHeight="true" outlineLevel="0" collapsed="false">
      <c r="A199" s="16" t="n">
        <v>2050</v>
      </c>
      <c r="B199" s="31" t="s">
        <v>41</v>
      </c>
      <c r="C199" s="31" t="s">
        <v>48</v>
      </c>
      <c r="D199" s="32" t="n">
        <f aca="false">SISEPUEDE!J31</f>
        <v>13.9236762140265</v>
      </c>
      <c r="E199" s="31" t="s">
        <v>84</v>
      </c>
      <c r="F199" s="31" t="s">
        <v>85</v>
      </c>
    </row>
    <row r="200" customFormat="false" ht="15" hidden="false" customHeight="true" outlineLevel="0" collapsed="false">
      <c r="A200" s="16" t="n">
        <v>2023</v>
      </c>
      <c r="B200" s="31" t="s">
        <v>42</v>
      </c>
      <c r="C200" s="31" t="s">
        <v>44</v>
      </c>
      <c r="D200" s="32" t="n">
        <f aca="false">SISEPUEDE!M4</f>
        <v>5.07640740742145</v>
      </c>
      <c r="E200" s="31" t="s">
        <v>84</v>
      </c>
      <c r="F200" s="31" t="s">
        <v>85</v>
      </c>
    </row>
    <row r="201" customFormat="false" ht="15" hidden="false" customHeight="true" outlineLevel="0" collapsed="false">
      <c r="A201" s="16" t="n">
        <v>2024</v>
      </c>
      <c r="B201" s="31" t="s">
        <v>42</v>
      </c>
      <c r="C201" s="31" t="s">
        <v>44</v>
      </c>
      <c r="D201" s="32" t="n">
        <f aca="false">SISEPUEDE!M5</f>
        <v>5.1613834118107</v>
      </c>
      <c r="E201" s="31" t="s">
        <v>84</v>
      </c>
      <c r="F201" s="31" t="s">
        <v>85</v>
      </c>
    </row>
    <row r="202" customFormat="false" ht="15" hidden="false" customHeight="true" outlineLevel="0" collapsed="false">
      <c r="A202" s="16" t="n">
        <v>2025</v>
      </c>
      <c r="B202" s="31" t="s">
        <v>42</v>
      </c>
      <c r="C202" s="31" t="s">
        <v>44</v>
      </c>
      <c r="D202" s="32" t="n">
        <f aca="false">SISEPUEDE!M6</f>
        <v>4.93260601283925</v>
      </c>
      <c r="E202" s="31" t="s">
        <v>84</v>
      </c>
      <c r="F202" s="31" t="s">
        <v>85</v>
      </c>
    </row>
    <row r="203" customFormat="false" ht="15" hidden="false" customHeight="true" outlineLevel="0" collapsed="false">
      <c r="A203" s="16" t="n">
        <v>2026</v>
      </c>
      <c r="B203" s="31" t="s">
        <v>42</v>
      </c>
      <c r="C203" s="31" t="s">
        <v>44</v>
      </c>
      <c r="D203" s="32" t="n">
        <f aca="false">SISEPUEDE!M7</f>
        <v>4.70134907240413</v>
      </c>
      <c r="E203" s="31" t="s">
        <v>84</v>
      </c>
      <c r="F203" s="31" t="s">
        <v>85</v>
      </c>
    </row>
    <row r="204" customFormat="false" ht="15" hidden="false" customHeight="true" outlineLevel="0" collapsed="false">
      <c r="A204" s="16" t="n">
        <v>2027</v>
      </c>
      <c r="B204" s="31" t="s">
        <v>42</v>
      </c>
      <c r="C204" s="31" t="s">
        <v>44</v>
      </c>
      <c r="D204" s="32" t="n">
        <f aca="false">SISEPUEDE!M8</f>
        <v>4.46620558074675</v>
      </c>
      <c r="E204" s="31" t="s">
        <v>84</v>
      </c>
      <c r="F204" s="31" t="s">
        <v>85</v>
      </c>
    </row>
    <row r="205" customFormat="false" ht="15" hidden="false" customHeight="true" outlineLevel="0" collapsed="false">
      <c r="A205" s="16" t="n">
        <v>2028</v>
      </c>
      <c r="B205" s="31" t="s">
        <v>42</v>
      </c>
      <c r="C205" s="31" t="s">
        <v>44</v>
      </c>
      <c r="D205" s="32" t="n">
        <f aca="false">SISEPUEDE!M9</f>
        <v>4.2259580087124</v>
      </c>
      <c r="E205" s="31" t="s">
        <v>84</v>
      </c>
      <c r="F205" s="31" t="s">
        <v>85</v>
      </c>
    </row>
    <row r="206" customFormat="false" ht="15" hidden="false" customHeight="true" outlineLevel="0" collapsed="false">
      <c r="A206" s="16" t="n">
        <v>2029</v>
      </c>
      <c r="B206" s="31" t="s">
        <v>42</v>
      </c>
      <c r="C206" s="31" t="s">
        <v>44</v>
      </c>
      <c r="D206" s="32" t="n">
        <f aca="false">SISEPUEDE!M10</f>
        <v>3.97969154655927</v>
      </c>
      <c r="E206" s="31" t="s">
        <v>84</v>
      </c>
      <c r="F206" s="31" t="s">
        <v>85</v>
      </c>
    </row>
    <row r="207" customFormat="false" ht="15" hidden="false" customHeight="true" outlineLevel="0" collapsed="false">
      <c r="A207" s="16" t="n">
        <v>2030</v>
      </c>
      <c r="B207" s="31" t="s">
        <v>42</v>
      </c>
      <c r="C207" s="31" t="s">
        <v>44</v>
      </c>
      <c r="D207" s="32" t="n">
        <f aca="false">SISEPUEDE!M11</f>
        <v>3.7268765916726</v>
      </c>
      <c r="E207" s="31" t="s">
        <v>84</v>
      </c>
      <c r="F207" s="31" t="s">
        <v>85</v>
      </c>
    </row>
    <row r="208" customFormat="false" ht="15" hidden="false" customHeight="true" outlineLevel="0" collapsed="false">
      <c r="A208" s="16" t="n">
        <v>2031</v>
      </c>
      <c r="B208" s="31" t="s">
        <v>42</v>
      </c>
      <c r="C208" s="31" t="s">
        <v>44</v>
      </c>
      <c r="D208" s="32" t="n">
        <f aca="false">SISEPUEDE!M12</f>
        <v>3.46742173462704</v>
      </c>
      <c r="E208" s="31" t="s">
        <v>84</v>
      </c>
      <c r="F208" s="31" t="s">
        <v>85</v>
      </c>
    </row>
    <row r="209" customFormat="false" ht="15" hidden="false" customHeight="true" outlineLevel="0" collapsed="false">
      <c r="A209" s="16" t="n">
        <v>2032</v>
      </c>
      <c r="B209" s="31" t="s">
        <v>42</v>
      </c>
      <c r="C209" s="31" t="s">
        <v>44</v>
      </c>
      <c r="D209" s="32" t="n">
        <f aca="false">SISEPUEDE!M13</f>
        <v>3.20171632661302</v>
      </c>
      <c r="E209" s="31" t="s">
        <v>84</v>
      </c>
      <c r="F209" s="31" t="s">
        <v>85</v>
      </c>
    </row>
    <row r="210" customFormat="false" ht="15" hidden="false" customHeight="true" outlineLevel="0" collapsed="false">
      <c r="A210" s="16" t="n">
        <v>2033</v>
      </c>
      <c r="B210" s="31" t="s">
        <v>42</v>
      </c>
      <c r="C210" s="31" t="s">
        <v>44</v>
      </c>
      <c r="D210" s="32" t="n">
        <f aca="false">SISEPUEDE!M14</f>
        <v>2.93050926812696</v>
      </c>
      <c r="E210" s="31" t="s">
        <v>84</v>
      </c>
      <c r="F210" s="31" t="s">
        <v>85</v>
      </c>
    </row>
    <row r="211" customFormat="false" ht="15" hidden="false" customHeight="true" outlineLevel="0" collapsed="false">
      <c r="A211" s="16" t="n">
        <v>2034</v>
      </c>
      <c r="B211" s="31" t="s">
        <v>42</v>
      </c>
      <c r="C211" s="31" t="s">
        <v>44</v>
      </c>
      <c r="D211" s="32" t="n">
        <f aca="false">SISEPUEDE!M15</f>
        <v>2.65479940139799</v>
      </c>
      <c r="E211" s="31" t="s">
        <v>84</v>
      </c>
      <c r="F211" s="31" t="s">
        <v>85</v>
      </c>
    </row>
    <row r="212" customFormat="false" ht="15" hidden="false" customHeight="true" outlineLevel="0" collapsed="false">
      <c r="A212" s="16" t="n">
        <v>2035</v>
      </c>
      <c r="B212" s="31" t="s">
        <v>42</v>
      </c>
      <c r="C212" s="31" t="s">
        <v>44</v>
      </c>
      <c r="D212" s="32" t="n">
        <f aca="false">SISEPUEDE!M16</f>
        <v>2.37573748173258</v>
      </c>
      <c r="E212" s="31" t="s">
        <v>84</v>
      </c>
      <c r="F212" s="31" t="s">
        <v>85</v>
      </c>
    </row>
    <row r="213" customFormat="false" ht="15" hidden="false" customHeight="true" outlineLevel="0" collapsed="false">
      <c r="A213" s="16" t="n">
        <v>2036</v>
      </c>
      <c r="B213" s="31" t="s">
        <v>42</v>
      </c>
      <c r="C213" s="31" t="s">
        <v>44</v>
      </c>
      <c r="D213" s="32" t="n">
        <f aca="false">SISEPUEDE!M17</f>
        <v>2.09453949307224</v>
      </c>
      <c r="E213" s="31" t="s">
        <v>84</v>
      </c>
      <c r="F213" s="31" t="s">
        <v>85</v>
      </c>
    </row>
    <row r="214" customFormat="false" ht="15" hidden="false" customHeight="true" outlineLevel="0" collapsed="false">
      <c r="A214" s="16" t="n">
        <v>2037</v>
      </c>
      <c r="B214" s="31" t="s">
        <v>42</v>
      </c>
      <c r="C214" s="31" t="s">
        <v>44</v>
      </c>
      <c r="D214" s="32" t="n">
        <f aca="false">SISEPUEDE!M18</f>
        <v>1.8124108832945</v>
      </c>
      <c r="E214" s="31" t="s">
        <v>84</v>
      </c>
      <c r="F214" s="31" t="s">
        <v>85</v>
      </c>
    </row>
    <row r="215" customFormat="false" ht="15" hidden="false" customHeight="true" outlineLevel="0" collapsed="false">
      <c r="A215" s="16" t="n">
        <v>2038</v>
      </c>
      <c r="B215" s="31" t="s">
        <v>42</v>
      </c>
      <c r="C215" s="31" t="s">
        <v>44</v>
      </c>
      <c r="D215" s="32" t="n">
        <f aca="false">SISEPUEDE!M19</f>
        <v>1.53047778672359</v>
      </c>
      <c r="E215" s="31" t="s">
        <v>84</v>
      </c>
      <c r="F215" s="31" t="s">
        <v>85</v>
      </c>
    </row>
    <row r="216" customFormat="false" ht="15" hidden="false" customHeight="true" outlineLevel="0" collapsed="false">
      <c r="A216" s="16" t="n">
        <v>2039</v>
      </c>
      <c r="B216" s="31" t="s">
        <v>42</v>
      </c>
      <c r="C216" s="31" t="s">
        <v>44</v>
      </c>
      <c r="D216" s="32" t="n">
        <f aca="false">SISEPUEDE!M20</f>
        <v>1.24972987449971</v>
      </c>
      <c r="E216" s="31" t="s">
        <v>84</v>
      </c>
      <c r="F216" s="31" t="s">
        <v>85</v>
      </c>
    </row>
    <row r="217" customFormat="false" ht="15" hidden="false" customHeight="true" outlineLevel="0" collapsed="false">
      <c r="A217" s="16" t="n">
        <v>2040</v>
      </c>
      <c r="B217" s="31" t="s">
        <v>42</v>
      </c>
      <c r="C217" s="31" t="s">
        <v>44</v>
      </c>
      <c r="D217" s="32" t="n">
        <f aca="false">SISEPUEDE!M21</f>
        <v>0.970972978467209</v>
      </c>
      <c r="E217" s="31" t="s">
        <v>84</v>
      </c>
      <c r="F217" s="31" t="s">
        <v>85</v>
      </c>
    </row>
    <row r="218" customFormat="false" ht="15" hidden="false" customHeight="true" outlineLevel="0" collapsed="false">
      <c r="A218" s="16" t="n">
        <v>2041</v>
      </c>
      <c r="B218" s="31" t="s">
        <v>42</v>
      </c>
      <c r="C218" s="31" t="s">
        <v>44</v>
      </c>
      <c r="D218" s="32" t="n">
        <f aca="false">SISEPUEDE!M22</f>
        <v>0.694788501153321</v>
      </c>
      <c r="E218" s="31" t="s">
        <v>84</v>
      </c>
      <c r="F218" s="31" t="s">
        <v>85</v>
      </c>
    </row>
    <row r="219" customFormat="false" ht="15" hidden="false" customHeight="true" outlineLevel="0" collapsed="false">
      <c r="A219" s="16" t="n">
        <v>2042</v>
      </c>
      <c r="B219" s="31" t="s">
        <v>42</v>
      </c>
      <c r="C219" s="31" t="s">
        <v>44</v>
      </c>
      <c r="D219" s="32" t="n">
        <f aca="false">SISEPUEDE!M23</f>
        <v>0.421495157738018</v>
      </c>
      <c r="E219" s="31" t="s">
        <v>84</v>
      </c>
      <c r="F219" s="31" t="s">
        <v>85</v>
      </c>
    </row>
    <row r="220" customFormat="false" ht="15" hidden="false" customHeight="true" outlineLevel="0" collapsed="false">
      <c r="A220" s="16" t="n">
        <v>2043</v>
      </c>
      <c r="B220" s="31" t="s">
        <v>42</v>
      </c>
      <c r="C220" s="31" t="s">
        <v>44</v>
      </c>
      <c r="D220" s="32" t="n">
        <f aca="false">SISEPUEDE!M24</f>
        <v>0.151073916496975</v>
      </c>
      <c r="E220" s="31" t="s">
        <v>84</v>
      </c>
      <c r="F220" s="31" t="s">
        <v>85</v>
      </c>
    </row>
    <row r="221" customFormat="false" ht="15" hidden="false" customHeight="true" outlineLevel="0" collapsed="false">
      <c r="A221" s="16" t="n">
        <v>2044</v>
      </c>
      <c r="B221" s="31" t="s">
        <v>42</v>
      </c>
      <c r="C221" s="31" t="s">
        <v>44</v>
      </c>
      <c r="D221" s="32" t="n">
        <f aca="false">SISEPUEDE!M25</f>
        <v>0</v>
      </c>
      <c r="E221" s="31" t="s">
        <v>84</v>
      </c>
      <c r="F221" s="31" t="s">
        <v>85</v>
      </c>
    </row>
    <row r="222" customFormat="false" ht="15" hidden="false" customHeight="true" outlineLevel="0" collapsed="false">
      <c r="A222" s="16" t="n">
        <v>2045</v>
      </c>
      <c r="B222" s="31" t="s">
        <v>42</v>
      </c>
      <c r="C222" s="31" t="s">
        <v>44</v>
      </c>
      <c r="D222" s="32" t="n">
        <f aca="false">SISEPUEDE!M26</f>
        <v>0</v>
      </c>
      <c r="E222" s="31" t="s">
        <v>84</v>
      </c>
      <c r="F222" s="31" t="s">
        <v>85</v>
      </c>
    </row>
    <row r="223" customFormat="false" ht="15" hidden="false" customHeight="true" outlineLevel="0" collapsed="false">
      <c r="A223" s="16" t="n">
        <v>2046</v>
      </c>
      <c r="B223" s="31" t="s">
        <v>42</v>
      </c>
      <c r="C223" s="31" t="s">
        <v>44</v>
      </c>
      <c r="D223" s="32" t="n">
        <f aca="false">SISEPUEDE!M27</f>
        <v>0</v>
      </c>
      <c r="E223" s="31" t="s">
        <v>84</v>
      </c>
      <c r="F223" s="31" t="s">
        <v>85</v>
      </c>
    </row>
    <row r="224" customFormat="false" ht="15" hidden="false" customHeight="true" outlineLevel="0" collapsed="false">
      <c r="A224" s="16" t="n">
        <v>2047</v>
      </c>
      <c r="B224" s="31" t="s">
        <v>42</v>
      </c>
      <c r="C224" s="31" t="s">
        <v>44</v>
      </c>
      <c r="D224" s="32" t="n">
        <f aca="false">SISEPUEDE!M28</f>
        <v>0</v>
      </c>
      <c r="E224" s="31" t="s">
        <v>84</v>
      </c>
      <c r="F224" s="31" t="s">
        <v>85</v>
      </c>
    </row>
    <row r="225" customFormat="false" ht="15" hidden="false" customHeight="true" outlineLevel="0" collapsed="false">
      <c r="A225" s="16" t="n">
        <v>2048</v>
      </c>
      <c r="B225" s="31" t="s">
        <v>42</v>
      </c>
      <c r="C225" s="31" t="s">
        <v>44</v>
      </c>
      <c r="D225" s="32" t="n">
        <f aca="false">SISEPUEDE!M29</f>
        <v>0</v>
      </c>
      <c r="E225" s="31" t="s">
        <v>84</v>
      </c>
      <c r="F225" s="31" t="s">
        <v>85</v>
      </c>
    </row>
    <row r="226" customFormat="false" ht="15" hidden="false" customHeight="true" outlineLevel="0" collapsed="false">
      <c r="A226" s="16" t="n">
        <v>2049</v>
      </c>
      <c r="B226" s="31" t="s">
        <v>42</v>
      </c>
      <c r="C226" s="31" t="s">
        <v>44</v>
      </c>
      <c r="D226" s="32" t="n">
        <f aca="false">SISEPUEDE!M30</f>
        <v>0</v>
      </c>
      <c r="E226" s="31" t="s">
        <v>84</v>
      </c>
      <c r="F226" s="31" t="s">
        <v>85</v>
      </c>
    </row>
    <row r="227" customFormat="false" ht="15" hidden="false" customHeight="true" outlineLevel="0" collapsed="false">
      <c r="A227" s="16" t="n">
        <v>2050</v>
      </c>
      <c r="B227" s="31" t="s">
        <v>42</v>
      </c>
      <c r="C227" s="31" t="s">
        <v>44</v>
      </c>
      <c r="D227" s="32" t="n">
        <f aca="false">SISEPUEDE!M31</f>
        <v>0</v>
      </c>
      <c r="E227" s="31" t="s">
        <v>84</v>
      </c>
      <c r="F227" s="31" t="s">
        <v>85</v>
      </c>
    </row>
    <row r="228" customFormat="false" ht="15" hidden="false" customHeight="true" outlineLevel="0" collapsed="false">
      <c r="A228" s="16" t="n">
        <v>2023</v>
      </c>
      <c r="B228" s="31" t="s">
        <v>42</v>
      </c>
      <c r="C228" s="31" t="s">
        <v>45</v>
      </c>
      <c r="D228" s="32" t="n">
        <f aca="false">SISEPUEDE!N4</f>
        <v>15.6842553382928</v>
      </c>
      <c r="E228" s="31" t="s">
        <v>84</v>
      </c>
      <c r="F228" s="31" t="s">
        <v>85</v>
      </c>
    </row>
    <row r="229" customFormat="false" ht="15" hidden="false" customHeight="true" outlineLevel="0" collapsed="false">
      <c r="A229" s="16" t="n">
        <v>2024</v>
      </c>
      <c r="B229" s="31" t="s">
        <v>42</v>
      </c>
      <c r="C229" s="31" t="s">
        <v>45</v>
      </c>
      <c r="D229" s="32" t="n">
        <f aca="false">SISEPUEDE!N5</f>
        <v>14.9901828003279</v>
      </c>
      <c r="E229" s="31" t="s">
        <v>84</v>
      </c>
      <c r="F229" s="31" t="s">
        <v>85</v>
      </c>
    </row>
    <row r="230" customFormat="false" ht="15" hidden="false" customHeight="true" outlineLevel="0" collapsed="false">
      <c r="A230" s="16" t="n">
        <v>2025</v>
      </c>
      <c r="B230" s="31" t="s">
        <v>42</v>
      </c>
      <c r="C230" s="31" t="s">
        <v>45</v>
      </c>
      <c r="D230" s="32" t="n">
        <f aca="false">SISEPUEDE!N6</f>
        <v>14.9917108364193</v>
      </c>
      <c r="E230" s="31" t="s">
        <v>84</v>
      </c>
      <c r="F230" s="31" t="s">
        <v>85</v>
      </c>
    </row>
    <row r="231" customFormat="false" ht="15" hidden="false" customHeight="true" outlineLevel="0" collapsed="false">
      <c r="A231" s="16" t="n">
        <v>2026</v>
      </c>
      <c r="B231" s="31" t="s">
        <v>42</v>
      </c>
      <c r="C231" s="31" t="s">
        <v>45</v>
      </c>
      <c r="D231" s="32" t="n">
        <f aca="false">SISEPUEDE!N7</f>
        <v>14.981681305764</v>
      </c>
      <c r="E231" s="31" t="s">
        <v>84</v>
      </c>
      <c r="F231" s="31" t="s">
        <v>85</v>
      </c>
    </row>
    <row r="232" customFormat="false" ht="15" hidden="false" customHeight="true" outlineLevel="0" collapsed="false">
      <c r="A232" s="16" t="n">
        <v>2027</v>
      </c>
      <c r="B232" s="31" t="s">
        <v>42</v>
      </c>
      <c r="C232" s="31" t="s">
        <v>45</v>
      </c>
      <c r="D232" s="32" t="n">
        <f aca="false">SISEPUEDE!N8</f>
        <v>14.9498049612511</v>
      </c>
      <c r="E232" s="31" t="s">
        <v>84</v>
      </c>
      <c r="F232" s="31" t="s">
        <v>85</v>
      </c>
    </row>
    <row r="233" customFormat="false" ht="15" hidden="false" customHeight="true" outlineLevel="0" collapsed="false">
      <c r="A233" s="16" t="n">
        <v>2028</v>
      </c>
      <c r="B233" s="31" t="s">
        <v>42</v>
      </c>
      <c r="C233" s="31" t="s">
        <v>45</v>
      </c>
      <c r="D233" s="32" t="n">
        <f aca="false">SISEPUEDE!N9</f>
        <v>14.8846390712571</v>
      </c>
      <c r="E233" s="31" t="s">
        <v>84</v>
      </c>
      <c r="F233" s="31" t="s">
        <v>85</v>
      </c>
    </row>
    <row r="234" customFormat="false" ht="15" hidden="false" customHeight="true" outlineLevel="0" collapsed="false">
      <c r="A234" s="16" t="n">
        <v>2029</v>
      </c>
      <c r="B234" s="31" t="s">
        <v>42</v>
      </c>
      <c r="C234" s="31" t="s">
        <v>45</v>
      </c>
      <c r="D234" s="32" t="n">
        <f aca="false">SISEPUEDE!N10</f>
        <v>14.77436728874</v>
      </c>
      <c r="E234" s="31" t="s">
        <v>84</v>
      </c>
      <c r="F234" s="31" t="s">
        <v>85</v>
      </c>
    </row>
    <row r="235" customFormat="false" ht="15" hidden="false" customHeight="true" outlineLevel="0" collapsed="false">
      <c r="A235" s="16" t="n">
        <v>2030</v>
      </c>
      <c r="B235" s="31" t="s">
        <v>42</v>
      </c>
      <c r="C235" s="31" t="s">
        <v>45</v>
      </c>
      <c r="D235" s="32" t="n">
        <f aca="false">SISEPUEDE!N11</f>
        <v>14.6075659701891</v>
      </c>
      <c r="E235" s="31" t="s">
        <v>84</v>
      </c>
      <c r="F235" s="31" t="s">
        <v>85</v>
      </c>
    </row>
    <row r="236" customFormat="false" ht="15" hidden="false" customHeight="true" outlineLevel="0" collapsed="false">
      <c r="A236" s="16" t="n">
        <v>2031</v>
      </c>
      <c r="B236" s="31" t="s">
        <v>42</v>
      </c>
      <c r="C236" s="31" t="s">
        <v>45</v>
      </c>
      <c r="D236" s="32" t="n">
        <f aca="false">SISEPUEDE!N12</f>
        <v>14.3739492820739</v>
      </c>
      <c r="E236" s="31" t="s">
        <v>84</v>
      </c>
      <c r="F236" s="31" t="s">
        <v>85</v>
      </c>
    </row>
    <row r="237" customFormat="false" ht="15" hidden="false" customHeight="true" outlineLevel="0" collapsed="false">
      <c r="A237" s="16" t="n">
        <v>2032</v>
      </c>
      <c r="B237" s="31" t="s">
        <v>42</v>
      </c>
      <c r="C237" s="31" t="s">
        <v>45</v>
      </c>
      <c r="D237" s="32" t="n">
        <f aca="false">SISEPUEDE!N13</f>
        <v>14.0650892872354</v>
      </c>
      <c r="E237" s="31" t="s">
        <v>84</v>
      </c>
      <c r="F237" s="31" t="s">
        <v>85</v>
      </c>
    </row>
    <row r="238" customFormat="false" ht="15" hidden="false" customHeight="true" outlineLevel="0" collapsed="false">
      <c r="A238" s="16" t="n">
        <v>2033</v>
      </c>
      <c r="B238" s="31" t="s">
        <v>42</v>
      </c>
      <c r="C238" s="31" t="s">
        <v>45</v>
      </c>
      <c r="D238" s="32" t="n">
        <f aca="false">SISEPUEDE!N14</f>
        <v>13.6744961805388</v>
      </c>
      <c r="E238" s="31" t="s">
        <v>84</v>
      </c>
      <c r="F238" s="31" t="s">
        <v>85</v>
      </c>
    </row>
    <row r="239" customFormat="false" ht="15" hidden="false" customHeight="true" outlineLevel="0" collapsed="false">
      <c r="A239" s="16" t="n">
        <v>2034</v>
      </c>
      <c r="B239" s="31" t="s">
        <v>42</v>
      </c>
      <c r="C239" s="31" t="s">
        <v>45</v>
      </c>
      <c r="D239" s="32" t="n">
        <f aca="false">SISEPUEDE!N15</f>
        <v>13.1976888900301</v>
      </c>
      <c r="E239" s="31" t="s">
        <v>84</v>
      </c>
      <c r="F239" s="31" t="s">
        <v>85</v>
      </c>
    </row>
    <row r="240" customFormat="false" ht="15" hidden="false" customHeight="true" outlineLevel="0" collapsed="false">
      <c r="A240" s="16" t="n">
        <v>2035</v>
      </c>
      <c r="B240" s="31" t="s">
        <v>42</v>
      </c>
      <c r="C240" s="31" t="s">
        <v>45</v>
      </c>
      <c r="D240" s="32" t="n">
        <f aca="false">SISEPUEDE!N16</f>
        <v>12.6322575703387</v>
      </c>
      <c r="E240" s="31" t="s">
        <v>84</v>
      </c>
      <c r="F240" s="31" t="s">
        <v>85</v>
      </c>
    </row>
    <row r="241" customFormat="false" ht="15" hidden="false" customHeight="true" outlineLevel="0" collapsed="false">
      <c r="A241" s="16" t="n">
        <v>2036</v>
      </c>
      <c r="B241" s="31" t="s">
        <v>42</v>
      </c>
      <c r="C241" s="31" t="s">
        <v>45</v>
      </c>
      <c r="D241" s="32" t="n">
        <f aca="false">SISEPUEDE!N17</f>
        <v>11.9779181495447</v>
      </c>
      <c r="E241" s="31" t="s">
        <v>84</v>
      </c>
      <c r="F241" s="31" t="s">
        <v>85</v>
      </c>
    </row>
    <row r="242" customFormat="false" ht="15" hidden="false" customHeight="true" outlineLevel="0" collapsed="false">
      <c r="A242" s="16" t="n">
        <v>2037</v>
      </c>
      <c r="B242" s="31" t="s">
        <v>42</v>
      </c>
      <c r="C242" s="31" t="s">
        <v>45</v>
      </c>
      <c r="D242" s="32" t="n">
        <f aca="false">SISEPUEDE!N18</f>
        <v>11.2365577461733</v>
      </c>
      <c r="E242" s="31" t="s">
        <v>84</v>
      </c>
      <c r="F242" s="31" t="s">
        <v>85</v>
      </c>
    </row>
    <row r="243" customFormat="false" ht="15" hidden="false" customHeight="true" outlineLevel="0" collapsed="false">
      <c r="A243" s="16" t="n">
        <v>2038</v>
      </c>
      <c r="B243" s="31" t="s">
        <v>42</v>
      </c>
      <c r="C243" s="31" t="s">
        <v>45</v>
      </c>
      <c r="D243" s="32" t="n">
        <f aca="false">SISEPUEDE!N19</f>
        <v>10.4118693749658</v>
      </c>
      <c r="E243" s="31" t="s">
        <v>84</v>
      </c>
      <c r="F243" s="31" t="s">
        <v>85</v>
      </c>
    </row>
    <row r="244" customFormat="false" ht="15" hidden="false" customHeight="true" outlineLevel="0" collapsed="false">
      <c r="A244" s="16" t="n">
        <v>2039</v>
      </c>
      <c r="B244" s="31" t="s">
        <v>42</v>
      </c>
      <c r="C244" s="31" t="s">
        <v>45</v>
      </c>
      <c r="D244" s="32" t="n">
        <f aca="false">SISEPUEDE!N20</f>
        <v>9.50901971311466</v>
      </c>
      <c r="E244" s="31" t="s">
        <v>84</v>
      </c>
      <c r="F244" s="31" t="s">
        <v>85</v>
      </c>
    </row>
    <row r="245" customFormat="false" ht="15" hidden="false" customHeight="true" outlineLevel="0" collapsed="false">
      <c r="A245" s="16" t="n">
        <v>2040</v>
      </c>
      <c r="B245" s="31" t="s">
        <v>42</v>
      </c>
      <c r="C245" s="31" t="s">
        <v>45</v>
      </c>
      <c r="D245" s="32" t="n">
        <f aca="false">SISEPUEDE!N21</f>
        <v>8.5343437094954</v>
      </c>
      <c r="E245" s="31" t="s">
        <v>84</v>
      </c>
      <c r="F245" s="31" t="s">
        <v>85</v>
      </c>
    </row>
    <row r="246" customFormat="false" ht="15" hidden="false" customHeight="true" outlineLevel="0" collapsed="false">
      <c r="A246" s="16" t="n">
        <v>2041</v>
      </c>
      <c r="B246" s="31" t="s">
        <v>42</v>
      </c>
      <c r="C246" s="31" t="s">
        <v>45</v>
      </c>
      <c r="D246" s="32" t="n">
        <f aca="false">SISEPUEDE!N22</f>
        <v>7.49506481222332</v>
      </c>
      <c r="E246" s="31" t="s">
        <v>84</v>
      </c>
      <c r="F246" s="31" t="s">
        <v>85</v>
      </c>
    </row>
    <row r="247" customFormat="false" ht="15" hidden="false" customHeight="true" outlineLevel="0" collapsed="false">
      <c r="A247" s="16" t="n">
        <v>2042</v>
      </c>
      <c r="B247" s="31" t="s">
        <v>42</v>
      </c>
      <c r="C247" s="31" t="s">
        <v>45</v>
      </c>
      <c r="D247" s="32" t="n">
        <f aca="false">SISEPUEDE!N23</f>
        <v>6.39908708515287</v>
      </c>
      <c r="E247" s="31" t="s">
        <v>84</v>
      </c>
      <c r="F247" s="31" t="s">
        <v>85</v>
      </c>
    </row>
    <row r="248" customFormat="false" ht="15" hidden="false" customHeight="true" outlineLevel="0" collapsed="false">
      <c r="A248" s="16" t="n">
        <v>2043</v>
      </c>
      <c r="B248" s="31" t="s">
        <v>42</v>
      </c>
      <c r="C248" s="31" t="s">
        <v>45</v>
      </c>
      <c r="D248" s="32" t="n">
        <f aca="false">SISEPUEDE!N24</f>
        <v>5.25469783268809</v>
      </c>
      <c r="E248" s="31" t="s">
        <v>84</v>
      </c>
      <c r="F248" s="31" t="s">
        <v>85</v>
      </c>
    </row>
    <row r="249" customFormat="false" ht="15" hidden="false" customHeight="true" outlineLevel="0" collapsed="false">
      <c r="A249" s="16" t="n">
        <v>2044</v>
      </c>
      <c r="B249" s="31" t="s">
        <v>42</v>
      </c>
      <c r="C249" s="31" t="s">
        <v>45</v>
      </c>
      <c r="D249" s="32" t="n">
        <f aca="false">SISEPUEDE!N25</f>
        <v>3.97104970840891</v>
      </c>
      <c r="E249" s="31" t="s">
        <v>84</v>
      </c>
      <c r="F249" s="31" t="s">
        <v>85</v>
      </c>
    </row>
    <row r="250" customFormat="false" ht="15" hidden="false" customHeight="true" outlineLevel="0" collapsed="false">
      <c r="A250" s="16" t="n">
        <v>2045</v>
      </c>
      <c r="B250" s="31" t="s">
        <v>42</v>
      </c>
      <c r="C250" s="31" t="s">
        <v>45</v>
      </c>
      <c r="D250" s="32" t="n">
        <f aca="false">SISEPUEDE!N26</f>
        <v>2.53803995924582</v>
      </c>
      <c r="E250" s="31" t="s">
        <v>84</v>
      </c>
      <c r="F250" s="31" t="s">
        <v>85</v>
      </c>
    </row>
    <row r="251" customFormat="false" ht="15" hidden="false" customHeight="true" outlineLevel="0" collapsed="false">
      <c r="A251" s="16" t="n">
        <v>2046</v>
      </c>
      <c r="B251" s="31" t="s">
        <v>42</v>
      </c>
      <c r="C251" s="31" t="s">
        <v>45</v>
      </c>
      <c r="D251" s="32" t="n">
        <f aca="false">SISEPUEDE!N27</f>
        <v>1.11027339140751</v>
      </c>
      <c r="E251" s="31" t="s">
        <v>84</v>
      </c>
      <c r="F251" s="31" t="s">
        <v>85</v>
      </c>
    </row>
    <row r="252" customFormat="false" ht="15" hidden="false" customHeight="true" outlineLevel="0" collapsed="false">
      <c r="A252" s="16" t="n">
        <v>2047</v>
      </c>
      <c r="B252" s="31" t="s">
        <v>42</v>
      </c>
      <c r="C252" s="31" t="s">
        <v>45</v>
      </c>
      <c r="D252" s="32" t="n">
        <f aca="false">SISEPUEDE!N28</f>
        <v>0.0919671825659387</v>
      </c>
      <c r="E252" s="31" t="s">
        <v>84</v>
      </c>
      <c r="F252" s="31" t="s">
        <v>85</v>
      </c>
    </row>
    <row r="253" customFormat="false" ht="15" hidden="false" customHeight="true" outlineLevel="0" collapsed="false">
      <c r="A253" s="16" t="n">
        <v>2048</v>
      </c>
      <c r="B253" s="31" t="s">
        <v>42</v>
      </c>
      <c r="C253" s="31" t="s">
        <v>45</v>
      </c>
      <c r="D253" s="32" t="n">
        <f aca="false">SISEPUEDE!N29</f>
        <v>0</v>
      </c>
      <c r="E253" s="31" t="s">
        <v>84</v>
      </c>
      <c r="F253" s="31" t="s">
        <v>85</v>
      </c>
    </row>
    <row r="254" customFormat="false" ht="15" hidden="false" customHeight="true" outlineLevel="0" collapsed="false">
      <c r="A254" s="16" t="n">
        <v>2049</v>
      </c>
      <c r="B254" s="31" t="s">
        <v>42</v>
      </c>
      <c r="C254" s="31" t="s">
        <v>45</v>
      </c>
      <c r="D254" s="32" t="n">
        <f aca="false">SISEPUEDE!N30</f>
        <v>0</v>
      </c>
      <c r="E254" s="31" t="s">
        <v>84</v>
      </c>
      <c r="F254" s="31" t="s">
        <v>85</v>
      </c>
    </row>
    <row r="255" customFormat="false" ht="15" hidden="false" customHeight="true" outlineLevel="0" collapsed="false">
      <c r="A255" s="16" t="n">
        <v>2050</v>
      </c>
      <c r="B255" s="31" t="s">
        <v>42</v>
      </c>
      <c r="C255" s="31" t="s">
        <v>45</v>
      </c>
      <c r="D255" s="32" t="n">
        <f aca="false">SISEPUEDE!N31</f>
        <v>0</v>
      </c>
      <c r="E255" s="31" t="s">
        <v>84</v>
      </c>
      <c r="F255" s="31" t="s">
        <v>85</v>
      </c>
    </row>
    <row r="256" customFormat="false" ht="15" hidden="false" customHeight="true" outlineLevel="0" collapsed="false">
      <c r="A256" s="16" t="n">
        <v>2023</v>
      </c>
      <c r="B256" s="31" t="s">
        <v>42</v>
      </c>
      <c r="C256" s="31" t="s">
        <v>46</v>
      </c>
      <c r="D256" s="32" t="n">
        <f aca="false">SISEPUEDE!O4</f>
        <v>6.26733725428572</v>
      </c>
      <c r="E256" s="31" t="s">
        <v>84</v>
      </c>
      <c r="F256" s="31" t="s">
        <v>85</v>
      </c>
    </row>
    <row r="257" customFormat="false" ht="15" hidden="false" customHeight="true" outlineLevel="0" collapsed="false">
      <c r="A257" s="16" t="n">
        <v>2024</v>
      </c>
      <c r="B257" s="31" t="s">
        <v>42</v>
      </c>
      <c r="C257" s="31" t="s">
        <v>46</v>
      </c>
      <c r="D257" s="32" t="n">
        <f aca="false">SISEPUEDE!O5</f>
        <v>6.27727571138163</v>
      </c>
      <c r="E257" s="31" t="s">
        <v>84</v>
      </c>
      <c r="F257" s="31" t="s">
        <v>85</v>
      </c>
    </row>
    <row r="258" customFormat="false" ht="15" hidden="false" customHeight="true" outlineLevel="0" collapsed="false">
      <c r="A258" s="16" t="n">
        <v>2025</v>
      </c>
      <c r="B258" s="31" t="s">
        <v>42</v>
      </c>
      <c r="C258" s="31" t="s">
        <v>46</v>
      </c>
      <c r="D258" s="32" t="n">
        <f aca="false">SISEPUEDE!O6</f>
        <v>5.90074750261989</v>
      </c>
      <c r="E258" s="31" t="s">
        <v>84</v>
      </c>
      <c r="F258" s="31" t="s">
        <v>85</v>
      </c>
    </row>
    <row r="259" customFormat="false" ht="15" hidden="false" customHeight="true" outlineLevel="0" collapsed="false">
      <c r="A259" s="16" t="n">
        <v>2026</v>
      </c>
      <c r="B259" s="31" t="s">
        <v>42</v>
      </c>
      <c r="C259" s="31" t="s">
        <v>46</v>
      </c>
      <c r="D259" s="32" t="n">
        <f aca="false">SISEPUEDE!O7</f>
        <v>5.52410027312733</v>
      </c>
      <c r="E259" s="31" t="s">
        <v>84</v>
      </c>
      <c r="F259" s="31" t="s">
        <v>85</v>
      </c>
    </row>
    <row r="260" customFormat="false" ht="15" hidden="false" customHeight="true" outlineLevel="0" collapsed="false">
      <c r="A260" s="16" t="n">
        <v>2027</v>
      </c>
      <c r="B260" s="31" t="s">
        <v>42</v>
      </c>
      <c r="C260" s="31" t="s">
        <v>46</v>
      </c>
      <c r="D260" s="32" t="n">
        <f aca="false">SISEPUEDE!O8</f>
        <v>5.14819657435067</v>
      </c>
      <c r="E260" s="31" t="s">
        <v>84</v>
      </c>
      <c r="F260" s="31" t="s">
        <v>85</v>
      </c>
    </row>
    <row r="261" customFormat="false" ht="15" hidden="false" customHeight="true" outlineLevel="0" collapsed="false">
      <c r="A261" s="16" t="n">
        <v>2028</v>
      </c>
      <c r="B261" s="31" t="s">
        <v>42</v>
      </c>
      <c r="C261" s="31" t="s">
        <v>46</v>
      </c>
      <c r="D261" s="32" t="n">
        <f aca="false">SISEPUEDE!O9</f>
        <v>4.77449903715161</v>
      </c>
      <c r="E261" s="31" t="s">
        <v>84</v>
      </c>
      <c r="F261" s="31" t="s">
        <v>85</v>
      </c>
    </row>
    <row r="262" customFormat="false" ht="15" hidden="false" customHeight="true" outlineLevel="0" collapsed="false">
      <c r="A262" s="16" t="n">
        <v>2029</v>
      </c>
      <c r="B262" s="31" t="s">
        <v>42</v>
      </c>
      <c r="C262" s="31" t="s">
        <v>46</v>
      </c>
      <c r="D262" s="32" t="n">
        <f aca="false">SISEPUEDE!O10</f>
        <v>4.40501707976397</v>
      </c>
      <c r="E262" s="31" t="s">
        <v>84</v>
      </c>
      <c r="F262" s="31" t="s">
        <v>85</v>
      </c>
    </row>
    <row r="263" customFormat="false" ht="15" hidden="false" customHeight="true" outlineLevel="0" collapsed="false">
      <c r="A263" s="16" t="n">
        <v>2030</v>
      </c>
      <c r="B263" s="31" t="s">
        <v>42</v>
      </c>
      <c r="C263" s="31" t="s">
        <v>46</v>
      </c>
      <c r="D263" s="32" t="n">
        <f aca="false">SISEPUEDE!O11</f>
        <v>4.04221679223758</v>
      </c>
      <c r="E263" s="31" t="s">
        <v>84</v>
      </c>
      <c r="F263" s="31" t="s">
        <v>85</v>
      </c>
    </row>
    <row r="264" customFormat="false" ht="15" hidden="false" customHeight="true" outlineLevel="0" collapsed="false">
      <c r="A264" s="16" t="n">
        <v>2031</v>
      </c>
      <c r="B264" s="31" t="s">
        <v>42</v>
      </c>
      <c r="C264" s="31" t="s">
        <v>46</v>
      </c>
      <c r="D264" s="32" t="n">
        <f aca="false">SISEPUEDE!O12</f>
        <v>3.68889627304874</v>
      </c>
      <c r="E264" s="31" t="s">
        <v>84</v>
      </c>
      <c r="F264" s="31" t="s">
        <v>85</v>
      </c>
    </row>
    <row r="265" customFormat="false" ht="15" hidden="false" customHeight="true" outlineLevel="0" collapsed="false">
      <c r="A265" s="16" t="n">
        <v>2032</v>
      </c>
      <c r="B265" s="31" t="s">
        <v>42</v>
      </c>
      <c r="C265" s="31" t="s">
        <v>46</v>
      </c>
      <c r="D265" s="32" t="n">
        <f aca="false">SISEPUEDE!O13</f>
        <v>3.34803582749697</v>
      </c>
      <c r="E265" s="31" t="s">
        <v>84</v>
      </c>
      <c r="F265" s="31" t="s">
        <v>85</v>
      </c>
    </row>
    <row r="266" customFormat="false" ht="15" hidden="false" customHeight="true" outlineLevel="0" collapsed="false">
      <c r="A266" s="16" t="n">
        <v>2033</v>
      </c>
      <c r="B266" s="31" t="s">
        <v>42</v>
      </c>
      <c r="C266" s="31" t="s">
        <v>46</v>
      </c>
      <c r="D266" s="32" t="n">
        <f aca="false">SISEPUEDE!O14</f>
        <v>3.02253960177787</v>
      </c>
      <c r="E266" s="31" t="s">
        <v>84</v>
      </c>
      <c r="F266" s="31" t="s">
        <v>85</v>
      </c>
    </row>
    <row r="267" customFormat="false" ht="15" hidden="false" customHeight="true" outlineLevel="0" collapsed="false">
      <c r="A267" s="16" t="n">
        <v>2034</v>
      </c>
      <c r="B267" s="31" t="s">
        <v>42</v>
      </c>
      <c r="C267" s="31" t="s">
        <v>46</v>
      </c>
      <c r="D267" s="32" t="n">
        <f aca="false">SISEPUEDE!O15</f>
        <v>2.71499670093887</v>
      </c>
      <c r="E267" s="31" t="s">
        <v>84</v>
      </c>
      <c r="F267" s="31" t="s">
        <v>85</v>
      </c>
    </row>
    <row r="268" customFormat="false" ht="15" hidden="false" customHeight="true" outlineLevel="0" collapsed="false">
      <c r="A268" s="16" t="n">
        <v>2035</v>
      </c>
      <c r="B268" s="31" t="s">
        <v>42</v>
      </c>
      <c r="C268" s="31" t="s">
        <v>46</v>
      </c>
      <c r="D268" s="32" t="n">
        <f aca="false">SISEPUEDE!O16</f>
        <v>2.42746207061574</v>
      </c>
      <c r="E268" s="31" t="s">
        <v>84</v>
      </c>
      <c r="F268" s="31" t="s">
        <v>85</v>
      </c>
    </row>
    <row r="269" customFormat="false" ht="15" hidden="false" customHeight="true" outlineLevel="0" collapsed="false">
      <c r="A269" s="16" t="n">
        <v>2036</v>
      </c>
      <c r="B269" s="31" t="s">
        <v>42</v>
      </c>
      <c r="C269" s="31" t="s">
        <v>46</v>
      </c>
      <c r="D269" s="32" t="n">
        <f aca="false">SISEPUEDE!O17</f>
        <v>2.16125770413282</v>
      </c>
      <c r="E269" s="31" t="s">
        <v>84</v>
      </c>
      <c r="F269" s="31" t="s">
        <v>85</v>
      </c>
    </row>
    <row r="270" customFormat="false" ht="15" hidden="false" customHeight="true" outlineLevel="0" collapsed="false">
      <c r="A270" s="16" t="n">
        <v>2037</v>
      </c>
      <c r="B270" s="31" t="s">
        <v>42</v>
      </c>
      <c r="C270" s="31" t="s">
        <v>46</v>
      </c>
      <c r="D270" s="32" t="n">
        <f aca="false">SISEPUEDE!O18</f>
        <v>1.91679517791358</v>
      </c>
      <c r="E270" s="31" t="s">
        <v>84</v>
      </c>
      <c r="F270" s="31" t="s">
        <v>85</v>
      </c>
    </row>
    <row r="271" customFormat="false" ht="15" hidden="false" customHeight="true" outlineLevel="0" collapsed="false">
      <c r="A271" s="16" t="n">
        <v>2038</v>
      </c>
      <c r="B271" s="31" t="s">
        <v>42</v>
      </c>
      <c r="C271" s="31" t="s">
        <v>46</v>
      </c>
      <c r="D271" s="32" t="n">
        <f aca="false">SISEPUEDE!O19</f>
        <v>1.69373041543658</v>
      </c>
      <c r="E271" s="31" t="s">
        <v>84</v>
      </c>
      <c r="F271" s="31" t="s">
        <v>85</v>
      </c>
    </row>
    <row r="272" customFormat="false" ht="15" hidden="false" customHeight="true" outlineLevel="0" collapsed="false">
      <c r="A272" s="16" t="n">
        <v>2039</v>
      </c>
      <c r="B272" s="31" t="s">
        <v>42</v>
      </c>
      <c r="C272" s="31" t="s">
        <v>46</v>
      </c>
      <c r="D272" s="32" t="n">
        <f aca="false">SISEPUEDE!O20</f>
        <v>1.49110861714849</v>
      </c>
      <c r="E272" s="31" t="s">
        <v>84</v>
      </c>
      <c r="F272" s="31" t="s">
        <v>85</v>
      </c>
    </row>
    <row r="273" customFormat="false" ht="15" hidden="false" customHeight="true" outlineLevel="0" collapsed="false">
      <c r="A273" s="16" t="n">
        <v>2040</v>
      </c>
      <c r="B273" s="31" t="s">
        <v>42</v>
      </c>
      <c r="C273" s="31" t="s">
        <v>46</v>
      </c>
      <c r="D273" s="32" t="n">
        <f aca="false">SISEPUEDE!O21</f>
        <v>1.30749951778061</v>
      </c>
      <c r="E273" s="31" t="s">
        <v>84</v>
      </c>
      <c r="F273" s="31" t="s">
        <v>85</v>
      </c>
    </row>
    <row r="274" customFormat="false" ht="15" hidden="false" customHeight="true" outlineLevel="0" collapsed="false">
      <c r="A274" s="16" t="n">
        <v>2041</v>
      </c>
      <c r="B274" s="31" t="s">
        <v>42</v>
      </c>
      <c r="C274" s="31" t="s">
        <v>46</v>
      </c>
      <c r="D274" s="32" t="n">
        <f aca="false">SISEPUEDE!O22</f>
        <v>1.14112420132327</v>
      </c>
      <c r="E274" s="31" t="s">
        <v>84</v>
      </c>
      <c r="F274" s="31" t="s">
        <v>85</v>
      </c>
    </row>
    <row r="275" customFormat="false" ht="15" hidden="false" customHeight="true" outlineLevel="0" collapsed="false">
      <c r="A275" s="16" t="n">
        <v>2042</v>
      </c>
      <c r="B275" s="31" t="s">
        <v>42</v>
      </c>
      <c r="C275" s="31" t="s">
        <v>46</v>
      </c>
      <c r="D275" s="32" t="n">
        <f aca="false">SISEPUEDE!O23</f>
        <v>0.989984253207358</v>
      </c>
      <c r="E275" s="31" t="s">
        <v>84</v>
      </c>
      <c r="F275" s="31" t="s">
        <v>85</v>
      </c>
    </row>
    <row r="276" customFormat="false" ht="15" hidden="false" customHeight="true" outlineLevel="0" collapsed="false">
      <c r="A276" s="16" t="n">
        <v>2043</v>
      </c>
      <c r="B276" s="31" t="s">
        <v>42</v>
      </c>
      <c r="C276" s="31" t="s">
        <v>46</v>
      </c>
      <c r="D276" s="32" t="n">
        <f aca="false">SISEPUEDE!O24</f>
        <v>0.851979872676624</v>
      </c>
      <c r="E276" s="31" t="s">
        <v>84</v>
      </c>
      <c r="F276" s="31" t="s">
        <v>85</v>
      </c>
    </row>
    <row r="277" customFormat="false" ht="15" hidden="false" customHeight="true" outlineLevel="0" collapsed="false">
      <c r="A277" s="16" t="n">
        <v>2044</v>
      </c>
      <c r="B277" s="31" t="s">
        <v>42</v>
      </c>
      <c r="C277" s="31" t="s">
        <v>46</v>
      </c>
      <c r="D277" s="32" t="n">
        <f aca="false">SISEPUEDE!O25</f>
        <v>0.707384265526366</v>
      </c>
      <c r="E277" s="31" t="s">
        <v>84</v>
      </c>
      <c r="F277" s="31" t="s">
        <v>85</v>
      </c>
    </row>
    <row r="278" customFormat="false" ht="15" hidden="false" customHeight="true" outlineLevel="0" collapsed="false">
      <c r="A278" s="16" t="n">
        <v>2045</v>
      </c>
      <c r="B278" s="31" t="s">
        <v>42</v>
      </c>
      <c r="C278" s="31" t="s">
        <v>46</v>
      </c>
      <c r="D278" s="32" t="n">
        <f aca="false">SISEPUEDE!O26</f>
        <v>0.540269158587701</v>
      </c>
      <c r="E278" s="31" t="s">
        <v>84</v>
      </c>
      <c r="F278" s="31" t="s">
        <v>85</v>
      </c>
    </row>
    <row r="279" customFormat="false" ht="15" hidden="false" customHeight="true" outlineLevel="0" collapsed="false">
      <c r="A279" s="16" t="n">
        <v>2046</v>
      </c>
      <c r="B279" s="31" t="s">
        <v>42</v>
      </c>
      <c r="C279" s="31" t="s">
        <v>46</v>
      </c>
      <c r="D279" s="32" t="n">
        <f aca="false">SISEPUEDE!O27</f>
        <v>0.352373645696012</v>
      </c>
      <c r="E279" s="31" t="s">
        <v>84</v>
      </c>
      <c r="F279" s="31" t="s">
        <v>85</v>
      </c>
    </row>
    <row r="280" customFormat="false" ht="15" hidden="false" customHeight="true" outlineLevel="0" collapsed="false">
      <c r="A280" s="16" t="n">
        <v>2047</v>
      </c>
      <c r="B280" s="31" t="s">
        <v>42</v>
      </c>
      <c r="C280" s="31" t="s">
        <v>46</v>
      </c>
      <c r="D280" s="32" t="n">
        <f aca="false">SISEPUEDE!O28</f>
        <v>0.148944911604615</v>
      </c>
      <c r="E280" s="31" t="s">
        <v>84</v>
      </c>
      <c r="F280" s="31" t="s">
        <v>85</v>
      </c>
    </row>
    <row r="281" customFormat="false" ht="15" hidden="false" customHeight="true" outlineLevel="0" collapsed="false">
      <c r="A281" s="16" t="n">
        <v>2048</v>
      </c>
      <c r="B281" s="31" t="s">
        <v>42</v>
      </c>
      <c r="C281" s="31" t="s">
        <v>46</v>
      </c>
      <c r="D281" s="32" t="n">
        <f aca="false">SISEPUEDE!O29</f>
        <v>0.0479457982285089</v>
      </c>
      <c r="E281" s="31" t="s">
        <v>84</v>
      </c>
      <c r="F281" s="31" t="s">
        <v>85</v>
      </c>
    </row>
    <row r="282" customFormat="false" ht="15" hidden="false" customHeight="true" outlineLevel="0" collapsed="false">
      <c r="A282" s="16" t="n">
        <v>2049</v>
      </c>
      <c r="B282" s="31" t="s">
        <v>42</v>
      </c>
      <c r="C282" s="31" t="s">
        <v>46</v>
      </c>
      <c r="D282" s="32" t="n">
        <f aca="false">SISEPUEDE!O30</f>
        <v>0.0199458928442885</v>
      </c>
      <c r="E282" s="31" t="s">
        <v>84</v>
      </c>
      <c r="F282" s="31" t="s">
        <v>85</v>
      </c>
    </row>
    <row r="283" customFormat="false" ht="15" hidden="false" customHeight="true" outlineLevel="0" collapsed="false">
      <c r="A283" s="16" t="n">
        <v>2050</v>
      </c>
      <c r="B283" s="31" t="s">
        <v>42</v>
      </c>
      <c r="C283" s="31" t="s">
        <v>46</v>
      </c>
      <c r="D283" s="32" t="n">
        <f aca="false">SISEPUEDE!O31</f>
        <v>0.0199458928442885</v>
      </c>
      <c r="E283" s="31" t="s">
        <v>84</v>
      </c>
      <c r="F283" s="31" t="s">
        <v>85</v>
      </c>
    </row>
    <row r="284" customFormat="false" ht="15" hidden="false" customHeight="true" outlineLevel="0" collapsed="false">
      <c r="A284" s="16" t="n">
        <v>2023</v>
      </c>
      <c r="B284" s="31" t="s">
        <v>42</v>
      </c>
      <c r="C284" s="31" t="s">
        <v>48</v>
      </c>
      <c r="D284" s="32" t="n">
        <f aca="false">SISEPUEDE!P4</f>
        <v>0</v>
      </c>
      <c r="E284" s="31" t="s">
        <v>84</v>
      </c>
      <c r="F284" s="31" t="s">
        <v>85</v>
      </c>
    </row>
    <row r="285" customFormat="false" ht="15" hidden="false" customHeight="true" outlineLevel="0" collapsed="false">
      <c r="A285" s="16" t="n">
        <v>2024</v>
      </c>
      <c r="B285" s="31" t="s">
        <v>42</v>
      </c>
      <c r="C285" s="31" t="s">
        <v>48</v>
      </c>
      <c r="D285" s="32" t="n">
        <f aca="false">SISEPUEDE!P5</f>
        <v>0</v>
      </c>
      <c r="E285" s="31" t="s">
        <v>84</v>
      </c>
      <c r="F285" s="31" t="s">
        <v>85</v>
      </c>
    </row>
    <row r="286" customFormat="false" ht="15" hidden="false" customHeight="true" outlineLevel="0" collapsed="false">
      <c r="A286" s="16" t="n">
        <v>2025</v>
      </c>
      <c r="B286" s="31" t="s">
        <v>42</v>
      </c>
      <c r="C286" s="31" t="s">
        <v>48</v>
      </c>
      <c r="D286" s="32" t="n">
        <f aca="false">SISEPUEDE!P6</f>
        <v>2.63263709491692</v>
      </c>
      <c r="E286" s="31" t="s">
        <v>84</v>
      </c>
      <c r="F286" s="31" t="s">
        <v>85</v>
      </c>
    </row>
    <row r="287" customFormat="false" ht="15" hidden="false" customHeight="true" outlineLevel="0" collapsed="false">
      <c r="A287" s="16" t="n">
        <v>2026</v>
      </c>
      <c r="B287" s="31" t="s">
        <v>42</v>
      </c>
      <c r="C287" s="31" t="s">
        <v>48</v>
      </c>
      <c r="D287" s="32" t="n">
        <f aca="false">SISEPUEDE!P7</f>
        <v>3.95454172608486</v>
      </c>
      <c r="E287" s="31" t="s">
        <v>84</v>
      </c>
      <c r="F287" s="31" t="s">
        <v>85</v>
      </c>
    </row>
    <row r="288" customFormat="false" ht="15" hidden="false" customHeight="true" outlineLevel="0" collapsed="false">
      <c r="A288" s="16" t="n">
        <v>2027</v>
      </c>
      <c r="B288" s="31" t="s">
        <v>42</v>
      </c>
      <c r="C288" s="31" t="s">
        <v>48</v>
      </c>
      <c r="D288" s="32" t="n">
        <f aca="false">SISEPUEDE!P8</f>
        <v>5.28385487024387</v>
      </c>
      <c r="E288" s="31" t="s">
        <v>84</v>
      </c>
      <c r="F288" s="31" t="s">
        <v>85</v>
      </c>
    </row>
    <row r="289" customFormat="false" ht="15" hidden="false" customHeight="true" outlineLevel="0" collapsed="false">
      <c r="A289" s="16" t="n">
        <v>2028</v>
      </c>
      <c r="B289" s="31" t="s">
        <v>42</v>
      </c>
      <c r="C289" s="31" t="s">
        <v>48</v>
      </c>
      <c r="D289" s="32" t="n">
        <f aca="false">SISEPUEDE!P9</f>
        <v>6.62315913108591</v>
      </c>
      <c r="E289" s="31" t="s">
        <v>84</v>
      </c>
      <c r="F289" s="31" t="s">
        <v>85</v>
      </c>
    </row>
    <row r="290" customFormat="false" ht="15" hidden="false" customHeight="true" outlineLevel="0" collapsed="false">
      <c r="A290" s="16" t="n">
        <v>2029</v>
      </c>
      <c r="B290" s="31" t="s">
        <v>42</v>
      </c>
      <c r="C290" s="31" t="s">
        <v>48</v>
      </c>
      <c r="D290" s="32" t="n">
        <f aca="false">SISEPUEDE!P10</f>
        <v>7.97482257746593</v>
      </c>
      <c r="E290" s="31" t="s">
        <v>84</v>
      </c>
      <c r="F290" s="31" t="s">
        <v>85</v>
      </c>
    </row>
    <row r="291" customFormat="false" ht="15" hidden="false" customHeight="true" outlineLevel="0" collapsed="false">
      <c r="A291" s="16" t="n">
        <v>2030</v>
      </c>
      <c r="B291" s="31" t="s">
        <v>42</v>
      </c>
      <c r="C291" s="31" t="s">
        <v>48</v>
      </c>
      <c r="D291" s="32" t="n">
        <f aca="false">SISEPUEDE!P11</f>
        <v>9.34091489664989</v>
      </c>
      <c r="E291" s="31" t="s">
        <v>84</v>
      </c>
      <c r="F291" s="31" t="s">
        <v>85</v>
      </c>
    </row>
    <row r="292" customFormat="false" ht="15" hidden="false" customHeight="true" outlineLevel="0" collapsed="false">
      <c r="A292" s="16" t="n">
        <v>2031</v>
      </c>
      <c r="B292" s="31" t="s">
        <v>42</v>
      </c>
      <c r="C292" s="31" t="s">
        <v>48</v>
      </c>
      <c r="D292" s="32" t="n">
        <f aca="false">SISEPUEDE!P12</f>
        <v>10.7231963095655</v>
      </c>
      <c r="E292" s="31" t="s">
        <v>84</v>
      </c>
      <c r="F292" s="31" t="s">
        <v>85</v>
      </c>
    </row>
    <row r="293" customFormat="false" ht="15" hidden="false" customHeight="true" outlineLevel="0" collapsed="false">
      <c r="A293" s="16" t="n">
        <v>2032</v>
      </c>
      <c r="B293" s="31" t="s">
        <v>42</v>
      </c>
      <c r="C293" s="31" t="s">
        <v>48</v>
      </c>
      <c r="D293" s="32" t="n">
        <f aca="false">SISEPUEDE!P13</f>
        <v>12.1231789362294</v>
      </c>
      <c r="E293" s="31" t="s">
        <v>84</v>
      </c>
      <c r="F293" s="31" t="s">
        <v>85</v>
      </c>
    </row>
    <row r="294" customFormat="false" ht="15" hidden="false" customHeight="true" outlineLevel="0" collapsed="false">
      <c r="A294" s="16" t="n">
        <v>2033</v>
      </c>
      <c r="B294" s="31" t="s">
        <v>42</v>
      </c>
      <c r="C294" s="31" t="s">
        <v>48</v>
      </c>
      <c r="D294" s="32" t="n">
        <f aca="false">SISEPUEDE!P14</f>
        <v>13.5420732021607</v>
      </c>
      <c r="E294" s="31" t="s">
        <v>84</v>
      </c>
      <c r="F294" s="31" t="s">
        <v>85</v>
      </c>
    </row>
    <row r="295" customFormat="false" ht="15" hidden="false" customHeight="true" outlineLevel="0" collapsed="false">
      <c r="A295" s="16" t="n">
        <v>2034</v>
      </c>
      <c r="B295" s="31" t="s">
        <v>42</v>
      </c>
      <c r="C295" s="31" t="s">
        <v>48</v>
      </c>
      <c r="D295" s="32" t="n">
        <f aca="false">SISEPUEDE!P15</f>
        <v>14.9807413324444</v>
      </c>
      <c r="E295" s="31" t="s">
        <v>84</v>
      </c>
      <c r="F295" s="31" t="s">
        <v>85</v>
      </c>
    </row>
    <row r="296" customFormat="false" ht="15" hidden="false" customHeight="true" outlineLevel="0" collapsed="false">
      <c r="A296" s="16" t="n">
        <v>2035</v>
      </c>
      <c r="B296" s="31" t="s">
        <v>42</v>
      </c>
      <c r="C296" s="31" t="s">
        <v>48</v>
      </c>
      <c r="D296" s="32" t="n">
        <f aca="false">SISEPUEDE!P16</f>
        <v>16.4396571009432</v>
      </c>
      <c r="E296" s="31" t="s">
        <v>84</v>
      </c>
      <c r="F296" s="31" t="s">
        <v>85</v>
      </c>
    </row>
    <row r="297" customFormat="false" ht="15" hidden="false" customHeight="true" outlineLevel="0" collapsed="false">
      <c r="A297" s="16" t="n">
        <v>2036</v>
      </c>
      <c r="B297" s="31" t="s">
        <v>42</v>
      </c>
      <c r="C297" s="31" t="s">
        <v>48</v>
      </c>
      <c r="D297" s="32" t="n">
        <f aca="false">SISEPUEDE!P17</f>
        <v>17.9188712828905</v>
      </c>
      <c r="E297" s="31" t="s">
        <v>84</v>
      </c>
      <c r="F297" s="31" t="s">
        <v>85</v>
      </c>
    </row>
    <row r="298" customFormat="false" ht="15" hidden="false" customHeight="true" outlineLevel="0" collapsed="false">
      <c r="A298" s="16" t="n">
        <v>2037</v>
      </c>
      <c r="B298" s="31" t="s">
        <v>42</v>
      </c>
      <c r="C298" s="31" t="s">
        <v>48</v>
      </c>
      <c r="D298" s="32" t="n">
        <f aca="false">SISEPUEDE!P18</f>
        <v>19.4179825765868</v>
      </c>
      <c r="E298" s="31" t="s">
        <v>84</v>
      </c>
      <c r="F298" s="31" t="s">
        <v>85</v>
      </c>
    </row>
    <row r="299" customFormat="false" ht="15" hidden="false" customHeight="true" outlineLevel="0" collapsed="false">
      <c r="A299" s="16" t="n">
        <v>2038</v>
      </c>
      <c r="B299" s="31" t="s">
        <v>42</v>
      </c>
      <c r="C299" s="31" t="s">
        <v>48</v>
      </c>
      <c r="D299" s="32" t="n">
        <f aca="false">SISEPUEDE!P19</f>
        <v>20.9362070790578</v>
      </c>
      <c r="E299" s="31" t="s">
        <v>84</v>
      </c>
      <c r="F299" s="31" t="s">
        <v>85</v>
      </c>
    </row>
    <row r="300" customFormat="false" ht="15" hidden="false" customHeight="true" outlineLevel="0" collapsed="false">
      <c r="A300" s="16" t="n">
        <v>2039</v>
      </c>
      <c r="B300" s="31" t="s">
        <v>42</v>
      </c>
      <c r="C300" s="31" t="s">
        <v>48</v>
      </c>
      <c r="D300" s="32" t="n">
        <f aca="false">SISEPUEDE!P20</f>
        <v>22.4724379494187</v>
      </c>
      <c r="E300" s="31" t="s">
        <v>84</v>
      </c>
      <c r="F300" s="31" t="s">
        <v>85</v>
      </c>
    </row>
    <row r="301" customFormat="false" ht="15" hidden="false" customHeight="true" outlineLevel="0" collapsed="false">
      <c r="A301" s="16" t="n">
        <v>2040</v>
      </c>
      <c r="B301" s="31" t="s">
        <v>42</v>
      </c>
      <c r="C301" s="31" t="s">
        <v>48</v>
      </c>
      <c r="D301" s="32" t="n">
        <f aca="false">SISEPUEDE!P21</f>
        <v>24.0253007836402</v>
      </c>
      <c r="E301" s="31" t="s">
        <v>84</v>
      </c>
      <c r="F301" s="31" t="s">
        <v>85</v>
      </c>
    </row>
    <row r="302" customFormat="false" ht="15" hidden="false" customHeight="true" outlineLevel="0" collapsed="false">
      <c r="A302" s="16" t="n">
        <v>2041</v>
      </c>
      <c r="B302" s="31" t="s">
        <v>42</v>
      </c>
      <c r="C302" s="31" t="s">
        <v>48</v>
      </c>
      <c r="D302" s="32" t="n">
        <f aca="false">SISEPUEDE!P22</f>
        <v>25.5932050523447</v>
      </c>
      <c r="E302" s="31" t="s">
        <v>84</v>
      </c>
      <c r="F302" s="31" t="s">
        <v>85</v>
      </c>
    </row>
    <row r="303" customFormat="false" ht="15" hidden="false" customHeight="true" outlineLevel="0" collapsed="false">
      <c r="A303" s="16" t="n">
        <v>2042</v>
      </c>
      <c r="B303" s="31" t="s">
        <v>42</v>
      </c>
      <c r="C303" s="31" t="s">
        <v>48</v>
      </c>
      <c r="D303" s="32" t="n">
        <f aca="false">SISEPUEDE!P23</f>
        <v>27.1743361891649</v>
      </c>
      <c r="E303" s="31" t="s">
        <v>84</v>
      </c>
      <c r="F303" s="31" t="s">
        <v>85</v>
      </c>
    </row>
    <row r="304" customFormat="false" ht="15" hidden="false" customHeight="true" outlineLevel="0" collapsed="false">
      <c r="A304" s="16" t="n">
        <v>2043</v>
      </c>
      <c r="B304" s="31" t="s">
        <v>42</v>
      </c>
      <c r="C304" s="31" t="s">
        <v>48</v>
      </c>
      <c r="D304" s="32" t="n">
        <f aca="false">SISEPUEDE!P24</f>
        <v>28.7668097995722</v>
      </c>
      <c r="E304" s="31" t="s">
        <v>84</v>
      </c>
      <c r="F304" s="31" t="s">
        <v>85</v>
      </c>
    </row>
    <row r="305" customFormat="false" ht="15" hidden="false" customHeight="true" outlineLevel="0" collapsed="false">
      <c r="A305" s="16" t="n">
        <v>2044</v>
      </c>
      <c r="B305" s="31" t="s">
        <v>42</v>
      </c>
      <c r="C305" s="31" t="s">
        <v>48</v>
      </c>
      <c r="D305" s="32" t="n">
        <f aca="false">SISEPUEDE!P25</f>
        <v>30.3688001562069</v>
      </c>
      <c r="E305" s="31" t="s">
        <v>84</v>
      </c>
      <c r="F305" s="31" t="s">
        <v>85</v>
      </c>
    </row>
    <row r="306" customFormat="false" ht="15" hidden="false" customHeight="true" outlineLevel="0" collapsed="false">
      <c r="A306" s="16" t="n">
        <v>2045</v>
      </c>
      <c r="B306" s="31" t="s">
        <v>42</v>
      </c>
      <c r="C306" s="31" t="s">
        <v>48</v>
      </c>
      <c r="D306" s="32" t="n">
        <f aca="false">SISEPUEDE!P26</f>
        <v>31.978404375743</v>
      </c>
      <c r="E306" s="31" t="s">
        <v>84</v>
      </c>
      <c r="F306" s="31" t="s">
        <v>85</v>
      </c>
    </row>
    <row r="307" customFormat="false" ht="15" hidden="false" customHeight="true" outlineLevel="0" collapsed="false">
      <c r="A307" s="16" t="n">
        <v>2046</v>
      </c>
      <c r="B307" s="31" t="s">
        <v>42</v>
      </c>
      <c r="C307" s="31" t="s">
        <v>48</v>
      </c>
      <c r="D307" s="32" t="n">
        <f aca="false">SISEPUEDE!P27</f>
        <v>33.5937949396084</v>
      </c>
      <c r="E307" s="31" t="s">
        <v>84</v>
      </c>
      <c r="F307" s="31" t="s">
        <v>85</v>
      </c>
    </row>
    <row r="308" customFormat="false" ht="15" hidden="false" customHeight="true" outlineLevel="0" collapsed="false">
      <c r="A308" s="16" t="n">
        <v>2047</v>
      </c>
      <c r="B308" s="31" t="s">
        <v>42</v>
      </c>
      <c r="C308" s="31" t="s">
        <v>48</v>
      </c>
      <c r="D308" s="32" t="n">
        <f aca="false">SISEPUEDE!P28</f>
        <v>34.8085361108952</v>
      </c>
      <c r="E308" s="31" t="s">
        <v>84</v>
      </c>
      <c r="F308" s="31" t="s">
        <v>85</v>
      </c>
    </row>
    <row r="309" customFormat="false" ht="15" hidden="false" customHeight="true" outlineLevel="0" collapsed="false">
      <c r="A309" s="16" t="n">
        <v>2048</v>
      </c>
      <c r="B309" s="31" t="s">
        <v>42</v>
      </c>
      <c r="C309" s="31" t="s">
        <v>48</v>
      </c>
      <c r="D309" s="32" t="n">
        <f aca="false">SISEPUEDE!P29</f>
        <v>34.9903392175294</v>
      </c>
      <c r="E309" s="31" t="s">
        <v>84</v>
      </c>
      <c r="F309" s="31" t="s">
        <v>85</v>
      </c>
    </row>
    <row r="310" customFormat="false" ht="15" hidden="false" customHeight="true" outlineLevel="0" collapsed="false">
      <c r="A310" s="16" t="n">
        <v>2049</v>
      </c>
      <c r="B310" s="31" t="s">
        <v>42</v>
      </c>
      <c r="C310" s="31" t="s">
        <v>48</v>
      </c>
      <c r="D310" s="32" t="n">
        <f aca="false">SISEPUEDE!P30</f>
        <v>35.005021286645</v>
      </c>
      <c r="E310" s="31" t="s">
        <v>84</v>
      </c>
      <c r="F310" s="31" t="s">
        <v>85</v>
      </c>
    </row>
    <row r="311" customFormat="false" ht="15" hidden="false" customHeight="true" outlineLevel="0" collapsed="false">
      <c r="A311" s="16" t="n">
        <v>2050</v>
      </c>
      <c r="B311" s="31" t="s">
        <v>42</v>
      </c>
      <c r="C311" s="31" t="s">
        <v>48</v>
      </c>
      <c r="D311" s="32" t="n">
        <f aca="false">SISEPUEDE!P31</f>
        <v>35.005021286645</v>
      </c>
      <c r="E311" s="31" t="s">
        <v>84</v>
      </c>
      <c r="F311" s="31" t="s">
        <v>85</v>
      </c>
    </row>
    <row r="312" customFormat="false" ht="15" hidden="false" customHeight="true" outlineLevel="0" collapsed="false">
      <c r="A312" s="16" t="n">
        <v>2023</v>
      </c>
      <c r="B312" s="31" t="s">
        <v>40</v>
      </c>
      <c r="C312" s="31" t="s">
        <v>44</v>
      </c>
      <c r="D312" s="32" t="n">
        <f aca="false">MMcfd!B4</f>
        <v>12.568650140783</v>
      </c>
      <c r="E312" s="31" t="s">
        <v>91</v>
      </c>
      <c r="F312" s="31" t="s">
        <v>91</v>
      </c>
    </row>
    <row r="313" customFormat="false" ht="15" hidden="false" customHeight="true" outlineLevel="0" collapsed="false">
      <c r="A313" s="16" t="n">
        <v>2024</v>
      </c>
      <c r="B313" s="31" t="s">
        <v>40</v>
      </c>
      <c r="C313" s="31" t="s">
        <v>44</v>
      </c>
      <c r="D313" s="32" t="n">
        <f aca="false">MMcfd!B5</f>
        <v>12.4712701703431</v>
      </c>
      <c r="E313" s="31" t="s">
        <v>91</v>
      </c>
      <c r="F313" s="31" t="s">
        <v>91</v>
      </c>
    </row>
    <row r="314" customFormat="false" ht="15" hidden="false" customHeight="true" outlineLevel="0" collapsed="false">
      <c r="A314" s="16" t="n">
        <v>2025</v>
      </c>
      <c r="B314" s="31" t="s">
        <v>40</v>
      </c>
      <c r="C314" s="31" t="s">
        <v>44</v>
      </c>
      <c r="D314" s="32" t="n">
        <f aca="false">MMcfd!B6</f>
        <v>12.3720049068414</v>
      </c>
      <c r="E314" s="31" t="s">
        <v>91</v>
      </c>
      <c r="F314" s="31" t="s">
        <v>91</v>
      </c>
    </row>
    <row r="315" customFormat="false" ht="15" hidden="false" customHeight="true" outlineLevel="0" collapsed="false">
      <c r="A315" s="16" t="n">
        <v>2026</v>
      </c>
      <c r="B315" s="31" t="s">
        <v>40</v>
      </c>
      <c r="C315" s="31" t="s">
        <v>44</v>
      </c>
      <c r="D315" s="32" t="n">
        <f aca="false">MMcfd!B7</f>
        <v>12.2668058846115</v>
      </c>
      <c r="E315" s="31" t="s">
        <v>91</v>
      </c>
      <c r="F315" s="31" t="s">
        <v>91</v>
      </c>
    </row>
    <row r="316" customFormat="false" ht="15" hidden="false" customHeight="true" outlineLevel="0" collapsed="false">
      <c r="A316" s="16" t="n">
        <v>2027</v>
      </c>
      <c r="B316" s="31" t="s">
        <v>40</v>
      </c>
      <c r="C316" s="31" t="s">
        <v>44</v>
      </c>
      <c r="D316" s="32" t="n">
        <f aca="false">MMcfd!B8</f>
        <v>12.1509367655296</v>
      </c>
      <c r="E316" s="31" t="s">
        <v>91</v>
      </c>
      <c r="F316" s="31" t="s">
        <v>91</v>
      </c>
    </row>
    <row r="317" customFormat="false" ht="15" hidden="false" customHeight="true" outlineLevel="0" collapsed="false">
      <c r="A317" s="16" t="n">
        <v>2028</v>
      </c>
      <c r="B317" s="31" t="s">
        <v>40</v>
      </c>
      <c r="C317" s="31" t="s">
        <v>44</v>
      </c>
      <c r="D317" s="32" t="n">
        <f aca="false">MMcfd!B9</f>
        <v>12.0194169340539</v>
      </c>
      <c r="E317" s="31" t="s">
        <v>91</v>
      </c>
      <c r="F317" s="31" t="s">
        <v>91</v>
      </c>
    </row>
    <row r="318" customFormat="false" ht="15" hidden="false" customHeight="true" outlineLevel="0" collapsed="false">
      <c r="A318" s="16" t="n">
        <v>2029</v>
      </c>
      <c r="B318" s="31" t="s">
        <v>40</v>
      </c>
      <c r="C318" s="31" t="s">
        <v>44</v>
      </c>
      <c r="D318" s="32" t="n">
        <f aca="false">MMcfd!B10</f>
        <v>11.8674284291034</v>
      </c>
      <c r="E318" s="31" t="s">
        <v>91</v>
      </c>
      <c r="F318" s="31" t="s">
        <v>91</v>
      </c>
    </row>
    <row r="319" customFormat="false" ht="15" hidden="false" customHeight="true" outlineLevel="0" collapsed="false">
      <c r="A319" s="16" t="n">
        <v>2030</v>
      </c>
      <c r="B319" s="31" t="s">
        <v>40</v>
      </c>
      <c r="C319" s="31" t="s">
        <v>44</v>
      </c>
      <c r="D319" s="32" t="n">
        <f aca="false">MMcfd!B11</f>
        <v>11.6906888152974</v>
      </c>
      <c r="E319" s="31" t="s">
        <v>91</v>
      </c>
      <c r="F319" s="31" t="s">
        <v>91</v>
      </c>
    </row>
    <row r="320" customFormat="false" ht="15" hidden="false" customHeight="true" outlineLevel="0" collapsed="false">
      <c r="A320" s="16" t="n">
        <v>2031</v>
      </c>
      <c r="B320" s="31" t="s">
        <v>40</v>
      </c>
      <c r="C320" s="31" t="s">
        <v>44</v>
      </c>
      <c r="D320" s="32" t="n">
        <f aca="false">MMcfd!B12</f>
        <v>11.4857719986216</v>
      </c>
      <c r="E320" s="31" t="s">
        <v>91</v>
      </c>
      <c r="F320" s="31" t="s">
        <v>91</v>
      </c>
    </row>
    <row r="321" customFormat="false" ht="15" hidden="false" customHeight="true" outlineLevel="0" collapsed="false">
      <c r="A321" s="16" t="n">
        <v>2032</v>
      </c>
      <c r="B321" s="31" t="s">
        <v>40</v>
      </c>
      <c r="C321" s="31" t="s">
        <v>44</v>
      </c>
      <c r="D321" s="32" t="n">
        <f aca="false">MMcfd!B13</f>
        <v>11.2504204480266</v>
      </c>
      <c r="E321" s="31" t="s">
        <v>91</v>
      </c>
      <c r="F321" s="31" t="s">
        <v>91</v>
      </c>
    </row>
    <row r="322" customFormat="false" ht="15" hidden="false" customHeight="true" outlineLevel="0" collapsed="false">
      <c r="A322" s="16" t="n">
        <v>2033</v>
      </c>
      <c r="B322" s="31" t="s">
        <v>40</v>
      </c>
      <c r="C322" s="31" t="s">
        <v>44</v>
      </c>
      <c r="D322" s="32" t="n">
        <f aca="false">MMcfd!B14</f>
        <v>10.9833874654432</v>
      </c>
      <c r="E322" s="31" t="s">
        <v>91</v>
      </c>
      <c r="F322" s="31" t="s">
        <v>91</v>
      </c>
    </row>
    <row r="323" customFormat="false" ht="15" hidden="false" customHeight="true" outlineLevel="0" collapsed="false">
      <c r="A323" s="16" t="n">
        <v>2034</v>
      </c>
      <c r="B323" s="31" t="s">
        <v>40</v>
      </c>
      <c r="C323" s="31" t="s">
        <v>44</v>
      </c>
      <c r="D323" s="32" t="n">
        <f aca="false">MMcfd!B15</f>
        <v>10.6842908046938</v>
      </c>
      <c r="E323" s="31" t="s">
        <v>91</v>
      </c>
      <c r="F323" s="31" t="s">
        <v>91</v>
      </c>
    </row>
    <row r="324" customFormat="false" ht="15" hidden="false" customHeight="true" outlineLevel="0" collapsed="false">
      <c r="A324" s="16" t="n">
        <v>2035</v>
      </c>
      <c r="B324" s="31" t="s">
        <v>40</v>
      </c>
      <c r="C324" s="31" t="s">
        <v>44</v>
      </c>
      <c r="D324" s="32" t="n">
        <f aca="false">MMcfd!B16</f>
        <v>10.35347832101</v>
      </c>
      <c r="E324" s="31" t="s">
        <v>91</v>
      </c>
      <c r="F324" s="31" t="s">
        <v>91</v>
      </c>
    </row>
    <row r="325" customFormat="false" ht="15" hidden="false" customHeight="true" outlineLevel="0" collapsed="false">
      <c r="A325" s="16" t="n">
        <v>2036</v>
      </c>
      <c r="B325" s="31" t="s">
        <v>40</v>
      </c>
      <c r="C325" s="31" t="s">
        <v>44</v>
      </c>
      <c r="D325" s="32" t="n">
        <f aca="false">MMcfd!B17</f>
        <v>9.99190576565835</v>
      </c>
      <c r="E325" s="31" t="s">
        <v>91</v>
      </c>
      <c r="F325" s="31" t="s">
        <v>91</v>
      </c>
    </row>
    <row r="326" customFormat="false" ht="15" hidden="false" customHeight="true" outlineLevel="0" collapsed="false">
      <c r="A326" s="16" t="n">
        <v>2037</v>
      </c>
      <c r="B326" s="31" t="s">
        <v>40</v>
      </c>
      <c r="C326" s="31" t="s">
        <v>44</v>
      </c>
      <c r="D326" s="32" t="n">
        <f aca="false">MMcfd!B18</f>
        <v>9.60102644948603</v>
      </c>
      <c r="E326" s="31" t="s">
        <v>91</v>
      </c>
      <c r="F326" s="31" t="s">
        <v>91</v>
      </c>
    </row>
    <row r="327" customFormat="false" ht="15" hidden="false" customHeight="true" outlineLevel="0" collapsed="false">
      <c r="A327" s="16" t="n">
        <v>2038</v>
      </c>
      <c r="B327" s="31" t="s">
        <v>40</v>
      </c>
      <c r="C327" s="31" t="s">
        <v>44</v>
      </c>
      <c r="D327" s="32" t="n">
        <f aca="false">MMcfd!B19</f>
        <v>9.18269204527847</v>
      </c>
      <c r="E327" s="31" t="s">
        <v>91</v>
      </c>
      <c r="F327" s="31" t="s">
        <v>91</v>
      </c>
    </row>
    <row r="328" customFormat="false" ht="15" hidden="false" customHeight="true" outlineLevel="0" collapsed="false">
      <c r="A328" s="16" t="n">
        <v>2039</v>
      </c>
      <c r="B328" s="31" t="s">
        <v>40</v>
      </c>
      <c r="C328" s="31" t="s">
        <v>44</v>
      </c>
      <c r="D328" s="32" t="n">
        <f aca="false">MMcfd!B20</f>
        <v>8.73906350819175</v>
      </c>
      <c r="E328" s="31" t="s">
        <v>91</v>
      </c>
      <c r="F328" s="31" t="s">
        <v>91</v>
      </c>
    </row>
    <row r="329" customFormat="false" ht="15" hidden="false" customHeight="true" outlineLevel="0" collapsed="false">
      <c r="A329" s="16" t="n">
        <v>2040</v>
      </c>
      <c r="B329" s="31" t="s">
        <v>40</v>
      </c>
      <c r="C329" s="31" t="s">
        <v>44</v>
      </c>
      <c r="D329" s="32" t="n">
        <f aca="false">MMcfd!B21</f>
        <v>8.27253084105885</v>
      </c>
      <c r="E329" s="31" t="s">
        <v>91</v>
      </c>
      <c r="F329" s="31" t="s">
        <v>91</v>
      </c>
    </row>
    <row r="330" customFormat="false" ht="15" hidden="false" customHeight="true" outlineLevel="0" collapsed="false">
      <c r="A330" s="16" t="n">
        <v>2041</v>
      </c>
      <c r="B330" s="31" t="s">
        <v>40</v>
      </c>
      <c r="C330" s="31" t="s">
        <v>44</v>
      </c>
      <c r="D330" s="32" t="n">
        <f aca="false">MMcfd!B22</f>
        <v>7.78564025236985</v>
      </c>
      <c r="E330" s="31" t="s">
        <v>91</v>
      </c>
      <c r="F330" s="31" t="s">
        <v>91</v>
      </c>
    </row>
    <row r="331" customFormat="false" ht="15" hidden="false" customHeight="true" outlineLevel="0" collapsed="false">
      <c r="A331" s="16" t="n">
        <v>2042</v>
      </c>
      <c r="B331" s="31" t="s">
        <v>40</v>
      </c>
      <c r="C331" s="31" t="s">
        <v>44</v>
      </c>
      <c r="D331" s="32" t="n">
        <f aca="false">MMcfd!B23</f>
        <v>7.28102705548299</v>
      </c>
      <c r="E331" s="31" t="s">
        <v>91</v>
      </c>
      <c r="F331" s="31" t="s">
        <v>91</v>
      </c>
    </row>
    <row r="332" customFormat="false" ht="15" hidden="false" customHeight="true" outlineLevel="0" collapsed="false">
      <c r="A332" s="16" t="n">
        <v>2043</v>
      </c>
      <c r="B332" s="31" t="s">
        <v>40</v>
      </c>
      <c r="C332" s="31" t="s">
        <v>44</v>
      </c>
      <c r="D332" s="32" t="n">
        <f aca="false">MMcfd!B24</f>
        <v>6.76135519107004</v>
      </c>
      <c r="E332" s="31" t="s">
        <v>91</v>
      </c>
      <c r="F332" s="31" t="s">
        <v>91</v>
      </c>
    </row>
    <row r="333" customFormat="false" ht="15" hidden="false" customHeight="true" outlineLevel="0" collapsed="false">
      <c r="A333" s="16" t="n">
        <v>2044</v>
      </c>
      <c r="B333" s="31" t="s">
        <v>40</v>
      </c>
      <c r="C333" s="31" t="s">
        <v>44</v>
      </c>
      <c r="D333" s="32" t="n">
        <f aca="false">MMcfd!B25</f>
        <v>6.22926002664924</v>
      </c>
      <c r="E333" s="31" t="s">
        <v>91</v>
      </c>
      <c r="F333" s="31" t="s">
        <v>91</v>
      </c>
    </row>
    <row r="334" customFormat="false" ht="15" hidden="false" customHeight="true" outlineLevel="0" collapsed="false">
      <c r="A334" s="16" t="n">
        <v>2045</v>
      </c>
      <c r="B334" s="31" t="s">
        <v>40</v>
      </c>
      <c r="C334" s="31" t="s">
        <v>44</v>
      </c>
      <c r="D334" s="32" t="n">
        <f aca="false">MMcfd!B26</f>
        <v>5.6872912689069</v>
      </c>
      <c r="E334" s="31" t="s">
        <v>91</v>
      </c>
      <c r="F334" s="31" t="s">
        <v>91</v>
      </c>
    </row>
    <row r="335" customFormat="false" ht="15" hidden="false" customHeight="true" outlineLevel="0" collapsed="false">
      <c r="A335" s="16" t="n">
        <v>2046</v>
      </c>
      <c r="B335" s="31" t="s">
        <v>40</v>
      </c>
      <c r="C335" s="31" t="s">
        <v>44</v>
      </c>
      <c r="D335" s="32" t="n">
        <f aca="false">MMcfd!B27</f>
        <v>5.13785417315026</v>
      </c>
      <c r="E335" s="31" t="s">
        <v>91</v>
      </c>
      <c r="F335" s="31" t="s">
        <v>91</v>
      </c>
    </row>
    <row r="336" customFormat="false" ht="15" hidden="false" customHeight="true" outlineLevel="0" collapsed="false">
      <c r="A336" s="16" t="n">
        <v>2047</v>
      </c>
      <c r="B336" s="31" t="s">
        <v>40</v>
      </c>
      <c r="C336" s="31" t="s">
        <v>44</v>
      </c>
      <c r="D336" s="32" t="n">
        <f aca="false">MMcfd!B28</f>
        <v>4.58314727225156</v>
      </c>
      <c r="E336" s="31" t="s">
        <v>91</v>
      </c>
      <c r="F336" s="31" t="s">
        <v>91</v>
      </c>
    </row>
    <row r="337" customFormat="false" ht="15" hidden="false" customHeight="true" outlineLevel="0" collapsed="false">
      <c r="A337" s="16" t="n">
        <v>2048</v>
      </c>
      <c r="B337" s="31" t="s">
        <v>40</v>
      </c>
      <c r="C337" s="31" t="s">
        <v>44</v>
      </c>
      <c r="D337" s="32" t="n">
        <f aca="false">MMcfd!B29</f>
        <v>4.02509495721582</v>
      </c>
      <c r="E337" s="31" t="s">
        <v>91</v>
      </c>
      <c r="F337" s="31" t="s">
        <v>91</v>
      </c>
    </row>
    <row r="338" customFormat="false" ht="15" hidden="false" customHeight="true" outlineLevel="0" collapsed="false">
      <c r="A338" s="16" t="n">
        <v>2049</v>
      </c>
      <c r="B338" s="31" t="s">
        <v>40</v>
      </c>
      <c r="C338" s="31" t="s">
        <v>44</v>
      </c>
      <c r="D338" s="32" t="n">
        <f aca="false">MMcfd!B30</f>
        <v>3.46527335338069</v>
      </c>
      <c r="E338" s="31" t="s">
        <v>91</v>
      </c>
      <c r="F338" s="31" t="s">
        <v>91</v>
      </c>
    </row>
    <row r="339" customFormat="false" ht="15" hidden="false" customHeight="true" outlineLevel="0" collapsed="false">
      <c r="A339" s="16" t="n">
        <v>2050</v>
      </c>
      <c r="B339" s="31" t="s">
        <v>40</v>
      </c>
      <c r="C339" s="31" t="s">
        <v>44</v>
      </c>
      <c r="D339" s="32" t="n">
        <f aca="false">MMcfd!B31</f>
        <v>3.46388228584553</v>
      </c>
      <c r="E339" s="31" t="s">
        <v>91</v>
      </c>
      <c r="F339" s="31" t="s">
        <v>91</v>
      </c>
    </row>
    <row r="340" customFormat="false" ht="15" hidden="false" customHeight="true" outlineLevel="0" collapsed="false">
      <c r="A340" s="16" t="n">
        <v>2023</v>
      </c>
      <c r="B340" s="31" t="s">
        <v>40</v>
      </c>
      <c r="C340" s="31" t="s">
        <v>45</v>
      </c>
      <c r="D340" s="32" t="n">
        <f aca="false">MMcfd!C4</f>
        <v>38.8325644977816</v>
      </c>
      <c r="E340" s="31" t="s">
        <v>91</v>
      </c>
      <c r="F340" s="31" t="s">
        <v>91</v>
      </c>
    </row>
    <row r="341" customFormat="false" ht="15" hidden="false" customHeight="true" outlineLevel="0" collapsed="false">
      <c r="A341" s="16" t="n">
        <v>2024</v>
      </c>
      <c r="B341" s="31" t="s">
        <v>40</v>
      </c>
      <c r="C341" s="31" t="s">
        <v>45</v>
      </c>
      <c r="D341" s="32" t="n">
        <f aca="false">MMcfd!C5</f>
        <v>38.5461171651694</v>
      </c>
      <c r="E341" s="31" t="s">
        <v>91</v>
      </c>
      <c r="F341" s="31" t="s">
        <v>91</v>
      </c>
    </row>
    <row r="342" customFormat="false" ht="15" hidden="false" customHeight="true" outlineLevel="0" collapsed="false">
      <c r="A342" s="16" t="n">
        <v>2025</v>
      </c>
      <c r="B342" s="31" t="s">
        <v>40</v>
      </c>
      <c r="C342" s="31" t="s">
        <v>45</v>
      </c>
      <c r="D342" s="32" t="n">
        <f aca="false">MMcfd!C6</f>
        <v>38.2530462735973</v>
      </c>
      <c r="E342" s="31" t="s">
        <v>91</v>
      </c>
      <c r="F342" s="31" t="s">
        <v>91</v>
      </c>
    </row>
    <row r="343" customFormat="false" ht="15" hidden="false" customHeight="true" outlineLevel="0" collapsed="false">
      <c r="A343" s="16" t="n">
        <v>2026</v>
      </c>
      <c r="B343" s="31" t="s">
        <v>40</v>
      </c>
      <c r="C343" s="31" t="s">
        <v>45</v>
      </c>
      <c r="D343" s="32" t="n">
        <f aca="false">MMcfd!C7</f>
        <v>37.9391147841216</v>
      </c>
      <c r="E343" s="31" t="s">
        <v>91</v>
      </c>
      <c r="F343" s="31" t="s">
        <v>91</v>
      </c>
    </row>
    <row r="344" customFormat="false" ht="15" hidden="false" customHeight="true" outlineLevel="0" collapsed="false">
      <c r="A344" s="16" t="n">
        <v>2027</v>
      </c>
      <c r="B344" s="31" t="s">
        <v>40</v>
      </c>
      <c r="C344" s="31" t="s">
        <v>45</v>
      </c>
      <c r="D344" s="32" t="n">
        <f aca="false">MMcfd!C8</f>
        <v>37.5871211196652</v>
      </c>
      <c r="E344" s="31" t="s">
        <v>91</v>
      </c>
      <c r="F344" s="31" t="s">
        <v>91</v>
      </c>
    </row>
    <row r="345" customFormat="false" ht="15" hidden="false" customHeight="true" outlineLevel="0" collapsed="false">
      <c r="A345" s="16" t="n">
        <v>2028</v>
      </c>
      <c r="B345" s="31" t="s">
        <v>40</v>
      </c>
      <c r="C345" s="31" t="s">
        <v>45</v>
      </c>
      <c r="D345" s="32" t="n">
        <f aca="false">MMcfd!C9</f>
        <v>37.1790011569091</v>
      </c>
      <c r="E345" s="31" t="s">
        <v>91</v>
      </c>
      <c r="F345" s="31" t="s">
        <v>91</v>
      </c>
    </row>
    <row r="346" customFormat="false" ht="15" hidden="false" customHeight="true" outlineLevel="0" collapsed="false">
      <c r="A346" s="16" t="n">
        <v>2029</v>
      </c>
      <c r="B346" s="31" t="s">
        <v>40</v>
      </c>
      <c r="C346" s="31" t="s">
        <v>45</v>
      </c>
      <c r="D346" s="32" t="n">
        <f aca="false">MMcfd!C10</f>
        <v>36.6979547518339</v>
      </c>
      <c r="E346" s="31" t="s">
        <v>91</v>
      </c>
      <c r="F346" s="31" t="s">
        <v>91</v>
      </c>
    </row>
    <row r="347" customFormat="false" ht="15" hidden="false" customHeight="true" outlineLevel="0" collapsed="false">
      <c r="A347" s="16" t="n">
        <v>2030</v>
      </c>
      <c r="B347" s="31" t="s">
        <v>40</v>
      </c>
      <c r="C347" s="31" t="s">
        <v>45</v>
      </c>
      <c r="D347" s="32" t="n">
        <f aca="false">MMcfd!C11</f>
        <v>36.1294241419277</v>
      </c>
      <c r="E347" s="31" t="s">
        <v>91</v>
      </c>
      <c r="F347" s="31" t="s">
        <v>91</v>
      </c>
    </row>
    <row r="348" customFormat="false" ht="15" hidden="false" customHeight="true" outlineLevel="0" collapsed="false">
      <c r="A348" s="16" t="n">
        <v>2031</v>
      </c>
      <c r="B348" s="31" t="s">
        <v>40</v>
      </c>
      <c r="C348" s="31" t="s">
        <v>45</v>
      </c>
      <c r="D348" s="32" t="n">
        <f aca="false">MMcfd!C12</f>
        <v>35.4619972472921</v>
      </c>
      <c r="E348" s="31" t="s">
        <v>91</v>
      </c>
      <c r="F348" s="31" t="s">
        <v>91</v>
      </c>
    </row>
    <row r="349" customFormat="false" ht="15" hidden="false" customHeight="true" outlineLevel="0" collapsed="false">
      <c r="A349" s="16" t="n">
        <v>2032</v>
      </c>
      <c r="B349" s="31" t="s">
        <v>40</v>
      </c>
      <c r="C349" s="31" t="s">
        <v>45</v>
      </c>
      <c r="D349" s="32" t="n">
        <f aca="false">MMcfd!C13</f>
        <v>34.6882403451397</v>
      </c>
      <c r="E349" s="31" t="s">
        <v>91</v>
      </c>
      <c r="F349" s="31" t="s">
        <v>91</v>
      </c>
    </row>
    <row r="350" customFormat="false" ht="15" hidden="false" customHeight="true" outlineLevel="0" collapsed="false">
      <c r="A350" s="16" t="n">
        <v>2033</v>
      </c>
      <c r="B350" s="31" t="s">
        <v>40</v>
      </c>
      <c r="C350" s="31" t="s">
        <v>45</v>
      </c>
      <c r="D350" s="32" t="n">
        <f aca="false">MMcfd!C14</f>
        <v>33.8041540974426</v>
      </c>
      <c r="E350" s="31" t="s">
        <v>91</v>
      </c>
      <c r="F350" s="31" t="s">
        <v>91</v>
      </c>
    </row>
    <row r="351" customFormat="false" ht="15" hidden="false" customHeight="true" outlineLevel="0" collapsed="false">
      <c r="A351" s="16" t="n">
        <v>2034</v>
      </c>
      <c r="B351" s="31" t="s">
        <v>40</v>
      </c>
      <c r="C351" s="31" t="s">
        <v>45</v>
      </c>
      <c r="D351" s="32" t="n">
        <f aca="false">MMcfd!C15</f>
        <v>32.8086703906818</v>
      </c>
      <c r="E351" s="31" t="s">
        <v>91</v>
      </c>
      <c r="F351" s="31" t="s">
        <v>91</v>
      </c>
    </row>
    <row r="352" customFormat="false" ht="15" hidden="false" customHeight="true" outlineLevel="0" collapsed="false">
      <c r="A352" s="16" t="n">
        <v>2035</v>
      </c>
      <c r="B352" s="31" t="s">
        <v>40</v>
      </c>
      <c r="C352" s="31" t="s">
        <v>45</v>
      </c>
      <c r="D352" s="32" t="n">
        <f aca="false">MMcfd!C16</f>
        <v>31.7031919902653</v>
      </c>
      <c r="E352" s="31" t="s">
        <v>91</v>
      </c>
      <c r="F352" s="31" t="s">
        <v>91</v>
      </c>
    </row>
    <row r="353" customFormat="false" ht="15" hidden="false" customHeight="true" outlineLevel="0" collapsed="false">
      <c r="A353" s="16" t="n">
        <v>2036</v>
      </c>
      <c r="B353" s="31" t="s">
        <v>40</v>
      </c>
      <c r="C353" s="31" t="s">
        <v>45</v>
      </c>
      <c r="D353" s="32" t="n">
        <f aca="false">MMcfd!C17</f>
        <v>30.4911751708996</v>
      </c>
      <c r="E353" s="31" t="s">
        <v>91</v>
      </c>
      <c r="F353" s="31" t="s">
        <v>91</v>
      </c>
    </row>
    <row r="354" customFormat="false" ht="15" hidden="false" customHeight="true" outlineLevel="0" collapsed="false">
      <c r="A354" s="16" t="n">
        <v>2037</v>
      </c>
      <c r="B354" s="31" t="s">
        <v>40</v>
      </c>
      <c r="C354" s="31" t="s">
        <v>45</v>
      </c>
      <c r="D354" s="32" t="n">
        <f aca="false">MMcfd!C18</f>
        <v>29.1777539310988</v>
      </c>
      <c r="E354" s="31" t="s">
        <v>91</v>
      </c>
      <c r="F354" s="31" t="s">
        <v>91</v>
      </c>
    </row>
    <row r="355" customFormat="false" ht="15" hidden="false" customHeight="true" outlineLevel="0" collapsed="false">
      <c r="A355" s="16" t="n">
        <v>2038</v>
      </c>
      <c r="B355" s="31" t="s">
        <v>40</v>
      </c>
      <c r="C355" s="31" t="s">
        <v>45</v>
      </c>
      <c r="D355" s="32" t="n">
        <f aca="false">MMcfd!C19</f>
        <v>27.769403106666</v>
      </c>
      <c r="E355" s="31" t="s">
        <v>91</v>
      </c>
      <c r="F355" s="31" t="s">
        <v>91</v>
      </c>
    </row>
    <row r="356" customFormat="false" ht="15" hidden="false" customHeight="true" outlineLevel="0" collapsed="false">
      <c r="A356" s="16" t="n">
        <v>2039</v>
      </c>
      <c r="B356" s="31" t="s">
        <v>40</v>
      </c>
      <c r="C356" s="31" t="s">
        <v>45</v>
      </c>
      <c r="D356" s="32" t="n">
        <f aca="false">MMcfd!C20</f>
        <v>26.2736366399831</v>
      </c>
      <c r="E356" s="31" t="s">
        <v>91</v>
      </c>
      <c r="F356" s="31" t="s">
        <v>91</v>
      </c>
    </row>
    <row r="357" customFormat="false" ht="15" hidden="false" customHeight="true" outlineLevel="0" collapsed="false">
      <c r="A357" s="16" t="n">
        <v>2040</v>
      </c>
      <c r="B357" s="31" t="s">
        <v>40</v>
      </c>
      <c r="C357" s="31" t="s">
        <v>45</v>
      </c>
      <c r="D357" s="32" t="n">
        <f aca="false">MMcfd!C21</f>
        <v>24.6987364142186</v>
      </c>
      <c r="E357" s="31" t="s">
        <v>91</v>
      </c>
      <c r="F357" s="31" t="s">
        <v>91</v>
      </c>
    </row>
    <row r="358" customFormat="false" ht="15" hidden="false" customHeight="true" outlineLevel="0" collapsed="false">
      <c r="A358" s="16" t="n">
        <v>2041</v>
      </c>
      <c r="B358" s="31" t="s">
        <v>40</v>
      </c>
      <c r="C358" s="31" t="s">
        <v>45</v>
      </c>
      <c r="D358" s="32" t="n">
        <f aca="false">MMcfd!C22</f>
        <v>23.0535064023893</v>
      </c>
      <c r="E358" s="31" t="s">
        <v>91</v>
      </c>
      <c r="F358" s="31" t="s">
        <v>91</v>
      </c>
    </row>
    <row r="359" customFormat="false" ht="15" hidden="false" customHeight="true" outlineLevel="0" collapsed="false">
      <c r="A359" s="16" t="n">
        <v>2042</v>
      </c>
      <c r="B359" s="31" t="s">
        <v>40</v>
      </c>
      <c r="C359" s="31" t="s">
        <v>45</v>
      </c>
      <c r="D359" s="32" t="n">
        <f aca="false">MMcfd!C23</f>
        <v>21.3470463908535</v>
      </c>
      <c r="E359" s="31" t="s">
        <v>91</v>
      </c>
      <c r="F359" s="31" t="s">
        <v>91</v>
      </c>
    </row>
    <row r="360" customFormat="false" ht="15" hidden="false" customHeight="true" outlineLevel="0" collapsed="false">
      <c r="A360" s="16" t="n">
        <v>2043</v>
      </c>
      <c r="B360" s="31" t="s">
        <v>40</v>
      </c>
      <c r="C360" s="31" t="s">
        <v>45</v>
      </c>
      <c r="D360" s="32" t="n">
        <f aca="false">MMcfd!C24</f>
        <v>19.5885484309446</v>
      </c>
      <c r="E360" s="31" t="s">
        <v>91</v>
      </c>
      <c r="F360" s="31" t="s">
        <v>91</v>
      </c>
    </row>
    <row r="361" customFormat="false" ht="15" hidden="false" customHeight="true" outlineLevel="0" collapsed="false">
      <c r="A361" s="16" t="n">
        <v>2044</v>
      </c>
      <c r="B361" s="31" t="s">
        <v>40</v>
      </c>
      <c r="C361" s="31" t="s">
        <v>45</v>
      </c>
      <c r="D361" s="32" t="n">
        <f aca="false">MMcfd!C25</f>
        <v>17.7871041124783</v>
      </c>
      <c r="E361" s="31" t="s">
        <v>91</v>
      </c>
      <c r="F361" s="31" t="s">
        <v>91</v>
      </c>
    </row>
    <row r="362" customFormat="false" ht="15" hidden="false" customHeight="true" outlineLevel="0" collapsed="false">
      <c r="A362" s="16" t="n">
        <v>2045</v>
      </c>
      <c r="B362" s="31" t="s">
        <v>40</v>
      </c>
      <c r="C362" s="31" t="s">
        <v>45</v>
      </c>
      <c r="D362" s="32" t="n">
        <f aca="false">MMcfd!C26</f>
        <v>15.9515112280107</v>
      </c>
      <c r="E362" s="31" t="s">
        <v>91</v>
      </c>
      <c r="F362" s="31" t="s">
        <v>91</v>
      </c>
    </row>
    <row r="363" customFormat="false" ht="15" hidden="false" customHeight="true" outlineLevel="0" collapsed="false">
      <c r="A363" s="16" t="n">
        <v>2046</v>
      </c>
      <c r="B363" s="31" t="s">
        <v>40</v>
      </c>
      <c r="C363" s="31" t="s">
        <v>45</v>
      </c>
      <c r="D363" s="32" t="n">
        <f aca="false">MMcfd!C27</f>
        <v>14.0900734175163</v>
      </c>
      <c r="E363" s="31" t="s">
        <v>91</v>
      </c>
      <c r="F363" s="31" t="s">
        <v>91</v>
      </c>
    </row>
    <row r="364" customFormat="false" ht="15" hidden="false" customHeight="true" outlineLevel="0" collapsed="false">
      <c r="A364" s="16" t="n">
        <v>2047</v>
      </c>
      <c r="B364" s="31" t="s">
        <v>40</v>
      </c>
      <c r="C364" s="31" t="s">
        <v>45</v>
      </c>
      <c r="D364" s="32" t="n">
        <f aca="false">MMcfd!C28</f>
        <v>12.2103865504411</v>
      </c>
      <c r="E364" s="31" t="s">
        <v>91</v>
      </c>
      <c r="F364" s="31" t="s">
        <v>91</v>
      </c>
    </row>
    <row r="365" customFormat="false" ht="15" hidden="false" customHeight="true" outlineLevel="0" collapsed="false">
      <c r="A365" s="16" t="n">
        <v>2048</v>
      </c>
      <c r="B365" s="31" t="s">
        <v>40</v>
      </c>
      <c r="C365" s="31" t="s">
        <v>45</v>
      </c>
      <c r="D365" s="32" t="n">
        <f aca="false">MMcfd!C29</f>
        <v>10.3191058942448</v>
      </c>
      <c r="E365" s="31" t="s">
        <v>91</v>
      </c>
      <c r="F365" s="31" t="s">
        <v>91</v>
      </c>
    </row>
    <row r="366" customFormat="false" ht="15" hidden="false" customHeight="true" outlineLevel="0" collapsed="false">
      <c r="A366" s="16" t="n">
        <v>2049</v>
      </c>
      <c r="B366" s="31" t="s">
        <v>40</v>
      </c>
      <c r="C366" s="31" t="s">
        <v>45</v>
      </c>
      <c r="D366" s="32" t="n">
        <f aca="false">MMcfd!C30</f>
        <v>8.42168854384047</v>
      </c>
      <c r="E366" s="31" t="s">
        <v>91</v>
      </c>
      <c r="F366" s="31" t="s">
        <v>91</v>
      </c>
    </row>
    <row r="367" customFormat="false" ht="15" hidden="false" customHeight="true" outlineLevel="0" collapsed="false">
      <c r="A367" s="16" t="n">
        <v>2050</v>
      </c>
      <c r="B367" s="31" t="s">
        <v>40</v>
      </c>
      <c r="C367" s="31" t="s">
        <v>45</v>
      </c>
      <c r="D367" s="32" t="n">
        <f aca="false">MMcfd!C31</f>
        <v>8.41830781847488</v>
      </c>
      <c r="E367" s="31" t="s">
        <v>91</v>
      </c>
      <c r="F367" s="31" t="s">
        <v>91</v>
      </c>
    </row>
    <row r="368" customFormat="false" ht="15" hidden="false" customHeight="true" outlineLevel="0" collapsed="false">
      <c r="A368" s="16" t="n">
        <v>2023</v>
      </c>
      <c r="B368" s="31" t="s">
        <v>40</v>
      </c>
      <c r="C368" s="31" t="s">
        <v>46</v>
      </c>
      <c r="D368" s="32" t="n">
        <f aca="false">MMcfd!D4</f>
        <v>545.104349144224</v>
      </c>
      <c r="E368" s="31" t="s">
        <v>91</v>
      </c>
      <c r="F368" s="31" t="s">
        <v>91</v>
      </c>
    </row>
    <row r="369" customFormat="false" ht="15" hidden="false" customHeight="true" outlineLevel="0" collapsed="false">
      <c r="A369" s="16" t="n">
        <v>2024</v>
      </c>
      <c r="B369" s="31" t="s">
        <v>40</v>
      </c>
      <c r="C369" s="31" t="s">
        <v>46</v>
      </c>
      <c r="D369" s="32" t="n">
        <f aca="false">MMcfd!D5</f>
        <v>620.882144275124</v>
      </c>
      <c r="E369" s="31" t="s">
        <v>91</v>
      </c>
      <c r="F369" s="31" t="s">
        <v>91</v>
      </c>
    </row>
    <row r="370" customFormat="false" ht="15" hidden="false" customHeight="true" outlineLevel="0" collapsed="false">
      <c r="A370" s="16" t="n">
        <v>2025</v>
      </c>
      <c r="B370" s="31" t="s">
        <v>40</v>
      </c>
      <c r="C370" s="31" t="s">
        <v>46</v>
      </c>
      <c r="D370" s="32" t="n">
        <f aca="false">MMcfd!D6</f>
        <v>696.719006332055</v>
      </c>
      <c r="E370" s="31" t="s">
        <v>91</v>
      </c>
      <c r="F370" s="31" t="s">
        <v>91</v>
      </c>
    </row>
    <row r="371" customFormat="false" ht="15" hidden="false" customHeight="true" outlineLevel="0" collapsed="false">
      <c r="A371" s="16" t="n">
        <v>2026</v>
      </c>
      <c r="B371" s="31" t="s">
        <v>40</v>
      </c>
      <c r="C371" s="31" t="s">
        <v>46</v>
      </c>
      <c r="D371" s="32" t="n">
        <f aca="false">MMcfd!D7</f>
        <v>772.67076950944</v>
      </c>
      <c r="E371" s="31" t="s">
        <v>91</v>
      </c>
      <c r="F371" s="31" t="s">
        <v>91</v>
      </c>
    </row>
    <row r="372" customFormat="false" ht="15" hidden="false" customHeight="true" outlineLevel="0" collapsed="false">
      <c r="A372" s="16" t="n">
        <v>2027</v>
      </c>
      <c r="B372" s="31" t="s">
        <v>40</v>
      </c>
      <c r="C372" s="31" t="s">
        <v>46</v>
      </c>
      <c r="D372" s="32" t="n">
        <f aca="false">MMcfd!D8</f>
        <v>848.805300272786</v>
      </c>
      <c r="E372" s="31" t="s">
        <v>91</v>
      </c>
      <c r="F372" s="31" t="s">
        <v>91</v>
      </c>
    </row>
    <row r="373" customFormat="false" ht="15" hidden="false" customHeight="true" outlineLevel="0" collapsed="false">
      <c r="A373" s="16" t="n">
        <v>2028</v>
      </c>
      <c r="B373" s="31" t="s">
        <v>40</v>
      </c>
      <c r="C373" s="31" t="s">
        <v>46</v>
      </c>
      <c r="D373" s="32" t="n">
        <f aca="false">MMcfd!D9</f>
        <v>925.182839087488</v>
      </c>
      <c r="E373" s="31" t="s">
        <v>91</v>
      </c>
      <c r="F373" s="31" t="s">
        <v>91</v>
      </c>
    </row>
    <row r="374" customFormat="false" ht="15" hidden="false" customHeight="true" outlineLevel="0" collapsed="false">
      <c r="A374" s="16" t="n">
        <v>2029</v>
      </c>
      <c r="B374" s="31" t="s">
        <v>40</v>
      </c>
      <c r="C374" s="31" t="s">
        <v>46</v>
      </c>
      <c r="D374" s="32" t="n">
        <f aca="false">MMcfd!D10</f>
        <v>1001.83624195646</v>
      </c>
      <c r="E374" s="31" t="s">
        <v>91</v>
      </c>
      <c r="F374" s="31" t="s">
        <v>91</v>
      </c>
    </row>
    <row r="375" customFormat="false" ht="15" hidden="false" customHeight="true" outlineLevel="0" collapsed="false">
      <c r="A375" s="16" t="n">
        <v>2030</v>
      </c>
      <c r="B375" s="31" t="s">
        <v>40</v>
      </c>
      <c r="C375" s="31" t="s">
        <v>46</v>
      </c>
      <c r="D375" s="32" t="n">
        <f aca="false">MMcfd!D11</f>
        <v>1078.78220656304</v>
      </c>
      <c r="E375" s="31" t="s">
        <v>91</v>
      </c>
      <c r="F375" s="31" t="s">
        <v>91</v>
      </c>
    </row>
    <row r="376" customFormat="false" ht="15" hidden="false" customHeight="true" outlineLevel="0" collapsed="false">
      <c r="A376" s="16" t="n">
        <v>2031</v>
      </c>
      <c r="B376" s="31" t="s">
        <v>40</v>
      </c>
      <c r="C376" s="31" t="s">
        <v>46</v>
      </c>
      <c r="D376" s="32" t="n">
        <f aca="false">MMcfd!D12</f>
        <v>1156.0358780951</v>
      </c>
      <c r="E376" s="31" t="s">
        <v>91</v>
      </c>
      <c r="F376" s="31" t="s">
        <v>91</v>
      </c>
    </row>
    <row r="377" customFormat="false" ht="15" hidden="false" customHeight="true" outlineLevel="0" collapsed="false">
      <c r="A377" s="16" t="n">
        <v>2032</v>
      </c>
      <c r="B377" s="31" t="s">
        <v>40</v>
      </c>
      <c r="C377" s="31" t="s">
        <v>46</v>
      </c>
      <c r="D377" s="32" t="n">
        <f aca="false">MMcfd!D13</f>
        <v>1233.62927068627</v>
      </c>
      <c r="E377" s="31" t="s">
        <v>91</v>
      </c>
      <c r="F377" s="31" t="s">
        <v>91</v>
      </c>
    </row>
    <row r="378" customFormat="false" ht="15" hidden="false" customHeight="true" outlineLevel="0" collapsed="false">
      <c r="A378" s="16" t="n">
        <v>2033</v>
      </c>
      <c r="B378" s="31" t="s">
        <v>40</v>
      </c>
      <c r="C378" s="31" t="s">
        <v>46</v>
      </c>
      <c r="D378" s="32" t="n">
        <f aca="false">MMcfd!D14</f>
        <v>1311.60522075125</v>
      </c>
      <c r="E378" s="31" t="s">
        <v>91</v>
      </c>
      <c r="F378" s="31" t="s">
        <v>91</v>
      </c>
    </row>
    <row r="379" customFormat="false" ht="15" hidden="false" customHeight="true" outlineLevel="0" collapsed="false">
      <c r="A379" s="16" t="n">
        <v>2034</v>
      </c>
      <c r="B379" s="31" t="s">
        <v>40</v>
      </c>
      <c r="C379" s="31" t="s">
        <v>46</v>
      </c>
      <c r="D379" s="32" t="n">
        <f aca="false">MMcfd!D15</f>
        <v>1390.01199030935</v>
      </c>
      <c r="E379" s="31" t="s">
        <v>91</v>
      </c>
      <c r="F379" s="31" t="s">
        <v>91</v>
      </c>
    </row>
    <row r="380" customFormat="false" ht="15" hidden="false" customHeight="true" outlineLevel="0" collapsed="false">
      <c r="A380" s="16" t="n">
        <v>2035</v>
      </c>
      <c r="B380" s="31" t="s">
        <v>40</v>
      </c>
      <c r="C380" s="31" t="s">
        <v>46</v>
      </c>
      <c r="D380" s="32" t="n">
        <f aca="false">MMcfd!D16</f>
        <v>1468.89850856794</v>
      </c>
      <c r="E380" s="31" t="s">
        <v>91</v>
      </c>
      <c r="F380" s="31" t="s">
        <v>91</v>
      </c>
    </row>
    <row r="381" customFormat="false" ht="15" hidden="false" customHeight="true" outlineLevel="0" collapsed="false">
      <c r="A381" s="16" t="n">
        <v>2036</v>
      </c>
      <c r="B381" s="31" t="s">
        <v>40</v>
      </c>
      <c r="C381" s="31" t="s">
        <v>46</v>
      </c>
      <c r="D381" s="32" t="n">
        <f aca="false">MMcfd!D17</f>
        <v>1548.31023653992</v>
      </c>
      <c r="E381" s="31" t="s">
        <v>91</v>
      </c>
      <c r="F381" s="31" t="s">
        <v>91</v>
      </c>
    </row>
    <row r="382" customFormat="false" ht="15" hidden="false" customHeight="true" outlineLevel="0" collapsed="false">
      <c r="A382" s="16" t="n">
        <v>2037</v>
      </c>
      <c r="B382" s="31" t="s">
        <v>40</v>
      </c>
      <c r="C382" s="31" t="s">
        <v>46</v>
      </c>
      <c r="D382" s="32" t="n">
        <f aca="false">MMcfd!D18</f>
        <v>1628.28564030616</v>
      </c>
      <c r="E382" s="31" t="s">
        <v>91</v>
      </c>
      <c r="F382" s="31" t="s">
        <v>91</v>
      </c>
    </row>
    <row r="383" customFormat="false" ht="15" hidden="false" customHeight="true" outlineLevel="0" collapsed="false">
      <c r="A383" s="16" t="n">
        <v>2038</v>
      </c>
      <c r="B383" s="31" t="s">
        <v>40</v>
      </c>
      <c r="C383" s="31" t="s">
        <v>46</v>
      </c>
      <c r="D383" s="32" t="n">
        <f aca="false">MMcfd!D19</f>
        <v>1708.85325993009</v>
      </c>
      <c r="E383" s="31" t="s">
        <v>91</v>
      </c>
      <c r="F383" s="31" t="s">
        <v>91</v>
      </c>
    </row>
    <row r="384" customFormat="false" ht="15" hidden="false" customHeight="true" outlineLevel="0" collapsed="false">
      <c r="A384" s="16" t="n">
        <v>2039</v>
      </c>
      <c r="B384" s="31" t="s">
        <v>40</v>
      </c>
      <c r="C384" s="31" t="s">
        <v>46</v>
      </c>
      <c r="D384" s="32" t="n">
        <f aca="false">MMcfd!D20</f>
        <v>1790.02936598866</v>
      </c>
      <c r="E384" s="31" t="s">
        <v>91</v>
      </c>
      <c r="F384" s="31" t="s">
        <v>91</v>
      </c>
    </row>
    <row r="385" customFormat="false" ht="15" hidden="false" customHeight="true" outlineLevel="0" collapsed="false">
      <c r="A385" s="16" t="n">
        <v>2040</v>
      </c>
      <c r="B385" s="31" t="s">
        <v>40</v>
      </c>
      <c r="C385" s="31" t="s">
        <v>46</v>
      </c>
      <c r="D385" s="32" t="n">
        <f aca="false">MMcfd!D21</f>
        <v>1871.81620213729</v>
      </c>
      <c r="E385" s="31" t="s">
        <v>91</v>
      </c>
      <c r="F385" s="31" t="s">
        <v>91</v>
      </c>
    </row>
    <row r="386" customFormat="false" ht="15" hidden="false" customHeight="true" outlineLevel="0" collapsed="false">
      <c r="A386" s="16" t="n">
        <v>2041</v>
      </c>
      <c r="B386" s="31" t="s">
        <v>40</v>
      </c>
      <c r="C386" s="31" t="s">
        <v>46</v>
      </c>
      <c r="D386" s="32" t="n">
        <f aca="false">MMcfd!D22</f>
        <v>1954.20082038779</v>
      </c>
      <c r="E386" s="31" t="s">
        <v>91</v>
      </c>
      <c r="F386" s="31" t="s">
        <v>91</v>
      </c>
    </row>
    <row r="387" customFormat="false" ht="15" hidden="false" customHeight="true" outlineLevel="0" collapsed="false">
      <c r="A387" s="16" t="n">
        <v>2042</v>
      </c>
      <c r="B387" s="31" t="s">
        <v>40</v>
      </c>
      <c r="C387" s="31" t="s">
        <v>46</v>
      </c>
      <c r="D387" s="32" t="n">
        <f aca="false">MMcfd!D23</f>
        <v>2037.15452380945</v>
      </c>
      <c r="E387" s="31" t="s">
        <v>91</v>
      </c>
      <c r="F387" s="31" t="s">
        <v>91</v>
      </c>
    </row>
    <row r="388" customFormat="false" ht="15" hidden="false" customHeight="true" outlineLevel="0" collapsed="false">
      <c r="A388" s="16" t="n">
        <v>2043</v>
      </c>
      <c r="B388" s="31" t="s">
        <v>40</v>
      </c>
      <c r="C388" s="31" t="s">
        <v>46</v>
      </c>
      <c r="D388" s="32" t="n">
        <f aca="false">MMcfd!D24</f>
        <v>2120.63343404762</v>
      </c>
      <c r="E388" s="31" t="s">
        <v>91</v>
      </c>
      <c r="F388" s="31" t="s">
        <v>91</v>
      </c>
    </row>
    <row r="389" customFormat="false" ht="15" hidden="false" customHeight="true" outlineLevel="0" collapsed="false">
      <c r="A389" s="16" t="n">
        <v>2044</v>
      </c>
      <c r="B389" s="31" t="s">
        <v>40</v>
      </c>
      <c r="C389" s="31" t="s">
        <v>46</v>
      </c>
      <c r="D389" s="32" t="n">
        <f aca="false">MMcfd!D25</f>
        <v>2204.5800518363</v>
      </c>
      <c r="E389" s="31" t="s">
        <v>91</v>
      </c>
      <c r="F389" s="31" t="s">
        <v>91</v>
      </c>
    </row>
    <row r="390" customFormat="false" ht="15" hidden="false" customHeight="true" outlineLevel="0" collapsed="false">
      <c r="A390" s="16" t="n">
        <v>2045</v>
      </c>
      <c r="B390" s="31" t="s">
        <v>40</v>
      </c>
      <c r="C390" s="31" t="s">
        <v>46</v>
      </c>
      <c r="D390" s="32" t="n">
        <f aca="false">MMcfd!D26</f>
        <v>2288.9256222975</v>
      </c>
      <c r="E390" s="31" t="s">
        <v>91</v>
      </c>
      <c r="F390" s="31" t="s">
        <v>91</v>
      </c>
    </row>
    <row r="391" customFormat="false" ht="15" hidden="false" customHeight="true" outlineLevel="0" collapsed="false">
      <c r="A391" s="16" t="n">
        <v>2046</v>
      </c>
      <c r="B391" s="31" t="s">
        <v>40</v>
      </c>
      <c r="C391" s="31" t="s">
        <v>46</v>
      </c>
      <c r="D391" s="32" t="n">
        <f aca="false">MMcfd!D27</f>
        <v>2373.5933637083</v>
      </c>
      <c r="E391" s="31" t="s">
        <v>91</v>
      </c>
      <c r="F391" s="31" t="s">
        <v>91</v>
      </c>
    </row>
    <row r="392" customFormat="false" ht="15" hidden="false" customHeight="true" outlineLevel="0" collapsed="false">
      <c r="A392" s="16" t="n">
        <v>2047</v>
      </c>
      <c r="B392" s="31" t="s">
        <v>40</v>
      </c>
      <c r="C392" s="31" t="s">
        <v>46</v>
      </c>
      <c r="D392" s="32" t="n">
        <f aca="false">MMcfd!D28</f>
        <v>2458.50262560292</v>
      </c>
      <c r="E392" s="31" t="s">
        <v>91</v>
      </c>
      <c r="F392" s="31" t="s">
        <v>91</v>
      </c>
    </row>
    <row r="393" customFormat="false" ht="15" hidden="false" customHeight="true" outlineLevel="0" collapsed="false">
      <c r="A393" s="16" t="n">
        <v>2048</v>
      </c>
      <c r="B393" s="31" t="s">
        <v>40</v>
      </c>
      <c r="C393" s="31" t="s">
        <v>46</v>
      </c>
      <c r="D393" s="32" t="n">
        <f aca="false">MMcfd!D29</f>
        <v>2543.57404821724</v>
      </c>
      <c r="E393" s="31" t="s">
        <v>91</v>
      </c>
      <c r="F393" s="31" t="s">
        <v>91</v>
      </c>
    </row>
    <row r="394" customFormat="false" ht="15" hidden="false" customHeight="true" outlineLevel="0" collapsed="false">
      <c r="A394" s="16" t="n">
        <v>2049</v>
      </c>
      <c r="B394" s="31" t="s">
        <v>40</v>
      </c>
      <c r="C394" s="31" t="s">
        <v>46</v>
      </c>
      <c r="D394" s="32" t="n">
        <f aca="false">MMcfd!D30</f>
        <v>2628.73579788548</v>
      </c>
      <c r="E394" s="31" t="s">
        <v>91</v>
      </c>
      <c r="F394" s="31" t="s">
        <v>91</v>
      </c>
    </row>
    <row r="395" customFormat="false" ht="15" hidden="false" customHeight="true" outlineLevel="0" collapsed="false">
      <c r="A395" s="16" t="n">
        <v>2050</v>
      </c>
      <c r="B395" s="31" t="s">
        <v>40</v>
      </c>
      <c r="C395" s="31" t="s">
        <v>46</v>
      </c>
      <c r="D395" s="32" t="n">
        <f aca="false">MMcfd!D31</f>
        <v>2627.68054230995</v>
      </c>
      <c r="E395" s="31" t="s">
        <v>91</v>
      </c>
      <c r="F395" s="31" t="s">
        <v>91</v>
      </c>
    </row>
    <row r="396" customFormat="false" ht="15" hidden="false" customHeight="true" outlineLevel="0" collapsed="false">
      <c r="A396" s="16" t="n">
        <v>2023</v>
      </c>
      <c r="B396" s="31" t="s">
        <v>41</v>
      </c>
      <c r="C396" s="31" t="s">
        <v>44</v>
      </c>
      <c r="D396" s="32" t="n">
        <f aca="false">MMcfd!G4</f>
        <v>12.568650140783</v>
      </c>
      <c r="E396" s="31" t="s">
        <v>91</v>
      </c>
      <c r="F396" s="31" t="s">
        <v>91</v>
      </c>
    </row>
    <row r="397" customFormat="false" ht="15" hidden="false" customHeight="true" outlineLevel="0" collapsed="false">
      <c r="A397" s="16" t="n">
        <v>2024</v>
      </c>
      <c r="B397" s="31" t="s">
        <v>41</v>
      </c>
      <c r="C397" s="31" t="s">
        <v>44</v>
      </c>
      <c r="D397" s="32" t="n">
        <f aca="false">MMcfd!G5</f>
        <v>12.2701276983437</v>
      </c>
      <c r="E397" s="31" t="s">
        <v>91</v>
      </c>
      <c r="F397" s="31" t="s">
        <v>91</v>
      </c>
    </row>
    <row r="398" customFormat="false" ht="15" hidden="false" customHeight="true" outlineLevel="0" collapsed="false">
      <c r="A398" s="16" t="n">
        <v>2025</v>
      </c>
      <c r="B398" s="31" t="s">
        <v>41</v>
      </c>
      <c r="C398" s="31" t="s">
        <v>44</v>
      </c>
      <c r="D398" s="32" t="n">
        <f aca="false">MMcfd!G6</f>
        <v>11.969822798416</v>
      </c>
      <c r="E398" s="31" t="s">
        <v>91</v>
      </c>
      <c r="F398" s="31" t="s">
        <v>91</v>
      </c>
    </row>
    <row r="399" customFormat="false" ht="15" hidden="false" customHeight="true" outlineLevel="0" collapsed="false">
      <c r="A399" s="16" t="n">
        <v>2026</v>
      </c>
      <c r="B399" s="31" t="s">
        <v>41</v>
      </c>
      <c r="C399" s="31" t="s">
        <v>44</v>
      </c>
      <c r="D399" s="32" t="n">
        <f aca="false">MMcfd!G7</f>
        <v>11.6640186036568</v>
      </c>
      <c r="E399" s="31" t="s">
        <v>91</v>
      </c>
      <c r="F399" s="31" t="s">
        <v>91</v>
      </c>
    </row>
    <row r="400" customFormat="false" ht="15" hidden="false" customHeight="true" outlineLevel="0" collapsed="false">
      <c r="A400" s="16" t="n">
        <v>2027</v>
      </c>
      <c r="B400" s="31" t="s">
        <v>41</v>
      </c>
      <c r="C400" s="31" t="s">
        <v>44</v>
      </c>
      <c r="D400" s="32" t="n">
        <f aca="false">MMcfd!G8</f>
        <v>11.3486650993838</v>
      </c>
      <c r="E400" s="31" t="s">
        <v>91</v>
      </c>
      <c r="F400" s="31" t="s">
        <v>91</v>
      </c>
    </row>
    <row r="401" customFormat="false" ht="15" hidden="false" customHeight="true" outlineLevel="0" collapsed="false">
      <c r="A401" s="16" t="n">
        <v>2028</v>
      </c>
      <c r="B401" s="31" t="s">
        <v>41</v>
      </c>
      <c r="C401" s="31" t="s">
        <v>44</v>
      </c>
      <c r="D401" s="32" t="n">
        <f aca="false">MMcfd!G9</f>
        <v>11.0197668829678</v>
      </c>
      <c r="E401" s="31" t="s">
        <v>91</v>
      </c>
      <c r="F401" s="31" t="s">
        <v>91</v>
      </c>
    </row>
    <row r="402" customFormat="false" ht="15" hidden="false" customHeight="true" outlineLevel="0" collapsed="false">
      <c r="A402" s="16" t="n">
        <v>2029</v>
      </c>
      <c r="B402" s="31" t="s">
        <v>41</v>
      </c>
      <c r="C402" s="31" t="s">
        <v>44</v>
      </c>
      <c r="D402" s="32" t="n">
        <f aca="false">MMcfd!G10</f>
        <v>10.6737239696266</v>
      </c>
      <c r="E402" s="31" t="s">
        <v>91</v>
      </c>
      <c r="F402" s="31" t="s">
        <v>91</v>
      </c>
    </row>
    <row r="403" customFormat="false" ht="15" hidden="false" customHeight="true" outlineLevel="0" collapsed="false">
      <c r="A403" s="16" t="n">
        <v>2030</v>
      </c>
      <c r="B403" s="31" t="s">
        <v>41</v>
      </c>
      <c r="C403" s="31" t="s">
        <v>44</v>
      </c>
      <c r="D403" s="32" t="n">
        <f aca="false">MMcfd!G11</f>
        <v>10.3076202935298</v>
      </c>
      <c r="E403" s="31" t="s">
        <v>91</v>
      </c>
      <c r="F403" s="31" t="s">
        <v>91</v>
      </c>
    </row>
    <row r="404" customFormat="false" ht="15" hidden="false" customHeight="true" outlineLevel="0" collapsed="false">
      <c r="A404" s="16" t="n">
        <v>2031</v>
      </c>
      <c r="B404" s="31" t="s">
        <v>41</v>
      </c>
      <c r="C404" s="31" t="s">
        <v>44</v>
      </c>
      <c r="D404" s="32" t="n">
        <f aca="false">MMcfd!G12</f>
        <v>9.91945415882166</v>
      </c>
      <c r="E404" s="31" t="s">
        <v>91</v>
      </c>
      <c r="F404" s="31" t="s">
        <v>91</v>
      </c>
    </row>
    <row r="405" customFormat="false" ht="15" hidden="false" customHeight="true" outlineLevel="0" collapsed="false">
      <c r="A405" s="16" t="n">
        <v>2032</v>
      </c>
      <c r="B405" s="31" t="s">
        <v>41</v>
      </c>
      <c r="C405" s="31" t="s">
        <v>44</v>
      </c>
      <c r="D405" s="32" t="n">
        <f aca="false">MMcfd!G13</f>
        <v>9.5083555342108</v>
      </c>
      <c r="E405" s="31" t="s">
        <v>91</v>
      </c>
      <c r="F405" s="31" t="s">
        <v>91</v>
      </c>
    </row>
    <row r="406" customFormat="false" ht="15" hidden="false" customHeight="true" outlineLevel="0" collapsed="false">
      <c r="A406" s="16" t="n">
        <v>2033</v>
      </c>
      <c r="B406" s="31" t="s">
        <v>41</v>
      </c>
      <c r="C406" s="31" t="s">
        <v>44</v>
      </c>
      <c r="D406" s="32" t="n">
        <f aca="false">MMcfd!G14</f>
        <v>9.07437286807104</v>
      </c>
      <c r="E406" s="31" t="s">
        <v>91</v>
      </c>
      <c r="F406" s="31" t="s">
        <v>91</v>
      </c>
    </row>
    <row r="407" customFormat="false" ht="15" hidden="false" customHeight="true" outlineLevel="0" collapsed="false">
      <c r="A407" s="16" t="n">
        <v>2034</v>
      </c>
      <c r="B407" s="31" t="s">
        <v>41</v>
      </c>
      <c r="C407" s="31" t="s">
        <v>44</v>
      </c>
      <c r="D407" s="32" t="n">
        <f aca="false">MMcfd!G15</f>
        <v>8.61827912312654</v>
      </c>
      <c r="E407" s="31" t="s">
        <v>91</v>
      </c>
      <c r="F407" s="31" t="s">
        <v>91</v>
      </c>
    </row>
    <row r="408" customFormat="false" ht="15" hidden="false" customHeight="true" outlineLevel="0" collapsed="false">
      <c r="A408" s="16" t="n">
        <v>2035</v>
      </c>
      <c r="B408" s="31" t="s">
        <v>41</v>
      </c>
      <c r="C408" s="31" t="s">
        <v>44</v>
      </c>
      <c r="D408" s="32" t="n">
        <f aca="false">MMcfd!G16</f>
        <v>8.14139734168944</v>
      </c>
      <c r="E408" s="31" t="s">
        <v>91</v>
      </c>
      <c r="F408" s="31" t="s">
        <v>91</v>
      </c>
    </row>
    <row r="409" customFormat="false" ht="15" hidden="false" customHeight="true" outlineLevel="0" collapsed="false">
      <c r="A409" s="16" t="n">
        <v>2036</v>
      </c>
      <c r="B409" s="31" t="s">
        <v>41</v>
      </c>
      <c r="C409" s="31" t="s">
        <v>44</v>
      </c>
      <c r="D409" s="32" t="n">
        <f aca="false">MMcfd!G17</f>
        <v>7.64544557651267</v>
      </c>
      <c r="E409" s="31" t="s">
        <v>91</v>
      </c>
      <c r="F409" s="31" t="s">
        <v>91</v>
      </c>
    </row>
    <row r="410" customFormat="false" ht="15" hidden="false" customHeight="true" outlineLevel="0" collapsed="false">
      <c r="A410" s="16" t="n">
        <v>2037</v>
      </c>
      <c r="B410" s="31" t="s">
        <v>41</v>
      </c>
      <c r="C410" s="31" t="s">
        <v>44</v>
      </c>
      <c r="D410" s="32" t="n">
        <f aca="false">MMcfd!G18</f>
        <v>7.13240071865708</v>
      </c>
      <c r="E410" s="31" t="s">
        <v>91</v>
      </c>
      <c r="F410" s="31" t="s">
        <v>91</v>
      </c>
    </row>
    <row r="411" customFormat="false" ht="15" hidden="false" customHeight="true" outlineLevel="0" collapsed="false">
      <c r="A411" s="16" t="n">
        <v>2038</v>
      </c>
      <c r="B411" s="31" t="s">
        <v>41</v>
      </c>
      <c r="C411" s="31" t="s">
        <v>44</v>
      </c>
      <c r="D411" s="32" t="n">
        <f aca="false">MMcfd!G19</f>
        <v>6.60438049239786</v>
      </c>
      <c r="E411" s="31" t="s">
        <v>91</v>
      </c>
      <c r="F411" s="31" t="s">
        <v>91</v>
      </c>
    </row>
    <row r="412" customFormat="false" ht="15" hidden="false" customHeight="true" outlineLevel="0" collapsed="false">
      <c r="A412" s="16" t="n">
        <v>2039</v>
      </c>
      <c r="B412" s="31" t="s">
        <v>41</v>
      </c>
      <c r="C412" s="31" t="s">
        <v>44</v>
      </c>
      <c r="D412" s="32" t="n">
        <f aca="false">MMcfd!G20</f>
        <v>6.06354378259785</v>
      </c>
      <c r="E412" s="31" t="s">
        <v>91</v>
      </c>
      <c r="F412" s="31" t="s">
        <v>91</v>
      </c>
    </row>
    <row r="413" customFormat="false" ht="15" hidden="false" customHeight="true" outlineLevel="0" collapsed="false">
      <c r="A413" s="16" t="n">
        <v>2040</v>
      </c>
      <c r="B413" s="31" t="s">
        <v>41</v>
      </c>
      <c r="C413" s="31" t="s">
        <v>44</v>
      </c>
      <c r="D413" s="32" t="n">
        <f aca="false">MMcfd!G21</f>
        <v>5.5120088135919</v>
      </c>
      <c r="E413" s="31" t="s">
        <v>91</v>
      </c>
      <c r="F413" s="31" t="s">
        <v>91</v>
      </c>
    </row>
    <row r="414" customFormat="false" ht="15" hidden="false" customHeight="true" outlineLevel="0" collapsed="false">
      <c r="A414" s="16" t="n">
        <v>2041</v>
      </c>
      <c r="B414" s="31" t="s">
        <v>41</v>
      </c>
      <c r="C414" s="31" t="s">
        <v>44</v>
      </c>
      <c r="D414" s="32" t="n">
        <f aca="false">MMcfd!G22</f>
        <v>4.95178631369417</v>
      </c>
      <c r="E414" s="31" t="s">
        <v>91</v>
      </c>
      <c r="F414" s="31" t="s">
        <v>91</v>
      </c>
    </row>
    <row r="415" customFormat="false" ht="15" hidden="false" customHeight="true" outlineLevel="0" collapsed="false">
      <c r="A415" s="16" t="n">
        <v>2042</v>
      </c>
      <c r="B415" s="31" t="s">
        <v>41</v>
      </c>
      <c r="C415" s="31" t="s">
        <v>44</v>
      </c>
      <c r="D415" s="32" t="n">
        <f aca="false">MMcfd!G23</f>
        <v>4.38472673666337</v>
      </c>
      <c r="E415" s="31" t="s">
        <v>91</v>
      </c>
      <c r="F415" s="31" t="s">
        <v>91</v>
      </c>
    </row>
    <row r="416" customFormat="false" ht="15" hidden="false" customHeight="true" outlineLevel="0" collapsed="false">
      <c r="A416" s="16" t="n">
        <v>2043</v>
      </c>
      <c r="B416" s="31" t="s">
        <v>41</v>
      </c>
      <c r="C416" s="31" t="s">
        <v>44</v>
      </c>
      <c r="D416" s="32" t="n">
        <f aca="false">MMcfd!G24</f>
        <v>3.81249381391908</v>
      </c>
      <c r="E416" s="31" t="s">
        <v>91</v>
      </c>
      <c r="F416" s="31" t="s">
        <v>91</v>
      </c>
    </row>
    <row r="417" customFormat="false" ht="15" hidden="false" customHeight="true" outlineLevel="0" collapsed="false">
      <c r="A417" s="16" t="n">
        <v>2044</v>
      </c>
      <c r="B417" s="31" t="s">
        <v>41</v>
      </c>
      <c r="C417" s="31" t="s">
        <v>44</v>
      </c>
      <c r="D417" s="32" t="n">
        <f aca="false">MMcfd!G25</f>
        <v>3.23650024544955</v>
      </c>
      <c r="E417" s="31" t="s">
        <v>91</v>
      </c>
      <c r="F417" s="31" t="s">
        <v>91</v>
      </c>
    </row>
    <row r="418" customFormat="false" ht="15" hidden="false" customHeight="true" outlineLevel="0" collapsed="false">
      <c r="A418" s="16" t="n">
        <v>2045</v>
      </c>
      <c r="B418" s="31" t="s">
        <v>41</v>
      </c>
      <c r="C418" s="31" t="s">
        <v>44</v>
      </c>
      <c r="D418" s="32" t="n">
        <f aca="false">MMcfd!G26</f>
        <v>2.65792110733724</v>
      </c>
      <c r="E418" s="31" t="s">
        <v>91</v>
      </c>
      <c r="F418" s="31" t="s">
        <v>91</v>
      </c>
    </row>
    <row r="419" customFormat="false" ht="15" hidden="false" customHeight="true" outlineLevel="0" collapsed="false">
      <c r="A419" s="16" t="n">
        <v>2046</v>
      </c>
      <c r="B419" s="31" t="s">
        <v>41</v>
      </c>
      <c r="C419" s="31" t="s">
        <v>44</v>
      </c>
      <c r="D419" s="32" t="n">
        <f aca="false">MMcfd!G27</f>
        <v>2.07769446929802</v>
      </c>
      <c r="E419" s="31" t="s">
        <v>91</v>
      </c>
      <c r="F419" s="31" t="s">
        <v>91</v>
      </c>
    </row>
    <row r="420" customFormat="false" ht="15" hidden="false" customHeight="true" outlineLevel="0" collapsed="false">
      <c r="A420" s="16" t="n">
        <v>2047</v>
      </c>
      <c r="B420" s="31" t="s">
        <v>41</v>
      </c>
      <c r="C420" s="31" t="s">
        <v>44</v>
      </c>
      <c r="D420" s="32" t="n">
        <f aca="false">MMcfd!G28</f>
        <v>1.49194765697484</v>
      </c>
      <c r="E420" s="31" t="s">
        <v>91</v>
      </c>
      <c r="F420" s="31" t="s">
        <v>91</v>
      </c>
    </row>
    <row r="421" customFormat="false" ht="15" hidden="false" customHeight="true" outlineLevel="0" collapsed="false">
      <c r="A421" s="16" t="n">
        <v>2048</v>
      </c>
      <c r="B421" s="31" t="s">
        <v>41</v>
      </c>
      <c r="C421" s="31" t="s">
        <v>44</v>
      </c>
      <c r="D421" s="32" t="n">
        <f aca="false">MMcfd!G29</f>
        <v>0.907667904234889</v>
      </c>
      <c r="E421" s="31" t="s">
        <v>91</v>
      </c>
      <c r="F421" s="31" t="s">
        <v>91</v>
      </c>
    </row>
    <row r="422" customFormat="false" ht="15" hidden="false" customHeight="true" outlineLevel="0" collapsed="false">
      <c r="A422" s="16" t="n">
        <v>2049</v>
      </c>
      <c r="B422" s="31" t="s">
        <v>41</v>
      </c>
      <c r="C422" s="31" t="s">
        <v>44</v>
      </c>
      <c r="D422" s="32" t="n">
        <f aca="false">MMcfd!G30</f>
        <v>0.328763394295187</v>
      </c>
      <c r="E422" s="31" t="s">
        <v>91</v>
      </c>
      <c r="F422" s="31" t="s">
        <v>91</v>
      </c>
    </row>
    <row r="423" customFormat="false" ht="15" hidden="false" customHeight="true" outlineLevel="0" collapsed="false">
      <c r="A423" s="16" t="n">
        <v>2050</v>
      </c>
      <c r="B423" s="31" t="s">
        <v>41</v>
      </c>
      <c r="C423" s="31" t="s">
        <v>44</v>
      </c>
      <c r="D423" s="32" t="n">
        <f aca="false">MMcfd!G31</f>
        <v>0.31867833384173</v>
      </c>
      <c r="E423" s="31" t="s">
        <v>91</v>
      </c>
      <c r="F423" s="31" t="s">
        <v>91</v>
      </c>
    </row>
    <row r="424" customFormat="false" ht="15" hidden="false" customHeight="true" outlineLevel="0" collapsed="false">
      <c r="A424" s="16" t="n">
        <v>2023</v>
      </c>
      <c r="B424" s="31" t="s">
        <v>41</v>
      </c>
      <c r="C424" s="31" t="s">
        <v>45</v>
      </c>
      <c r="D424" s="32" t="n">
        <f aca="false">MMcfd!H4</f>
        <v>38.8325644977816</v>
      </c>
      <c r="E424" s="31" t="s">
        <v>91</v>
      </c>
      <c r="F424" s="31" t="s">
        <v>91</v>
      </c>
    </row>
    <row r="425" customFormat="false" ht="15" hidden="false" customHeight="true" outlineLevel="0" collapsed="false">
      <c r="A425" s="16" t="n">
        <v>2024</v>
      </c>
      <c r="B425" s="31" t="s">
        <v>41</v>
      </c>
      <c r="C425" s="31" t="s">
        <v>45</v>
      </c>
      <c r="D425" s="32" t="n">
        <f aca="false">MMcfd!H5</f>
        <v>40.7197724923039</v>
      </c>
      <c r="E425" s="31" t="s">
        <v>91</v>
      </c>
      <c r="F425" s="31" t="s">
        <v>91</v>
      </c>
    </row>
    <row r="426" customFormat="false" ht="15" hidden="false" customHeight="true" outlineLevel="0" collapsed="false">
      <c r="A426" s="16" t="n">
        <v>2025</v>
      </c>
      <c r="B426" s="31" t="s">
        <v>41</v>
      </c>
      <c r="C426" s="31" t="s">
        <v>45</v>
      </c>
      <c r="D426" s="32" t="n">
        <f aca="false">MMcfd!H6</f>
        <v>42.5993707850758</v>
      </c>
      <c r="E426" s="31" t="s">
        <v>91</v>
      </c>
      <c r="F426" s="31" t="s">
        <v>91</v>
      </c>
    </row>
    <row r="427" customFormat="false" ht="15" hidden="false" customHeight="true" outlineLevel="0" collapsed="false">
      <c r="A427" s="16" t="n">
        <v>2026</v>
      </c>
      <c r="B427" s="31" t="s">
        <v>41</v>
      </c>
      <c r="C427" s="31" t="s">
        <v>45</v>
      </c>
      <c r="D427" s="32" t="n">
        <f aca="false">MMcfd!H7</f>
        <v>44.4547931974803</v>
      </c>
      <c r="E427" s="31" t="s">
        <v>91</v>
      </c>
      <c r="F427" s="31" t="s">
        <v>91</v>
      </c>
    </row>
    <row r="428" customFormat="false" ht="15" hidden="false" customHeight="true" outlineLevel="0" collapsed="false">
      <c r="A428" s="16" t="n">
        <v>2027</v>
      </c>
      <c r="B428" s="31" t="s">
        <v>41</v>
      </c>
      <c r="C428" s="31" t="s">
        <v>45</v>
      </c>
      <c r="D428" s="32" t="n">
        <f aca="false">MMcfd!H8</f>
        <v>46.2651935914249</v>
      </c>
      <c r="E428" s="31" t="s">
        <v>91</v>
      </c>
      <c r="F428" s="31" t="s">
        <v>91</v>
      </c>
    </row>
    <row r="429" customFormat="false" ht="15" hidden="false" customHeight="true" outlineLevel="0" collapsed="false">
      <c r="A429" s="16" t="n">
        <v>2028</v>
      </c>
      <c r="B429" s="31" t="s">
        <v>41</v>
      </c>
      <c r="C429" s="31" t="s">
        <v>45</v>
      </c>
      <c r="D429" s="32" t="n">
        <f aca="false">MMcfd!H9</f>
        <v>48.0069662411757</v>
      </c>
      <c r="E429" s="31" t="s">
        <v>91</v>
      </c>
      <c r="F429" s="31" t="s">
        <v>91</v>
      </c>
    </row>
    <row r="430" customFormat="false" ht="15" hidden="false" customHeight="true" outlineLevel="0" collapsed="false">
      <c r="A430" s="16" t="n">
        <v>2029</v>
      </c>
      <c r="B430" s="31" t="s">
        <v>41</v>
      </c>
      <c r="C430" s="31" t="s">
        <v>45</v>
      </c>
      <c r="D430" s="32" t="n">
        <f aca="false">MMcfd!H10</f>
        <v>49.6553193418032</v>
      </c>
      <c r="E430" s="31" t="s">
        <v>91</v>
      </c>
      <c r="F430" s="31" t="s">
        <v>91</v>
      </c>
    </row>
    <row r="431" customFormat="false" ht="15" hidden="false" customHeight="true" outlineLevel="0" collapsed="false">
      <c r="A431" s="16" t="n">
        <v>2030</v>
      </c>
      <c r="B431" s="31" t="s">
        <v>41</v>
      </c>
      <c r="C431" s="31" t="s">
        <v>45</v>
      </c>
      <c r="D431" s="32" t="n">
        <f aca="false">MMcfd!H11</f>
        <v>51.1859402362697</v>
      </c>
      <c r="E431" s="31" t="s">
        <v>91</v>
      </c>
      <c r="F431" s="31" t="s">
        <v>91</v>
      </c>
    </row>
    <row r="432" customFormat="false" ht="15" hidden="false" customHeight="true" outlineLevel="0" collapsed="false">
      <c r="A432" s="16" t="n">
        <v>2031</v>
      </c>
      <c r="B432" s="31" t="s">
        <v>41</v>
      </c>
      <c r="C432" s="31" t="s">
        <v>45</v>
      </c>
      <c r="D432" s="32" t="n">
        <f aca="false">MMcfd!H12</f>
        <v>52.5767361648688</v>
      </c>
      <c r="E432" s="31" t="s">
        <v>91</v>
      </c>
      <c r="F432" s="31" t="s">
        <v>91</v>
      </c>
    </row>
    <row r="433" customFormat="false" ht="15" hidden="false" customHeight="true" outlineLevel="0" collapsed="false">
      <c r="A433" s="16" t="n">
        <v>2032</v>
      </c>
      <c r="B433" s="31" t="s">
        <v>41</v>
      </c>
      <c r="C433" s="31" t="s">
        <v>45</v>
      </c>
      <c r="D433" s="32" t="n">
        <f aca="false">MMcfd!H13</f>
        <v>53.8096526147404</v>
      </c>
      <c r="E433" s="31" t="s">
        <v>91</v>
      </c>
      <c r="F433" s="31" t="s">
        <v>91</v>
      </c>
    </row>
    <row r="434" customFormat="false" ht="15" hidden="false" customHeight="true" outlineLevel="0" collapsed="false">
      <c r="A434" s="16" t="n">
        <v>2033</v>
      </c>
      <c r="B434" s="31" t="s">
        <v>41</v>
      </c>
      <c r="C434" s="31" t="s">
        <v>45</v>
      </c>
      <c r="D434" s="32" t="n">
        <f aca="false">MMcfd!H14</f>
        <v>54.8707673852074</v>
      </c>
      <c r="E434" s="31" t="s">
        <v>91</v>
      </c>
      <c r="F434" s="31" t="s">
        <v>91</v>
      </c>
    </row>
    <row r="435" customFormat="false" ht="15" hidden="false" customHeight="true" outlineLevel="0" collapsed="false">
      <c r="A435" s="16" t="n">
        <v>2034</v>
      </c>
      <c r="B435" s="31" t="s">
        <v>41</v>
      </c>
      <c r="C435" s="31" t="s">
        <v>45</v>
      </c>
      <c r="D435" s="32" t="n">
        <f aca="false">MMcfd!H15</f>
        <v>55.7504296638475</v>
      </c>
      <c r="E435" s="31" t="s">
        <v>91</v>
      </c>
      <c r="F435" s="31" t="s">
        <v>91</v>
      </c>
    </row>
    <row r="436" customFormat="false" ht="15" hidden="false" customHeight="true" outlineLevel="0" collapsed="false">
      <c r="A436" s="16" t="n">
        <v>2035</v>
      </c>
      <c r="B436" s="31" t="s">
        <v>41</v>
      </c>
      <c r="C436" s="31" t="s">
        <v>45</v>
      </c>
      <c r="D436" s="32" t="n">
        <f aca="false">MMcfd!H16</f>
        <v>56.4434512003685</v>
      </c>
      <c r="E436" s="31" t="s">
        <v>91</v>
      </c>
      <c r="F436" s="31" t="s">
        <v>91</v>
      </c>
    </row>
    <row r="437" customFormat="false" ht="15" hidden="false" customHeight="true" outlineLevel="0" collapsed="false">
      <c r="A437" s="16" t="n">
        <v>2036</v>
      </c>
      <c r="B437" s="31" t="s">
        <v>41</v>
      </c>
      <c r="C437" s="31" t="s">
        <v>45</v>
      </c>
      <c r="D437" s="32" t="n">
        <f aca="false">MMcfd!H17</f>
        <v>56.9493539124917</v>
      </c>
      <c r="E437" s="31" t="s">
        <v>91</v>
      </c>
      <c r="F437" s="31" t="s">
        <v>91</v>
      </c>
    </row>
    <row r="438" customFormat="false" ht="15" hidden="false" customHeight="true" outlineLevel="0" collapsed="false">
      <c r="A438" s="16" t="n">
        <v>2037</v>
      </c>
      <c r="B438" s="31" t="s">
        <v>41</v>
      </c>
      <c r="C438" s="31" t="s">
        <v>45</v>
      </c>
      <c r="D438" s="32" t="n">
        <f aca="false">MMcfd!H18</f>
        <v>57.2726753948658</v>
      </c>
      <c r="E438" s="31" t="s">
        <v>91</v>
      </c>
      <c r="F438" s="31" t="s">
        <v>91</v>
      </c>
    </row>
    <row r="439" customFormat="false" ht="15" hidden="false" customHeight="true" outlineLevel="0" collapsed="false">
      <c r="A439" s="16" t="n">
        <v>2038</v>
      </c>
      <c r="B439" s="31" t="s">
        <v>41</v>
      </c>
      <c r="C439" s="31" t="s">
        <v>45</v>
      </c>
      <c r="D439" s="32" t="n">
        <f aca="false">MMcfd!H19</f>
        <v>57.4219942876641</v>
      </c>
      <c r="E439" s="31" t="s">
        <v>91</v>
      </c>
      <c r="F439" s="31" t="s">
        <v>91</v>
      </c>
    </row>
    <row r="440" customFormat="false" ht="15" hidden="false" customHeight="true" outlineLevel="0" collapsed="false">
      <c r="A440" s="16" t="n">
        <v>2039</v>
      </c>
      <c r="B440" s="31" t="s">
        <v>41</v>
      </c>
      <c r="C440" s="31" t="s">
        <v>45</v>
      </c>
      <c r="D440" s="32" t="n">
        <f aca="false">MMcfd!H20</f>
        <v>57.4090598478746</v>
      </c>
      <c r="E440" s="31" t="s">
        <v>91</v>
      </c>
      <c r="F440" s="31" t="s">
        <v>91</v>
      </c>
    </row>
    <row r="441" customFormat="false" ht="15" hidden="false" customHeight="true" outlineLevel="0" collapsed="false">
      <c r="A441" s="16" t="n">
        <v>2040</v>
      </c>
      <c r="B441" s="31" t="s">
        <v>41</v>
      </c>
      <c r="C441" s="31" t="s">
        <v>45</v>
      </c>
      <c r="D441" s="32" t="n">
        <f aca="false">MMcfd!H21</f>
        <v>57.2480208216034</v>
      </c>
      <c r="E441" s="31" t="s">
        <v>91</v>
      </c>
      <c r="F441" s="31" t="s">
        <v>91</v>
      </c>
    </row>
    <row r="442" customFormat="false" ht="15" hidden="false" customHeight="true" outlineLevel="0" collapsed="false">
      <c r="A442" s="16" t="n">
        <v>2041</v>
      </c>
      <c r="B442" s="31" t="s">
        <v>41</v>
      </c>
      <c r="C442" s="31" t="s">
        <v>45</v>
      </c>
      <c r="D442" s="32" t="n">
        <f aca="false">MMcfd!H22</f>
        <v>56.9547307688401</v>
      </c>
      <c r="E442" s="31" t="s">
        <v>91</v>
      </c>
      <c r="F442" s="31" t="s">
        <v>91</v>
      </c>
    </row>
    <row r="443" customFormat="false" ht="15" hidden="false" customHeight="true" outlineLevel="0" collapsed="false">
      <c r="A443" s="16" t="n">
        <v>2042</v>
      </c>
      <c r="B443" s="31" t="s">
        <v>41</v>
      </c>
      <c r="C443" s="31" t="s">
        <v>45</v>
      </c>
      <c r="D443" s="32" t="n">
        <f aca="false">MMcfd!H23</f>
        <v>56.5461210927948</v>
      </c>
      <c r="E443" s="31" t="s">
        <v>91</v>
      </c>
      <c r="F443" s="31" t="s">
        <v>91</v>
      </c>
    </row>
    <row r="444" customFormat="false" ht="15" hidden="false" customHeight="true" outlineLevel="0" collapsed="false">
      <c r="A444" s="16" t="n">
        <v>2043</v>
      </c>
      <c r="B444" s="31" t="s">
        <v>41</v>
      </c>
      <c r="C444" s="31" t="s">
        <v>45</v>
      </c>
      <c r="D444" s="32" t="n">
        <f aca="false">MMcfd!H24</f>
        <v>56.0398064742482</v>
      </c>
      <c r="E444" s="31" t="s">
        <v>91</v>
      </c>
      <c r="F444" s="31" t="s">
        <v>91</v>
      </c>
    </row>
    <row r="445" customFormat="false" ht="15" hidden="false" customHeight="true" outlineLevel="0" collapsed="false">
      <c r="A445" s="16" t="n">
        <v>2044</v>
      </c>
      <c r="B445" s="31" t="s">
        <v>41</v>
      </c>
      <c r="C445" s="31" t="s">
        <v>45</v>
      </c>
      <c r="D445" s="32" t="n">
        <f aca="false">MMcfd!H25</f>
        <v>55.4530644995984</v>
      </c>
      <c r="E445" s="31" t="s">
        <v>91</v>
      </c>
      <c r="F445" s="31" t="s">
        <v>91</v>
      </c>
    </row>
    <row r="446" customFormat="false" ht="15" hidden="false" customHeight="true" outlineLevel="0" collapsed="false">
      <c r="A446" s="16" t="n">
        <v>2045</v>
      </c>
      <c r="B446" s="31" t="s">
        <v>41</v>
      </c>
      <c r="C446" s="31" t="s">
        <v>45</v>
      </c>
      <c r="D446" s="32" t="n">
        <f aca="false">MMcfd!H26</f>
        <v>54.8026315511084</v>
      </c>
      <c r="E446" s="31" t="s">
        <v>91</v>
      </c>
      <c r="F446" s="31" t="s">
        <v>91</v>
      </c>
    </row>
    <row r="447" customFormat="false" ht="15" hidden="false" customHeight="true" outlineLevel="0" collapsed="false">
      <c r="A447" s="16" t="n">
        <v>2046</v>
      </c>
      <c r="B447" s="31" t="s">
        <v>41</v>
      </c>
      <c r="C447" s="31" t="s">
        <v>45</v>
      </c>
      <c r="D447" s="32" t="n">
        <f aca="false">MMcfd!H27</f>
        <v>54.1043389998787</v>
      </c>
      <c r="E447" s="31" t="s">
        <v>91</v>
      </c>
      <c r="F447" s="31" t="s">
        <v>91</v>
      </c>
    </row>
    <row r="448" customFormat="false" ht="15" hidden="false" customHeight="true" outlineLevel="0" collapsed="false">
      <c r="A448" s="16" t="n">
        <v>2047</v>
      </c>
      <c r="B448" s="31" t="s">
        <v>41</v>
      </c>
      <c r="C448" s="31" t="s">
        <v>45</v>
      </c>
      <c r="D448" s="32" t="n">
        <f aca="false">MMcfd!H28</f>
        <v>53.209471371016</v>
      </c>
      <c r="E448" s="31" t="s">
        <v>91</v>
      </c>
      <c r="F448" s="31" t="s">
        <v>91</v>
      </c>
    </row>
    <row r="449" customFormat="false" ht="15" hidden="false" customHeight="true" outlineLevel="0" collapsed="false">
      <c r="A449" s="16" t="n">
        <v>2048</v>
      </c>
      <c r="B449" s="31" t="s">
        <v>41</v>
      </c>
      <c r="C449" s="31" t="s">
        <v>45</v>
      </c>
      <c r="D449" s="32" t="n">
        <f aca="false">MMcfd!H29</f>
        <v>52.2050165444834</v>
      </c>
      <c r="E449" s="31" t="s">
        <v>91</v>
      </c>
      <c r="F449" s="31" t="s">
        <v>91</v>
      </c>
    </row>
    <row r="450" customFormat="false" ht="15" hidden="false" customHeight="true" outlineLevel="0" collapsed="false">
      <c r="A450" s="16" t="n">
        <v>2049</v>
      </c>
      <c r="B450" s="31" t="s">
        <v>41</v>
      </c>
      <c r="C450" s="31" t="s">
        <v>45</v>
      </c>
      <c r="D450" s="32" t="n">
        <f aca="false">MMcfd!H30</f>
        <v>51.1876288399557</v>
      </c>
      <c r="E450" s="31" t="s">
        <v>91</v>
      </c>
      <c r="F450" s="31" t="s">
        <v>91</v>
      </c>
    </row>
    <row r="451" customFormat="false" ht="15" hidden="false" customHeight="true" outlineLevel="0" collapsed="false">
      <c r="A451" s="16" t="n">
        <v>2050</v>
      </c>
      <c r="B451" s="31" t="s">
        <v>41</v>
      </c>
      <c r="C451" s="31" t="s">
        <v>45</v>
      </c>
      <c r="D451" s="32" t="n">
        <f aca="false">MMcfd!H31</f>
        <v>49.617410438887</v>
      </c>
      <c r="E451" s="31" t="s">
        <v>91</v>
      </c>
      <c r="F451" s="31" t="s">
        <v>91</v>
      </c>
    </row>
    <row r="452" customFormat="false" ht="15" hidden="false" customHeight="true" outlineLevel="0" collapsed="false">
      <c r="A452" s="16" t="n">
        <v>2023</v>
      </c>
      <c r="B452" s="31" t="s">
        <v>41</v>
      </c>
      <c r="C452" s="31" t="s">
        <v>46</v>
      </c>
      <c r="D452" s="32" t="n">
        <f aca="false">MMcfd!I4</f>
        <v>545.104349144224</v>
      </c>
      <c r="E452" s="31" t="s">
        <v>91</v>
      </c>
      <c r="F452" s="31" t="s">
        <v>91</v>
      </c>
    </row>
    <row r="453" customFormat="false" ht="15" hidden="false" customHeight="true" outlineLevel="0" collapsed="false">
      <c r="A453" s="16" t="n">
        <v>2024</v>
      </c>
      <c r="B453" s="31" t="s">
        <v>41</v>
      </c>
      <c r="C453" s="31" t="s">
        <v>46</v>
      </c>
      <c r="D453" s="32" t="n">
        <f aca="false">MMcfd!I5</f>
        <v>513.874319379679</v>
      </c>
      <c r="E453" s="31" t="s">
        <v>91</v>
      </c>
      <c r="F453" s="31" t="s">
        <v>91</v>
      </c>
    </row>
    <row r="454" customFormat="false" ht="15" hidden="false" customHeight="true" outlineLevel="0" collapsed="false">
      <c r="A454" s="16" t="n">
        <v>2025</v>
      </c>
      <c r="B454" s="31" t="s">
        <v>41</v>
      </c>
      <c r="C454" s="31" t="s">
        <v>46</v>
      </c>
      <c r="D454" s="32" t="n">
        <f aca="false">MMcfd!I6</f>
        <v>482.660485421662</v>
      </c>
      <c r="E454" s="31" t="s">
        <v>91</v>
      </c>
      <c r="F454" s="31" t="s">
        <v>91</v>
      </c>
    </row>
    <row r="455" customFormat="false" ht="15" hidden="false" customHeight="true" outlineLevel="0" collapsed="false">
      <c r="A455" s="16" t="n">
        <v>2026</v>
      </c>
      <c r="B455" s="31" t="s">
        <v>41</v>
      </c>
      <c r="C455" s="31" t="s">
        <v>46</v>
      </c>
      <c r="D455" s="32" t="n">
        <f aca="false">MMcfd!I7</f>
        <v>451.473948749505</v>
      </c>
      <c r="E455" s="31" t="s">
        <v>91</v>
      </c>
      <c r="F455" s="31" t="s">
        <v>91</v>
      </c>
    </row>
    <row r="456" customFormat="false" ht="15" hidden="false" customHeight="true" outlineLevel="0" collapsed="false">
      <c r="A456" s="16" t="n">
        <v>2027</v>
      </c>
      <c r="B456" s="31" t="s">
        <v>41</v>
      </c>
      <c r="C456" s="31" t="s">
        <v>46</v>
      </c>
      <c r="D456" s="32" t="n">
        <f aca="false">MMcfd!I8</f>
        <v>420.366933387437</v>
      </c>
      <c r="E456" s="31" t="s">
        <v>91</v>
      </c>
      <c r="F456" s="31" t="s">
        <v>91</v>
      </c>
    </row>
    <row r="457" customFormat="false" ht="15" hidden="false" customHeight="true" outlineLevel="0" collapsed="false">
      <c r="A457" s="16" t="n">
        <v>2028</v>
      </c>
      <c r="B457" s="31" t="s">
        <v>41</v>
      </c>
      <c r="C457" s="31" t="s">
        <v>46</v>
      </c>
      <c r="D457" s="32" t="n">
        <f aca="false">MMcfd!I9</f>
        <v>389.436449910599</v>
      </c>
      <c r="E457" s="31" t="s">
        <v>91</v>
      </c>
      <c r="F457" s="31" t="s">
        <v>91</v>
      </c>
    </row>
    <row r="458" customFormat="false" ht="15" hidden="false" customHeight="true" outlineLevel="0" collapsed="false">
      <c r="A458" s="16" t="n">
        <v>2029</v>
      </c>
      <c r="B458" s="31" t="s">
        <v>41</v>
      </c>
      <c r="C458" s="31" t="s">
        <v>46</v>
      </c>
      <c r="D458" s="32" t="n">
        <f aca="false">MMcfd!I10</f>
        <v>358.824220049213</v>
      </c>
      <c r="E458" s="31" t="s">
        <v>91</v>
      </c>
      <c r="F458" s="31" t="s">
        <v>91</v>
      </c>
    </row>
    <row r="459" customFormat="false" ht="15" hidden="false" customHeight="true" outlineLevel="0" collapsed="false">
      <c r="A459" s="16" t="n">
        <v>2030</v>
      </c>
      <c r="B459" s="31" t="s">
        <v>41</v>
      </c>
      <c r="C459" s="31" t="s">
        <v>46</v>
      </c>
      <c r="D459" s="32" t="n">
        <f aca="false">MMcfd!I11</f>
        <v>328.713160855035</v>
      </c>
      <c r="E459" s="31" t="s">
        <v>91</v>
      </c>
      <c r="F459" s="31" t="s">
        <v>91</v>
      </c>
    </row>
    <row r="460" customFormat="false" ht="15" hidden="false" customHeight="true" outlineLevel="0" collapsed="false">
      <c r="A460" s="16" t="n">
        <v>2031</v>
      </c>
      <c r="B460" s="31" t="s">
        <v>41</v>
      </c>
      <c r="C460" s="31" t="s">
        <v>46</v>
      </c>
      <c r="D460" s="32" t="n">
        <f aca="false">MMcfd!I12</f>
        <v>299.320288940657</v>
      </c>
      <c r="E460" s="31" t="s">
        <v>91</v>
      </c>
      <c r="F460" s="31" t="s">
        <v>91</v>
      </c>
    </row>
    <row r="461" customFormat="false" ht="15" hidden="false" customHeight="true" outlineLevel="0" collapsed="false">
      <c r="A461" s="16" t="n">
        <v>2032</v>
      </c>
      <c r="B461" s="31" t="s">
        <v>41</v>
      </c>
      <c r="C461" s="31" t="s">
        <v>46</v>
      </c>
      <c r="D461" s="32" t="n">
        <f aca="false">MMcfd!I13</f>
        <v>270.886575089085</v>
      </c>
      <c r="E461" s="31" t="s">
        <v>91</v>
      </c>
      <c r="F461" s="31" t="s">
        <v>91</v>
      </c>
    </row>
    <row r="462" customFormat="false" ht="15" hidden="false" customHeight="true" outlineLevel="0" collapsed="false">
      <c r="A462" s="16" t="n">
        <v>2033</v>
      </c>
      <c r="B462" s="31" t="s">
        <v>41</v>
      </c>
      <c r="C462" s="31" t="s">
        <v>46</v>
      </c>
      <c r="D462" s="32" t="n">
        <f aca="false">MMcfd!I14</f>
        <v>243.655908079153</v>
      </c>
      <c r="E462" s="31" t="s">
        <v>91</v>
      </c>
      <c r="F462" s="31" t="s">
        <v>91</v>
      </c>
    </row>
    <row r="463" customFormat="false" ht="15" hidden="false" customHeight="true" outlineLevel="0" collapsed="false">
      <c r="A463" s="16" t="n">
        <v>2034</v>
      </c>
      <c r="B463" s="31" t="s">
        <v>41</v>
      </c>
      <c r="C463" s="31" t="s">
        <v>46</v>
      </c>
      <c r="D463" s="32" t="n">
        <f aca="false">MMcfd!I15</f>
        <v>217.854214919699</v>
      </c>
      <c r="E463" s="31" t="s">
        <v>91</v>
      </c>
      <c r="F463" s="31" t="s">
        <v>91</v>
      </c>
    </row>
    <row r="464" customFormat="false" ht="15" hidden="false" customHeight="true" outlineLevel="0" collapsed="false">
      <c r="A464" s="16" t="n">
        <v>2035</v>
      </c>
      <c r="B464" s="31" t="s">
        <v>41</v>
      </c>
      <c r="C464" s="31" t="s">
        <v>46</v>
      </c>
      <c r="D464" s="32" t="n">
        <f aca="false">MMcfd!I16</f>
        <v>193.668640240687</v>
      </c>
      <c r="E464" s="31" t="s">
        <v>91</v>
      </c>
      <c r="F464" s="31" t="s">
        <v>91</v>
      </c>
    </row>
    <row r="465" customFormat="false" ht="15" hidden="false" customHeight="true" outlineLevel="0" collapsed="false">
      <c r="A465" s="16" t="n">
        <v>2036</v>
      </c>
      <c r="B465" s="31" t="s">
        <v>41</v>
      </c>
      <c r="C465" s="31" t="s">
        <v>46</v>
      </c>
      <c r="D465" s="32" t="n">
        <f aca="false">MMcfd!I17</f>
        <v>171.226696986548</v>
      </c>
      <c r="E465" s="31" t="s">
        <v>91</v>
      </c>
      <c r="F465" s="31" t="s">
        <v>91</v>
      </c>
    </row>
    <row r="466" customFormat="false" ht="15" hidden="false" customHeight="true" outlineLevel="0" collapsed="false">
      <c r="A466" s="16" t="n">
        <v>2037</v>
      </c>
      <c r="B466" s="31" t="s">
        <v>41</v>
      </c>
      <c r="C466" s="31" t="s">
        <v>46</v>
      </c>
      <c r="D466" s="32" t="n">
        <f aca="false">MMcfd!I18</f>
        <v>150.575324325426</v>
      </c>
      <c r="E466" s="31" t="s">
        <v>91</v>
      </c>
      <c r="F466" s="31" t="s">
        <v>91</v>
      </c>
    </row>
    <row r="467" customFormat="false" ht="15" hidden="false" customHeight="true" outlineLevel="0" collapsed="false">
      <c r="A467" s="16" t="n">
        <v>2038</v>
      </c>
      <c r="B467" s="31" t="s">
        <v>41</v>
      </c>
      <c r="C467" s="31" t="s">
        <v>46</v>
      </c>
      <c r="D467" s="32" t="n">
        <f aca="false">MMcfd!I19</f>
        <v>131.694849604726</v>
      </c>
      <c r="E467" s="31" t="s">
        <v>91</v>
      </c>
      <c r="F467" s="31" t="s">
        <v>91</v>
      </c>
    </row>
    <row r="468" customFormat="false" ht="15" hidden="false" customHeight="true" outlineLevel="0" collapsed="false">
      <c r="A468" s="16" t="n">
        <v>2039</v>
      </c>
      <c r="B468" s="31" t="s">
        <v>41</v>
      </c>
      <c r="C468" s="31" t="s">
        <v>46</v>
      </c>
      <c r="D468" s="32" t="n">
        <f aca="false">MMcfd!I20</f>
        <v>114.511813171302</v>
      </c>
      <c r="E468" s="31" t="s">
        <v>91</v>
      </c>
      <c r="F468" s="31" t="s">
        <v>91</v>
      </c>
    </row>
    <row r="469" customFormat="false" ht="15" hidden="false" customHeight="true" outlineLevel="0" collapsed="false">
      <c r="A469" s="16" t="n">
        <v>2040</v>
      </c>
      <c r="B469" s="31" t="s">
        <v>41</v>
      </c>
      <c r="C469" s="31" t="s">
        <v>46</v>
      </c>
      <c r="D469" s="32" t="n">
        <f aca="false">MMcfd!I21</f>
        <v>98.9106795224214</v>
      </c>
      <c r="E469" s="31" t="s">
        <v>91</v>
      </c>
      <c r="F469" s="31" t="s">
        <v>91</v>
      </c>
    </row>
    <row r="470" customFormat="false" ht="15" hidden="false" customHeight="true" outlineLevel="0" collapsed="false">
      <c r="A470" s="16" t="n">
        <v>2041</v>
      </c>
      <c r="B470" s="31" t="s">
        <v>41</v>
      </c>
      <c r="C470" s="31" t="s">
        <v>46</v>
      </c>
      <c r="D470" s="32" t="n">
        <f aca="false">MMcfd!I22</f>
        <v>84.7444799593604</v>
      </c>
      <c r="E470" s="31" t="s">
        <v>91</v>
      </c>
      <c r="F470" s="31" t="s">
        <v>91</v>
      </c>
    </row>
    <row r="471" customFormat="false" ht="15" hidden="false" customHeight="true" outlineLevel="0" collapsed="false">
      <c r="A471" s="16" t="n">
        <v>2042</v>
      </c>
      <c r="B471" s="31" t="s">
        <v>41</v>
      </c>
      <c r="C471" s="31" t="s">
        <v>46</v>
      </c>
      <c r="D471" s="32" t="n">
        <f aca="false">MMcfd!I23</f>
        <v>71.8444591595135</v>
      </c>
      <c r="E471" s="31" t="s">
        <v>91</v>
      </c>
      <c r="F471" s="31" t="s">
        <v>91</v>
      </c>
    </row>
    <row r="472" customFormat="false" ht="15" hidden="false" customHeight="true" outlineLevel="0" collapsed="false">
      <c r="A472" s="16" t="n">
        <v>2043</v>
      </c>
      <c r="B472" s="31" t="s">
        <v>41</v>
      </c>
      <c r="C472" s="31" t="s">
        <v>46</v>
      </c>
      <c r="D472" s="32" t="n">
        <f aca="false">MMcfd!I24</f>
        <v>60.0290275745515</v>
      </c>
      <c r="E472" s="31" t="s">
        <v>91</v>
      </c>
      <c r="F472" s="31" t="s">
        <v>91</v>
      </c>
    </row>
    <row r="473" customFormat="false" ht="15" hidden="false" customHeight="true" outlineLevel="0" collapsed="false">
      <c r="A473" s="16" t="n">
        <v>2044</v>
      </c>
      <c r="B473" s="31" t="s">
        <v>41</v>
      </c>
      <c r="C473" s="31" t="s">
        <v>46</v>
      </c>
      <c r="D473" s="32" t="n">
        <f aca="false">MMcfd!I25</f>
        <v>49.1111085995109</v>
      </c>
      <c r="E473" s="31" t="s">
        <v>91</v>
      </c>
      <c r="F473" s="31" t="s">
        <v>91</v>
      </c>
    </row>
    <row r="474" customFormat="false" ht="15" hidden="false" customHeight="true" outlineLevel="0" collapsed="false">
      <c r="A474" s="16" t="n">
        <v>2045</v>
      </c>
      <c r="B474" s="31" t="s">
        <v>41</v>
      </c>
      <c r="C474" s="31" t="s">
        <v>46</v>
      </c>
      <c r="D474" s="32" t="n">
        <f aca="false">MMcfd!I26</f>
        <v>38.9058936988481</v>
      </c>
      <c r="E474" s="31" t="s">
        <v>91</v>
      </c>
      <c r="F474" s="31" t="s">
        <v>91</v>
      </c>
    </row>
    <row r="475" customFormat="false" ht="15" hidden="false" customHeight="true" outlineLevel="0" collapsed="false">
      <c r="A475" s="16" t="n">
        <v>2046</v>
      </c>
      <c r="B475" s="31" t="s">
        <v>41</v>
      </c>
      <c r="C475" s="31" t="s">
        <v>46</v>
      </c>
      <c r="D475" s="32" t="n">
        <f aca="false">MMcfd!I27</f>
        <v>29.2375888104752</v>
      </c>
      <c r="E475" s="31" t="s">
        <v>91</v>
      </c>
      <c r="F475" s="31" t="s">
        <v>91</v>
      </c>
    </row>
    <row r="476" customFormat="false" ht="15" hidden="false" customHeight="true" outlineLevel="0" collapsed="false">
      <c r="A476" s="16" t="n">
        <v>2047</v>
      </c>
      <c r="B476" s="31" t="s">
        <v>41</v>
      </c>
      <c r="C476" s="31" t="s">
        <v>46</v>
      </c>
      <c r="D476" s="32" t="n">
        <f aca="false">MMcfd!I28</f>
        <v>25.83469314341</v>
      </c>
      <c r="E476" s="31" t="s">
        <v>91</v>
      </c>
      <c r="F476" s="31" t="s">
        <v>91</v>
      </c>
    </row>
    <row r="477" customFormat="false" ht="15" hidden="false" customHeight="true" outlineLevel="0" collapsed="false">
      <c r="A477" s="16" t="n">
        <v>2048</v>
      </c>
      <c r="B477" s="31" t="s">
        <v>41</v>
      </c>
      <c r="C477" s="31" t="s">
        <v>46</v>
      </c>
      <c r="D477" s="32" t="n">
        <f aca="false">MMcfd!I29</f>
        <v>25.7097825767135</v>
      </c>
      <c r="E477" s="31" t="s">
        <v>91</v>
      </c>
      <c r="F477" s="31" t="s">
        <v>91</v>
      </c>
    </row>
    <row r="478" customFormat="false" ht="15" hidden="false" customHeight="true" outlineLevel="0" collapsed="false">
      <c r="A478" s="16" t="n">
        <v>2049</v>
      </c>
      <c r="B478" s="31" t="s">
        <v>41</v>
      </c>
      <c r="C478" s="31" t="s">
        <v>46</v>
      </c>
      <c r="D478" s="32" t="n">
        <f aca="false">MMcfd!I30</f>
        <v>25.5802247310639</v>
      </c>
      <c r="E478" s="31" t="s">
        <v>91</v>
      </c>
      <c r="F478" s="31" t="s">
        <v>91</v>
      </c>
    </row>
    <row r="479" customFormat="false" ht="15" hidden="false" customHeight="true" outlineLevel="0" collapsed="false">
      <c r="A479" s="16" t="n">
        <v>2050</v>
      </c>
      <c r="B479" s="31" t="s">
        <v>41</v>
      </c>
      <c r="C479" s="31" t="s">
        <v>46</v>
      </c>
      <c r="D479" s="32" t="n">
        <f aca="false">MMcfd!I31</f>
        <v>24.7955324042954</v>
      </c>
      <c r="E479" s="31" t="s">
        <v>91</v>
      </c>
      <c r="F479" s="31" t="s">
        <v>91</v>
      </c>
    </row>
    <row r="480" customFormat="false" ht="15" hidden="false" customHeight="true" outlineLevel="0" collapsed="false">
      <c r="A480" s="16" t="n">
        <v>2023</v>
      </c>
      <c r="B480" s="31" t="s">
        <v>41</v>
      </c>
      <c r="C480" s="31" t="s">
        <v>48</v>
      </c>
      <c r="D480" s="32" t="n">
        <f aca="false">MMcfd!J4</f>
        <v>0</v>
      </c>
      <c r="E480" s="31" t="s">
        <v>91</v>
      </c>
      <c r="F480" s="31" t="s">
        <v>91</v>
      </c>
    </row>
    <row r="481" customFormat="false" ht="15" hidden="false" customHeight="true" outlineLevel="0" collapsed="false">
      <c r="A481" s="16" t="n">
        <v>2024</v>
      </c>
      <c r="B481" s="31" t="s">
        <v>41</v>
      </c>
      <c r="C481" s="31" t="s">
        <v>48</v>
      </c>
      <c r="D481" s="32" t="n">
        <f aca="false">MMcfd!J5</f>
        <v>105.03531204031</v>
      </c>
      <c r="E481" s="31" t="s">
        <v>91</v>
      </c>
      <c r="F481" s="31" t="s">
        <v>91</v>
      </c>
    </row>
    <row r="482" customFormat="false" ht="15" hidden="false" customHeight="true" outlineLevel="0" collapsed="false">
      <c r="A482" s="16" t="n">
        <v>2025</v>
      </c>
      <c r="B482" s="31" t="s">
        <v>41</v>
      </c>
      <c r="C482" s="31" t="s">
        <v>48</v>
      </c>
      <c r="D482" s="32" t="n">
        <f aca="false">MMcfd!J6</f>
        <v>210.11437850734</v>
      </c>
      <c r="E482" s="31" t="s">
        <v>91</v>
      </c>
      <c r="F482" s="31" t="s">
        <v>91</v>
      </c>
    </row>
    <row r="483" customFormat="false" ht="15" hidden="false" customHeight="true" outlineLevel="0" collapsed="false">
      <c r="A483" s="16" t="n">
        <v>2026</v>
      </c>
      <c r="B483" s="31" t="s">
        <v>41</v>
      </c>
      <c r="C483" s="31" t="s">
        <v>48</v>
      </c>
      <c r="D483" s="32" t="n">
        <f aca="false">MMcfd!J7</f>
        <v>315.283929627531</v>
      </c>
      <c r="E483" s="31" t="s">
        <v>91</v>
      </c>
      <c r="F483" s="31" t="s">
        <v>91</v>
      </c>
    </row>
    <row r="484" customFormat="false" ht="15" hidden="false" customHeight="true" outlineLevel="0" collapsed="false">
      <c r="A484" s="16" t="n">
        <v>2027</v>
      </c>
      <c r="B484" s="31" t="s">
        <v>41</v>
      </c>
      <c r="C484" s="31" t="s">
        <v>48</v>
      </c>
      <c r="D484" s="32" t="n">
        <f aca="false">MMcfd!J8</f>
        <v>420.562566079735</v>
      </c>
      <c r="E484" s="31" t="s">
        <v>91</v>
      </c>
      <c r="F484" s="31" t="s">
        <v>91</v>
      </c>
    </row>
    <row r="485" customFormat="false" ht="15" hidden="false" customHeight="true" outlineLevel="0" collapsed="false">
      <c r="A485" s="16" t="n">
        <v>2028</v>
      </c>
      <c r="B485" s="31" t="s">
        <v>41</v>
      </c>
      <c r="C485" s="31" t="s">
        <v>48</v>
      </c>
      <c r="D485" s="32" t="n">
        <f aca="false">MMcfd!J9</f>
        <v>525.918074143709</v>
      </c>
      <c r="E485" s="31" t="s">
        <v>91</v>
      </c>
      <c r="F485" s="31" t="s">
        <v>91</v>
      </c>
    </row>
    <row r="486" customFormat="false" ht="15" hidden="false" customHeight="true" outlineLevel="0" collapsed="false">
      <c r="A486" s="16" t="n">
        <v>2029</v>
      </c>
      <c r="B486" s="31" t="s">
        <v>41</v>
      </c>
      <c r="C486" s="31" t="s">
        <v>48</v>
      </c>
      <c r="D486" s="32" t="n">
        <f aca="false">MMcfd!J10</f>
        <v>631.248361776754</v>
      </c>
      <c r="E486" s="31" t="s">
        <v>91</v>
      </c>
      <c r="F486" s="31" t="s">
        <v>91</v>
      </c>
    </row>
    <row r="487" customFormat="false" ht="15" hidden="false" customHeight="true" outlineLevel="0" collapsed="false">
      <c r="A487" s="16" t="n">
        <v>2030</v>
      </c>
      <c r="B487" s="31" t="s">
        <v>41</v>
      </c>
      <c r="C487" s="31" t="s">
        <v>48</v>
      </c>
      <c r="D487" s="32" t="n">
        <f aca="false">MMcfd!J11</f>
        <v>736.395598135426</v>
      </c>
      <c r="E487" s="31" t="s">
        <v>91</v>
      </c>
      <c r="F487" s="31" t="s">
        <v>91</v>
      </c>
    </row>
    <row r="488" customFormat="false" ht="15" hidden="false" customHeight="true" outlineLevel="0" collapsed="false">
      <c r="A488" s="16" t="n">
        <v>2031</v>
      </c>
      <c r="B488" s="31" t="s">
        <v>41</v>
      </c>
      <c r="C488" s="31" t="s">
        <v>48</v>
      </c>
      <c r="D488" s="32" t="n">
        <f aca="false">MMcfd!J12</f>
        <v>841.167168076665</v>
      </c>
      <c r="E488" s="31" t="s">
        <v>91</v>
      </c>
      <c r="F488" s="31" t="s">
        <v>91</v>
      </c>
    </row>
    <row r="489" customFormat="false" ht="15" hidden="false" customHeight="true" outlineLevel="0" collapsed="false">
      <c r="A489" s="16" t="n">
        <v>2032</v>
      </c>
      <c r="B489" s="31" t="s">
        <v>41</v>
      </c>
      <c r="C489" s="31" t="s">
        <v>48</v>
      </c>
      <c r="D489" s="32" t="n">
        <f aca="false">MMcfd!J13</f>
        <v>945.363348241401</v>
      </c>
      <c r="E489" s="31" t="s">
        <v>91</v>
      </c>
      <c r="F489" s="31" t="s">
        <v>91</v>
      </c>
    </row>
    <row r="490" customFormat="false" ht="15" hidden="false" customHeight="true" outlineLevel="0" collapsed="false">
      <c r="A490" s="16" t="n">
        <v>2033</v>
      </c>
      <c r="B490" s="31" t="s">
        <v>41</v>
      </c>
      <c r="C490" s="31" t="s">
        <v>48</v>
      </c>
      <c r="D490" s="32" t="n">
        <f aca="false">MMcfd!J14</f>
        <v>1048.7917139817</v>
      </c>
      <c r="E490" s="31" t="s">
        <v>91</v>
      </c>
      <c r="F490" s="31" t="s">
        <v>91</v>
      </c>
    </row>
    <row r="491" customFormat="false" ht="15" hidden="false" customHeight="true" outlineLevel="0" collapsed="false">
      <c r="A491" s="16" t="n">
        <v>2034</v>
      </c>
      <c r="B491" s="31" t="s">
        <v>41</v>
      </c>
      <c r="C491" s="31" t="s">
        <v>48</v>
      </c>
      <c r="D491" s="32" t="n">
        <f aca="false">MMcfd!J15</f>
        <v>1151.28202779806</v>
      </c>
      <c r="E491" s="31" t="s">
        <v>91</v>
      </c>
      <c r="F491" s="31" t="s">
        <v>91</v>
      </c>
    </row>
    <row r="492" customFormat="false" ht="15" hidden="false" customHeight="true" outlineLevel="0" collapsed="false">
      <c r="A492" s="16" t="n">
        <v>2035</v>
      </c>
      <c r="B492" s="31" t="s">
        <v>41</v>
      </c>
      <c r="C492" s="31" t="s">
        <v>48</v>
      </c>
      <c r="D492" s="32" t="n">
        <f aca="false">MMcfd!J16</f>
        <v>1252.70169009647</v>
      </c>
      <c r="E492" s="31" t="s">
        <v>91</v>
      </c>
      <c r="F492" s="31" t="s">
        <v>91</v>
      </c>
    </row>
    <row r="493" customFormat="false" ht="15" hidden="false" customHeight="true" outlineLevel="0" collapsed="false">
      <c r="A493" s="16" t="n">
        <v>2036</v>
      </c>
      <c r="B493" s="31" t="s">
        <v>41</v>
      </c>
      <c r="C493" s="31" t="s">
        <v>48</v>
      </c>
      <c r="D493" s="32" t="n">
        <f aca="false">MMcfd!J17</f>
        <v>1352.97182100092</v>
      </c>
      <c r="E493" s="31" t="s">
        <v>91</v>
      </c>
      <c r="F493" s="31" t="s">
        <v>91</v>
      </c>
    </row>
    <row r="494" customFormat="false" ht="15" hidden="false" customHeight="true" outlineLevel="0" collapsed="false">
      <c r="A494" s="16" t="n">
        <v>2037</v>
      </c>
      <c r="B494" s="31" t="s">
        <v>41</v>
      </c>
      <c r="C494" s="31" t="s">
        <v>48</v>
      </c>
      <c r="D494" s="32" t="n">
        <f aca="false">MMcfd!J18</f>
        <v>1452.0840202478</v>
      </c>
      <c r="E494" s="31" t="s">
        <v>91</v>
      </c>
      <c r="F494" s="31" t="s">
        <v>91</v>
      </c>
    </row>
    <row r="495" customFormat="false" ht="15" hidden="false" customHeight="true" outlineLevel="0" collapsed="false">
      <c r="A495" s="16" t="n">
        <v>2038</v>
      </c>
      <c r="B495" s="31" t="s">
        <v>41</v>
      </c>
      <c r="C495" s="31" t="s">
        <v>48</v>
      </c>
      <c r="D495" s="32" t="n">
        <f aca="false">MMcfd!J19</f>
        <v>1550.08413069725</v>
      </c>
      <c r="E495" s="31" t="s">
        <v>91</v>
      </c>
      <c r="F495" s="31" t="s">
        <v>91</v>
      </c>
    </row>
    <row r="496" customFormat="false" ht="15" hidden="false" customHeight="true" outlineLevel="0" collapsed="false">
      <c r="A496" s="16" t="n">
        <v>2039</v>
      </c>
      <c r="B496" s="31" t="s">
        <v>41</v>
      </c>
      <c r="C496" s="31" t="s">
        <v>48</v>
      </c>
      <c r="D496" s="32" t="n">
        <f aca="false">MMcfd!J20</f>
        <v>1647.05764933506</v>
      </c>
      <c r="E496" s="31" t="s">
        <v>91</v>
      </c>
      <c r="F496" s="31" t="s">
        <v>91</v>
      </c>
    </row>
    <row r="497" customFormat="false" ht="15" hidden="false" customHeight="true" outlineLevel="0" collapsed="false">
      <c r="A497" s="16" t="n">
        <v>2040</v>
      </c>
      <c r="B497" s="31" t="s">
        <v>41</v>
      </c>
      <c r="C497" s="31" t="s">
        <v>48</v>
      </c>
      <c r="D497" s="32" t="n">
        <f aca="false">MMcfd!J21</f>
        <v>1743.11676023495</v>
      </c>
      <c r="E497" s="31" t="s">
        <v>91</v>
      </c>
      <c r="F497" s="31" t="s">
        <v>91</v>
      </c>
    </row>
    <row r="498" customFormat="false" ht="15" hidden="false" customHeight="true" outlineLevel="0" collapsed="false">
      <c r="A498" s="16" t="n">
        <v>2041</v>
      </c>
      <c r="B498" s="31" t="s">
        <v>41</v>
      </c>
      <c r="C498" s="31" t="s">
        <v>48</v>
      </c>
      <c r="D498" s="32" t="n">
        <f aca="false">MMcfd!J22</f>
        <v>1838.38897000065</v>
      </c>
      <c r="E498" s="31" t="s">
        <v>91</v>
      </c>
      <c r="F498" s="31" t="s">
        <v>91</v>
      </c>
    </row>
    <row r="499" customFormat="false" ht="15" hidden="false" customHeight="true" outlineLevel="0" collapsed="false">
      <c r="A499" s="16" t="n">
        <v>2042</v>
      </c>
      <c r="B499" s="31" t="s">
        <v>41</v>
      </c>
      <c r="C499" s="31" t="s">
        <v>48</v>
      </c>
      <c r="D499" s="32" t="n">
        <f aca="false">MMcfd!J23</f>
        <v>1933.00729026681</v>
      </c>
      <c r="E499" s="31" t="s">
        <v>91</v>
      </c>
      <c r="F499" s="31" t="s">
        <v>91</v>
      </c>
    </row>
    <row r="500" customFormat="false" ht="15" hidden="false" customHeight="true" outlineLevel="0" collapsed="false">
      <c r="A500" s="16" t="n">
        <v>2043</v>
      </c>
      <c r="B500" s="31" t="s">
        <v>41</v>
      </c>
      <c r="C500" s="31" t="s">
        <v>48</v>
      </c>
      <c r="D500" s="32" t="n">
        <f aca="false">MMcfd!J24</f>
        <v>2027.10200980691</v>
      </c>
      <c r="E500" s="31" t="s">
        <v>91</v>
      </c>
      <c r="F500" s="31" t="s">
        <v>91</v>
      </c>
    </row>
    <row r="501" customFormat="false" ht="15" hidden="false" customHeight="true" outlineLevel="0" collapsed="false">
      <c r="A501" s="16" t="n">
        <v>2044</v>
      </c>
      <c r="B501" s="31" t="s">
        <v>41</v>
      </c>
      <c r="C501" s="31" t="s">
        <v>48</v>
      </c>
      <c r="D501" s="32" t="n">
        <f aca="false">MMcfd!J25</f>
        <v>2120.79574263086</v>
      </c>
      <c r="E501" s="31" t="s">
        <v>91</v>
      </c>
      <c r="F501" s="31" t="s">
        <v>91</v>
      </c>
    </row>
    <row r="502" customFormat="false" ht="15" hidden="false" customHeight="true" outlineLevel="0" collapsed="false">
      <c r="A502" s="16" t="n">
        <v>2045</v>
      </c>
      <c r="B502" s="31" t="s">
        <v>41</v>
      </c>
      <c r="C502" s="31" t="s">
        <v>48</v>
      </c>
      <c r="D502" s="32" t="n">
        <f aca="false">MMcfd!J26</f>
        <v>2214.19797843712</v>
      </c>
      <c r="E502" s="31" t="s">
        <v>91</v>
      </c>
      <c r="F502" s="31" t="s">
        <v>91</v>
      </c>
    </row>
    <row r="503" customFormat="false" ht="15" hidden="false" customHeight="true" outlineLevel="0" collapsed="false">
      <c r="A503" s="16" t="n">
        <v>2046</v>
      </c>
      <c r="B503" s="31" t="s">
        <v>41</v>
      </c>
      <c r="C503" s="31" t="s">
        <v>48</v>
      </c>
      <c r="D503" s="32" t="n">
        <f aca="false">MMcfd!J27</f>
        <v>2307.40166901932</v>
      </c>
      <c r="E503" s="31" t="s">
        <v>91</v>
      </c>
      <c r="F503" s="31" t="s">
        <v>91</v>
      </c>
    </row>
    <row r="504" customFormat="false" ht="15" hidden="false" customHeight="true" outlineLevel="0" collapsed="false">
      <c r="A504" s="16" t="n">
        <v>2047</v>
      </c>
      <c r="B504" s="31" t="s">
        <v>41</v>
      </c>
      <c r="C504" s="31" t="s">
        <v>48</v>
      </c>
      <c r="D504" s="32" t="n">
        <f aca="false">MMcfd!J28</f>
        <v>2394.76004725421</v>
      </c>
      <c r="E504" s="31" t="s">
        <v>91</v>
      </c>
      <c r="F504" s="31" t="s">
        <v>91</v>
      </c>
    </row>
    <row r="505" customFormat="false" ht="15" hidden="false" customHeight="true" outlineLevel="0" collapsed="false">
      <c r="A505" s="16" t="n">
        <v>2048</v>
      </c>
      <c r="B505" s="31" t="s">
        <v>41</v>
      </c>
      <c r="C505" s="31" t="s">
        <v>48</v>
      </c>
      <c r="D505" s="32" t="n">
        <f aca="false">MMcfd!J29</f>
        <v>2479.09578204327</v>
      </c>
      <c r="E505" s="31" t="s">
        <v>91</v>
      </c>
      <c r="F505" s="31" t="s">
        <v>91</v>
      </c>
    </row>
    <row r="506" customFormat="false" ht="15" hidden="false" customHeight="true" outlineLevel="0" collapsed="false">
      <c r="A506" s="16" t="n">
        <v>2049</v>
      </c>
      <c r="B506" s="31" t="s">
        <v>41</v>
      </c>
      <c r="C506" s="31" t="s">
        <v>48</v>
      </c>
      <c r="D506" s="32" t="n">
        <f aca="false">MMcfd!J30</f>
        <v>2563.52614281739</v>
      </c>
      <c r="E506" s="31" t="s">
        <v>91</v>
      </c>
      <c r="F506" s="31" t="s">
        <v>91</v>
      </c>
    </row>
    <row r="507" customFormat="false" ht="15" hidden="false" customHeight="true" outlineLevel="0" collapsed="false">
      <c r="A507" s="16" t="n">
        <v>2050</v>
      </c>
      <c r="B507" s="31" t="s">
        <v>41</v>
      </c>
      <c r="C507" s="31" t="s">
        <v>48</v>
      </c>
      <c r="D507" s="32" t="n">
        <f aca="false">MMcfd!J31</f>
        <v>2564.83111123724</v>
      </c>
      <c r="E507" s="31" t="s">
        <v>91</v>
      </c>
      <c r="F507" s="31" t="s">
        <v>91</v>
      </c>
    </row>
    <row r="508" customFormat="false" ht="15" hidden="false" customHeight="true" outlineLevel="0" collapsed="false">
      <c r="A508" s="16" t="n">
        <v>2023</v>
      </c>
      <c r="B508" s="31" t="s">
        <v>42</v>
      </c>
      <c r="C508" s="31" t="s">
        <v>44</v>
      </c>
      <c r="D508" s="32" t="n">
        <f aca="false">MMcfd!M4</f>
        <v>12.568650140783</v>
      </c>
      <c r="E508" s="31" t="s">
        <v>91</v>
      </c>
      <c r="F508" s="31" t="s">
        <v>91</v>
      </c>
    </row>
    <row r="509" customFormat="false" ht="15" hidden="false" customHeight="true" outlineLevel="0" collapsed="false">
      <c r="A509" s="16" t="n">
        <v>2024</v>
      </c>
      <c r="B509" s="31" t="s">
        <v>42</v>
      </c>
      <c r="C509" s="31" t="s">
        <v>44</v>
      </c>
      <c r="D509" s="32" t="n">
        <f aca="false">MMcfd!M5</f>
        <v>12.7790417787687</v>
      </c>
      <c r="E509" s="31" t="s">
        <v>91</v>
      </c>
      <c r="F509" s="31" t="s">
        <v>91</v>
      </c>
    </row>
    <row r="510" customFormat="false" ht="15" hidden="false" customHeight="true" outlineLevel="0" collapsed="false">
      <c r="A510" s="16" t="n">
        <v>2025</v>
      </c>
      <c r="B510" s="31" t="s">
        <v>42</v>
      </c>
      <c r="C510" s="31" t="s">
        <v>44</v>
      </c>
      <c r="D510" s="32" t="n">
        <f aca="false">MMcfd!M6</f>
        <v>12.2126130316223</v>
      </c>
      <c r="E510" s="31" t="s">
        <v>91</v>
      </c>
      <c r="F510" s="31" t="s">
        <v>91</v>
      </c>
    </row>
    <row r="511" customFormat="false" ht="15" hidden="false" customHeight="true" outlineLevel="0" collapsed="false">
      <c r="A511" s="16" t="n">
        <v>2026</v>
      </c>
      <c r="B511" s="31" t="s">
        <v>42</v>
      </c>
      <c r="C511" s="31" t="s">
        <v>44</v>
      </c>
      <c r="D511" s="32" t="n">
        <f aca="false">MMcfd!M7</f>
        <v>11.640045200934</v>
      </c>
      <c r="E511" s="31" t="s">
        <v>91</v>
      </c>
      <c r="F511" s="31" t="s">
        <v>91</v>
      </c>
    </row>
    <row r="512" customFormat="false" ht="15" hidden="false" customHeight="true" outlineLevel="0" collapsed="false">
      <c r="A512" s="16" t="n">
        <v>2027</v>
      </c>
      <c r="B512" s="31" t="s">
        <v>42</v>
      </c>
      <c r="C512" s="31" t="s">
        <v>44</v>
      </c>
      <c r="D512" s="32" t="n">
        <f aca="false">MMcfd!M8</f>
        <v>11.0578546787149</v>
      </c>
      <c r="E512" s="31" t="s">
        <v>91</v>
      </c>
      <c r="F512" s="31" t="s">
        <v>91</v>
      </c>
    </row>
    <row r="513" customFormat="false" ht="15" hidden="false" customHeight="true" outlineLevel="0" collapsed="false">
      <c r="A513" s="16" t="n">
        <v>2028</v>
      </c>
      <c r="B513" s="31" t="s">
        <v>42</v>
      </c>
      <c r="C513" s="31" t="s">
        <v>44</v>
      </c>
      <c r="D513" s="32" t="n">
        <f aca="false">MMcfd!M9</f>
        <v>10.4630269909967</v>
      </c>
      <c r="E513" s="31" t="s">
        <v>91</v>
      </c>
      <c r="F513" s="31" t="s">
        <v>91</v>
      </c>
    </row>
    <row r="514" customFormat="false" ht="15" hidden="false" customHeight="true" outlineLevel="0" collapsed="false">
      <c r="A514" s="16" t="n">
        <v>2029</v>
      </c>
      <c r="B514" s="31" t="s">
        <v>42</v>
      </c>
      <c r="C514" s="31" t="s">
        <v>44</v>
      </c>
      <c r="D514" s="32" t="n">
        <f aca="false">MMcfd!M10</f>
        <v>9.85329716519781</v>
      </c>
      <c r="E514" s="31" t="s">
        <v>91</v>
      </c>
      <c r="F514" s="31" t="s">
        <v>91</v>
      </c>
    </row>
    <row r="515" customFormat="false" ht="15" hidden="false" customHeight="true" outlineLevel="0" collapsed="false">
      <c r="A515" s="16" t="n">
        <v>2030</v>
      </c>
      <c r="B515" s="31" t="s">
        <v>42</v>
      </c>
      <c r="C515" s="31" t="s">
        <v>44</v>
      </c>
      <c r="D515" s="32" t="n">
        <f aca="false">MMcfd!M11</f>
        <v>9.22735396101704</v>
      </c>
      <c r="E515" s="31" t="s">
        <v>91</v>
      </c>
      <c r="F515" s="31" t="s">
        <v>91</v>
      </c>
    </row>
    <row r="516" customFormat="false" ht="15" hidden="false" customHeight="true" outlineLevel="0" collapsed="false">
      <c r="A516" s="16" t="n">
        <v>2031</v>
      </c>
      <c r="B516" s="31" t="s">
        <v>42</v>
      </c>
      <c r="C516" s="31" t="s">
        <v>44</v>
      </c>
      <c r="D516" s="32" t="n">
        <f aca="false">MMcfd!M12</f>
        <v>8.58497105834357</v>
      </c>
      <c r="E516" s="31" t="s">
        <v>91</v>
      </c>
      <c r="F516" s="31" t="s">
        <v>91</v>
      </c>
    </row>
    <row r="517" customFormat="false" ht="15" hidden="false" customHeight="true" outlineLevel="0" collapsed="false">
      <c r="A517" s="16" t="n">
        <v>2032</v>
      </c>
      <c r="B517" s="31" t="s">
        <v>42</v>
      </c>
      <c r="C517" s="31" t="s">
        <v>44</v>
      </c>
      <c r="D517" s="32" t="n">
        <f aca="false">MMcfd!M13</f>
        <v>7.92711244972206</v>
      </c>
      <c r="E517" s="31" t="s">
        <v>91</v>
      </c>
      <c r="F517" s="31" t="s">
        <v>91</v>
      </c>
    </row>
    <row r="518" customFormat="false" ht="15" hidden="false" customHeight="true" outlineLevel="0" collapsed="false">
      <c r="A518" s="16" t="n">
        <v>2033</v>
      </c>
      <c r="B518" s="31" t="s">
        <v>42</v>
      </c>
      <c r="C518" s="31" t="s">
        <v>44</v>
      </c>
      <c r="D518" s="32" t="n">
        <f aca="false">MMcfd!M14</f>
        <v>7.25563233391441</v>
      </c>
      <c r="E518" s="31" t="s">
        <v>91</v>
      </c>
      <c r="F518" s="31" t="s">
        <v>91</v>
      </c>
    </row>
    <row r="519" customFormat="false" ht="15" hidden="false" customHeight="true" outlineLevel="0" collapsed="false">
      <c r="A519" s="16" t="n">
        <v>2034</v>
      </c>
      <c r="B519" s="31" t="s">
        <v>42</v>
      </c>
      <c r="C519" s="31" t="s">
        <v>44</v>
      </c>
      <c r="D519" s="32" t="n">
        <f aca="false">MMcfd!M15</f>
        <v>6.57300373909119</v>
      </c>
      <c r="E519" s="31" t="s">
        <v>91</v>
      </c>
      <c r="F519" s="31" t="s">
        <v>91</v>
      </c>
    </row>
    <row r="520" customFormat="false" ht="15" hidden="false" customHeight="true" outlineLevel="0" collapsed="false">
      <c r="A520" s="16" t="n">
        <v>2035</v>
      </c>
      <c r="B520" s="31" t="s">
        <v>42</v>
      </c>
      <c r="C520" s="31" t="s">
        <v>44</v>
      </c>
      <c r="D520" s="32" t="n">
        <f aca="false">MMcfd!M16</f>
        <v>5.88207581420436</v>
      </c>
      <c r="E520" s="31" t="s">
        <v>91</v>
      </c>
      <c r="F520" s="31" t="s">
        <v>91</v>
      </c>
    </row>
    <row r="521" customFormat="false" ht="15" hidden="false" customHeight="true" outlineLevel="0" collapsed="false">
      <c r="A521" s="16" t="n">
        <v>2036</v>
      </c>
      <c r="B521" s="31" t="s">
        <v>42</v>
      </c>
      <c r="C521" s="31" t="s">
        <v>44</v>
      </c>
      <c r="D521" s="32" t="n">
        <f aca="false">MMcfd!M17</f>
        <v>5.18585920743699</v>
      </c>
      <c r="E521" s="31" t="s">
        <v>91</v>
      </c>
      <c r="F521" s="31" t="s">
        <v>91</v>
      </c>
    </row>
    <row r="522" customFormat="false" ht="15" hidden="false" customHeight="true" outlineLevel="0" collapsed="false">
      <c r="A522" s="16" t="n">
        <v>2037</v>
      </c>
      <c r="B522" s="31" t="s">
        <v>42</v>
      </c>
      <c r="C522" s="31" t="s">
        <v>44</v>
      </c>
      <c r="D522" s="32" t="n">
        <f aca="false">MMcfd!M18</f>
        <v>4.48733848078731</v>
      </c>
      <c r="E522" s="31" t="s">
        <v>91</v>
      </c>
      <c r="F522" s="31" t="s">
        <v>91</v>
      </c>
    </row>
    <row r="523" customFormat="false" ht="15" hidden="false" customHeight="true" outlineLevel="0" collapsed="false">
      <c r="A523" s="16" t="n">
        <v>2038</v>
      </c>
      <c r="B523" s="31" t="s">
        <v>42</v>
      </c>
      <c r="C523" s="31" t="s">
        <v>44</v>
      </c>
      <c r="D523" s="32" t="n">
        <f aca="false">MMcfd!M19</f>
        <v>3.7893018242481</v>
      </c>
      <c r="E523" s="31" t="s">
        <v>91</v>
      </c>
      <c r="F523" s="31" t="s">
        <v>91</v>
      </c>
    </row>
    <row r="524" customFormat="false" ht="15" hidden="false" customHeight="true" outlineLevel="0" collapsed="false">
      <c r="A524" s="16" t="n">
        <v>2039</v>
      </c>
      <c r="B524" s="31" t="s">
        <v>42</v>
      </c>
      <c r="C524" s="31" t="s">
        <v>44</v>
      </c>
      <c r="D524" s="32" t="n">
        <f aca="false">MMcfd!M20</f>
        <v>3.09419955933955</v>
      </c>
      <c r="E524" s="31" t="s">
        <v>91</v>
      </c>
      <c r="F524" s="31" t="s">
        <v>91</v>
      </c>
    </row>
    <row r="525" customFormat="false" ht="15" hidden="false" customHeight="true" outlineLevel="0" collapsed="false">
      <c r="A525" s="16" t="n">
        <v>2040</v>
      </c>
      <c r="B525" s="31" t="s">
        <v>42</v>
      </c>
      <c r="C525" s="31" t="s">
        <v>44</v>
      </c>
      <c r="D525" s="32" t="n">
        <f aca="false">MMcfd!M21</f>
        <v>2.40402684084555</v>
      </c>
      <c r="E525" s="31" t="s">
        <v>91</v>
      </c>
      <c r="F525" s="31" t="s">
        <v>91</v>
      </c>
    </row>
    <row r="526" customFormat="false" ht="15" hidden="false" customHeight="true" outlineLevel="0" collapsed="false">
      <c r="A526" s="16" t="n">
        <v>2041</v>
      </c>
      <c r="B526" s="31" t="s">
        <v>42</v>
      </c>
      <c r="C526" s="31" t="s">
        <v>44</v>
      </c>
      <c r="D526" s="32" t="n">
        <f aca="false">MMcfd!M22</f>
        <v>1.72022316019564</v>
      </c>
      <c r="E526" s="31" t="s">
        <v>91</v>
      </c>
      <c r="F526" s="31" t="s">
        <v>91</v>
      </c>
    </row>
    <row r="527" customFormat="false" ht="15" hidden="false" customHeight="true" outlineLevel="0" collapsed="false">
      <c r="A527" s="16" t="n">
        <v>2042</v>
      </c>
      <c r="B527" s="31" t="s">
        <v>42</v>
      </c>
      <c r="C527" s="31" t="s">
        <v>44</v>
      </c>
      <c r="D527" s="32" t="n">
        <f aca="false">MMcfd!M23</f>
        <v>1.0435776226113</v>
      </c>
      <c r="E527" s="31" t="s">
        <v>91</v>
      </c>
      <c r="F527" s="31" t="s">
        <v>91</v>
      </c>
    </row>
    <row r="528" customFormat="false" ht="15" hidden="false" customHeight="true" outlineLevel="0" collapsed="false">
      <c r="A528" s="16" t="n">
        <v>2043</v>
      </c>
      <c r="B528" s="31" t="s">
        <v>42</v>
      </c>
      <c r="C528" s="31" t="s">
        <v>44</v>
      </c>
      <c r="D528" s="32" t="n">
        <f aca="false">MMcfd!M24</f>
        <v>0.374043107547357</v>
      </c>
      <c r="E528" s="31" t="s">
        <v>91</v>
      </c>
      <c r="F528" s="31" t="s">
        <v>91</v>
      </c>
    </row>
    <row r="529" customFormat="false" ht="15" hidden="false" customHeight="true" outlineLevel="0" collapsed="false">
      <c r="A529" s="16" t="n">
        <v>2044</v>
      </c>
      <c r="B529" s="31" t="s">
        <v>42</v>
      </c>
      <c r="C529" s="31" t="s">
        <v>44</v>
      </c>
      <c r="D529" s="32" t="n">
        <f aca="false">MMcfd!M25</f>
        <v>0</v>
      </c>
      <c r="E529" s="31" t="s">
        <v>91</v>
      </c>
      <c r="F529" s="31" t="s">
        <v>91</v>
      </c>
    </row>
    <row r="530" customFormat="false" ht="15" hidden="false" customHeight="true" outlineLevel="0" collapsed="false">
      <c r="A530" s="16" t="n">
        <v>2045</v>
      </c>
      <c r="B530" s="31" t="s">
        <v>42</v>
      </c>
      <c r="C530" s="31" t="s">
        <v>44</v>
      </c>
      <c r="D530" s="32" t="n">
        <f aca="false">MMcfd!M26</f>
        <v>0</v>
      </c>
      <c r="E530" s="31" t="s">
        <v>91</v>
      </c>
      <c r="F530" s="31" t="s">
        <v>91</v>
      </c>
    </row>
    <row r="531" customFormat="false" ht="15" hidden="false" customHeight="true" outlineLevel="0" collapsed="false">
      <c r="A531" s="16" t="n">
        <v>2046</v>
      </c>
      <c r="B531" s="31" t="s">
        <v>42</v>
      </c>
      <c r="C531" s="31" t="s">
        <v>44</v>
      </c>
      <c r="D531" s="32" t="n">
        <f aca="false">MMcfd!M27</f>
        <v>0</v>
      </c>
      <c r="E531" s="31" t="s">
        <v>91</v>
      </c>
      <c r="F531" s="31" t="s">
        <v>91</v>
      </c>
    </row>
    <row r="532" customFormat="false" ht="15" hidden="false" customHeight="true" outlineLevel="0" collapsed="false">
      <c r="A532" s="16" t="n">
        <v>2047</v>
      </c>
      <c r="B532" s="31" t="s">
        <v>42</v>
      </c>
      <c r="C532" s="31" t="s">
        <v>44</v>
      </c>
      <c r="D532" s="32" t="n">
        <f aca="false">MMcfd!M28</f>
        <v>0</v>
      </c>
      <c r="E532" s="31" t="s">
        <v>91</v>
      </c>
      <c r="F532" s="31" t="s">
        <v>91</v>
      </c>
    </row>
    <row r="533" customFormat="false" ht="15" hidden="false" customHeight="true" outlineLevel="0" collapsed="false">
      <c r="A533" s="16" t="n">
        <v>2048</v>
      </c>
      <c r="B533" s="31" t="s">
        <v>42</v>
      </c>
      <c r="C533" s="31" t="s">
        <v>44</v>
      </c>
      <c r="D533" s="32" t="n">
        <f aca="false">MMcfd!M29</f>
        <v>0</v>
      </c>
      <c r="E533" s="31" t="s">
        <v>91</v>
      </c>
      <c r="F533" s="31" t="s">
        <v>91</v>
      </c>
    </row>
    <row r="534" customFormat="false" ht="15" hidden="false" customHeight="true" outlineLevel="0" collapsed="false">
      <c r="A534" s="16" t="n">
        <v>2049</v>
      </c>
      <c r="B534" s="31" t="s">
        <v>42</v>
      </c>
      <c r="C534" s="31" t="s">
        <v>44</v>
      </c>
      <c r="D534" s="32" t="n">
        <f aca="false">MMcfd!M30</f>
        <v>0</v>
      </c>
      <c r="E534" s="31" t="s">
        <v>91</v>
      </c>
      <c r="F534" s="31" t="s">
        <v>91</v>
      </c>
    </row>
    <row r="535" customFormat="false" ht="15" hidden="false" customHeight="true" outlineLevel="0" collapsed="false">
      <c r="A535" s="16" t="n">
        <v>2050</v>
      </c>
      <c r="B535" s="31" t="s">
        <v>42</v>
      </c>
      <c r="C535" s="31" t="s">
        <v>44</v>
      </c>
      <c r="D535" s="32" t="n">
        <f aca="false">MMcfd!M31</f>
        <v>0</v>
      </c>
      <c r="E535" s="31" t="s">
        <v>91</v>
      </c>
      <c r="F535" s="31" t="s">
        <v>91</v>
      </c>
    </row>
    <row r="536" customFormat="false" ht="15" hidden="false" customHeight="true" outlineLevel="0" collapsed="false">
      <c r="A536" s="16" t="n">
        <v>2023</v>
      </c>
      <c r="B536" s="31" t="s">
        <v>42</v>
      </c>
      <c r="C536" s="31" t="s">
        <v>45</v>
      </c>
      <c r="D536" s="32" t="n">
        <f aca="false">MMcfd!N4</f>
        <v>38.8325644977816</v>
      </c>
      <c r="E536" s="31" t="s">
        <v>91</v>
      </c>
      <c r="F536" s="31" t="s">
        <v>91</v>
      </c>
    </row>
    <row r="537" customFormat="false" ht="15" hidden="false" customHeight="true" outlineLevel="0" collapsed="false">
      <c r="A537" s="16" t="n">
        <v>2024</v>
      </c>
      <c r="B537" s="31" t="s">
        <v>42</v>
      </c>
      <c r="C537" s="31" t="s">
        <v>45</v>
      </c>
      <c r="D537" s="32" t="n">
        <f aca="false">MMcfd!N5</f>
        <v>37.1141139870419</v>
      </c>
      <c r="E537" s="31" t="s">
        <v>91</v>
      </c>
      <c r="F537" s="31" t="s">
        <v>91</v>
      </c>
    </row>
    <row r="538" customFormat="false" ht="15" hidden="false" customHeight="true" outlineLevel="0" collapsed="false">
      <c r="A538" s="16" t="n">
        <v>2025</v>
      </c>
      <c r="B538" s="31" t="s">
        <v>42</v>
      </c>
      <c r="C538" s="31" t="s">
        <v>45</v>
      </c>
      <c r="D538" s="32" t="n">
        <f aca="false">MMcfd!N6</f>
        <v>37.1178972434857</v>
      </c>
      <c r="E538" s="31" t="s">
        <v>91</v>
      </c>
      <c r="F538" s="31" t="s">
        <v>91</v>
      </c>
    </row>
    <row r="539" customFormat="false" ht="15" hidden="false" customHeight="true" outlineLevel="0" collapsed="false">
      <c r="A539" s="16" t="n">
        <v>2026</v>
      </c>
      <c r="B539" s="31" t="s">
        <v>42</v>
      </c>
      <c r="C539" s="31" t="s">
        <v>45</v>
      </c>
      <c r="D539" s="32" t="n">
        <f aca="false">MMcfd!N7</f>
        <v>37.0930651818</v>
      </c>
      <c r="E539" s="31" t="s">
        <v>91</v>
      </c>
      <c r="F539" s="31" t="s">
        <v>91</v>
      </c>
    </row>
    <row r="540" customFormat="false" ht="15" hidden="false" customHeight="true" outlineLevel="0" collapsed="false">
      <c r="A540" s="16" t="n">
        <v>2027</v>
      </c>
      <c r="B540" s="31" t="s">
        <v>42</v>
      </c>
      <c r="C540" s="31" t="s">
        <v>45</v>
      </c>
      <c r="D540" s="32" t="n">
        <f aca="false">MMcfd!N8</f>
        <v>37.0141427097061</v>
      </c>
      <c r="E540" s="31" t="s">
        <v>91</v>
      </c>
      <c r="F540" s="31" t="s">
        <v>91</v>
      </c>
    </row>
    <row r="541" customFormat="false" ht="15" hidden="false" customHeight="true" outlineLevel="0" collapsed="false">
      <c r="A541" s="16" t="n">
        <v>2028</v>
      </c>
      <c r="B541" s="31" t="s">
        <v>42</v>
      </c>
      <c r="C541" s="31" t="s">
        <v>45</v>
      </c>
      <c r="D541" s="32" t="n">
        <f aca="false">MMcfd!N9</f>
        <v>36.8527988287461</v>
      </c>
      <c r="E541" s="31" t="s">
        <v>91</v>
      </c>
      <c r="F541" s="31" t="s">
        <v>91</v>
      </c>
    </row>
    <row r="542" customFormat="false" ht="15" hidden="false" customHeight="true" outlineLevel="0" collapsed="false">
      <c r="A542" s="16" t="n">
        <v>2029</v>
      </c>
      <c r="B542" s="31" t="s">
        <v>42</v>
      </c>
      <c r="C542" s="31" t="s">
        <v>45</v>
      </c>
      <c r="D542" s="32" t="n">
        <f aca="false">MMcfd!N10</f>
        <v>36.5797775080318</v>
      </c>
      <c r="E542" s="31" t="s">
        <v>91</v>
      </c>
      <c r="F542" s="31" t="s">
        <v>91</v>
      </c>
    </row>
    <row r="543" customFormat="false" ht="15" hidden="false" customHeight="true" outlineLevel="0" collapsed="false">
      <c r="A543" s="16" t="n">
        <v>2030</v>
      </c>
      <c r="B543" s="31" t="s">
        <v>42</v>
      </c>
      <c r="C543" s="31" t="s">
        <v>45</v>
      </c>
      <c r="D543" s="32" t="n">
        <f aca="false">MMcfd!N11</f>
        <v>36.1667950092626</v>
      </c>
      <c r="E543" s="31" t="s">
        <v>91</v>
      </c>
      <c r="F543" s="31" t="s">
        <v>91</v>
      </c>
    </row>
    <row r="544" customFormat="false" ht="15" hidden="false" customHeight="true" outlineLevel="0" collapsed="false">
      <c r="A544" s="16" t="n">
        <v>2031</v>
      </c>
      <c r="B544" s="31" t="s">
        <v>42</v>
      </c>
      <c r="C544" s="31" t="s">
        <v>45</v>
      </c>
      <c r="D544" s="32" t="n">
        <f aca="false">MMcfd!N12</f>
        <v>35.5883846918252</v>
      </c>
      <c r="E544" s="31" t="s">
        <v>91</v>
      </c>
      <c r="F544" s="31" t="s">
        <v>91</v>
      </c>
    </row>
    <row r="545" customFormat="false" ht="15" hidden="false" customHeight="true" outlineLevel="0" collapsed="false">
      <c r="A545" s="16" t="n">
        <v>2032</v>
      </c>
      <c r="B545" s="31" t="s">
        <v>42</v>
      </c>
      <c r="C545" s="31" t="s">
        <v>45</v>
      </c>
      <c r="D545" s="32" t="n">
        <f aca="false">MMcfd!N13</f>
        <v>34.8236798708658</v>
      </c>
      <c r="E545" s="31" t="s">
        <v>91</v>
      </c>
      <c r="F545" s="31" t="s">
        <v>91</v>
      </c>
    </row>
    <row r="546" customFormat="false" ht="15" hidden="false" customHeight="true" outlineLevel="0" collapsed="false">
      <c r="A546" s="16" t="n">
        <v>2033</v>
      </c>
      <c r="B546" s="31" t="s">
        <v>42</v>
      </c>
      <c r="C546" s="31" t="s">
        <v>45</v>
      </c>
      <c r="D546" s="32" t="n">
        <f aca="false">MMcfd!N14</f>
        <v>33.8566124723165</v>
      </c>
      <c r="E546" s="31" t="s">
        <v>91</v>
      </c>
      <c r="F546" s="31" t="s">
        <v>91</v>
      </c>
    </row>
    <row r="547" customFormat="false" ht="15" hidden="false" customHeight="true" outlineLevel="0" collapsed="false">
      <c r="A547" s="16" t="n">
        <v>2034</v>
      </c>
      <c r="B547" s="31" t="s">
        <v>42</v>
      </c>
      <c r="C547" s="31" t="s">
        <v>45</v>
      </c>
      <c r="D547" s="32" t="n">
        <f aca="false">MMcfd!N15</f>
        <v>32.6760878339242</v>
      </c>
      <c r="E547" s="31" t="s">
        <v>91</v>
      </c>
      <c r="F547" s="31" t="s">
        <v>91</v>
      </c>
    </row>
    <row r="548" customFormat="false" ht="15" hidden="false" customHeight="true" outlineLevel="0" collapsed="false">
      <c r="A548" s="16" t="n">
        <v>2035</v>
      </c>
      <c r="B548" s="31" t="s">
        <v>42</v>
      </c>
      <c r="C548" s="31" t="s">
        <v>45</v>
      </c>
      <c r="D548" s="32" t="n">
        <f aca="false">MMcfd!N16</f>
        <v>31.2761394323336</v>
      </c>
      <c r="E548" s="31" t="s">
        <v>91</v>
      </c>
      <c r="F548" s="31" t="s">
        <v>91</v>
      </c>
    </row>
    <row r="549" customFormat="false" ht="15" hidden="false" customHeight="true" outlineLevel="0" collapsed="false">
      <c r="A549" s="16" t="n">
        <v>2036</v>
      </c>
      <c r="B549" s="31" t="s">
        <v>42</v>
      </c>
      <c r="C549" s="31" t="s">
        <v>45</v>
      </c>
      <c r="D549" s="32" t="n">
        <f aca="false">MMcfd!N17</f>
        <v>29.6560639353868</v>
      </c>
      <c r="E549" s="31" t="s">
        <v>91</v>
      </c>
      <c r="F549" s="31" t="s">
        <v>91</v>
      </c>
    </row>
    <row r="550" customFormat="false" ht="15" hidden="false" customHeight="true" outlineLevel="0" collapsed="false">
      <c r="A550" s="16" t="n">
        <v>2037</v>
      </c>
      <c r="B550" s="31" t="s">
        <v>42</v>
      </c>
      <c r="C550" s="31" t="s">
        <v>45</v>
      </c>
      <c r="D550" s="32" t="n">
        <f aca="false">MMcfd!N18</f>
        <v>27.8205336498186</v>
      </c>
      <c r="E550" s="31" t="s">
        <v>91</v>
      </c>
      <c r="F550" s="31" t="s">
        <v>91</v>
      </c>
    </row>
    <row r="551" customFormat="false" ht="15" hidden="false" customHeight="true" outlineLevel="0" collapsed="false">
      <c r="A551" s="16" t="n">
        <v>2038</v>
      </c>
      <c r="B551" s="31" t="s">
        <v>42</v>
      </c>
      <c r="C551" s="31" t="s">
        <v>45</v>
      </c>
      <c r="D551" s="32" t="n">
        <f aca="false">MMcfd!N19</f>
        <v>25.7786920912144</v>
      </c>
      <c r="E551" s="31" t="s">
        <v>91</v>
      </c>
      <c r="F551" s="31" t="s">
        <v>91</v>
      </c>
    </row>
    <row r="552" customFormat="false" ht="15" hidden="false" customHeight="true" outlineLevel="0" collapsed="false">
      <c r="A552" s="16" t="n">
        <v>2039</v>
      </c>
      <c r="B552" s="31" t="s">
        <v>42</v>
      </c>
      <c r="C552" s="31" t="s">
        <v>45</v>
      </c>
      <c r="D552" s="32" t="n">
        <f aca="false">MMcfd!N20</f>
        <v>23.5433314081964</v>
      </c>
      <c r="E552" s="31" t="s">
        <v>91</v>
      </c>
      <c r="F552" s="31" t="s">
        <v>91</v>
      </c>
    </row>
    <row r="553" customFormat="false" ht="15" hidden="false" customHeight="true" outlineLevel="0" collapsed="false">
      <c r="A553" s="16" t="n">
        <v>2040</v>
      </c>
      <c r="B553" s="31" t="s">
        <v>42</v>
      </c>
      <c r="C553" s="31" t="s">
        <v>45</v>
      </c>
      <c r="D553" s="32" t="n">
        <f aca="false">MMcfd!N21</f>
        <v>21.1301362670426</v>
      </c>
      <c r="E553" s="31" t="s">
        <v>91</v>
      </c>
      <c r="F553" s="31" t="s">
        <v>91</v>
      </c>
    </row>
    <row r="554" customFormat="false" ht="15" hidden="false" customHeight="true" outlineLevel="0" collapsed="false">
      <c r="A554" s="16" t="n">
        <v>2041</v>
      </c>
      <c r="B554" s="31" t="s">
        <v>42</v>
      </c>
      <c r="C554" s="31" t="s">
        <v>45</v>
      </c>
      <c r="D554" s="32" t="n">
        <f aca="false">MMcfd!N22</f>
        <v>18.55699116458</v>
      </c>
      <c r="E554" s="31" t="s">
        <v>91</v>
      </c>
      <c r="F554" s="31" t="s">
        <v>91</v>
      </c>
    </row>
    <row r="555" customFormat="false" ht="15" hidden="false" customHeight="true" outlineLevel="0" collapsed="false">
      <c r="A555" s="16" t="n">
        <v>2042</v>
      </c>
      <c r="B555" s="31" t="s">
        <v>42</v>
      </c>
      <c r="C555" s="31" t="s">
        <v>45</v>
      </c>
      <c r="D555" s="32" t="n">
        <f aca="false">MMcfd!N23</f>
        <v>15.8434657305297</v>
      </c>
      <c r="E555" s="31" t="s">
        <v>91</v>
      </c>
      <c r="F555" s="31" t="s">
        <v>91</v>
      </c>
    </row>
    <row r="556" customFormat="false" ht="15" hidden="false" customHeight="true" outlineLevel="0" collapsed="false">
      <c r="A556" s="16" t="n">
        <v>2043</v>
      </c>
      <c r="B556" s="31" t="s">
        <v>42</v>
      </c>
      <c r="C556" s="31" t="s">
        <v>45</v>
      </c>
      <c r="D556" s="32" t="n">
        <f aca="false">MMcfd!N24</f>
        <v>13.0100784578546</v>
      </c>
      <c r="E556" s="31" t="s">
        <v>91</v>
      </c>
      <c r="F556" s="31" t="s">
        <v>91</v>
      </c>
    </row>
    <row r="557" customFormat="false" ht="15" hidden="false" customHeight="true" outlineLevel="0" collapsed="false">
      <c r="A557" s="16" t="n">
        <v>2044</v>
      </c>
      <c r="B557" s="31" t="s">
        <v>42</v>
      </c>
      <c r="C557" s="31" t="s">
        <v>45</v>
      </c>
      <c r="D557" s="32" t="n">
        <f aca="false">MMcfd!N25</f>
        <v>9.8319008840155</v>
      </c>
      <c r="E557" s="31" t="s">
        <v>91</v>
      </c>
      <c r="F557" s="31" t="s">
        <v>91</v>
      </c>
    </row>
    <row r="558" customFormat="false" ht="15" hidden="false" customHeight="true" outlineLevel="0" collapsed="false">
      <c r="A558" s="16" t="n">
        <v>2045</v>
      </c>
      <c r="B558" s="31" t="s">
        <v>42</v>
      </c>
      <c r="C558" s="31" t="s">
        <v>45</v>
      </c>
      <c r="D558" s="32" t="n">
        <f aca="false">MMcfd!N26</f>
        <v>6.28391965634042</v>
      </c>
      <c r="E558" s="31" t="s">
        <v>91</v>
      </c>
      <c r="F558" s="31" t="s">
        <v>91</v>
      </c>
    </row>
    <row r="559" customFormat="false" ht="15" hidden="false" customHeight="true" outlineLevel="0" collapsed="false">
      <c r="A559" s="16" t="n">
        <v>2046</v>
      </c>
      <c r="B559" s="31" t="s">
        <v>42</v>
      </c>
      <c r="C559" s="31" t="s">
        <v>45</v>
      </c>
      <c r="D559" s="32" t="n">
        <f aca="false">MMcfd!N27</f>
        <v>2.74891999346242</v>
      </c>
      <c r="E559" s="31" t="s">
        <v>91</v>
      </c>
      <c r="F559" s="31" t="s">
        <v>91</v>
      </c>
    </row>
    <row r="560" customFormat="false" ht="15" hidden="false" customHeight="true" outlineLevel="0" collapsed="false">
      <c r="A560" s="16" t="n">
        <v>2047</v>
      </c>
      <c r="B560" s="31" t="s">
        <v>42</v>
      </c>
      <c r="C560" s="31" t="s">
        <v>45</v>
      </c>
      <c r="D560" s="32" t="n">
        <f aca="false">MMcfd!N28</f>
        <v>0.227701058905344</v>
      </c>
      <c r="E560" s="31" t="s">
        <v>91</v>
      </c>
      <c r="F560" s="31" t="s">
        <v>91</v>
      </c>
    </row>
    <row r="561" customFormat="false" ht="15" hidden="false" customHeight="true" outlineLevel="0" collapsed="false">
      <c r="A561" s="16" t="n">
        <v>2048</v>
      </c>
      <c r="B561" s="31" t="s">
        <v>42</v>
      </c>
      <c r="C561" s="31" t="s">
        <v>45</v>
      </c>
      <c r="D561" s="32" t="n">
        <f aca="false">MMcfd!N29</f>
        <v>0</v>
      </c>
      <c r="E561" s="31" t="s">
        <v>91</v>
      </c>
      <c r="F561" s="31" t="s">
        <v>91</v>
      </c>
    </row>
    <row r="562" customFormat="false" ht="15" hidden="false" customHeight="true" outlineLevel="0" collapsed="false">
      <c r="A562" s="16" t="n">
        <v>2049</v>
      </c>
      <c r="B562" s="31" t="s">
        <v>42</v>
      </c>
      <c r="C562" s="31" t="s">
        <v>45</v>
      </c>
      <c r="D562" s="32" t="n">
        <f aca="false">MMcfd!N30</f>
        <v>0</v>
      </c>
      <c r="E562" s="31" t="s">
        <v>91</v>
      </c>
      <c r="F562" s="31" t="s">
        <v>91</v>
      </c>
    </row>
    <row r="563" customFormat="false" ht="15" hidden="false" customHeight="true" outlineLevel="0" collapsed="false">
      <c r="A563" s="16" t="n">
        <v>2050</v>
      </c>
      <c r="B563" s="31" t="s">
        <v>42</v>
      </c>
      <c r="C563" s="31" t="s">
        <v>45</v>
      </c>
      <c r="D563" s="32" t="n">
        <f aca="false">MMcfd!N31</f>
        <v>0</v>
      </c>
      <c r="E563" s="31" t="s">
        <v>91</v>
      </c>
      <c r="F563" s="31" t="s">
        <v>91</v>
      </c>
    </row>
    <row r="564" customFormat="false" ht="15" hidden="false" customHeight="true" outlineLevel="0" collapsed="false">
      <c r="A564" s="16" t="n">
        <v>2023</v>
      </c>
      <c r="B564" s="31" t="s">
        <v>42</v>
      </c>
      <c r="C564" s="31" t="s">
        <v>46</v>
      </c>
      <c r="D564" s="32" t="n">
        <f aca="false">MMcfd!O4</f>
        <v>545.104349144224</v>
      </c>
      <c r="E564" s="31" t="s">
        <v>91</v>
      </c>
      <c r="F564" s="31" t="s">
        <v>91</v>
      </c>
    </row>
    <row r="565" customFormat="false" ht="15" hidden="false" customHeight="true" outlineLevel="0" collapsed="false">
      <c r="A565" s="16" t="n">
        <v>2024</v>
      </c>
      <c r="B565" s="31" t="s">
        <v>42</v>
      </c>
      <c r="C565" s="31" t="s">
        <v>46</v>
      </c>
      <c r="D565" s="32" t="n">
        <f aca="false">MMcfd!O5</f>
        <v>545.968750718124</v>
      </c>
      <c r="E565" s="31" t="s">
        <v>91</v>
      </c>
      <c r="F565" s="31" t="s">
        <v>91</v>
      </c>
    </row>
    <row r="566" customFormat="false" ht="15" hidden="false" customHeight="true" outlineLevel="0" collapsed="false">
      <c r="A566" s="16" t="n">
        <v>2025</v>
      </c>
      <c r="B566" s="31" t="s">
        <v>42</v>
      </c>
      <c r="C566" s="31" t="s">
        <v>46</v>
      </c>
      <c r="D566" s="32" t="n">
        <f aca="false">MMcfd!O6</f>
        <v>513.220048064352</v>
      </c>
      <c r="E566" s="31" t="s">
        <v>91</v>
      </c>
      <c r="F566" s="31" t="s">
        <v>91</v>
      </c>
    </row>
    <row r="567" customFormat="false" ht="15" hidden="false" customHeight="true" outlineLevel="0" collapsed="false">
      <c r="A567" s="16" t="n">
        <v>2026</v>
      </c>
      <c r="B567" s="31" t="s">
        <v>42</v>
      </c>
      <c r="C567" s="31" t="s">
        <v>46</v>
      </c>
      <c r="D567" s="32" t="n">
        <f aca="false">MMcfd!O7</f>
        <v>480.460993531405</v>
      </c>
      <c r="E567" s="31" t="s">
        <v>91</v>
      </c>
      <c r="F567" s="31" t="s">
        <v>91</v>
      </c>
    </row>
    <row r="568" customFormat="false" ht="15" hidden="false" customHeight="true" outlineLevel="0" collapsed="false">
      <c r="A568" s="16" t="n">
        <v>2027</v>
      </c>
      <c r="B568" s="31" t="s">
        <v>42</v>
      </c>
      <c r="C568" s="31" t="s">
        <v>46</v>
      </c>
      <c r="D568" s="32" t="n">
        <f aca="false">MMcfd!O8</f>
        <v>447.766607901776</v>
      </c>
      <c r="E568" s="31" t="s">
        <v>91</v>
      </c>
      <c r="F568" s="31" t="s">
        <v>91</v>
      </c>
    </row>
    <row r="569" customFormat="false" ht="15" hidden="false" customHeight="true" outlineLevel="0" collapsed="false">
      <c r="A569" s="16" t="n">
        <v>2028</v>
      </c>
      <c r="B569" s="31" t="s">
        <v>42</v>
      </c>
      <c r="C569" s="31" t="s">
        <v>46</v>
      </c>
      <c r="D569" s="32" t="n">
        <f aca="false">MMcfd!O9</f>
        <v>415.264104122775</v>
      </c>
      <c r="E569" s="31" t="s">
        <v>91</v>
      </c>
      <c r="F569" s="31" t="s">
        <v>91</v>
      </c>
    </row>
    <row r="570" customFormat="false" ht="15" hidden="false" customHeight="true" outlineLevel="0" collapsed="false">
      <c r="A570" s="16" t="n">
        <v>2029</v>
      </c>
      <c r="B570" s="31" t="s">
        <v>42</v>
      </c>
      <c r="C570" s="31" t="s">
        <v>46</v>
      </c>
      <c r="D570" s="32" t="n">
        <f aca="false">MMcfd!O10</f>
        <v>383.128252208217</v>
      </c>
      <c r="E570" s="31" t="s">
        <v>91</v>
      </c>
      <c r="F570" s="31" t="s">
        <v>91</v>
      </c>
    </row>
    <row r="571" customFormat="false" ht="15" hidden="false" customHeight="true" outlineLevel="0" collapsed="false">
      <c r="A571" s="16" t="n">
        <v>2030</v>
      </c>
      <c r="B571" s="31" t="s">
        <v>42</v>
      </c>
      <c r="C571" s="31" t="s">
        <v>46</v>
      </c>
      <c r="D571" s="32" t="n">
        <f aca="false">MMcfd!O11</f>
        <v>351.573541399224</v>
      </c>
      <c r="E571" s="31" t="s">
        <v>91</v>
      </c>
      <c r="F571" s="31" t="s">
        <v>91</v>
      </c>
    </row>
    <row r="572" customFormat="false" ht="15" hidden="false" customHeight="true" outlineLevel="0" collapsed="false">
      <c r="A572" s="16" t="n">
        <v>2031</v>
      </c>
      <c r="B572" s="31" t="s">
        <v>42</v>
      </c>
      <c r="C572" s="31" t="s">
        <v>46</v>
      </c>
      <c r="D572" s="32" t="n">
        <f aca="false">MMcfd!O12</f>
        <v>320.843337512393</v>
      </c>
      <c r="E572" s="31" t="s">
        <v>91</v>
      </c>
      <c r="F572" s="31" t="s">
        <v>91</v>
      </c>
    </row>
    <row r="573" customFormat="false" ht="15" hidden="false" customHeight="true" outlineLevel="0" collapsed="false">
      <c r="A573" s="16" t="n">
        <v>2032</v>
      </c>
      <c r="B573" s="31" t="s">
        <v>42</v>
      </c>
      <c r="C573" s="31" t="s">
        <v>46</v>
      </c>
      <c r="D573" s="32" t="n">
        <f aca="false">MMcfd!O13</f>
        <v>291.196853881015</v>
      </c>
      <c r="E573" s="31" t="s">
        <v>91</v>
      </c>
      <c r="F573" s="31" t="s">
        <v>91</v>
      </c>
    </row>
    <row r="574" customFormat="false" ht="15" hidden="false" customHeight="true" outlineLevel="0" collapsed="false">
      <c r="A574" s="16" t="n">
        <v>2033</v>
      </c>
      <c r="B574" s="31" t="s">
        <v>42</v>
      </c>
      <c r="C574" s="31" t="s">
        <v>46</v>
      </c>
      <c r="D574" s="32" t="n">
        <f aca="false">MMcfd!O14</f>
        <v>262.886679867612</v>
      </c>
      <c r="E574" s="31" t="s">
        <v>91</v>
      </c>
      <c r="F574" s="31" t="s">
        <v>91</v>
      </c>
    </row>
    <row r="575" customFormat="false" ht="15" hidden="false" customHeight="true" outlineLevel="0" collapsed="false">
      <c r="A575" s="16" t="n">
        <v>2034</v>
      </c>
      <c r="B575" s="31" t="s">
        <v>42</v>
      </c>
      <c r="C575" s="31" t="s">
        <v>46</v>
      </c>
      <c r="D575" s="32" t="n">
        <f aca="false">MMcfd!O15</f>
        <v>236.138003995553</v>
      </c>
      <c r="E575" s="31" t="s">
        <v>91</v>
      </c>
      <c r="F575" s="31" t="s">
        <v>91</v>
      </c>
    </row>
    <row r="576" customFormat="false" ht="15" hidden="false" customHeight="true" outlineLevel="0" collapsed="false">
      <c r="A576" s="16" t="n">
        <v>2035</v>
      </c>
      <c r="B576" s="31" t="s">
        <v>42</v>
      </c>
      <c r="C576" s="31" t="s">
        <v>46</v>
      </c>
      <c r="D576" s="32" t="n">
        <f aca="false">MMcfd!O16</f>
        <v>211.129556043987</v>
      </c>
      <c r="E576" s="31" t="s">
        <v>91</v>
      </c>
      <c r="F576" s="31" t="s">
        <v>91</v>
      </c>
    </row>
    <row r="577" customFormat="false" ht="15" hidden="false" customHeight="true" outlineLevel="0" collapsed="false">
      <c r="A577" s="16" t="n">
        <v>2036</v>
      </c>
      <c r="B577" s="31" t="s">
        <v>42</v>
      </c>
      <c r="C577" s="31" t="s">
        <v>46</v>
      </c>
      <c r="D577" s="32" t="n">
        <f aca="false">MMcfd!O17</f>
        <v>187.976316950017</v>
      </c>
      <c r="E577" s="31" t="s">
        <v>91</v>
      </c>
      <c r="F577" s="31" t="s">
        <v>91</v>
      </c>
    </row>
    <row r="578" customFormat="false" ht="15" hidden="false" customHeight="true" outlineLevel="0" collapsed="false">
      <c r="A578" s="16" t="n">
        <v>2037</v>
      </c>
      <c r="B578" s="31" t="s">
        <v>42</v>
      </c>
      <c r="C578" s="31" t="s">
        <v>46</v>
      </c>
      <c r="D578" s="32" t="n">
        <f aca="false">MMcfd!O18</f>
        <v>166.714083749822</v>
      </c>
      <c r="E578" s="31" t="s">
        <v>91</v>
      </c>
      <c r="F578" s="31" t="s">
        <v>91</v>
      </c>
    </row>
    <row r="579" customFormat="false" ht="15" hidden="false" customHeight="true" outlineLevel="0" collapsed="false">
      <c r="A579" s="16" t="n">
        <v>2038</v>
      </c>
      <c r="B579" s="31" t="s">
        <v>42</v>
      </c>
      <c r="C579" s="31" t="s">
        <v>46</v>
      </c>
      <c r="D579" s="32" t="n">
        <f aca="false">MMcfd!O19</f>
        <v>147.31293024019</v>
      </c>
      <c r="E579" s="31" t="s">
        <v>91</v>
      </c>
      <c r="F579" s="31" t="s">
        <v>91</v>
      </c>
    </row>
    <row r="580" customFormat="false" ht="15" hidden="false" customHeight="true" outlineLevel="0" collapsed="false">
      <c r="A580" s="16" t="n">
        <v>2039</v>
      </c>
      <c r="B580" s="31" t="s">
        <v>42</v>
      </c>
      <c r="C580" s="31" t="s">
        <v>46</v>
      </c>
      <c r="D580" s="32" t="n">
        <f aca="false">MMcfd!O20</f>
        <v>129.689812319938</v>
      </c>
      <c r="E580" s="31" t="s">
        <v>91</v>
      </c>
      <c r="F580" s="31" t="s">
        <v>91</v>
      </c>
    </row>
    <row r="581" customFormat="false" ht="15" hidden="false" customHeight="true" outlineLevel="0" collapsed="false">
      <c r="A581" s="16" t="n">
        <v>2040</v>
      </c>
      <c r="B581" s="31" t="s">
        <v>42</v>
      </c>
      <c r="C581" s="31" t="s">
        <v>46</v>
      </c>
      <c r="D581" s="32" t="n">
        <f aca="false">MMcfd!O21</f>
        <v>113.720332053108</v>
      </c>
      <c r="E581" s="31" t="s">
        <v>91</v>
      </c>
      <c r="F581" s="31" t="s">
        <v>91</v>
      </c>
    </row>
    <row r="582" customFormat="false" ht="15" hidden="false" customHeight="true" outlineLevel="0" collapsed="false">
      <c r="A582" s="16" t="n">
        <v>2041</v>
      </c>
      <c r="B582" s="31" t="s">
        <v>42</v>
      </c>
      <c r="C582" s="31" t="s">
        <v>46</v>
      </c>
      <c r="D582" s="32" t="n">
        <f aca="false">MMcfd!O22</f>
        <v>99.2497674558182</v>
      </c>
      <c r="E582" s="31" t="s">
        <v>91</v>
      </c>
      <c r="F582" s="31" t="s">
        <v>91</v>
      </c>
    </row>
    <row r="583" customFormat="false" ht="15" hidden="false" customHeight="true" outlineLevel="0" collapsed="false">
      <c r="A583" s="16" t="n">
        <v>2042</v>
      </c>
      <c r="B583" s="31" t="s">
        <v>42</v>
      </c>
      <c r="C583" s="31" t="s">
        <v>46</v>
      </c>
      <c r="D583" s="32" t="n">
        <f aca="false">MMcfd!O23</f>
        <v>86.1043055627187</v>
      </c>
      <c r="E583" s="31" t="s">
        <v>91</v>
      </c>
      <c r="F583" s="31" t="s">
        <v>91</v>
      </c>
    </row>
    <row r="584" customFormat="false" ht="15" hidden="false" customHeight="true" outlineLevel="0" collapsed="false">
      <c r="A584" s="16" t="n">
        <v>2043</v>
      </c>
      <c r="B584" s="31" t="s">
        <v>42</v>
      </c>
      <c r="C584" s="31" t="s">
        <v>46</v>
      </c>
      <c r="D584" s="32" t="n">
        <f aca="false">MMcfd!O24</f>
        <v>74.1013153012937</v>
      </c>
      <c r="E584" s="31" t="s">
        <v>91</v>
      </c>
      <c r="F584" s="31" t="s">
        <v>91</v>
      </c>
    </row>
    <row r="585" customFormat="false" ht="15" hidden="false" customHeight="true" outlineLevel="0" collapsed="false">
      <c r="A585" s="16" t="n">
        <v>2044</v>
      </c>
      <c r="B585" s="31" t="s">
        <v>42</v>
      </c>
      <c r="C585" s="31" t="s">
        <v>46</v>
      </c>
      <c r="D585" s="32" t="n">
        <f aca="false">MMcfd!O25</f>
        <v>61.5250502740914</v>
      </c>
      <c r="E585" s="31" t="s">
        <v>91</v>
      </c>
      <c r="F585" s="31" t="s">
        <v>91</v>
      </c>
    </row>
    <row r="586" customFormat="false" ht="15" hidden="false" customHeight="true" outlineLevel="0" collapsed="false">
      <c r="A586" s="16" t="n">
        <v>2045</v>
      </c>
      <c r="B586" s="31" t="s">
        <v>42</v>
      </c>
      <c r="C586" s="31" t="s">
        <v>46</v>
      </c>
      <c r="D586" s="32" t="n">
        <f aca="false">MMcfd!O26</f>
        <v>46.9901420819918</v>
      </c>
      <c r="E586" s="31" t="s">
        <v>91</v>
      </c>
      <c r="F586" s="31" t="s">
        <v>91</v>
      </c>
    </row>
    <row r="587" customFormat="false" ht="15" hidden="false" customHeight="true" outlineLevel="0" collapsed="false">
      <c r="A587" s="16" t="n">
        <v>2046</v>
      </c>
      <c r="B587" s="31" t="s">
        <v>42</v>
      </c>
      <c r="C587" s="31" t="s">
        <v>46</v>
      </c>
      <c r="D587" s="32" t="n">
        <f aca="false">MMcfd!O27</f>
        <v>30.6478491581659</v>
      </c>
      <c r="E587" s="31" t="s">
        <v>91</v>
      </c>
      <c r="F587" s="31" t="s">
        <v>91</v>
      </c>
    </row>
    <row r="588" customFormat="false" ht="15" hidden="false" customHeight="true" outlineLevel="0" collapsed="false">
      <c r="A588" s="16" t="n">
        <v>2047</v>
      </c>
      <c r="B588" s="31" t="s">
        <v>42</v>
      </c>
      <c r="C588" s="31" t="s">
        <v>46</v>
      </c>
      <c r="D588" s="32" t="n">
        <f aca="false">MMcfd!O28</f>
        <v>12.9545476498904</v>
      </c>
      <c r="E588" s="31" t="s">
        <v>91</v>
      </c>
      <c r="F588" s="31" t="s">
        <v>91</v>
      </c>
    </row>
    <row r="589" customFormat="false" ht="15" hidden="false" customHeight="true" outlineLevel="0" collapsed="false">
      <c r="A589" s="16" t="n">
        <v>2048</v>
      </c>
      <c r="B589" s="31" t="s">
        <v>42</v>
      </c>
      <c r="C589" s="31" t="s">
        <v>46</v>
      </c>
      <c r="D589" s="32" t="n">
        <f aca="false">MMcfd!O29</f>
        <v>4.17010639082487</v>
      </c>
      <c r="E589" s="31" t="s">
        <v>91</v>
      </c>
      <c r="F589" s="31" t="s">
        <v>91</v>
      </c>
    </row>
    <row r="590" customFormat="false" ht="15" hidden="false" customHeight="true" outlineLevel="0" collapsed="false">
      <c r="A590" s="16" t="n">
        <v>2049</v>
      </c>
      <c r="B590" s="31" t="s">
        <v>42</v>
      </c>
      <c r="C590" s="31" t="s">
        <v>46</v>
      </c>
      <c r="D590" s="32" t="n">
        <f aca="false">MMcfd!O30</f>
        <v>1.73480259571981</v>
      </c>
      <c r="E590" s="31" t="s">
        <v>91</v>
      </c>
      <c r="F590" s="31" t="s">
        <v>91</v>
      </c>
    </row>
    <row r="591" customFormat="false" ht="15" hidden="false" customHeight="true" outlineLevel="0" collapsed="false">
      <c r="A591" s="16" t="n">
        <v>2050</v>
      </c>
      <c r="B591" s="31" t="s">
        <v>42</v>
      </c>
      <c r="C591" s="31" t="s">
        <v>46</v>
      </c>
      <c r="D591" s="32" t="n">
        <f aca="false">MMcfd!O31</f>
        <v>1.73480259571981</v>
      </c>
      <c r="E591" s="31" t="s">
        <v>91</v>
      </c>
      <c r="F591" s="31" t="s">
        <v>91</v>
      </c>
    </row>
    <row r="592" customFormat="false" ht="15" hidden="false" customHeight="true" outlineLevel="0" collapsed="false">
      <c r="A592" s="16" t="n">
        <v>2023</v>
      </c>
      <c r="B592" s="31" t="s">
        <v>42</v>
      </c>
      <c r="C592" s="31" t="s">
        <v>48</v>
      </c>
      <c r="D592" s="32" t="n">
        <f aca="false">MMcfd!P4</f>
        <v>0</v>
      </c>
      <c r="E592" s="31" t="s">
        <v>91</v>
      </c>
      <c r="F592" s="31" t="s">
        <v>91</v>
      </c>
    </row>
    <row r="593" customFormat="false" ht="15" hidden="false" customHeight="true" outlineLevel="0" collapsed="false">
      <c r="A593" s="16" t="n">
        <v>2024</v>
      </c>
      <c r="B593" s="31" t="s">
        <v>42</v>
      </c>
      <c r="C593" s="31" t="s">
        <v>48</v>
      </c>
      <c r="D593" s="32" t="n">
        <f aca="false">MMcfd!P5</f>
        <v>76.0376251267021</v>
      </c>
      <c r="E593" s="31" t="s">
        <v>91</v>
      </c>
      <c r="F593" s="31" t="s">
        <v>91</v>
      </c>
    </row>
    <row r="594" customFormat="false" ht="15" hidden="false" customHeight="true" outlineLevel="0" collapsed="false">
      <c r="A594" s="16" t="n">
        <v>2025</v>
      </c>
      <c r="B594" s="31" t="s">
        <v>42</v>
      </c>
      <c r="C594" s="31" t="s">
        <v>48</v>
      </c>
      <c r="D594" s="32" t="n">
        <f aca="false">MMcfd!P6</f>
        <v>184.793499173033</v>
      </c>
      <c r="E594" s="31" t="s">
        <v>91</v>
      </c>
      <c r="F594" s="31" t="s">
        <v>91</v>
      </c>
    </row>
    <row r="595" customFormat="false" ht="15" hidden="false" customHeight="true" outlineLevel="0" collapsed="false">
      <c r="A595" s="16" t="n">
        <v>2026</v>
      </c>
      <c r="B595" s="31" t="s">
        <v>42</v>
      </c>
      <c r="C595" s="31" t="s">
        <v>48</v>
      </c>
      <c r="D595" s="32" t="n">
        <f aca="false">MMcfd!P7</f>
        <v>293.682586264034</v>
      </c>
      <c r="E595" s="31" t="s">
        <v>91</v>
      </c>
      <c r="F595" s="31" t="s">
        <v>91</v>
      </c>
    </row>
    <row r="596" customFormat="false" ht="15" hidden="false" customHeight="true" outlineLevel="0" collapsed="false">
      <c r="A596" s="16" t="n">
        <v>2027</v>
      </c>
      <c r="B596" s="31" t="s">
        <v>42</v>
      </c>
      <c r="C596" s="31" t="s">
        <v>48</v>
      </c>
      <c r="D596" s="32" t="n">
        <f aca="false">MMcfd!P8</f>
        <v>402.704752867784</v>
      </c>
      <c r="E596" s="31" t="s">
        <v>91</v>
      </c>
      <c r="F596" s="31" t="s">
        <v>91</v>
      </c>
    </row>
    <row r="597" customFormat="false" ht="15" hidden="false" customHeight="true" outlineLevel="0" collapsed="false">
      <c r="A597" s="16" t="n">
        <v>2028</v>
      </c>
      <c r="B597" s="31" t="s">
        <v>42</v>
      </c>
      <c r="C597" s="31" t="s">
        <v>48</v>
      </c>
      <c r="D597" s="32" t="n">
        <f aca="false">MMcfd!P9</f>
        <v>511.801327235933</v>
      </c>
      <c r="E597" s="31" t="s">
        <v>91</v>
      </c>
      <c r="F597" s="31" t="s">
        <v>91</v>
      </c>
    </row>
    <row r="598" customFormat="false" ht="15" hidden="false" customHeight="true" outlineLevel="0" collapsed="false">
      <c r="A598" s="16" t="n">
        <v>2029</v>
      </c>
      <c r="B598" s="31" t="s">
        <v>42</v>
      </c>
      <c r="C598" s="31" t="s">
        <v>48</v>
      </c>
      <c r="D598" s="32" t="n">
        <f aca="false">MMcfd!P10</f>
        <v>620.840298255951</v>
      </c>
      <c r="E598" s="31" t="s">
        <v>91</v>
      </c>
      <c r="F598" s="31" t="s">
        <v>91</v>
      </c>
    </row>
    <row r="599" customFormat="false" ht="15" hidden="false" customHeight="true" outlineLevel="0" collapsed="false">
      <c r="A599" s="16" t="n">
        <v>2030</v>
      </c>
      <c r="B599" s="31" t="s">
        <v>42</v>
      </c>
      <c r="C599" s="31" t="s">
        <v>48</v>
      </c>
      <c r="D599" s="32" t="n">
        <f aca="false">MMcfd!P11</f>
        <v>729.634629150757</v>
      </c>
      <c r="E599" s="31" t="s">
        <v>91</v>
      </c>
      <c r="F599" s="31" t="s">
        <v>91</v>
      </c>
    </row>
    <row r="600" customFormat="false" ht="15" hidden="false" customHeight="true" outlineLevel="0" collapsed="false">
      <c r="A600" s="16" t="n">
        <v>2031</v>
      </c>
      <c r="B600" s="31" t="s">
        <v>42</v>
      </c>
      <c r="C600" s="31" t="s">
        <v>48</v>
      </c>
      <c r="D600" s="32" t="n">
        <f aca="false">MMcfd!P12</f>
        <v>837.966954078451</v>
      </c>
      <c r="E600" s="31" t="s">
        <v>91</v>
      </c>
      <c r="F600" s="31" t="s">
        <v>91</v>
      </c>
    </row>
    <row r="601" customFormat="false" ht="15" hidden="false" customHeight="true" outlineLevel="0" collapsed="false">
      <c r="A601" s="16" t="n">
        <v>2032</v>
      </c>
      <c r="B601" s="31" t="s">
        <v>42</v>
      </c>
      <c r="C601" s="31" t="s">
        <v>48</v>
      </c>
      <c r="D601" s="32" t="n">
        <f aca="false">MMcfd!P13</f>
        <v>945.620285277835</v>
      </c>
      <c r="E601" s="31" t="s">
        <v>91</v>
      </c>
      <c r="F601" s="31" t="s">
        <v>91</v>
      </c>
    </row>
    <row r="602" customFormat="false" ht="15" hidden="false" customHeight="true" outlineLevel="0" collapsed="false">
      <c r="A602" s="16" t="n">
        <v>2033</v>
      </c>
      <c r="B602" s="31" t="s">
        <v>42</v>
      </c>
      <c r="C602" s="31" t="s">
        <v>48</v>
      </c>
      <c r="D602" s="32" t="n">
        <f aca="false">MMcfd!P14</f>
        <v>1052.39383764029</v>
      </c>
      <c r="E602" s="31" t="s">
        <v>91</v>
      </c>
      <c r="F602" s="31" t="s">
        <v>91</v>
      </c>
    </row>
    <row r="603" customFormat="false" ht="15" hidden="false" customHeight="true" outlineLevel="0" collapsed="false">
      <c r="A603" s="16" t="n">
        <v>2034</v>
      </c>
      <c r="B603" s="31" t="s">
        <v>42</v>
      </c>
      <c r="C603" s="31" t="s">
        <v>48</v>
      </c>
      <c r="D603" s="32" t="n">
        <f aca="false">MMcfd!P15</f>
        <v>1158.11785593616</v>
      </c>
      <c r="E603" s="31" t="s">
        <v>91</v>
      </c>
      <c r="F603" s="31" t="s">
        <v>91</v>
      </c>
    </row>
    <row r="604" customFormat="false" ht="15" hidden="false" customHeight="true" outlineLevel="0" collapsed="false">
      <c r="A604" s="16" t="n">
        <v>2035</v>
      </c>
      <c r="B604" s="31" t="s">
        <v>42</v>
      </c>
      <c r="C604" s="31" t="s">
        <v>48</v>
      </c>
      <c r="D604" s="32" t="n">
        <f aca="false">MMcfd!P16</f>
        <v>1262.66740758869</v>
      </c>
      <c r="E604" s="31" t="s">
        <v>91</v>
      </c>
      <c r="F604" s="31" t="s">
        <v>91</v>
      </c>
    </row>
    <row r="605" customFormat="false" ht="15" hidden="false" customHeight="true" outlineLevel="0" collapsed="false">
      <c r="A605" s="16" t="n">
        <v>2036</v>
      </c>
      <c r="B605" s="31" t="s">
        <v>42</v>
      </c>
      <c r="C605" s="31" t="s">
        <v>48</v>
      </c>
      <c r="D605" s="32" t="n">
        <f aca="false">MMcfd!P17</f>
        <v>1365.97507738363</v>
      </c>
      <c r="E605" s="31" t="s">
        <v>91</v>
      </c>
      <c r="F605" s="31" t="s">
        <v>91</v>
      </c>
    </row>
    <row r="606" customFormat="false" ht="15" hidden="false" customHeight="true" outlineLevel="0" collapsed="false">
      <c r="A606" s="16" t="n">
        <v>2037</v>
      </c>
      <c r="B606" s="31" t="s">
        <v>42</v>
      </c>
      <c r="C606" s="31" t="s">
        <v>48</v>
      </c>
      <c r="D606" s="32" t="n">
        <f aca="false">MMcfd!P18</f>
        <v>1468.04246480632</v>
      </c>
      <c r="E606" s="31" t="s">
        <v>91</v>
      </c>
      <c r="F606" s="31" t="s">
        <v>91</v>
      </c>
    </row>
    <row r="607" customFormat="false" ht="15" hidden="false" customHeight="true" outlineLevel="0" collapsed="false">
      <c r="A607" s="16" t="n">
        <v>2038</v>
      </c>
      <c r="B607" s="31" t="s">
        <v>42</v>
      </c>
      <c r="C607" s="31" t="s">
        <v>48</v>
      </c>
      <c r="D607" s="32" t="n">
        <f aca="false">MMcfd!P19</f>
        <v>1568.92443092638</v>
      </c>
      <c r="E607" s="31" t="s">
        <v>91</v>
      </c>
      <c r="F607" s="31" t="s">
        <v>91</v>
      </c>
    </row>
    <row r="608" customFormat="false" ht="15" hidden="false" customHeight="true" outlineLevel="0" collapsed="false">
      <c r="A608" s="16" t="n">
        <v>2039</v>
      </c>
      <c r="B608" s="31" t="s">
        <v>42</v>
      </c>
      <c r="C608" s="31" t="s">
        <v>48</v>
      </c>
      <c r="D608" s="32" t="n">
        <f aca="false">MMcfd!P20</f>
        <v>1668.71472284936</v>
      </c>
      <c r="E608" s="31" t="s">
        <v>91</v>
      </c>
      <c r="F608" s="31" t="s">
        <v>91</v>
      </c>
    </row>
    <row r="609" customFormat="false" ht="15" hidden="false" customHeight="true" outlineLevel="0" collapsed="false">
      <c r="A609" s="16" t="n">
        <v>2040</v>
      </c>
      <c r="B609" s="31" t="s">
        <v>42</v>
      </c>
      <c r="C609" s="31" t="s">
        <v>48</v>
      </c>
      <c r="D609" s="32" t="n">
        <f aca="false">MMcfd!P21</f>
        <v>1767.53297423157</v>
      </c>
      <c r="E609" s="31" t="s">
        <v>91</v>
      </c>
      <c r="F609" s="31" t="s">
        <v>91</v>
      </c>
    </row>
    <row r="610" customFormat="false" ht="15" hidden="false" customHeight="true" outlineLevel="0" collapsed="false">
      <c r="A610" s="16" t="n">
        <v>2041</v>
      </c>
      <c r="B610" s="31" t="s">
        <v>42</v>
      </c>
      <c r="C610" s="31" t="s">
        <v>48</v>
      </c>
      <c r="D610" s="32" t="n">
        <f aca="false">MMcfd!P22</f>
        <v>1865.51298526195</v>
      </c>
      <c r="E610" s="31" t="s">
        <v>91</v>
      </c>
      <c r="F610" s="31" t="s">
        <v>91</v>
      </c>
    </row>
    <row r="611" customFormat="false" ht="15" hidden="false" customHeight="true" outlineLevel="0" collapsed="false">
      <c r="A611" s="16" t="n">
        <v>2042</v>
      </c>
      <c r="B611" s="31" t="s">
        <v>42</v>
      </c>
      <c r="C611" s="31" t="s">
        <v>48</v>
      </c>
      <c r="D611" s="32" t="n">
        <f aca="false">MMcfd!P23</f>
        <v>1962.79124833992</v>
      </c>
      <c r="E611" s="31" t="s">
        <v>91</v>
      </c>
      <c r="F611" s="31" t="s">
        <v>91</v>
      </c>
    </row>
    <row r="612" customFormat="false" ht="15" hidden="false" customHeight="true" outlineLevel="0" collapsed="false">
      <c r="A612" s="16" t="n">
        <v>2043</v>
      </c>
      <c r="B612" s="31" t="s">
        <v>42</v>
      </c>
      <c r="C612" s="31" t="s">
        <v>48</v>
      </c>
      <c r="D612" s="32" t="n">
        <f aca="false">MMcfd!P24</f>
        <v>2059.49790080294</v>
      </c>
      <c r="E612" s="31" t="s">
        <v>91</v>
      </c>
      <c r="F612" s="31" t="s">
        <v>91</v>
      </c>
    </row>
    <row r="613" customFormat="false" ht="15" hidden="false" customHeight="true" outlineLevel="0" collapsed="false">
      <c r="A613" s="16" t="n">
        <v>2044</v>
      </c>
      <c r="B613" s="31" t="s">
        <v>42</v>
      </c>
      <c r="C613" s="31" t="s">
        <v>48</v>
      </c>
      <c r="D613" s="32" t="n">
        <f aca="false">MMcfd!P25</f>
        <v>2157.23946481732</v>
      </c>
      <c r="E613" s="31" t="s">
        <v>91</v>
      </c>
      <c r="F613" s="31" t="s">
        <v>91</v>
      </c>
    </row>
    <row r="614" customFormat="false" ht="15" hidden="false" customHeight="true" outlineLevel="0" collapsed="false">
      <c r="A614" s="16" t="n">
        <v>2045</v>
      </c>
      <c r="B614" s="31" t="s">
        <v>42</v>
      </c>
      <c r="C614" s="31" t="s">
        <v>48</v>
      </c>
      <c r="D614" s="32" t="n">
        <f aca="false">MMcfd!P26</f>
        <v>2257.29036305609</v>
      </c>
      <c r="E614" s="31" t="s">
        <v>91</v>
      </c>
      <c r="F614" s="31" t="s">
        <v>91</v>
      </c>
    </row>
    <row r="615" customFormat="false" ht="15" hidden="false" customHeight="true" outlineLevel="0" collapsed="false">
      <c r="A615" s="16" t="n">
        <v>2046</v>
      </c>
      <c r="B615" s="31" t="s">
        <v>42</v>
      </c>
      <c r="C615" s="31" t="s">
        <v>48</v>
      </c>
      <c r="D615" s="32" t="n">
        <f aca="false">MMcfd!P27</f>
        <v>2359.42452214734</v>
      </c>
      <c r="E615" s="31" t="s">
        <v>91</v>
      </c>
      <c r="F615" s="31" t="s">
        <v>91</v>
      </c>
    </row>
    <row r="616" customFormat="false" ht="15" hidden="false" customHeight="true" outlineLevel="0" collapsed="false">
      <c r="A616" s="16" t="n">
        <v>2047</v>
      </c>
      <c r="B616" s="31" t="s">
        <v>42</v>
      </c>
      <c r="C616" s="31" t="s">
        <v>48</v>
      </c>
      <c r="D616" s="32" t="n">
        <f aca="false">MMcfd!P28</f>
        <v>2462.11391071682</v>
      </c>
      <c r="E616" s="31" t="s">
        <v>91</v>
      </c>
      <c r="F616" s="31" t="s">
        <v>91</v>
      </c>
    </row>
    <row r="617" customFormat="false" ht="15" hidden="false" customHeight="true" outlineLevel="0" collapsed="false">
      <c r="A617" s="16" t="n">
        <v>2048</v>
      </c>
      <c r="B617" s="31" t="s">
        <v>42</v>
      </c>
      <c r="C617" s="31" t="s">
        <v>48</v>
      </c>
      <c r="D617" s="32" t="n">
        <f aca="false">MMcfd!P29</f>
        <v>2553.74814267787</v>
      </c>
      <c r="E617" s="31" t="s">
        <v>91</v>
      </c>
      <c r="F617" s="31" t="s">
        <v>91</v>
      </c>
    </row>
    <row r="618" customFormat="false" ht="15" hidden="false" customHeight="true" outlineLevel="0" collapsed="false">
      <c r="A618" s="16" t="n">
        <v>2049</v>
      </c>
      <c r="B618" s="31" t="s">
        <v>42</v>
      </c>
      <c r="C618" s="31" t="s">
        <v>48</v>
      </c>
      <c r="D618" s="32" t="n">
        <f aca="false">MMcfd!P30</f>
        <v>2638.88795718698</v>
      </c>
      <c r="E618" s="31" t="s">
        <v>91</v>
      </c>
      <c r="F618" s="31" t="s">
        <v>91</v>
      </c>
    </row>
    <row r="619" customFormat="false" ht="15" hidden="false" customHeight="true" outlineLevel="0" collapsed="false">
      <c r="A619" s="16" t="n">
        <v>2050</v>
      </c>
      <c r="B619" s="31" t="s">
        <v>42</v>
      </c>
      <c r="C619" s="31" t="s">
        <v>48</v>
      </c>
      <c r="D619" s="32" t="n">
        <f aca="false">MMcfd!P31</f>
        <v>2637.82792981855</v>
      </c>
      <c r="E619" s="31" t="s">
        <v>91</v>
      </c>
      <c r="F619" s="31" t="s">
        <v>91</v>
      </c>
    </row>
    <row r="621" customFormat="false" ht="15" hidden="false" customHeight="true" outlineLevel="0" collapsed="false">
      <c r="A621" s="19" t="s">
        <v>92</v>
      </c>
      <c r="B621" s="19"/>
      <c r="C621" s="19"/>
      <c r="D621" s="19"/>
      <c r="E621" s="19"/>
      <c r="F621" s="19"/>
    </row>
  </sheetData>
  <autoFilter ref="A3:F619"/>
  <mergeCells count="8">
    <mergeCell ref="A1:F1"/>
    <mergeCell ref="H3:K3"/>
    <mergeCell ref="H35:L35"/>
    <mergeCell ref="H67:L67"/>
    <mergeCell ref="H99:K99"/>
    <mergeCell ref="H131:L131"/>
    <mergeCell ref="H163:L163"/>
    <mergeCell ref="A621:F6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9" t="s">
        <v>47</v>
      </c>
      <c r="B1" s="29" t="s">
        <v>80</v>
      </c>
      <c r="C1" s="29" t="s">
        <v>81</v>
      </c>
      <c r="D1" s="29" t="s">
        <v>2</v>
      </c>
      <c r="E1" s="29" t="s">
        <v>3</v>
      </c>
    </row>
    <row r="2" customFormat="false" ht="15" hidden="false" customHeight="true" outlineLevel="0" collapsed="false">
      <c r="A2" s="16" t="n">
        <f aca="false">Summary!A4</f>
        <v>2023</v>
      </c>
      <c r="B2" s="31" t="str">
        <f aca="false">Summary!B4</f>
        <v>BAU</v>
      </c>
      <c r="C2" s="31" t="str">
        <f aca="false">Summary!C4</f>
        <v>Fugitive</v>
      </c>
      <c r="D2" s="32" t="n">
        <f aca="false">Summary!D4</f>
        <v>5.07640740742145</v>
      </c>
      <c r="E2" s="31" t="str">
        <f aca="false">Summary!E4</f>
        <v>MtCO2e</v>
      </c>
    </row>
    <row r="3" customFormat="false" ht="15" hidden="false" customHeight="true" outlineLevel="0" collapsed="false">
      <c r="A3" s="16" t="n">
        <f aca="false">Summary!A5</f>
        <v>2024</v>
      </c>
      <c r="B3" s="31" t="str">
        <f aca="false">Summary!B5</f>
        <v>BAU</v>
      </c>
      <c r="C3" s="31" t="str">
        <f aca="false">Summary!C5</f>
        <v>Fugitive</v>
      </c>
      <c r="D3" s="32" t="n">
        <f aca="false">Summary!D5</f>
        <v>5.03707618268862</v>
      </c>
      <c r="E3" s="31" t="str">
        <f aca="false">Summary!E5</f>
        <v>MtCO2e</v>
      </c>
    </row>
    <row r="4" customFormat="false" ht="15" hidden="false" customHeight="true" outlineLevel="0" collapsed="false">
      <c r="A4" s="16" t="n">
        <f aca="false">Summary!A6</f>
        <v>2025</v>
      </c>
      <c r="B4" s="31" t="str">
        <f aca="false">Summary!B6</f>
        <v>BAU</v>
      </c>
      <c r="C4" s="31" t="str">
        <f aca="false">Summary!C6</f>
        <v>Fugitive</v>
      </c>
      <c r="D4" s="32" t="n">
        <f aca="false">Summary!D6</f>
        <v>4.99698349864576</v>
      </c>
      <c r="E4" s="31" t="str">
        <f aca="false">Summary!E6</f>
        <v>MtCO2e</v>
      </c>
    </row>
    <row r="5" customFormat="false" ht="15" hidden="false" customHeight="true" outlineLevel="0" collapsed="false">
      <c r="A5" s="16" t="n">
        <f aca="false">Summary!A7</f>
        <v>2026</v>
      </c>
      <c r="B5" s="31" t="str">
        <f aca="false">Summary!B7</f>
        <v>BAU</v>
      </c>
      <c r="C5" s="31" t="str">
        <f aca="false">Summary!C7</f>
        <v>Fugitive</v>
      </c>
      <c r="D5" s="32" t="n">
        <f aca="false">Summary!D7</f>
        <v>4.95449420268163</v>
      </c>
      <c r="E5" s="31" t="str">
        <f aca="false">Summary!E7</f>
        <v>MtCO2e</v>
      </c>
    </row>
    <row r="6" customFormat="false" ht="15" hidden="false" customHeight="true" outlineLevel="0" collapsed="false">
      <c r="A6" s="16" t="n">
        <f aca="false">Summary!A8</f>
        <v>2027</v>
      </c>
      <c r="B6" s="31" t="str">
        <f aca="false">Summary!B8</f>
        <v>BAU</v>
      </c>
      <c r="C6" s="31" t="str">
        <f aca="false">Summary!C8</f>
        <v>Fugitive</v>
      </c>
      <c r="D6" s="32" t="n">
        <f aca="false">Summary!D8</f>
        <v>4.90769531435153</v>
      </c>
      <c r="E6" s="31" t="str">
        <f aca="false">Summary!E8</f>
        <v>MtCO2e</v>
      </c>
    </row>
    <row r="7" customFormat="false" ht="15" hidden="false" customHeight="true" outlineLevel="0" collapsed="false">
      <c r="A7" s="16" t="n">
        <f aca="false">Summary!A9</f>
        <v>2028</v>
      </c>
      <c r="B7" s="31" t="str">
        <f aca="false">Summary!B9</f>
        <v>BAU</v>
      </c>
      <c r="C7" s="31" t="str">
        <f aca="false">Summary!C9</f>
        <v>Fugitive</v>
      </c>
      <c r="D7" s="32" t="n">
        <f aca="false">Summary!D9</f>
        <v>4.85457519092952</v>
      </c>
      <c r="E7" s="31" t="str">
        <f aca="false">Summary!E9</f>
        <v>MtCO2e</v>
      </c>
    </row>
    <row r="8" customFormat="false" ht="15" hidden="false" customHeight="true" outlineLevel="0" collapsed="false">
      <c r="A8" s="16" t="n">
        <f aca="false">Summary!A10</f>
        <v>2029</v>
      </c>
      <c r="B8" s="31" t="str">
        <f aca="false">Summary!B10</f>
        <v>BAU</v>
      </c>
      <c r="C8" s="31" t="str">
        <f aca="false">Summary!C10</f>
        <v>Fugitive</v>
      </c>
      <c r="D8" s="32" t="n">
        <f aca="false">Summary!D10</f>
        <v>4.79318788491567</v>
      </c>
      <c r="E8" s="31" t="str">
        <f aca="false">Summary!E10</f>
        <v>MtCO2e</v>
      </c>
    </row>
    <row r="9" customFormat="false" ht="15" hidden="false" customHeight="true" outlineLevel="0" collapsed="false">
      <c r="A9" s="16" t="n">
        <f aca="false">Summary!A11</f>
        <v>2030</v>
      </c>
      <c r="B9" s="31" t="str">
        <f aca="false">Summary!B11</f>
        <v>BAU</v>
      </c>
      <c r="C9" s="31" t="str">
        <f aca="false">Summary!C11</f>
        <v>Fugitive</v>
      </c>
      <c r="D9" s="32" t="n">
        <f aca="false">Summary!D11</f>
        <v>4.72180374464127</v>
      </c>
      <c r="E9" s="31" t="str">
        <f aca="false">Summary!E11</f>
        <v>MtCO2e</v>
      </c>
    </row>
    <row r="10" customFormat="false" ht="15" hidden="false" customHeight="true" outlineLevel="0" collapsed="false">
      <c r="A10" s="16" t="n">
        <f aca="false">Summary!A12</f>
        <v>2031</v>
      </c>
      <c r="B10" s="31" t="str">
        <f aca="false">Summary!B12</f>
        <v>BAU</v>
      </c>
      <c r="C10" s="31" t="str">
        <f aca="false">Summary!C12</f>
        <v>Fugitive</v>
      </c>
      <c r="D10" s="32" t="n">
        <f aca="false">Summary!D12</f>
        <v>4.63903898992006</v>
      </c>
      <c r="E10" s="31" t="str">
        <f aca="false">Summary!E12</f>
        <v>MtCO2e</v>
      </c>
    </row>
    <row r="11" customFormat="false" ht="15" hidden="false" customHeight="true" outlineLevel="0" collapsed="false">
      <c r="A11" s="16" t="n">
        <f aca="false">Summary!A13</f>
        <v>2032</v>
      </c>
      <c r="B11" s="31" t="str">
        <f aca="false">Summary!B13</f>
        <v>BAU</v>
      </c>
      <c r="C11" s="31" t="str">
        <f aca="false">Summary!C13</f>
        <v>Fugitive</v>
      </c>
      <c r="D11" s="32" t="n">
        <f aca="false">Summary!D13</f>
        <v>4.54398181660342</v>
      </c>
      <c r="E11" s="31" t="str">
        <f aca="false">Summary!E13</f>
        <v>MtCO2e</v>
      </c>
    </row>
    <row r="12" customFormat="false" ht="15" hidden="false" customHeight="true" outlineLevel="0" collapsed="false">
      <c r="A12" s="16" t="n">
        <f aca="false">Summary!A14</f>
        <v>2033</v>
      </c>
      <c r="B12" s="31" t="str">
        <f aca="false">Summary!B14</f>
        <v>BAU</v>
      </c>
      <c r="C12" s="31" t="str">
        <f aca="false">Summary!C14</f>
        <v>Fugitive</v>
      </c>
      <c r="D12" s="32" t="n">
        <f aca="false">Summary!D14</f>
        <v>4.4361286903227</v>
      </c>
      <c r="E12" s="31" t="str">
        <f aca="false">Summary!E14</f>
        <v>MtCO2e</v>
      </c>
    </row>
    <row r="13" customFormat="false" ht="15" hidden="false" customHeight="true" outlineLevel="0" collapsed="false">
      <c r="A13" s="16" t="n">
        <f aca="false">Summary!A15</f>
        <v>2034</v>
      </c>
      <c r="B13" s="31" t="str">
        <f aca="false">Summary!B15</f>
        <v>BAU</v>
      </c>
      <c r="C13" s="31" t="str">
        <f aca="false">Summary!C15</f>
        <v>Fugitive</v>
      </c>
      <c r="D13" s="32" t="n">
        <f aca="false">Summary!D15</f>
        <v>4.31532522398731</v>
      </c>
      <c r="E13" s="31" t="str">
        <f aca="false">Summary!E15</f>
        <v>MtCO2e</v>
      </c>
    </row>
    <row r="14" customFormat="false" ht="15" hidden="false" customHeight="true" outlineLevel="0" collapsed="false">
      <c r="A14" s="16" t="n">
        <f aca="false">Summary!A16</f>
        <v>2035</v>
      </c>
      <c r="B14" s="31" t="str">
        <f aca="false">Summary!B16</f>
        <v>BAU</v>
      </c>
      <c r="C14" s="31" t="str">
        <f aca="false">Summary!C16</f>
        <v>Fugitive</v>
      </c>
      <c r="D14" s="32" t="n">
        <f aca="false">Summary!D16</f>
        <v>4.18171191437736</v>
      </c>
      <c r="E14" s="31" t="str">
        <f aca="false">Summary!E16</f>
        <v>MtCO2e</v>
      </c>
    </row>
    <row r="15" customFormat="false" ht="15" hidden="false" customHeight="true" outlineLevel="0" collapsed="false">
      <c r="A15" s="16" t="n">
        <f aca="false">Summary!A17</f>
        <v>2036</v>
      </c>
      <c r="B15" s="31" t="str">
        <f aca="false">Summary!B17</f>
        <v>BAU</v>
      </c>
      <c r="C15" s="31" t="str">
        <f aca="false">Summary!C17</f>
        <v>Fugitive</v>
      </c>
      <c r="D15" s="32" t="n">
        <f aca="false">Summary!D17</f>
        <v>4.03567478407712</v>
      </c>
      <c r="E15" s="31" t="str">
        <f aca="false">Summary!E17</f>
        <v>MtCO2e</v>
      </c>
    </row>
    <row r="16" customFormat="false" ht="15" hidden="false" customHeight="true" outlineLevel="0" collapsed="false">
      <c r="A16" s="16" t="n">
        <f aca="false">Summary!A18</f>
        <v>2037</v>
      </c>
      <c r="B16" s="31" t="str">
        <f aca="false">Summary!B18</f>
        <v>BAU</v>
      </c>
      <c r="C16" s="31" t="str">
        <f aca="false">Summary!C18</f>
        <v>Fugitive</v>
      </c>
      <c r="D16" s="32" t="n">
        <f aca="false">Summary!D18</f>
        <v>3.87780081719929</v>
      </c>
      <c r="E16" s="31" t="str">
        <f aca="false">Summary!E18</f>
        <v>MtCO2e</v>
      </c>
    </row>
    <row r="17" customFormat="false" ht="15" hidden="false" customHeight="true" outlineLevel="0" collapsed="false">
      <c r="A17" s="16" t="n">
        <f aca="false">Summary!A19</f>
        <v>2038</v>
      </c>
      <c r="B17" s="31" t="str">
        <f aca="false">Summary!B19</f>
        <v>BAU</v>
      </c>
      <c r="C17" s="31" t="str">
        <f aca="false">Summary!C19</f>
        <v>Fugitive</v>
      </c>
      <c r="D17" s="32" t="n">
        <f aca="false">Summary!D19</f>
        <v>3.70883789401252</v>
      </c>
      <c r="E17" s="31" t="str">
        <f aca="false">Summary!E19</f>
        <v>MtCO2e</v>
      </c>
    </row>
    <row r="18" customFormat="false" ht="15" hidden="false" customHeight="true" outlineLevel="0" collapsed="false">
      <c r="A18" s="16" t="n">
        <f aca="false">Summary!A20</f>
        <v>2039</v>
      </c>
      <c r="B18" s="31" t="str">
        <f aca="false">Summary!B20</f>
        <v>BAU</v>
      </c>
      <c r="C18" s="31" t="str">
        <f aca="false">Summary!C20</f>
        <v>Fugitive</v>
      </c>
      <c r="D18" s="32" t="n">
        <f aca="false">Summary!D20</f>
        <v>3.529658812203</v>
      </c>
      <c r="E18" s="31" t="str">
        <f aca="false">Summary!E20</f>
        <v>MtCO2e</v>
      </c>
    </row>
    <row r="19" customFormat="false" ht="15" hidden="false" customHeight="true" outlineLevel="0" collapsed="false">
      <c r="A19" s="16" t="n">
        <f aca="false">Summary!A21</f>
        <v>2040</v>
      </c>
      <c r="B19" s="31" t="str">
        <f aca="false">Summary!B21</f>
        <v>BAU</v>
      </c>
      <c r="C19" s="31" t="str">
        <f aca="false">Summary!C21</f>
        <v>Fugitive</v>
      </c>
      <c r="D19" s="32" t="n">
        <f aca="false">Summary!D21</f>
        <v>3.34122888053096</v>
      </c>
      <c r="E19" s="31" t="str">
        <f aca="false">Summary!E21</f>
        <v>MtCO2e</v>
      </c>
    </row>
    <row r="20" customFormat="false" ht="15" hidden="false" customHeight="true" outlineLevel="0" collapsed="false">
      <c r="A20" s="16" t="n">
        <f aca="false">Summary!A22</f>
        <v>2041</v>
      </c>
      <c r="B20" s="31" t="str">
        <f aca="false">Summary!B22</f>
        <v>BAU</v>
      </c>
      <c r="C20" s="31" t="str">
        <f aca="false">Summary!C22</f>
        <v>Fugitive</v>
      </c>
      <c r="D20" s="32" t="n">
        <f aca="false">Summary!D22</f>
        <v>3.14457649834677</v>
      </c>
      <c r="E20" s="31" t="str">
        <f aca="false">Summary!E22</f>
        <v>MtCO2e</v>
      </c>
    </row>
    <row r="21" customFormat="false" ht="15" hidden="false" customHeight="true" outlineLevel="0" collapsed="false">
      <c r="A21" s="16" t="n">
        <f aca="false">Summary!A23</f>
        <v>2042</v>
      </c>
      <c r="B21" s="31" t="str">
        <f aca="false">Summary!B23</f>
        <v>BAU</v>
      </c>
      <c r="C21" s="31" t="str">
        <f aca="false">Summary!C23</f>
        <v>Fugitive</v>
      </c>
      <c r="D21" s="32" t="n">
        <f aca="false">Summary!D23</f>
        <v>2.94076605395807</v>
      </c>
      <c r="E21" s="31" t="str">
        <f aca="false">Summary!E23</f>
        <v>MtCO2e</v>
      </c>
    </row>
    <row r="22" customFormat="false" ht="15" hidden="false" customHeight="true" outlineLevel="0" collapsed="false">
      <c r="A22" s="16" t="n">
        <f aca="false">Summary!A24</f>
        <v>2043</v>
      </c>
      <c r="B22" s="31" t="str">
        <f aca="false">Summary!B24</f>
        <v>BAU</v>
      </c>
      <c r="C22" s="31" t="str">
        <f aca="false">Summary!C24</f>
        <v>Fugitive</v>
      </c>
      <c r="D22" s="32" t="n">
        <f aca="false">Summary!D24</f>
        <v>2.73087349808412</v>
      </c>
      <c r="E22" s="31" t="str">
        <f aca="false">Summary!E24</f>
        <v>MtCO2e</v>
      </c>
    </row>
    <row r="23" customFormat="false" ht="15" hidden="false" customHeight="true" outlineLevel="0" collapsed="false">
      <c r="A23" s="16" t="n">
        <f aca="false">Summary!A25</f>
        <v>2044</v>
      </c>
      <c r="B23" s="31" t="str">
        <f aca="false">Summary!B25</f>
        <v>BAU</v>
      </c>
      <c r="C23" s="31" t="str">
        <f aca="false">Summary!C25</f>
        <v>Fugitive</v>
      </c>
      <c r="D23" s="32" t="n">
        <f aca="false">Summary!D25</f>
        <v>2.51596324090748</v>
      </c>
      <c r="E23" s="31" t="str">
        <f aca="false">Summary!E25</f>
        <v>MtCO2e</v>
      </c>
    </row>
    <row r="24" customFormat="false" ht="15" hidden="false" customHeight="true" outlineLevel="0" collapsed="false">
      <c r="A24" s="16" t="n">
        <f aca="false">Summary!A26</f>
        <v>2045</v>
      </c>
      <c r="B24" s="31" t="str">
        <f aca="false">Summary!B26</f>
        <v>BAU</v>
      </c>
      <c r="C24" s="31" t="str">
        <f aca="false">Summary!C26</f>
        <v>Fugitive</v>
      </c>
      <c r="D24" s="32" t="n">
        <f aca="false">Summary!D26</f>
        <v>2.29706509468039</v>
      </c>
      <c r="E24" s="31" t="str">
        <f aca="false">Summary!E26</f>
        <v>MtCO2e</v>
      </c>
    </row>
    <row r="25" customFormat="false" ht="15" hidden="false" customHeight="true" outlineLevel="0" collapsed="false">
      <c r="A25" s="16" t="n">
        <f aca="false">Summary!A27</f>
        <v>2046</v>
      </c>
      <c r="B25" s="31" t="str">
        <f aca="false">Summary!B27</f>
        <v>BAU</v>
      </c>
      <c r="C25" s="31" t="str">
        <f aca="false">Summary!C27</f>
        <v>Fugitive</v>
      </c>
      <c r="D25" s="32" t="n">
        <f aca="false">Summary!D27</f>
        <v>2.07515052855202</v>
      </c>
      <c r="E25" s="31" t="str">
        <f aca="false">Summary!E27</f>
        <v>MtCO2e</v>
      </c>
    </row>
    <row r="26" customFormat="false" ht="15" hidden="false" customHeight="true" outlineLevel="0" collapsed="false">
      <c r="A26" s="16" t="n">
        <f aca="false">Summary!A28</f>
        <v>2047</v>
      </c>
      <c r="B26" s="31" t="str">
        <f aca="false">Summary!B28</f>
        <v>BAU</v>
      </c>
      <c r="C26" s="31" t="str">
        <f aca="false">Summary!C28</f>
        <v>Fugitive</v>
      </c>
      <c r="D26" s="32" t="n">
        <f aca="false">Summary!D28</f>
        <v>1.85110751763768</v>
      </c>
      <c r="E26" s="31" t="str">
        <f aca="false">Summary!E28</f>
        <v>MtCO2e</v>
      </c>
    </row>
    <row r="27" customFormat="false" ht="15" hidden="false" customHeight="true" outlineLevel="0" collapsed="false">
      <c r="A27" s="16" t="n">
        <f aca="false">Summary!A29</f>
        <v>2048</v>
      </c>
      <c r="B27" s="31" t="str">
        <f aca="false">Summary!B29</f>
        <v>BAU</v>
      </c>
      <c r="C27" s="31" t="str">
        <f aca="false">Summary!C29</f>
        <v>Fugitive</v>
      </c>
      <c r="D27" s="32" t="n">
        <f aca="false">Summary!D29</f>
        <v>1.62571331268771</v>
      </c>
      <c r="E27" s="31" t="str">
        <f aca="false">Summary!E29</f>
        <v>MtCO2e</v>
      </c>
    </row>
    <row r="28" customFormat="false" ht="15" hidden="false" customHeight="true" outlineLevel="0" collapsed="false">
      <c r="A28" s="16" t="n">
        <f aca="false">Summary!A30</f>
        <v>2049</v>
      </c>
      <c r="B28" s="31" t="str">
        <f aca="false">Summary!B30</f>
        <v>BAU</v>
      </c>
      <c r="C28" s="31" t="str">
        <f aca="false">Summary!C30</f>
        <v>Fugitive</v>
      </c>
      <c r="D28" s="32" t="n">
        <f aca="false">Summary!D30</f>
        <v>1.39960450189968</v>
      </c>
      <c r="E28" s="31" t="str">
        <f aca="false">Summary!E30</f>
        <v>MtCO2e</v>
      </c>
    </row>
    <row r="29" customFormat="false" ht="15" hidden="false" customHeight="true" outlineLevel="0" collapsed="false">
      <c r="A29" s="16" t="n">
        <f aca="false">Summary!A31</f>
        <v>2050</v>
      </c>
      <c r="B29" s="31" t="str">
        <f aca="false">Summary!B31</f>
        <v>BAU</v>
      </c>
      <c r="C29" s="31" t="str">
        <f aca="false">Summary!C31</f>
        <v>Fugitive</v>
      </c>
      <c r="D29" s="32" t="n">
        <f aca="false">Summary!D31</f>
        <v>1.39904265751221</v>
      </c>
      <c r="E29" s="31" t="str">
        <f aca="false">Summary!E31</f>
        <v>MtCO2e</v>
      </c>
    </row>
    <row r="30" customFormat="false" ht="15" hidden="false" customHeight="true" outlineLevel="0" collapsed="false">
      <c r="A30" s="16" t="n">
        <f aca="false">Summary!A32</f>
        <v>2023</v>
      </c>
      <c r="B30" s="31" t="str">
        <f aca="false">Summary!B32</f>
        <v>BAU</v>
      </c>
      <c r="C30" s="31" t="str">
        <f aca="false">Summary!C32</f>
        <v>Venting</v>
      </c>
      <c r="D30" s="32" t="n">
        <f aca="false">Summary!D32</f>
        <v>15.6842553382928</v>
      </c>
      <c r="E30" s="31" t="str">
        <f aca="false">Summary!E32</f>
        <v>MtCO2e</v>
      </c>
    </row>
    <row r="31" customFormat="false" ht="15" hidden="false" customHeight="true" outlineLevel="0" collapsed="false">
      <c r="A31" s="16" t="n">
        <f aca="false">Summary!A33</f>
        <v>2024</v>
      </c>
      <c r="B31" s="31" t="str">
        <f aca="false">Summary!B33</f>
        <v>BAU</v>
      </c>
      <c r="C31" s="31" t="str">
        <f aca="false">Summary!C33</f>
        <v>Venting</v>
      </c>
      <c r="D31" s="32" t="n">
        <f aca="false">Summary!D33</f>
        <v>15.5685608647558</v>
      </c>
      <c r="E31" s="31" t="str">
        <f aca="false">Summary!E33</f>
        <v>MtCO2e</v>
      </c>
    </row>
    <row r="32" customFormat="false" ht="15" hidden="false" customHeight="true" outlineLevel="0" collapsed="false">
      <c r="A32" s="16" t="n">
        <f aca="false">Summary!A34</f>
        <v>2025</v>
      </c>
      <c r="B32" s="31" t="str">
        <f aca="false">Summary!B34</f>
        <v>BAU</v>
      </c>
      <c r="C32" s="31" t="str">
        <f aca="false">Summary!C34</f>
        <v>Venting</v>
      </c>
      <c r="D32" s="32" t="n">
        <f aca="false">Summary!D34</f>
        <v>15.4501911728468</v>
      </c>
      <c r="E32" s="31" t="str">
        <f aca="false">Summary!E34</f>
        <v>MtCO2e</v>
      </c>
    </row>
    <row r="33" customFormat="false" ht="15" hidden="false" customHeight="true" outlineLevel="0" collapsed="false">
      <c r="A33" s="16" t="n">
        <f aca="false">Summary!A35</f>
        <v>2026</v>
      </c>
      <c r="B33" s="31" t="str">
        <f aca="false">Summary!B35</f>
        <v>BAU</v>
      </c>
      <c r="C33" s="31" t="str">
        <f aca="false">Summary!C35</f>
        <v>Venting</v>
      </c>
      <c r="D33" s="32" t="n">
        <f aca="false">Summary!D35</f>
        <v>15.3233960022639</v>
      </c>
      <c r="E33" s="31" t="str">
        <f aca="false">Summary!E35</f>
        <v>MtCO2e</v>
      </c>
    </row>
    <row r="34" customFormat="false" ht="15" hidden="false" customHeight="true" outlineLevel="0" collapsed="false">
      <c r="A34" s="16" t="n">
        <f aca="false">Summary!A36</f>
        <v>2027</v>
      </c>
      <c r="B34" s="31" t="str">
        <f aca="false">Summary!B36</f>
        <v>BAU</v>
      </c>
      <c r="C34" s="31" t="str">
        <f aca="false">Summary!C36</f>
        <v>Venting</v>
      </c>
      <c r="D34" s="32" t="n">
        <f aca="false">Summary!D36</f>
        <v>15.1812277323545</v>
      </c>
      <c r="E34" s="31" t="str">
        <f aca="false">Summary!E36</f>
        <v>MtCO2e</v>
      </c>
    </row>
    <row r="35" customFormat="false" ht="15" hidden="false" customHeight="true" outlineLevel="0" collapsed="false">
      <c r="A35" s="16" t="n">
        <f aca="false">Summary!A37</f>
        <v>2028</v>
      </c>
      <c r="B35" s="31" t="str">
        <f aca="false">Summary!B37</f>
        <v>BAU</v>
      </c>
      <c r="C35" s="31" t="str">
        <f aca="false">Summary!C37</f>
        <v>Venting</v>
      </c>
      <c r="D35" s="32" t="n">
        <f aca="false">Summary!D37</f>
        <v>15.0163903648691</v>
      </c>
      <c r="E35" s="31" t="str">
        <f aca="false">Summary!E37</f>
        <v>MtCO2e</v>
      </c>
    </row>
    <row r="36" customFormat="false" ht="15" hidden="false" customHeight="true" outlineLevel="0" collapsed="false">
      <c r="A36" s="16" t="n">
        <f aca="false">Summary!A38</f>
        <v>2029</v>
      </c>
      <c r="B36" s="31" t="str">
        <f aca="false">Summary!B38</f>
        <v>BAU</v>
      </c>
      <c r="C36" s="31" t="str">
        <f aca="false">Summary!C38</f>
        <v>Venting</v>
      </c>
      <c r="D36" s="32" t="n">
        <f aca="false">Summary!D38</f>
        <v>14.8220984157191</v>
      </c>
      <c r="E36" s="31" t="str">
        <f aca="false">Summary!E38</f>
        <v>MtCO2e</v>
      </c>
    </row>
    <row r="37" customFormat="false" ht="15" hidden="false" customHeight="true" outlineLevel="0" collapsed="false">
      <c r="A37" s="16" t="n">
        <f aca="false">Summary!A39</f>
        <v>2030</v>
      </c>
      <c r="B37" s="31" t="str">
        <f aca="false">Summary!B39</f>
        <v>BAU</v>
      </c>
      <c r="C37" s="31" t="str">
        <f aca="false">Summary!C39</f>
        <v>Venting</v>
      </c>
      <c r="D37" s="32" t="n">
        <f aca="false">Summary!D39</f>
        <v>14.5924720861494</v>
      </c>
      <c r="E37" s="31" t="str">
        <f aca="false">Summary!E39</f>
        <v>MtCO2e</v>
      </c>
    </row>
    <row r="38" customFormat="false" ht="15" hidden="false" customHeight="true" outlineLevel="0" collapsed="false">
      <c r="A38" s="16" t="n">
        <f aca="false">Summary!A40</f>
        <v>2031</v>
      </c>
      <c r="B38" s="31" t="str">
        <f aca="false">Summary!B40</f>
        <v>BAU</v>
      </c>
      <c r="C38" s="31" t="str">
        <f aca="false">Summary!C40</f>
        <v>Venting</v>
      </c>
      <c r="D38" s="32" t="n">
        <f aca="false">Summary!D40</f>
        <v>14.3229021009967</v>
      </c>
      <c r="E38" s="31" t="str">
        <f aca="false">Summary!E40</f>
        <v>MtCO2e</v>
      </c>
    </row>
    <row r="39" customFormat="false" ht="15" hidden="false" customHeight="true" outlineLevel="0" collapsed="false">
      <c r="A39" s="16" t="n">
        <f aca="false">Summary!A41</f>
        <v>2032</v>
      </c>
      <c r="B39" s="31" t="str">
        <f aca="false">Summary!B41</f>
        <v>BAU</v>
      </c>
      <c r="C39" s="31" t="str">
        <f aca="false">Summary!C41</f>
        <v>Venting</v>
      </c>
      <c r="D39" s="32" t="n">
        <f aca="false">Summary!D41</f>
        <v>14.010386021256</v>
      </c>
      <c r="E39" s="31" t="str">
        <f aca="false">Summary!E41</f>
        <v>MtCO2e</v>
      </c>
    </row>
    <row r="40" customFormat="false" ht="15" hidden="false" customHeight="true" outlineLevel="0" collapsed="false">
      <c r="A40" s="16" t="n">
        <f aca="false">Summary!A42</f>
        <v>2033</v>
      </c>
      <c r="B40" s="31" t="str">
        <f aca="false">Summary!B42</f>
        <v>BAU</v>
      </c>
      <c r="C40" s="31" t="str">
        <f aca="false">Summary!C42</f>
        <v>Venting</v>
      </c>
      <c r="D40" s="32" t="n">
        <f aca="false">Summary!D42</f>
        <v>13.6533085366941</v>
      </c>
      <c r="E40" s="31" t="str">
        <f aca="false">Summary!E42</f>
        <v>MtCO2e</v>
      </c>
    </row>
    <row r="41" customFormat="false" ht="15" hidden="false" customHeight="true" outlineLevel="0" collapsed="false">
      <c r="A41" s="16" t="n">
        <f aca="false">Summary!A43</f>
        <v>2034</v>
      </c>
      <c r="B41" s="31" t="str">
        <f aca="false">Summary!B43</f>
        <v>BAU</v>
      </c>
      <c r="C41" s="31" t="str">
        <f aca="false">Summary!C43</f>
        <v>Venting</v>
      </c>
      <c r="D41" s="32" t="n">
        <f aca="false">Summary!D43</f>
        <v>13.2512382422422</v>
      </c>
      <c r="E41" s="31" t="str">
        <f aca="false">Summary!E43</f>
        <v>MtCO2e</v>
      </c>
    </row>
    <row r="42" customFormat="false" ht="15" hidden="false" customHeight="true" outlineLevel="0" collapsed="false">
      <c r="A42" s="16" t="n">
        <f aca="false">Summary!A44</f>
        <v>2035</v>
      </c>
      <c r="B42" s="31" t="str">
        <f aca="false">Summary!B44</f>
        <v>BAU</v>
      </c>
      <c r="C42" s="31" t="str">
        <f aca="false">Summary!C44</f>
        <v>Venting</v>
      </c>
      <c r="D42" s="32" t="n">
        <f aca="false">Summary!D44</f>
        <v>12.804741706993</v>
      </c>
      <c r="E42" s="31" t="str">
        <f aca="false">Summary!E44</f>
        <v>MtCO2e</v>
      </c>
    </row>
    <row r="43" customFormat="false" ht="15" hidden="false" customHeight="true" outlineLevel="0" collapsed="false">
      <c r="A43" s="16" t="n">
        <f aca="false">Summary!A45</f>
        <v>2036</v>
      </c>
      <c r="B43" s="31" t="str">
        <f aca="false">Summary!B45</f>
        <v>BAU</v>
      </c>
      <c r="C43" s="31" t="str">
        <f aca="false">Summary!C45</f>
        <v>Venting</v>
      </c>
      <c r="D43" s="32" t="n">
        <f aca="false">Summary!D45</f>
        <v>12.3152149009454</v>
      </c>
      <c r="E43" s="31" t="str">
        <f aca="false">Summary!E45</f>
        <v>MtCO2e</v>
      </c>
    </row>
    <row r="44" customFormat="false" ht="15" hidden="false" customHeight="true" outlineLevel="0" collapsed="false">
      <c r="A44" s="16" t="n">
        <f aca="false">Summary!A46</f>
        <v>2037</v>
      </c>
      <c r="B44" s="31" t="str">
        <f aca="false">Summary!B46</f>
        <v>BAU</v>
      </c>
      <c r="C44" s="31" t="str">
        <f aca="false">Summary!C46</f>
        <v>Venting</v>
      </c>
      <c r="D44" s="32" t="n">
        <f aca="false">Summary!D46</f>
        <v>11.7847314173488</v>
      </c>
      <c r="E44" s="31" t="str">
        <f aca="false">Summary!E46</f>
        <v>MtCO2e</v>
      </c>
    </row>
    <row r="45" customFormat="false" ht="15" hidden="false" customHeight="true" outlineLevel="0" collapsed="false">
      <c r="A45" s="16" t="n">
        <f aca="false">Summary!A47</f>
        <v>2038</v>
      </c>
      <c r="B45" s="31" t="str">
        <f aca="false">Summary!B47</f>
        <v>BAU</v>
      </c>
      <c r="C45" s="31" t="str">
        <f aca="false">Summary!C47</f>
        <v>Venting</v>
      </c>
      <c r="D45" s="32" t="n">
        <f aca="false">Summary!D47</f>
        <v>11.215906406125</v>
      </c>
      <c r="E45" s="31" t="str">
        <f aca="false">Summary!E47</f>
        <v>MtCO2e</v>
      </c>
    </row>
    <row r="46" customFormat="false" ht="15" hidden="false" customHeight="true" outlineLevel="0" collapsed="false">
      <c r="A46" s="16" t="n">
        <f aca="false">Summary!A48</f>
        <v>2039</v>
      </c>
      <c r="B46" s="31" t="str">
        <f aca="false">Summary!B48</f>
        <v>BAU</v>
      </c>
      <c r="C46" s="31" t="str">
        <f aca="false">Summary!C48</f>
        <v>Venting</v>
      </c>
      <c r="D46" s="32" t="n">
        <f aca="false">Summary!D48</f>
        <v>10.611774706524</v>
      </c>
      <c r="E46" s="31" t="str">
        <f aca="false">Summary!E48</f>
        <v>MtCO2e</v>
      </c>
    </row>
    <row r="47" customFormat="false" ht="15" hidden="false" customHeight="true" outlineLevel="0" collapsed="false">
      <c r="A47" s="16" t="n">
        <f aca="false">Summary!A49</f>
        <v>2040</v>
      </c>
      <c r="B47" s="31" t="str">
        <f aca="false">Summary!B49</f>
        <v>BAU</v>
      </c>
      <c r="C47" s="31" t="str">
        <f aca="false">Summary!C49</f>
        <v>Venting</v>
      </c>
      <c r="D47" s="32" t="n">
        <f aca="false">Summary!D49</f>
        <v>9.97568132477899</v>
      </c>
      <c r="E47" s="31" t="str">
        <f aca="false">Summary!E49</f>
        <v>MtCO2e</v>
      </c>
    </row>
    <row r="48" customFormat="false" ht="15" hidden="false" customHeight="true" outlineLevel="0" collapsed="false">
      <c r="A48" s="16" t="n">
        <f aca="false">Summary!A50</f>
        <v>2041</v>
      </c>
      <c r="B48" s="31" t="str">
        <f aca="false">Summary!B50</f>
        <v>BAU</v>
      </c>
      <c r="C48" s="31" t="str">
        <f aca="false">Summary!C50</f>
        <v>Venting</v>
      </c>
      <c r="D48" s="32" t="n">
        <f aca="false">Summary!D50</f>
        <v>9.3111821362892</v>
      </c>
      <c r="E48" s="31" t="str">
        <f aca="false">Summary!E50</f>
        <v>MtCO2e</v>
      </c>
    </row>
    <row r="49" customFormat="false" ht="15" hidden="false" customHeight="true" outlineLevel="0" collapsed="false">
      <c r="A49" s="16" t="n">
        <f aca="false">Summary!A51</f>
        <v>2042</v>
      </c>
      <c r="B49" s="31" t="str">
        <f aca="false">Summary!B51</f>
        <v>BAU</v>
      </c>
      <c r="C49" s="31" t="str">
        <f aca="false">Summary!C51</f>
        <v>Venting</v>
      </c>
      <c r="D49" s="32" t="n">
        <f aca="false">Summary!D51</f>
        <v>8.62195249380593</v>
      </c>
      <c r="E49" s="31" t="str">
        <f aca="false">Summary!E51</f>
        <v>MtCO2e</v>
      </c>
    </row>
    <row r="50" customFormat="false" ht="15" hidden="false" customHeight="true" outlineLevel="0" collapsed="false">
      <c r="A50" s="16" t="n">
        <f aca="false">Summary!A52</f>
        <v>2043</v>
      </c>
      <c r="B50" s="31" t="str">
        <f aca="false">Summary!B52</f>
        <v>BAU</v>
      </c>
      <c r="C50" s="31" t="str">
        <f aca="false">Summary!C52</f>
        <v>Venting</v>
      </c>
      <c r="D50" s="32" t="n">
        <f aca="false">Summary!D52</f>
        <v>7.91170501538731</v>
      </c>
      <c r="E50" s="31" t="str">
        <f aca="false">Summary!E52</f>
        <v>MtCO2e</v>
      </c>
    </row>
    <row r="51" customFormat="false" ht="15" hidden="false" customHeight="true" outlineLevel="0" collapsed="false">
      <c r="A51" s="16" t="n">
        <f aca="false">Summary!A53</f>
        <v>2044</v>
      </c>
      <c r="B51" s="31" t="str">
        <f aca="false">Summary!B53</f>
        <v>BAU</v>
      </c>
      <c r="C51" s="31" t="str">
        <f aca="false">Summary!C53</f>
        <v>Venting</v>
      </c>
      <c r="D51" s="32" t="n">
        <f aca="false">Summary!D53</f>
        <v>7.18411174324694</v>
      </c>
      <c r="E51" s="31" t="str">
        <f aca="false">Summary!E53</f>
        <v>MtCO2e</v>
      </c>
    </row>
    <row r="52" customFormat="false" ht="15" hidden="false" customHeight="true" outlineLevel="0" collapsed="false">
      <c r="A52" s="16" t="n">
        <f aca="false">Summary!A54</f>
        <v>2045</v>
      </c>
      <c r="B52" s="31" t="str">
        <f aca="false">Summary!B54</f>
        <v>BAU</v>
      </c>
      <c r="C52" s="31" t="str">
        <f aca="false">Summary!C54</f>
        <v>Venting</v>
      </c>
      <c r="D52" s="32" t="n">
        <f aca="false">Summary!D54</f>
        <v>6.44272605653065</v>
      </c>
      <c r="E52" s="31" t="str">
        <f aca="false">Summary!E54</f>
        <v>MtCO2e</v>
      </c>
    </row>
    <row r="53" customFormat="false" ht="15" hidden="false" customHeight="true" outlineLevel="0" collapsed="false">
      <c r="A53" s="16" t="n">
        <f aca="false">Summary!A55</f>
        <v>2046</v>
      </c>
      <c r="B53" s="31" t="str">
        <f aca="false">Summary!B55</f>
        <v>BAU</v>
      </c>
      <c r="C53" s="31" t="str">
        <f aca="false">Summary!C55</f>
        <v>Venting</v>
      </c>
      <c r="D53" s="32" t="n">
        <f aca="false">Summary!D55</f>
        <v>5.69090174892371</v>
      </c>
      <c r="E53" s="31" t="str">
        <f aca="false">Summary!E55</f>
        <v>MtCO2e</v>
      </c>
    </row>
    <row r="54" customFormat="false" ht="15" hidden="false" customHeight="true" outlineLevel="0" collapsed="false">
      <c r="A54" s="16" t="n">
        <f aca="false">Summary!A56</f>
        <v>2047</v>
      </c>
      <c r="B54" s="31" t="str">
        <f aca="false">Summary!B56</f>
        <v>BAU</v>
      </c>
      <c r="C54" s="31" t="str">
        <f aca="false">Summary!C56</f>
        <v>Venting</v>
      </c>
      <c r="D54" s="32" t="n">
        <f aca="false">Summary!D56</f>
        <v>4.93170674955849</v>
      </c>
      <c r="E54" s="31" t="str">
        <f aca="false">Summary!E56</f>
        <v>MtCO2e</v>
      </c>
    </row>
    <row r="55" customFormat="false" ht="15" hidden="false" customHeight="true" outlineLevel="0" collapsed="false">
      <c r="A55" s="16" t="n">
        <f aca="false">Summary!A57</f>
        <v>2048</v>
      </c>
      <c r="B55" s="31" t="str">
        <f aca="false">Summary!B57</f>
        <v>BAU</v>
      </c>
      <c r="C55" s="31" t="str">
        <f aca="false">Summary!C57</f>
        <v>Venting</v>
      </c>
      <c r="D55" s="32" t="n">
        <f aca="false">Summary!D57</f>
        <v>4.16782908369246</v>
      </c>
      <c r="E55" s="31" t="str">
        <f aca="false">Summary!E57</f>
        <v>MtCO2e</v>
      </c>
    </row>
    <row r="56" customFormat="false" ht="15" hidden="false" customHeight="true" outlineLevel="0" collapsed="false">
      <c r="A56" s="16" t="n">
        <f aca="false">Summary!A58</f>
        <v>2049</v>
      </c>
      <c r="B56" s="31" t="str">
        <f aca="false">Summary!B58</f>
        <v>BAU</v>
      </c>
      <c r="C56" s="31" t="str">
        <f aca="false">Summary!C58</f>
        <v>Venting</v>
      </c>
      <c r="D56" s="32" t="n">
        <f aca="false">Summary!D58</f>
        <v>3.40147284140132</v>
      </c>
      <c r="E56" s="31" t="str">
        <f aca="false">Summary!E58</f>
        <v>MtCO2e</v>
      </c>
    </row>
    <row r="57" customFormat="false" ht="15" hidden="false" customHeight="true" outlineLevel="0" collapsed="false">
      <c r="A57" s="16" t="n">
        <f aca="false">Summary!A59</f>
        <v>2050</v>
      </c>
      <c r="B57" s="31" t="str">
        <f aca="false">Summary!B59</f>
        <v>BAU</v>
      </c>
      <c r="C57" s="31" t="str">
        <f aca="false">Summary!C59</f>
        <v>Venting</v>
      </c>
      <c r="D57" s="32" t="n">
        <f aca="false">Summary!D59</f>
        <v>3.40010738535822</v>
      </c>
      <c r="E57" s="31" t="str">
        <f aca="false">Summary!E59</f>
        <v>MtCO2e</v>
      </c>
    </row>
    <row r="58" customFormat="false" ht="15" hidden="false" customHeight="true" outlineLevel="0" collapsed="false">
      <c r="A58" s="16" t="n">
        <f aca="false">Summary!A60</f>
        <v>2023</v>
      </c>
      <c r="B58" s="31" t="str">
        <f aca="false">Summary!B60</f>
        <v>BAU</v>
      </c>
      <c r="C58" s="31" t="str">
        <f aca="false">Summary!C60</f>
        <v>Flaring</v>
      </c>
      <c r="D58" s="32" t="n">
        <f aca="false">Summary!D60</f>
        <v>6.26733725428572</v>
      </c>
      <c r="E58" s="31" t="str">
        <f aca="false">Summary!E60</f>
        <v>MtCO2e</v>
      </c>
    </row>
    <row r="59" customFormat="false" ht="15" hidden="false" customHeight="true" outlineLevel="0" collapsed="false">
      <c r="A59" s="16" t="n">
        <f aca="false">Summary!A61</f>
        <v>2024</v>
      </c>
      <c r="B59" s="31" t="str">
        <f aca="false">Summary!B61</f>
        <v>BAU</v>
      </c>
      <c r="C59" s="31" t="str">
        <f aca="false">Summary!C61</f>
        <v>Flaring</v>
      </c>
      <c r="D59" s="32" t="n">
        <f aca="false">Summary!D61</f>
        <v>7.13859245380324</v>
      </c>
      <c r="E59" s="31" t="str">
        <f aca="false">Summary!E61</f>
        <v>MtCO2e</v>
      </c>
    </row>
    <row r="60" customFormat="false" ht="15" hidden="false" customHeight="true" outlineLevel="0" collapsed="false">
      <c r="A60" s="16" t="n">
        <f aca="false">Summary!A62</f>
        <v>2025</v>
      </c>
      <c r="B60" s="31" t="str">
        <f aca="false">Summary!B62</f>
        <v>BAU</v>
      </c>
      <c r="C60" s="31" t="str">
        <f aca="false">Summary!C62</f>
        <v>Flaring</v>
      </c>
      <c r="D60" s="32" t="n">
        <f aca="false">Summary!D62</f>
        <v>8.0105267753028</v>
      </c>
      <c r="E60" s="31" t="str">
        <f aca="false">Summary!E62</f>
        <v>MtCO2e</v>
      </c>
    </row>
    <row r="61" customFormat="false" ht="15" hidden="false" customHeight="true" outlineLevel="0" collapsed="false">
      <c r="A61" s="16" t="n">
        <f aca="false">Summary!A63</f>
        <v>2026</v>
      </c>
      <c r="B61" s="31" t="str">
        <f aca="false">Summary!B63</f>
        <v>BAU</v>
      </c>
      <c r="C61" s="31" t="str">
        <f aca="false">Summary!C63</f>
        <v>Flaring</v>
      </c>
      <c r="D61" s="32" t="n">
        <f aca="false">Summary!D63</f>
        <v>8.88378217243479</v>
      </c>
      <c r="E61" s="31" t="str">
        <f aca="false">Summary!E63</f>
        <v>MtCO2e</v>
      </c>
    </row>
    <row r="62" customFormat="false" ht="15" hidden="false" customHeight="true" outlineLevel="0" collapsed="false">
      <c r="A62" s="16" t="n">
        <f aca="false">Summary!A64</f>
        <v>2027</v>
      </c>
      <c r="B62" s="31" t="str">
        <f aca="false">Summary!B64</f>
        <v>BAU</v>
      </c>
      <c r="C62" s="31" t="str">
        <f aca="false">Summary!C64</f>
        <v>Flaring</v>
      </c>
      <c r="D62" s="32" t="n">
        <f aca="false">Summary!D64</f>
        <v>9.75913893988636</v>
      </c>
      <c r="E62" s="31" t="str">
        <f aca="false">Summary!E64</f>
        <v>MtCO2e</v>
      </c>
    </row>
    <row r="63" customFormat="false" ht="15" hidden="false" customHeight="true" outlineLevel="0" collapsed="false">
      <c r="A63" s="16" t="n">
        <f aca="false">Summary!A65</f>
        <v>2028</v>
      </c>
      <c r="B63" s="31" t="str">
        <f aca="false">Summary!B65</f>
        <v>BAU</v>
      </c>
      <c r="C63" s="31" t="str">
        <f aca="false">Summary!C65</f>
        <v>Flaring</v>
      </c>
      <c r="D63" s="32" t="n">
        <f aca="false">Summary!D65</f>
        <v>10.6372896924084</v>
      </c>
      <c r="E63" s="31" t="str">
        <f aca="false">Summary!E65</f>
        <v>MtCO2e</v>
      </c>
    </row>
    <row r="64" customFormat="false" ht="15" hidden="false" customHeight="true" outlineLevel="0" collapsed="false">
      <c r="A64" s="16" t="n">
        <f aca="false">Summary!A66</f>
        <v>2029</v>
      </c>
      <c r="B64" s="31" t="str">
        <f aca="false">Summary!B66</f>
        <v>BAU</v>
      </c>
      <c r="C64" s="31" t="str">
        <f aca="false">Summary!C66</f>
        <v>Flaring</v>
      </c>
      <c r="D64" s="32" t="n">
        <f aca="false">Summary!D66</f>
        <v>11.5186121918944</v>
      </c>
      <c r="E64" s="31" t="str">
        <f aca="false">Summary!E66</f>
        <v>MtCO2e</v>
      </c>
    </row>
    <row r="65" customFormat="false" ht="15" hidden="false" customHeight="true" outlineLevel="0" collapsed="false">
      <c r="A65" s="16" t="n">
        <f aca="false">Summary!A67</f>
        <v>2030</v>
      </c>
      <c r="B65" s="31" t="str">
        <f aca="false">Summary!B67</f>
        <v>BAU</v>
      </c>
      <c r="C65" s="31" t="str">
        <f aca="false">Summary!C67</f>
        <v>Flaring</v>
      </c>
      <c r="D65" s="32" t="n">
        <f aca="false">Summary!D67</f>
        <v>12.4032984199585</v>
      </c>
      <c r="E65" s="31" t="str">
        <f aca="false">Summary!E67</f>
        <v>MtCO2e</v>
      </c>
    </row>
    <row r="66" customFormat="false" ht="15" hidden="false" customHeight="true" outlineLevel="0" collapsed="false">
      <c r="A66" s="16" t="n">
        <f aca="false">Summary!A68</f>
        <v>2031</v>
      </c>
      <c r="B66" s="31" t="str">
        <f aca="false">Summary!B68</f>
        <v>BAU</v>
      </c>
      <c r="C66" s="31" t="str">
        <f aca="false">Summary!C68</f>
        <v>Flaring</v>
      </c>
      <c r="D66" s="32" t="n">
        <f aca="false">Summary!D68</f>
        <v>13.2915225083984</v>
      </c>
      <c r="E66" s="31" t="str">
        <f aca="false">Summary!E68</f>
        <v>MtCO2e</v>
      </c>
    </row>
    <row r="67" customFormat="false" ht="15" hidden="false" customHeight="true" outlineLevel="0" collapsed="false">
      <c r="A67" s="16" t="n">
        <f aca="false">Summary!A69</f>
        <v>2032</v>
      </c>
      <c r="B67" s="31" t="str">
        <f aca="false">Summary!B69</f>
        <v>BAU</v>
      </c>
      <c r="C67" s="31" t="str">
        <f aca="false">Summary!C69</f>
        <v>Flaring</v>
      </c>
      <c r="D67" s="32" t="n">
        <f aca="false">Summary!D69</f>
        <v>14.1836525397154</v>
      </c>
      <c r="E67" s="31" t="str">
        <f aca="false">Summary!E69</f>
        <v>MtCO2e</v>
      </c>
    </row>
    <row r="68" customFormat="false" ht="15" hidden="false" customHeight="true" outlineLevel="0" collapsed="false">
      <c r="A68" s="16" t="n">
        <f aca="false">Summary!A70</f>
        <v>2033</v>
      </c>
      <c r="B68" s="31" t="str">
        <f aca="false">Summary!B70</f>
        <v>BAU</v>
      </c>
      <c r="C68" s="31" t="str">
        <f aca="false">Summary!C70</f>
        <v>Flaring</v>
      </c>
      <c r="D68" s="32" t="n">
        <f aca="false">Summary!D70</f>
        <v>15.0801810255875</v>
      </c>
      <c r="E68" s="31" t="str">
        <f aca="false">Summary!E70</f>
        <v>MtCO2e</v>
      </c>
    </row>
    <row r="69" customFormat="false" ht="15" hidden="false" customHeight="true" outlineLevel="0" collapsed="false">
      <c r="A69" s="16" t="n">
        <f aca="false">Summary!A71</f>
        <v>2034</v>
      </c>
      <c r="B69" s="31" t="str">
        <f aca="false">Summary!B71</f>
        <v>BAU</v>
      </c>
      <c r="C69" s="31" t="str">
        <f aca="false">Summary!C71</f>
        <v>Flaring</v>
      </c>
      <c r="D69" s="32" t="n">
        <f aca="false">Summary!D71</f>
        <v>15.9816628585818</v>
      </c>
      <c r="E69" s="31" t="str">
        <f aca="false">Summary!E71</f>
        <v>MtCO2e</v>
      </c>
    </row>
    <row r="70" customFormat="false" ht="15" hidden="false" customHeight="true" outlineLevel="0" collapsed="false">
      <c r="A70" s="16" t="n">
        <f aca="false">Summary!A72</f>
        <v>2035</v>
      </c>
      <c r="B70" s="31" t="str">
        <f aca="false">Summary!B72</f>
        <v>BAU</v>
      </c>
      <c r="C70" s="31" t="str">
        <f aca="false">Summary!C72</f>
        <v>Flaring</v>
      </c>
      <c r="D70" s="32" t="n">
        <f aca="false">Summary!D72</f>
        <v>16.8886606022599</v>
      </c>
      <c r="E70" s="31" t="str">
        <f aca="false">Summary!E72</f>
        <v>MtCO2e</v>
      </c>
    </row>
    <row r="71" customFormat="false" ht="15" hidden="false" customHeight="true" outlineLevel="0" collapsed="false">
      <c r="A71" s="16" t="n">
        <f aca="false">Summary!A73</f>
        <v>2036</v>
      </c>
      <c r="B71" s="31" t="str">
        <f aca="false">Summary!B73</f>
        <v>BAU</v>
      </c>
      <c r="C71" s="31" t="str">
        <f aca="false">Summary!C73</f>
        <v>Flaring</v>
      </c>
      <c r="D71" s="32" t="n">
        <f aca="false">Summary!D73</f>
        <v>17.8016969446177</v>
      </c>
      <c r="E71" s="31" t="str">
        <f aca="false">Summary!E73</f>
        <v>MtCO2e</v>
      </c>
    </row>
    <row r="72" customFormat="false" ht="15" hidden="false" customHeight="true" outlineLevel="0" collapsed="false">
      <c r="A72" s="16" t="n">
        <f aca="false">Summary!A74</f>
        <v>2037</v>
      </c>
      <c r="B72" s="31" t="str">
        <f aca="false">Summary!B74</f>
        <v>BAU</v>
      </c>
      <c r="C72" s="31" t="str">
        <f aca="false">Summary!C74</f>
        <v>Flaring</v>
      </c>
      <c r="D72" s="32" t="n">
        <f aca="false">Summary!D74</f>
        <v>18.7212141494201</v>
      </c>
      <c r="E72" s="31" t="str">
        <f aca="false">Summary!E74</f>
        <v>MtCO2e</v>
      </c>
    </row>
    <row r="73" customFormat="false" ht="15" hidden="false" customHeight="true" outlineLevel="0" collapsed="false">
      <c r="A73" s="16" t="n">
        <f aca="false">Summary!A75</f>
        <v>2038</v>
      </c>
      <c r="B73" s="31" t="str">
        <f aca="false">Summary!B75</f>
        <v>BAU</v>
      </c>
      <c r="C73" s="31" t="str">
        <f aca="false">Summary!C75</f>
        <v>Flaring</v>
      </c>
      <c r="D73" s="32" t="n">
        <f aca="false">Summary!D75</f>
        <v>19.6475403560462</v>
      </c>
      <c r="E73" s="31" t="str">
        <f aca="false">Summary!E75</f>
        <v>MtCO2e</v>
      </c>
    </row>
    <row r="74" customFormat="false" ht="15" hidden="false" customHeight="true" outlineLevel="0" collapsed="false">
      <c r="A74" s="16" t="n">
        <f aca="false">Summary!A76</f>
        <v>2039</v>
      </c>
      <c r="B74" s="31" t="str">
        <f aca="false">Summary!B76</f>
        <v>BAU</v>
      </c>
      <c r="C74" s="31" t="str">
        <f aca="false">Summary!C76</f>
        <v>Flaring</v>
      </c>
      <c r="D74" s="32" t="n">
        <f aca="false">Summary!D76</f>
        <v>20.5808626354546</v>
      </c>
      <c r="E74" s="31" t="str">
        <f aca="false">Summary!E76</f>
        <v>MtCO2e</v>
      </c>
    </row>
    <row r="75" customFormat="false" ht="15" hidden="false" customHeight="true" outlineLevel="0" collapsed="false">
      <c r="A75" s="16" t="n">
        <f aca="false">Summary!A77</f>
        <v>2040</v>
      </c>
      <c r="B75" s="31" t="str">
        <f aca="false">Summary!B77</f>
        <v>BAU</v>
      </c>
      <c r="C75" s="31" t="str">
        <f aca="false">Summary!C77</f>
        <v>Flaring</v>
      </c>
      <c r="D75" s="32" t="n">
        <f aca="false">Summary!D77</f>
        <v>21.5212067840735</v>
      </c>
      <c r="E75" s="31" t="str">
        <f aca="false">Summary!E77</f>
        <v>MtCO2e</v>
      </c>
    </row>
    <row r="76" customFormat="false" ht="15" hidden="false" customHeight="true" outlineLevel="0" collapsed="false">
      <c r="A76" s="16" t="n">
        <f aca="false">Summary!A78</f>
        <v>2041</v>
      </c>
      <c r="B76" s="31" t="str">
        <f aca="false">Summary!B78</f>
        <v>BAU</v>
      </c>
      <c r="C76" s="31" t="str">
        <f aca="false">Summary!C78</f>
        <v>Flaring</v>
      </c>
      <c r="D76" s="32" t="n">
        <f aca="false">Summary!D78</f>
        <v>22.4684239324086</v>
      </c>
      <c r="E76" s="31" t="str">
        <f aca="false">Summary!E78</f>
        <v>MtCO2e</v>
      </c>
    </row>
    <row r="77" customFormat="false" ht="15" hidden="false" customHeight="true" outlineLevel="0" collapsed="false">
      <c r="A77" s="16" t="n">
        <f aca="false">Summary!A79</f>
        <v>2042</v>
      </c>
      <c r="B77" s="31" t="str">
        <f aca="false">Summary!B79</f>
        <v>BAU</v>
      </c>
      <c r="C77" s="31" t="str">
        <f aca="false">Summary!C79</f>
        <v>Flaring</v>
      </c>
      <c r="D77" s="32" t="n">
        <f aca="false">Summary!D79</f>
        <v>23.4221841374991</v>
      </c>
      <c r="E77" s="31" t="str">
        <f aca="false">Summary!E79</f>
        <v>MtCO2e</v>
      </c>
    </row>
    <row r="78" customFormat="false" ht="15" hidden="false" customHeight="true" outlineLevel="0" collapsed="false">
      <c r="A78" s="16" t="n">
        <f aca="false">Summary!A80</f>
        <v>2043</v>
      </c>
      <c r="B78" s="31" t="str">
        <f aca="false">Summary!B80</f>
        <v>BAU</v>
      </c>
      <c r="C78" s="31" t="str">
        <f aca="false">Summary!C80</f>
        <v>Flaring</v>
      </c>
      <c r="D78" s="32" t="n">
        <f aca="false">Summary!D80</f>
        <v>24.3819829079625</v>
      </c>
      <c r="E78" s="31" t="str">
        <f aca="false">Summary!E80</f>
        <v>MtCO2e</v>
      </c>
    </row>
    <row r="79" customFormat="false" ht="15" hidden="false" customHeight="true" outlineLevel="0" collapsed="false">
      <c r="A79" s="16" t="n">
        <f aca="false">Summary!A81</f>
        <v>2044</v>
      </c>
      <c r="B79" s="31" t="str">
        <f aca="false">Summary!B81</f>
        <v>BAU</v>
      </c>
      <c r="C79" s="31" t="str">
        <f aca="false">Summary!C81</f>
        <v>Flaring</v>
      </c>
      <c r="D79" s="32" t="n">
        <f aca="false">Summary!D81</f>
        <v>25.3471591459878</v>
      </c>
      <c r="E79" s="31" t="str">
        <f aca="false">Summary!E81</f>
        <v>MtCO2e</v>
      </c>
    </row>
    <row r="80" customFormat="false" ht="15" hidden="false" customHeight="true" outlineLevel="0" collapsed="false">
      <c r="A80" s="16" t="n">
        <f aca="false">Summary!A82</f>
        <v>2045</v>
      </c>
      <c r="B80" s="31" t="str">
        <f aca="false">Summary!B82</f>
        <v>BAU</v>
      </c>
      <c r="C80" s="31" t="str">
        <f aca="false">Summary!C82</f>
        <v>Flaring</v>
      </c>
      <c r="D80" s="32" t="n">
        <f aca="false">Summary!D82</f>
        <v>26.3169223423655</v>
      </c>
      <c r="E80" s="31" t="str">
        <f aca="false">Summary!E82</f>
        <v>MtCO2e</v>
      </c>
    </row>
    <row r="81" customFormat="false" ht="15" hidden="false" customHeight="true" outlineLevel="0" collapsed="false">
      <c r="A81" s="16" t="n">
        <f aca="false">Summary!A83</f>
        <v>2046</v>
      </c>
      <c r="B81" s="31" t="str">
        <f aca="false">Summary!B83</f>
        <v>BAU</v>
      </c>
      <c r="C81" s="31" t="str">
        <f aca="false">Summary!C83</f>
        <v>Flaring</v>
      </c>
      <c r="D81" s="32" t="n">
        <f aca="false">Summary!D83</f>
        <v>27.2903896992362</v>
      </c>
      <c r="E81" s="31" t="str">
        <f aca="false">Summary!E83</f>
        <v>MtCO2e</v>
      </c>
    </row>
    <row r="82" customFormat="false" ht="15" hidden="false" customHeight="true" outlineLevel="0" collapsed="false">
      <c r="A82" s="16" t="n">
        <f aca="false">Summary!A84</f>
        <v>2047</v>
      </c>
      <c r="B82" s="31" t="str">
        <f aca="false">Summary!B84</f>
        <v>BAU</v>
      </c>
      <c r="C82" s="31" t="str">
        <f aca="false">Summary!C84</f>
        <v>Flaring</v>
      </c>
      <c r="D82" s="32" t="n">
        <f aca="false">Summary!D84</f>
        <v>28.2666339378696</v>
      </c>
      <c r="E82" s="31" t="str">
        <f aca="false">Summary!E84</f>
        <v>MtCO2e</v>
      </c>
    </row>
    <row r="83" customFormat="false" ht="15" hidden="false" customHeight="true" outlineLevel="0" collapsed="false">
      <c r="A83" s="16" t="n">
        <f aca="false">Summary!A85</f>
        <v>2048</v>
      </c>
      <c r="B83" s="31" t="str">
        <f aca="false">Summary!B85</f>
        <v>BAU</v>
      </c>
      <c r="C83" s="31" t="str">
        <f aca="false">Summary!C85</f>
        <v>Flaring</v>
      </c>
      <c r="D83" s="32" t="n">
        <f aca="false">Summary!D85</f>
        <v>29.2447426193777</v>
      </c>
      <c r="E83" s="31" t="str">
        <f aca="false">Summary!E85</f>
        <v>MtCO2e</v>
      </c>
    </row>
    <row r="84" customFormat="false" ht="15" hidden="false" customHeight="true" outlineLevel="0" collapsed="false">
      <c r="A84" s="16" t="n">
        <f aca="false">Summary!A86</f>
        <v>2049</v>
      </c>
      <c r="B84" s="31" t="str">
        <f aca="false">Summary!B86</f>
        <v>BAU</v>
      </c>
      <c r="C84" s="31" t="str">
        <f aca="false">Summary!C86</f>
        <v>Flaring</v>
      </c>
      <c r="D84" s="32" t="n">
        <f aca="false">Summary!D86</f>
        <v>30.2238898361883</v>
      </c>
      <c r="E84" s="31" t="str">
        <f aca="false">Summary!E86</f>
        <v>MtCO2e</v>
      </c>
    </row>
    <row r="85" customFormat="false" ht="15" hidden="false" customHeight="true" outlineLevel="0" collapsed="false">
      <c r="A85" s="16" t="n">
        <f aca="false">Summary!A87</f>
        <v>2050</v>
      </c>
      <c r="B85" s="31" t="str">
        <f aca="false">Summary!B87</f>
        <v>BAU</v>
      </c>
      <c r="C85" s="31" t="str">
        <f aca="false">Summary!C87</f>
        <v>Flaring</v>
      </c>
      <c r="D85" s="32" t="n">
        <f aca="false">Summary!D87</f>
        <v>30.2117570352086</v>
      </c>
      <c r="E85" s="31" t="str">
        <f aca="false">Summary!E87</f>
        <v>MtCO2e</v>
      </c>
    </row>
    <row r="86" customFormat="false" ht="15" hidden="false" customHeight="true" outlineLevel="0" collapsed="false">
      <c r="A86" s="16" t="n">
        <f aca="false">Summary!A88</f>
        <v>2023</v>
      </c>
      <c r="B86" s="31" t="str">
        <f aca="false">Summary!B88</f>
        <v>Unconditional</v>
      </c>
      <c r="C86" s="31" t="str">
        <f aca="false">Summary!C88</f>
        <v>Fugitive</v>
      </c>
      <c r="D86" s="32" t="n">
        <f aca="false">Summary!D88</f>
        <v>5.07640740742145</v>
      </c>
      <c r="E86" s="31" t="str">
        <f aca="false">Summary!E88</f>
        <v>MtCO2e</v>
      </c>
    </row>
    <row r="87" customFormat="false" ht="15" hidden="false" customHeight="true" outlineLevel="0" collapsed="false">
      <c r="A87" s="16" t="n">
        <f aca="false">Summary!A89</f>
        <v>2024</v>
      </c>
      <c r="B87" s="31" t="str">
        <f aca="false">Summary!B89</f>
        <v>Unconditional</v>
      </c>
      <c r="C87" s="31" t="str">
        <f aca="false">Summary!C89</f>
        <v>Fugitive</v>
      </c>
      <c r="D87" s="32" t="n">
        <f aca="false">Summary!D89</f>
        <v>4.95583586464591</v>
      </c>
      <c r="E87" s="31" t="str">
        <f aca="false">Summary!E89</f>
        <v>MtCO2e</v>
      </c>
    </row>
    <row r="88" customFormat="false" ht="15" hidden="false" customHeight="true" outlineLevel="0" collapsed="false">
      <c r="A88" s="16" t="n">
        <f aca="false">Summary!A90</f>
        <v>2025</v>
      </c>
      <c r="B88" s="31" t="str">
        <f aca="false">Summary!B90</f>
        <v>Unconditional</v>
      </c>
      <c r="C88" s="31" t="str">
        <f aca="false">Summary!C90</f>
        <v>Fugitive</v>
      </c>
      <c r="D88" s="32" t="n">
        <f aca="false">Summary!D90</f>
        <v>4.83454439727256</v>
      </c>
      <c r="E88" s="31" t="str">
        <f aca="false">Summary!E90</f>
        <v>MtCO2e</v>
      </c>
    </row>
    <row r="89" customFormat="false" ht="15" hidden="false" customHeight="true" outlineLevel="0" collapsed="false">
      <c r="A89" s="16" t="n">
        <f aca="false">Summary!A91</f>
        <v>2026</v>
      </c>
      <c r="B89" s="31" t="str">
        <f aca="false">Summary!B91</f>
        <v>Unconditional</v>
      </c>
      <c r="C89" s="31" t="str">
        <f aca="false">Summary!C91</f>
        <v>Fugitive</v>
      </c>
      <c r="D89" s="32" t="n">
        <f aca="false">Summary!D91</f>
        <v>4.71103179551282</v>
      </c>
      <c r="E89" s="31" t="str">
        <f aca="false">Summary!E91</f>
        <v>MtCO2e</v>
      </c>
    </row>
    <row r="90" customFormat="false" ht="15" hidden="false" customHeight="true" outlineLevel="0" collapsed="false">
      <c r="A90" s="16" t="n">
        <f aca="false">Summary!A92</f>
        <v>2027</v>
      </c>
      <c r="B90" s="31" t="str">
        <f aca="false">Summary!B92</f>
        <v>Unconditional</v>
      </c>
      <c r="C90" s="31" t="str">
        <f aca="false">Summary!C92</f>
        <v>Fugitive</v>
      </c>
      <c r="D90" s="32" t="n">
        <f aca="false">Summary!D92</f>
        <v>4.58366228111657</v>
      </c>
      <c r="E90" s="31" t="str">
        <f aca="false">Summary!E92</f>
        <v>MtCO2e</v>
      </c>
    </row>
    <row r="91" customFormat="false" ht="15" hidden="false" customHeight="true" outlineLevel="0" collapsed="false">
      <c r="A91" s="16" t="n">
        <f aca="false">Summary!A93</f>
        <v>2028</v>
      </c>
      <c r="B91" s="31" t="str">
        <f aca="false">Summary!B93</f>
        <v>Unconditional</v>
      </c>
      <c r="C91" s="31" t="str">
        <f aca="false">Summary!C93</f>
        <v>Fugitive</v>
      </c>
      <c r="D91" s="32" t="n">
        <f aca="false">Summary!D93</f>
        <v>4.45082213333614</v>
      </c>
      <c r="E91" s="31" t="str">
        <f aca="false">Summary!E93</f>
        <v>MtCO2e</v>
      </c>
    </row>
    <row r="92" customFormat="false" ht="15" hidden="false" customHeight="true" outlineLevel="0" collapsed="false">
      <c r="A92" s="16" t="n">
        <f aca="false">Summary!A94</f>
        <v>2029</v>
      </c>
      <c r="B92" s="31" t="str">
        <f aca="false">Summary!B94</f>
        <v>Unconditional</v>
      </c>
      <c r="C92" s="31" t="str">
        <f aca="false">Summary!C94</f>
        <v>Fugitive</v>
      </c>
      <c r="D92" s="32" t="n">
        <f aca="false">Summary!D94</f>
        <v>4.31105733847797</v>
      </c>
      <c r="E92" s="31" t="str">
        <f aca="false">Summary!E94</f>
        <v>MtCO2e</v>
      </c>
    </row>
    <row r="93" customFormat="false" ht="15" hidden="false" customHeight="true" outlineLevel="0" collapsed="false">
      <c r="A93" s="16" t="n">
        <f aca="false">Summary!A95</f>
        <v>2030</v>
      </c>
      <c r="B93" s="31" t="str">
        <f aca="false">Summary!B95</f>
        <v>Unconditional</v>
      </c>
      <c r="C93" s="31" t="str">
        <f aca="false">Summary!C95</f>
        <v>Fugitive</v>
      </c>
      <c r="D93" s="32" t="n">
        <f aca="false">Summary!D95</f>
        <v>4.16319011388305</v>
      </c>
      <c r="E93" s="31" t="str">
        <f aca="false">Summary!E95</f>
        <v>MtCO2e</v>
      </c>
    </row>
    <row r="94" customFormat="false" ht="15" hidden="false" customHeight="true" outlineLevel="0" collapsed="false">
      <c r="A94" s="16" t="n">
        <f aca="false">Summary!A96</f>
        <v>2031</v>
      </c>
      <c r="B94" s="31" t="str">
        <f aca="false">Summary!B96</f>
        <v>Unconditional</v>
      </c>
      <c r="C94" s="31" t="str">
        <f aca="false">Summary!C96</f>
        <v>Fugitive</v>
      </c>
      <c r="D94" s="32" t="n">
        <f aca="false">Summary!D96</f>
        <v>4.00641198580478</v>
      </c>
      <c r="E94" s="31" t="str">
        <f aca="false">Summary!E96</f>
        <v>MtCO2e</v>
      </c>
    </row>
    <row r="95" customFormat="false" ht="15" hidden="false" customHeight="true" outlineLevel="0" collapsed="false">
      <c r="A95" s="16" t="n">
        <f aca="false">Summary!A97</f>
        <v>2032</v>
      </c>
      <c r="B95" s="31" t="str">
        <f aca="false">Summary!B97</f>
        <v>Unconditional</v>
      </c>
      <c r="C95" s="31" t="str">
        <f aca="false">Summary!C97</f>
        <v>Fugitive</v>
      </c>
      <c r="D95" s="32" t="n">
        <f aca="false">Summary!D97</f>
        <v>3.84037155347675</v>
      </c>
      <c r="E95" s="31" t="str">
        <f aca="false">Summary!E97</f>
        <v>MtCO2e</v>
      </c>
    </row>
    <row r="96" customFormat="false" ht="15" hidden="false" customHeight="true" outlineLevel="0" collapsed="false">
      <c r="A96" s="16" t="n">
        <f aca="false">Summary!A98</f>
        <v>2033</v>
      </c>
      <c r="B96" s="31" t="str">
        <f aca="false">Summary!B98</f>
        <v>Unconditional</v>
      </c>
      <c r="C96" s="31" t="str">
        <f aca="false">Summary!C98</f>
        <v>Fugitive</v>
      </c>
      <c r="D96" s="32" t="n">
        <f aca="false">Summary!D98</f>
        <v>3.66508838492583</v>
      </c>
      <c r="E96" s="31" t="str">
        <f aca="false">Summary!E98</f>
        <v>MtCO2e</v>
      </c>
    </row>
    <row r="97" customFormat="false" ht="15" hidden="false" customHeight="true" outlineLevel="0" collapsed="false">
      <c r="A97" s="16" t="n">
        <f aca="false">Summary!A99</f>
        <v>2034</v>
      </c>
      <c r="B97" s="31" t="str">
        <f aca="false">Summary!B99</f>
        <v>Unconditional</v>
      </c>
      <c r="C97" s="31" t="str">
        <f aca="false">Summary!C99</f>
        <v>Fugitive</v>
      </c>
      <c r="D97" s="32" t="n">
        <f aca="false">Summary!D99</f>
        <v>3.48087467546772</v>
      </c>
      <c r="E97" s="31" t="str">
        <f aca="false">Summary!E99</f>
        <v>MtCO2e</v>
      </c>
    </row>
    <row r="98" customFormat="false" ht="15" hidden="false" customHeight="true" outlineLevel="0" collapsed="false">
      <c r="A98" s="16" t="n">
        <f aca="false">Summary!A100</f>
        <v>2035</v>
      </c>
      <c r="B98" s="31" t="str">
        <f aca="false">Summary!B100</f>
        <v>Unconditional</v>
      </c>
      <c r="C98" s="31" t="str">
        <f aca="false">Summary!C100</f>
        <v>Fugitive</v>
      </c>
      <c r="D98" s="32" t="n">
        <f aca="false">Summary!D100</f>
        <v>3.28826479448325</v>
      </c>
      <c r="E98" s="31" t="str">
        <f aca="false">Summary!E100</f>
        <v>MtCO2e</v>
      </c>
    </row>
    <row r="99" customFormat="false" ht="15" hidden="false" customHeight="true" outlineLevel="0" collapsed="false">
      <c r="A99" s="16" t="n">
        <f aca="false">Summary!A101</f>
        <v>2036</v>
      </c>
      <c r="B99" s="31" t="str">
        <f aca="false">Summary!B101</f>
        <v>Unconditional</v>
      </c>
      <c r="C99" s="31" t="str">
        <f aca="false">Summary!C101</f>
        <v>Fugitive</v>
      </c>
      <c r="D99" s="32" t="n">
        <f aca="false">Summary!D101</f>
        <v>3.08795265385824</v>
      </c>
      <c r="E99" s="31" t="str">
        <f aca="false">Summary!E101</f>
        <v>MtCO2e</v>
      </c>
    </row>
    <row r="100" customFormat="false" ht="15" hidden="false" customHeight="true" outlineLevel="0" collapsed="false">
      <c r="A100" s="16" t="n">
        <f aca="false">Summary!A102</f>
        <v>2037</v>
      </c>
      <c r="B100" s="31" t="str">
        <f aca="false">Summary!B102</f>
        <v>Unconditional</v>
      </c>
      <c r="C100" s="31" t="str">
        <f aca="false">Summary!C102</f>
        <v>Fugitive</v>
      </c>
      <c r="D100" s="32" t="n">
        <f aca="false">Summary!D102</f>
        <v>2.88073670882157</v>
      </c>
      <c r="E100" s="31" t="str">
        <f aca="false">Summary!E102</f>
        <v>MtCO2e</v>
      </c>
    </row>
    <row r="101" customFormat="false" ht="15" hidden="false" customHeight="true" outlineLevel="0" collapsed="false">
      <c r="A101" s="16" t="n">
        <f aca="false">Summary!A103</f>
        <v>2038</v>
      </c>
      <c r="B101" s="31" t="str">
        <f aca="false">Summary!B103</f>
        <v>Unconditional</v>
      </c>
      <c r="C101" s="31" t="str">
        <f aca="false">Summary!C103</f>
        <v>Fugitive</v>
      </c>
      <c r="D101" s="32" t="n">
        <f aca="false">Summary!D103</f>
        <v>2.66747229634874</v>
      </c>
      <c r="E101" s="31" t="str">
        <f aca="false">Summary!E103</f>
        <v>MtCO2e</v>
      </c>
    </row>
    <row r="102" customFormat="false" ht="15" hidden="false" customHeight="true" outlineLevel="0" collapsed="false">
      <c r="A102" s="16" t="n">
        <f aca="false">Summary!A104</f>
        <v>2039</v>
      </c>
      <c r="B102" s="31" t="str">
        <f aca="false">Summary!B104</f>
        <v>Unconditional</v>
      </c>
      <c r="C102" s="31" t="str">
        <f aca="false">Summary!C104</f>
        <v>Fugitive</v>
      </c>
      <c r="D102" s="32" t="n">
        <f aca="false">Summary!D104</f>
        <v>2.44903137794609</v>
      </c>
      <c r="E102" s="31" t="str">
        <f aca="false">Summary!E104</f>
        <v>MtCO2e</v>
      </c>
    </row>
    <row r="103" customFormat="false" ht="15" hidden="false" customHeight="true" outlineLevel="0" collapsed="false">
      <c r="A103" s="16" t="n">
        <f aca="false">Summary!A105</f>
        <v>2040</v>
      </c>
      <c r="B103" s="31" t="str">
        <f aca="false">Summary!B105</f>
        <v>Unconditional</v>
      </c>
      <c r="C103" s="31" t="str">
        <f aca="false">Summary!C105</f>
        <v>Fugitive</v>
      </c>
      <c r="D103" s="32" t="n">
        <f aca="false">Summary!D105</f>
        <v>2.22626949256041</v>
      </c>
      <c r="E103" s="31" t="str">
        <f aca="false">Summary!E105</f>
        <v>MtCO2e</v>
      </c>
    </row>
    <row r="104" customFormat="false" ht="15" hidden="false" customHeight="true" outlineLevel="0" collapsed="false">
      <c r="A104" s="16" t="n">
        <f aca="false">Summary!A106</f>
        <v>2041</v>
      </c>
      <c r="B104" s="31" t="str">
        <f aca="false">Summary!B106</f>
        <v>Unconditional</v>
      </c>
      <c r="C104" s="31" t="str">
        <f aca="false">Summary!C106</f>
        <v>Fugitive</v>
      </c>
      <c r="D104" s="32" t="n">
        <f aca="false">Summary!D106</f>
        <v>1.99999876209772</v>
      </c>
      <c r="E104" s="31" t="str">
        <f aca="false">Summary!E106</f>
        <v>MtCO2e</v>
      </c>
    </row>
    <row r="105" customFormat="false" ht="15" hidden="false" customHeight="true" outlineLevel="0" collapsed="false">
      <c r="A105" s="16" t="n">
        <f aca="false">Summary!A107</f>
        <v>2042</v>
      </c>
      <c r="B105" s="31" t="str">
        <f aca="false">Summary!B107</f>
        <v>Unconditional</v>
      </c>
      <c r="C105" s="31" t="str">
        <f aca="false">Summary!C107</f>
        <v>Fugitive</v>
      </c>
      <c r="D105" s="32" t="n">
        <f aca="false">Summary!D107</f>
        <v>1.77096657446861</v>
      </c>
      <c r="E105" s="31" t="str">
        <f aca="false">Summary!E107</f>
        <v>MtCO2e</v>
      </c>
    </row>
    <row r="106" customFormat="false" ht="15" hidden="false" customHeight="true" outlineLevel="0" collapsed="false">
      <c r="A106" s="16" t="n">
        <f aca="false">Summary!A108</f>
        <v>2043</v>
      </c>
      <c r="B106" s="31" t="str">
        <f aca="false">Summary!B108</f>
        <v>Unconditional</v>
      </c>
      <c r="C106" s="31" t="str">
        <f aca="false">Summary!C108</f>
        <v>Fugitive</v>
      </c>
      <c r="D106" s="32" t="n">
        <f aca="false">Summary!D108</f>
        <v>1.53984490147656</v>
      </c>
      <c r="E106" s="31" t="str">
        <f aca="false">Summary!E108</f>
        <v>MtCO2e</v>
      </c>
    </row>
    <row r="107" customFormat="false" ht="15" hidden="false" customHeight="true" outlineLevel="0" collapsed="false">
      <c r="A107" s="16" t="n">
        <f aca="false">Summary!A109</f>
        <v>2044</v>
      </c>
      <c r="B107" s="31" t="str">
        <f aca="false">Summary!B109</f>
        <v>Unconditional</v>
      </c>
      <c r="C107" s="31" t="str">
        <f aca="false">Summary!C109</f>
        <v>Fugitive</v>
      </c>
      <c r="D107" s="32" t="n">
        <f aca="false">Summary!D109</f>
        <v>1.3072043247357</v>
      </c>
      <c r="E107" s="31" t="str">
        <f aca="false">Summary!E109</f>
        <v>MtCO2e</v>
      </c>
    </row>
    <row r="108" customFormat="false" ht="15" hidden="false" customHeight="true" outlineLevel="0" collapsed="false">
      <c r="A108" s="16" t="n">
        <f aca="false">Summary!A110</f>
        <v>2045</v>
      </c>
      <c r="B108" s="31" t="str">
        <f aca="false">Summary!B110</f>
        <v>Unconditional</v>
      </c>
      <c r="C108" s="31" t="str">
        <f aca="false">Summary!C110</f>
        <v>Fugitive</v>
      </c>
      <c r="D108" s="32" t="n">
        <f aca="false">Summary!D110</f>
        <v>1.07351945089531</v>
      </c>
      <c r="E108" s="31" t="str">
        <f aca="false">Summary!E110</f>
        <v>MtCO2e</v>
      </c>
    </row>
    <row r="109" customFormat="false" ht="15" hidden="false" customHeight="true" outlineLevel="0" collapsed="false">
      <c r="A109" s="16" t="n">
        <f aca="false">Summary!A111</f>
        <v>2046</v>
      </c>
      <c r="B109" s="31" t="str">
        <f aca="false">Summary!B111</f>
        <v>Unconditional</v>
      </c>
      <c r="C109" s="31" t="str">
        <f aca="false">Summary!C111</f>
        <v>Fugitive</v>
      </c>
      <c r="D109" s="32" t="n">
        <f aca="false">Summary!D111</f>
        <v>0.839169161060441</v>
      </c>
      <c r="E109" s="31" t="str">
        <f aca="false">Summary!E111</f>
        <v>MtCO2e</v>
      </c>
    </row>
    <row r="110" customFormat="false" ht="15" hidden="false" customHeight="true" outlineLevel="0" collapsed="false">
      <c r="A110" s="16" t="n">
        <f aca="false">Summary!A112</f>
        <v>2047</v>
      </c>
      <c r="B110" s="31" t="str">
        <f aca="false">Summary!B112</f>
        <v>Unconditional</v>
      </c>
      <c r="C110" s="31" t="str">
        <f aca="false">Summary!C112</f>
        <v>Fugitive</v>
      </c>
      <c r="D110" s="32" t="n">
        <f aca="false">Summary!D112</f>
        <v>0.602589303745258</v>
      </c>
      <c r="E110" s="31" t="str">
        <f aca="false">Summary!E112</f>
        <v>MtCO2e</v>
      </c>
    </row>
    <row r="111" customFormat="false" ht="15" hidden="false" customHeight="true" outlineLevel="0" collapsed="false">
      <c r="A111" s="16" t="n">
        <f aca="false">Summary!A113</f>
        <v>2048</v>
      </c>
      <c r="B111" s="31" t="str">
        <f aca="false">Summary!B113</f>
        <v>Unconditional</v>
      </c>
      <c r="C111" s="31" t="str">
        <f aca="false">Summary!C113</f>
        <v>Fugitive</v>
      </c>
      <c r="D111" s="32" t="n">
        <f aca="false">Summary!D113</f>
        <v>0.366601983580208</v>
      </c>
      <c r="E111" s="31" t="str">
        <f aca="false">Summary!E113</f>
        <v>MtCO2e</v>
      </c>
    </row>
    <row r="112" customFormat="false" ht="15" hidden="false" customHeight="true" outlineLevel="0" collapsed="false">
      <c r="A112" s="16" t="n">
        <f aca="false">Summary!A114</f>
        <v>2049</v>
      </c>
      <c r="B112" s="31" t="str">
        <f aca="false">Summary!B114</f>
        <v>Unconditional</v>
      </c>
      <c r="C112" s="31" t="str">
        <f aca="false">Summary!C114</f>
        <v>Fugitive</v>
      </c>
      <c r="D112" s="32" t="n">
        <f aca="false">Summary!D114</f>
        <v>0.132785693880818</v>
      </c>
      <c r="E112" s="31" t="str">
        <f aca="false">Summary!E114</f>
        <v>MtCO2e</v>
      </c>
    </row>
    <row r="113" customFormat="false" ht="15" hidden="false" customHeight="true" outlineLevel="0" collapsed="false">
      <c r="A113" s="16" t="n">
        <f aca="false">Summary!A115</f>
        <v>2050</v>
      </c>
      <c r="B113" s="31" t="str">
        <f aca="false">Summary!B115</f>
        <v>Unconditional</v>
      </c>
      <c r="C113" s="31" t="str">
        <f aca="false">Summary!C115</f>
        <v>Fugitive</v>
      </c>
      <c r="D113" s="32" t="n">
        <f aca="false">Summary!D115</f>
        <v>0.128712394440005</v>
      </c>
      <c r="E113" s="31" t="str">
        <f aca="false">Summary!E115</f>
        <v>MtCO2e</v>
      </c>
    </row>
    <row r="114" customFormat="false" ht="15" hidden="false" customHeight="true" outlineLevel="0" collapsed="false">
      <c r="A114" s="16" t="n">
        <f aca="false">Summary!A116</f>
        <v>2023</v>
      </c>
      <c r="B114" s="31" t="str">
        <f aca="false">Summary!B116</f>
        <v>Unconditional</v>
      </c>
      <c r="C114" s="31" t="str">
        <f aca="false">Summary!C116</f>
        <v>Venting</v>
      </c>
      <c r="D114" s="32" t="n">
        <f aca="false">Summary!D116</f>
        <v>15.6842553382928</v>
      </c>
      <c r="E114" s="31" t="str">
        <f aca="false">Summary!E116</f>
        <v>MtCO2e</v>
      </c>
    </row>
    <row r="115" customFormat="false" ht="15" hidden="false" customHeight="true" outlineLevel="0" collapsed="false">
      <c r="A115" s="16" t="n">
        <f aca="false">Summary!A117</f>
        <v>2024</v>
      </c>
      <c r="B115" s="31" t="str">
        <f aca="false">Summary!B117</f>
        <v>Unconditional</v>
      </c>
      <c r="C115" s="31" t="str">
        <f aca="false">Summary!C117</f>
        <v>Venting</v>
      </c>
      <c r="D115" s="32" t="n">
        <f aca="false">Summary!D117</f>
        <v>16.4464880789156</v>
      </c>
      <c r="E115" s="31" t="str">
        <f aca="false">Summary!E117</f>
        <v>MtCO2e</v>
      </c>
    </row>
    <row r="116" customFormat="false" ht="15" hidden="false" customHeight="true" outlineLevel="0" collapsed="false">
      <c r="A116" s="16" t="n">
        <f aca="false">Summary!A118</f>
        <v>2025</v>
      </c>
      <c r="B116" s="31" t="str">
        <f aca="false">Summary!B118</f>
        <v>Unconditional</v>
      </c>
      <c r="C116" s="31" t="str">
        <f aca="false">Summary!C118</f>
        <v>Venting</v>
      </c>
      <c r="D116" s="32" t="n">
        <f aca="false">Summary!D118</f>
        <v>17.2056473036157</v>
      </c>
      <c r="E116" s="31" t="str">
        <f aca="false">Summary!E118</f>
        <v>MtCO2e</v>
      </c>
    </row>
    <row r="117" customFormat="false" ht="15" hidden="false" customHeight="true" outlineLevel="0" collapsed="false">
      <c r="A117" s="16" t="n">
        <f aca="false">Summary!A119</f>
        <v>2026</v>
      </c>
      <c r="B117" s="31" t="str">
        <f aca="false">Summary!B119</f>
        <v>Unconditional</v>
      </c>
      <c r="C117" s="31" t="str">
        <f aca="false">Summary!C119</f>
        <v>Venting</v>
      </c>
      <c r="D117" s="32" t="n">
        <f aca="false">Summary!D119</f>
        <v>17.9550420256204</v>
      </c>
      <c r="E117" s="31" t="str">
        <f aca="false">Summary!E119</f>
        <v>MtCO2e</v>
      </c>
    </row>
    <row r="118" customFormat="false" ht="15" hidden="false" customHeight="true" outlineLevel="0" collapsed="false">
      <c r="A118" s="16" t="n">
        <f aca="false">Summary!A120</f>
        <v>2027</v>
      </c>
      <c r="B118" s="31" t="str">
        <f aca="false">Summary!B120</f>
        <v>Unconditional</v>
      </c>
      <c r="C118" s="31" t="str">
        <f aca="false">Summary!C120</f>
        <v>Venting</v>
      </c>
      <c r="D118" s="32" t="n">
        <f aca="false">Summary!D120</f>
        <v>18.6862526064924</v>
      </c>
      <c r="E118" s="31" t="str">
        <f aca="false">Summary!E120</f>
        <v>MtCO2e</v>
      </c>
    </row>
    <row r="119" customFormat="false" ht="15" hidden="false" customHeight="true" outlineLevel="0" collapsed="false">
      <c r="A119" s="16" t="n">
        <f aca="false">Summary!A121</f>
        <v>2028</v>
      </c>
      <c r="B119" s="31" t="str">
        <f aca="false">Summary!B121</f>
        <v>Unconditional</v>
      </c>
      <c r="C119" s="31" t="str">
        <f aca="false">Summary!C121</f>
        <v>Venting</v>
      </c>
      <c r="D119" s="32" t="n">
        <f aca="false">Summary!D121</f>
        <v>19.3897448257999</v>
      </c>
      <c r="E119" s="31" t="str">
        <f aca="false">Summary!E121</f>
        <v>MtCO2e</v>
      </c>
    </row>
    <row r="120" customFormat="false" ht="15" hidden="false" customHeight="true" outlineLevel="0" collapsed="false">
      <c r="A120" s="16" t="n">
        <f aca="false">Summary!A122</f>
        <v>2029</v>
      </c>
      <c r="B120" s="31" t="str">
        <f aca="false">Summary!B122</f>
        <v>Unconditional</v>
      </c>
      <c r="C120" s="31" t="str">
        <f aca="false">Summary!C122</f>
        <v>Venting</v>
      </c>
      <c r="D120" s="32" t="n">
        <f aca="false">Summary!D122</f>
        <v>20.055505412366</v>
      </c>
      <c r="E120" s="31" t="str">
        <f aca="false">Summary!E122</f>
        <v>MtCO2e</v>
      </c>
    </row>
    <row r="121" customFormat="false" ht="15" hidden="false" customHeight="true" outlineLevel="0" collapsed="false">
      <c r="A121" s="16" t="n">
        <f aca="false">Summary!A123</f>
        <v>2030</v>
      </c>
      <c r="B121" s="31" t="str">
        <f aca="false">Summary!B123</f>
        <v>Unconditional</v>
      </c>
      <c r="C121" s="31" t="str">
        <f aca="false">Summary!C123</f>
        <v>Venting</v>
      </c>
      <c r="D121" s="32" t="n">
        <f aca="false">Summary!D123</f>
        <v>20.673714620164</v>
      </c>
      <c r="E121" s="31" t="str">
        <f aca="false">Summary!E123</f>
        <v>MtCO2e</v>
      </c>
    </row>
    <row r="122" customFormat="false" ht="15" hidden="false" customHeight="true" outlineLevel="0" collapsed="false">
      <c r="A122" s="16" t="n">
        <f aca="false">Summary!A124</f>
        <v>2031</v>
      </c>
      <c r="B122" s="31" t="str">
        <f aca="false">Summary!B124</f>
        <v>Unconditional</v>
      </c>
      <c r="C122" s="31" t="str">
        <f aca="false">Summary!C124</f>
        <v>Venting</v>
      </c>
      <c r="D122" s="32" t="n">
        <f aca="false">Summary!D124</f>
        <v>21.235449307268</v>
      </c>
      <c r="E122" s="31" t="str">
        <f aca="false">Summary!E124</f>
        <v>MtCO2e</v>
      </c>
    </row>
    <row r="123" customFormat="false" ht="15" hidden="false" customHeight="true" outlineLevel="0" collapsed="false">
      <c r="A123" s="16" t="n">
        <f aca="false">Summary!A125</f>
        <v>2032</v>
      </c>
      <c r="B123" s="31" t="str">
        <f aca="false">Summary!B125</f>
        <v>Unconditional</v>
      </c>
      <c r="C123" s="31" t="str">
        <f aca="false">Summary!C125</f>
        <v>Venting</v>
      </c>
      <c r="D123" s="32" t="n">
        <f aca="false">Summary!D125</f>
        <v>21.733417357039</v>
      </c>
      <c r="E123" s="31" t="str">
        <f aca="false">Summary!E125</f>
        <v>MtCO2e</v>
      </c>
    </row>
    <row r="124" customFormat="false" ht="15" hidden="false" customHeight="true" outlineLevel="0" collapsed="false">
      <c r="A124" s="16" t="n">
        <f aca="false">Summary!A126</f>
        <v>2033</v>
      </c>
      <c r="B124" s="31" t="str">
        <f aca="false">Summary!B126</f>
        <v>Unconditional</v>
      </c>
      <c r="C124" s="31" t="str">
        <f aca="false">Summary!C126</f>
        <v>Venting</v>
      </c>
      <c r="D124" s="32" t="n">
        <f aca="false">Summary!D126</f>
        <v>22.1619956705879</v>
      </c>
      <c r="E124" s="31" t="str">
        <f aca="false">Summary!E126</f>
        <v>MtCO2e</v>
      </c>
    </row>
    <row r="125" customFormat="false" ht="15" hidden="false" customHeight="true" outlineLevel="0" collapsed="false">
      <c r="A125" s="16" t="n">
        <f aca="false">Summary!A127</f>
        <v>2034</v>
      </c>
      <c r="B125" s="31" t="str">
        <f aca="false">Summary!B127</f>
        <v>Unconditional</v>
      </c>
      <c r="C125" s="31" t="str">
        <f aca="false">Summary!C127</f>
        <v>Venting</v>
      </c>
      <c r="D125" s="32" t="n">
        <f aca="false">Summary!D127</f>
        <v>22.5172863388219</v>
      </c>
      <c r="E125" s="31" t="str">
        <f aca="false">Summary!E127</f>
        <v>MtCO2e</v>
      </c>
    </row>
    <row r="126" customFormat="false" ht="15" hidden="false" customHeight="true" outlineLevel="0" collapsed="false">
      <c r="A126" s="16" t="n">
        <f aca="false">Summary!A128</f>
        <v>2035</v>
      </c>
      <c r="B126" s="31" t="str">
        <f aca="false">Summary!B128</f>
        <v>Unconditional</v>
      </c>
      <c r="C126" s="31" t="str">
        <f aca="false">Summary!C128</f>
        <v>Venting</v>
      </c>
      <c r="D126" s="32" t="n">
        <f aca="false">Summary!D128</f>
        <v>22.7971938565021</v>
      </c>
      <c r="E126" s="31" t="str">
        <f aca="false">Summary!E128</f>
        <v>MtCO2e</v>
      </c>
    </row>
    <row r="127" customFormat="false" ht="15" hidden="false" customHeight="true" outlineLevel="0" collapsed="false">
      <c r="A127" s="16" t="n">
        <f aca="false">Summary!A129</f>
        <v>2036</v>
      </c>
      <c r="B127" s="31" t="str">
        <f aca="false">Summary!B129</f>
        <v>Unconditional</v>
      </c>
      <c r="C127" s="31" t="str">
        <f aca="false">Summary!C129</f>
        <v>Venting</v>
      </c>
      <c r="D127" s="32" t="n">
        <f aca="false">Summary!D129</f>
        <v>23.0015251288735</v>
      </c>
      <c r="E127" s="31" t="str">
        <f aca="false">Summary!E129</f>
        <v>MtCO2e</v>
      </c>
    </row>
    <row r="128" customFormat="false" ht="15" hidden="false" customHeight="true" outlineLevel="0" collapsed="false">
      <c r="A128" s="16" t="n">
        <f aca="false">Summary!A130</f>
        <v>2037</v>
      </c>
      <c r="B128" s="31" t="str">
        <f aca="false">Summary!B130</f>
        <v>Unconditional</v>
      </c>
      <c r="C128" s="31" t="str">
        <f aca="false">Summary!C130</f>
        <v>Venting</v>
      </c>
      <c r="D128" s="32" t="n">
        <f aca="false">Summary!D130</f>
        <v>23.1321128650041</v>
      </c>
      <c r="E128" s="31" t="str">
        <f aca="false">Summary!E130</f>
        <v>MtCO2e</v>
      </c>
    </row>
    <row r="129" customFormat="false" ht="15" hidden="false" customHeight="true" outlineLevel="0" collapsed="false">
      <c r="A129" s="16" t="n">
        <f aca="false">Summary!A131</f>
        <v>2038</v>
      </c>
      <c r="B129" s="31" t="str">
        <f aca="false">Summary!B131</f>
        <v>Unconditional</v>
      </c>
      <c r="C129" s="31" t="str">
        <f aca="false">Summary!C131</f>
        <v>Venting</v>
      </c>
      <c r="D129" s="32" t="n">
        <f aca="false">Summary!D131</f>
        <v>23.1924219296195</v>
      </c>
      <c r="E129" s="31" t="str">
        <f aca="false">Summary!E131</f>
        <v>MtCO2e</v>
      </c>
    </row>
    <row r="130" customFormat="false" ht="15" hidden="false" customHeight="true" outlineLevel="0" collapsed="false">
      <c r="A130" s="16" t="n">
        <f aca="false">Summary!A132</f>
        <v>2039</v>
      </c>
      <c r="B130" s="31" t="str">
        <f aca="false">Summary!B132</f>
        <v>Unconditional</v>
      </c>
      <c r="C130" s="31" t="str">
        <f aca="false">Summary!C132</f>
        <v>Venting</v>
      </c>
      <c r="D130" s="32" t="n">
        <f aca="false">Summary!D132</f>
        <v>23.1871977818214</v>
      </c>
      <c r="E130" s="31" t="str">
        <f aca="false">Summary!E132</f>
        <v>MtCO2e</v>
      </c>
    </row>
    <row r="131" customFormat="false" ht="15" hidden="false" customHeight="true" outlineLevel="0" collapsed="false">
      <c r="A131" s="16" t="n">
        <f aca="false">Summary!A133</f>
        <v>2040</v>
      </c>
      <c r="B131" s="31" t="str">
        <f aca="false">Summary!B133</f>
        <v>Unconditional</v>
      </c>
      <c r="C131" s="31" t="str">
        <f aca="false">Summary!C133</f>
        <v>Venting</v>
      </c>
      <c r="D131" s="32" t="n">
        <f aca="false">Summary!D133</f>
        <v>23.122155020929</v>
      </c>
      <c r="E131" s="31" t="str">
        <f aca="false">Summary!E133</f>
        <v>MtCO2e</v>
      </c>
    </row>
    <row r="132" customFormat="false" ht="15" hidden="false" customHeight="true" outlineLevel="0" collapsed="false">
      <c r="A132" s="16" t="n">
        <f aca="false">Summary!A134</f>
        <v>2041</v>
      </c>
      <c r="B132" s="31" t="str">
        <f aca="false">Summary!B134</f>
        <v>Unconditional</v>
      </c>
      <c r="C132" s="31" t="str">
        <f aca="false">Summary!C134</f>
        <v>Venting</v>
      </c>
      <c r="D132" s="32" t="n">
        <f aca="false">Summary!D134</f>
        <v>23.0036968110422</v>
      </c>
      <c r="E132" s="31" t="str">
        <f aca="false">Summary!E134</f>
        <v>MtCO2e</v>
      </c>
    </row>
    <row r="133" customFormat="false" ht="15" hidden="false" customHeight="true" outlineLevel="0" collapsed="false">
      <c r="A133" s="16" t="n">
        <f aca="false">Summary!A135</f>
        <v>2042</v>
      </c>
      <c r="B133" s="31" t="str">
        <f aca="false">Summary!B135</f>
        <v>Unconditional</v>
      </c>
      <c r="C133" s="31" t="str">
        <f aca="false">Summary!C135</f>
        <v>Venting</v>
      </c>
      <c r="D133" s="32" t="n">
        <f aca="false">Summary!D135</f>
        <v>22.8386616511017</v>
      </c>
      <c r="E133" s="31" t="str">
        <f aca="false">Summary!E135</f>
        <v>MtCO2e</v>
      </c>
    </row>
    <row r="134" customFormat="false" ht="15" hidden="false" customHeight="true" outlineLevel="0" collapsed="false">
      <c r="A134" s="16" t="n">
        <f aca="false">Summary!A136</f>
        <v>2043</v>
      </c>
      <c r="B134" s="31" t="str">
        <f aca="false">Summary!B136</f>
        <v>Unconditional</v>
      </c>
      <c r="C134" s="31" t="str">
        <f aca="false">Summary!C136</f>
        <v>Venting</v>
      </c>
      <c r="D134" s="32" t="n">
        <f aca="false">Summary!D136</f>
        <v>22.6341640120326</v>
      </c>
      <c r="E134" s="31" t="str">
        <f aca="false">Summary!E136</f>
        <v>MtCO2e</v>
      </c>
    </row>
    <row r="135" customFormat="false" ht="15" hidden="false" customHeight="true" outlineLevel="0" collapsed="false">
      <c r="A135" s="16" t="n">
        <f aca="false">Summary!A137</f>
        <v>2044</v>
      </c>
      <c r="B135" s="31" t="str">
        <f aca="false">Summary!B137</f>
        <v>Unconditional</v>
      </c>
      <c r="C135" s="31" t="str">
        <f aca="false">Summary!C137</f>
        <v>Venting</v>
      </c>
      <c r="D135" s="32" t="n">
        <f aca="false">Summary!D137</f>
        <v>22.3971822142266</v>
      </c>
      <c r="E135" s="31" t="str">
        <f aca="false">Summary!E137</f>
        <v>MtCO2e</v>
      </c>
    </row>
    <row r="136" customFormat="false" ht="15" hidden="false" customHeight="true" outlineLevel="0" collapsed="false">
      <c r="A136" s="16" t="n">
        <f aca="false">Summary!A138</f>
        <v>2045</v>
      </c>
      <c r="B136" s="31" t="str">
        <f aca="false">Summary!B138</f>
        <v>Unconditional</v>
      </c>
      <c r="C136" s="31" t="str">
        <f aca="false">Summary!C138</f>
        <v>Venting</v>
      </c>
      <c r="D136" s="32" t="n">
        <f aca="false">Summary!D138</f>
        <v>22.134475988756</v>
      </c>
      <c r="E136" s="31" t="str">
        <f aca="false">Summary!E138</f>
        <v>MtCO2e</v>
      </c>
    </row>
    <row r="137" customFormat="false" ht="15" hidden="false" customHeight="true" outlineLevel="0" collapsed="false">
      <c r="A137" s="16" t="n">
        <f aca="false">Summary!A139</f>
        <v>2046</v>
      </c>
      <c r="B137" s="31" t="str">
        <f aca="false">Summary!B139</f>
        <v>Unconditional</v>
      </c>
      <c r="C137" s="31" t="str">
        <f aca="false">Summary!C139</f>
        <v>Venting</v>
      </c>
      <c r="D137" s="32" t="n">
        <f aca="false">Summary!D139</f>
        <v>21.8524395377526</v>
      </c>
      <c r="E137" s="31" t="str">
        <f aca="false">Summary!E139</f>
        <v>MtCO2e</v>
      </c>
    </row>
    <row r="138" customFormat="false" ht="15" hidden="false" customHeight="true" outlineLevel="0" collapsed="false">
      <c r="A138" s="16" t="n">
        <f aca="false">Summary!A140</f>
        <v>2047</v>
      </c>
      <c r="B138" s="31" t="str">
        <f aca="false">Summary!B140</f>
        <v>Unconditional</v>
      </c>
      <c r="C138" s="31" t="str">
        <f aca="false">Summary!C140</f>
        <v>Venting</v>
      </c>
      <c r="D138" s="32" t="n">
        <f aca="false">Summary!D140</f>
        <v>21.4910075137137</v>
      </c>
      <c r="E138" s="31" t="str">
        <f aca="false">Summary!E140</f>
        <v>MtCO2e</v>
      </c>
    </row>
    <row r="139" customFormat="false" ht="15" hidden="false" customHeight="true" outlineLevel="0" collapsed="false">
      <c r="A139" s="16" t="n">
        <f aca="false">Summary!A141</f>
        <v>2048</v>
      </c>
      <c r="B139" s="31" t="str">
        <f aca="false">Summary!B141</f>
        <v>Unconditional</v>
      </c>
      <c r="C139" s="31" t="str">
        <f aca="false">Summary!C141</f>
        <v>Venting</v>
      </c>
      <c r="D139" s="32" t="n">
        <f aca="false">Summary!D141</f>
        <v>21.0853138342242</v>
      </c>
      <c r="E139" s="31" t="str">
        <f aca="false">Summary!E141</f>
        <v>MtCO2e</v>
      </c>
    </row>
    <row r="140" customFormat="false" ht="15" hidden="false" customHeight="true" outlineLevel="0" collapsed="false">
      <c r="A140" s="16" t="n">
        <f aca="false">Summary!A142</f>
        <v>2049</v>
      </c>
      <c r="B140" s="31" t="str">
        <f aca="false">Summary!B142</f>
        <v>Unconditional</v>
      </c>
      <c r="C140" s="31" t="str">
        <f aca="false">Summary!C142</f>
        <v>Venting</v>
      </c>
      <c r="D140" s="32" t="n">
        <f aca="false">Summary!D142</f>
        <v>20.6743966377366</v>
      </c>
      <c r="E140" s="31" t="str">
        <f aca="false">Summary!E142</f>
        <v>MtCO2e</v>
      </c>
    </row>
    <row r="141" customFormat="false" ht="15" hidden="false" customHeight="true" outlineLevel="0" collapsed="false">
      <c r="A141" s="16" t="n">
        <f aca="false">Summary!A143</f>
        <v>2050</v>
      </c>
      <c r="B141" s="31" t="str">
        <f aca="false">Summary!B143</f>
        <v>Unconditional</v>
      </c>
      <c r="C141" s="31" t="str">
        <f aca="false">Summary!C143</f>
        <v>Venting</v>
      </c>
      <c r="D141" s="32" t="n">
        <f aca="false">Summary!D143</f>
        <v>20.040194218768</v>
      </c>
      <c r="E141" s="31" t="str">
        <f aca="false">Summary!E143</f>
        <v>MtCO2e</v>
      </c>
    </row>
    <row r="142" customFormat="false" ht="15" hidden="false" customHeight="true" outlineLevel="0" collapsed="false">
      <c r="A142" s="16" t="n">
        <f aca="false">Summary!A144</f>
        <v>2023</v>
      </c>
      <c r="B142" s="31" t="str">
        <f aca="false">Summary!B144</f>
        <v>Unconditional</v>
      </c>
      <c r="C142" s="31" t="str">
        <f aca="false">Summary!C144</f>
        <v>Flaring</v>
      </c>
      <c r="D142" s="32" t="n">
        <f aca="false">Summary!D144</f>
        <v>6.26733725428572</v>
      </c>
      <c r="E142" s="31" t="str">
        <f aca="false">Summary!E144</f>
        <v>MtCO2e</v>
      </c>
    </row>
    <row r="143" customFormat="false" ht="15" hidden="false" customHeight="true" outlineLevel="0" collapsed="false">
      <c r="A143" s="16" t="n">
        <f aca="false">Summary!A145</f>
        <v>2024</v>
      </c>
      <c r="B143" s="31" t="str">
        <f aca="false">Summary!B145</f>
        <v>Unconditional</v>
      </c>
      <c r="C143" s="31" t="str">
        <f aca="false">Summary!C145</f>
        <v>Flaring</v>
      </c>
      <c r="D143" s="32" t="n">
        <f aca="false">Summary!D145</f>
        <v>5.90826998706786</v>
      </c>
      <c r="E143" s="31" t="str">
        <f aca="false">Summary!E145</f>
        <v>MtCO2e</v>
      </c>
    </row>
    <row r="144" customFormat="false" ht="15" hidden="false" customHeight="true" outlineLevel="0" collapsed="false">
      <c r="A144" s="16" t="n">
        <f aca="false">Summary!A146</f>
        <v>2025</v>
      </c>
      <c r="B144" s="31" t="str">
        <f aca="false">Summary!B146</f>
        <v>Unconditional</v>
      </c>
      <c r="C144" s="31" t="str">
        <f aca="false">Summary!C146</f>
        <v>Flaring</v>
      </c>
      <c r="D144" s="32" t="n">
        <f aca="false">Summary!D146</f>
        <v>5.54938893113556</v>
      </c>
      <c r="E144" s="31" t="str">
        <f aca="false">Summary!E146</f>
        <v>MtCO2e</v>
      </c>
    </row>
    <row r="145" customFormat="false" ht="15" hidden="false" customHeight="true" outlineLevel="0" collapsed="false">
      <c r="A145" s="16" t="n">
        <f aca="false">Summary!A147</f>
        <v>2026</v>
      </c>
      <c r="B145" s="31" t="str">
        <f aca="false">Summary!B147</f>
        <v>Unconditional</v>
      </c>
      <c r="C145" s="31" t="str">
        <f aca="false">Summary!C147</f>
        <v>Flaring</v>
      </c>
      <c r="D145" s="32" t="n">
        <f aca="false">Summary!D147</f>
        <v>5.19082172574743</v>
      </c>
      <c r="E145" s="31" t="str">
        <f aca="false">Summary!E147</f>
        <v>MtCO2e</v>
      </c>
    </row>
    <row r="146" customFormat="false" ht="15" hidden="false" customHeight="true" outlineLevel="0" collapsed="false">
      <c r="A146" s="16" t="n">
        <f aca="false">Summary!A148</f>
        <v>2027</v>
      </c>
      <c r="B146" s="31" t="str">
        <f aca="false">Summary!B148</f>
        <v>Unconditional</v>
      </c>
      <c r="C146" s="31" t="str">
        <f aca="false">Summary!C148</f>
        <v>Flaring</v>
      </c>
      <c r="D146" s="32" t="n">
        <f aca="false">Summary!D148</f>
        <v>4.83316881662206</v>
      </c>
      <c r="E146" s="31" t="str">
        <f aca="false">Summary!E148</f>
        <v>MtCO2e</v>
      </c>
    </row>
    <row r="147" customFormat="false" ht="15" hidden="false" customHeight="true" outlineLevel="0" collapsed="false">
      <c r="A147" s="16" t="n">
        <f aca="false">Summary!A149</f>
        <v>2028</v>
      </c>
      <c r="B147" s="31" t="str">
        <f aca="false">Summary!B149</f>
        <v>Unconditional</v>
      </c>
      <c r="C147" s="31" t="str">
        <f aca="false">Summary!C149</f>
        <v>Flaring</v>
      </c>
      <c r="D147" s="32" t="n">
        <f aca="false">Summary!D149</f>
        <v>4.47754558284711</v>
      </c>
      <c r="E147" s="31" t="str">
        <f aca="false">Summary!E149</f>
        <v>MtCO2e</v>
      </c>
    </row>
    <row r="148" customFormat="false" ht="15" hidden="false" customHeight="true" outlineLevel="0" collapsed="false">
      <c r="A148" s="16" t="n">
        <f aca="false">Summary!A150</f>
        <v>2029</v>
      </c>
      <c r="B148" s="31" t="str">
        <f aca="false">Summary!B150</f>
        <v>Unconditional</v>
      </c>
      <c r="C148" s="31" t="str">
        <f aca="false">Summary!C150</f>
        <v>Flaring</v>
      </c>
      <c r="D148" s="32" t="n">
        <f aca="false">Summary!D150</f>
        <v>4.12558147001583</v>
      </c>
      <c r="E148" s="31" t="str">
        <f aca="false">Summary!E150</f>
        <v>MtCO2e</v>
      </c>
    </row>
    <row r="149" customFormat="false" ht="15" hidden="false" customHeight="true" outlineLevel="0" collapsed="false">
      <c r="A149" s="16" t="n">
        <f aca="false">Summary!A151</f>
        <v>2030</v>
      </c>
      <c r="B149" s="31" t="str">
        <f aca="false">Summary!B151</f>
        <v>Unconditional</v>
      </c>
      <c r="C149" s="31" t="str">
        <f aca="false">Summary!C151</f>
        <v>Flaring</v>
      </c>
      <c r="D149" s="32" t="n">
        <f aca="false">Summary!D151</f>
        <v>3.77937956693076</v>
      </c>
      <c r="E149" s="31" t="str">
        <f aca="false">Summary!E151</f>
        <v>MtCO2e</v>
      </c>
    </row>
    <row r="150" customFormat="false" ht="15" hidden="false" customHeight="true" outlineLevel="0" collapsed="false">
      <c r="A150" s="16" t="n">
        <f aca="false">Summary!A152</f>
        <v>2031</v>
      </c>
      <c r="B150" s="31" t="str">
        <f aca="false">Summary!B152</f>
        <v>Unconditional</v>
      </c>
      <c r="C150" s="31" t="str">
        <f aca="false">Summary!C152</f>
        <v>Flaring</v>
      </c>
      <c r="D150" s="32" t="n">
        <f aca="false">Summary!D152</f>
        <v>3.4414350220952</v>
      </c>
      <c r="E150" s="31" t="str">
        <f aca="false">Summary!E152</f>
        <v>MtCO2e</v>
      </c>
    </row>
    <row r="151" customFormat="false" ht="15" hidden="false" customHeight="true" outlineLevel="0" collapsed="false">
      <c r="A151" s="16" t="n">
        <f aca="false">Summary!A153</f>
        <v>2032</v>
      </c>
      <c r="B151" s="31" t="str">
        <f aca="false">Summary!B153</f>
        <v>Unconditional</v>
      </c>
      <c r="C151" s="31" t="str">
        <f aca="false">Summary!C153</f>
        <v>Flaring</v>
      </c>
      <c r="D151" s="32" t="n">
        <f aca="false">Summary!D153</f>
        <v>3.11451839708675</v>
      </c>
      <c r="E151" s="31" t="str">
        <f aca="false">Summary!E153</f>
        <v>MtCO2e</v>
      </c>
    </row>
    <row r="152" customFormat="false" ht="15" hidden="false" customHeight="true" outlineLevel="0" collapsed="false">
      <c r="A152" s="16" t="n">
        <f aca="false">Summary!A154</f>
        <v>2033</v>
      </c>
      <c r="B152" s="31" t="str">
        <f aca="false">Summary!B154</f>
        <v>Unconditional</v>
      </c>
      <c r="C152" s="31" t="str">
        <f aca="false">Summary!C154</f>
        <v>Flaring</v>
      </c>
      <c r="D152" s="32" t="n">
        <f aca="false">Summary!D154</f>
        <v>2.80143380314006</v>
      </c>
      <c r="E152" s="31" t="str">
        <f aca="false">Summary!E154</f>
        <v>MtCO2e</v>
      </c>
    </row>
    <row r="153" customFormat="false" ht="15" hidden="false" customHeight="true" outlineLevel="0" collapsed="false">
      <c r="A153" s="16" t="n">
        <f aca="false">Summary!A155</f>
        <v>2034</v>
      </c>
      <c r="B153" s="31" t="str">
        <f aca="false">Summary!B155</f>
        <v>Unconditional</v>
      </c>
      <c r="C153" s="31" t="str">
        <f aca="false">Summary!C155</f>
        <v>Flaring</v>
      </c>
      <c r="D153" s="32" t="n">
        <f aca="false">Summary!D155</f>
        <v>2.50477883603924</v>
      </c>
      <c r="E153" s="31" t="str">
        <f aca="false">Summary!E155</f>
        <v>MtCO2e</v>
      </c>
    </row>
    <row r="154" customFormat="false" ht="15" hidden="false" customHeight="true" outlineLevel="0" collapsed="false">
      <c r="A154" s="16" t="n">
        <f aca="false">Summary!A156</f>
        <v>2035</v>
      </c>
      <c r="B154" s="31" t="str">
        <f aca="false">Summary!B156</f>
        <v>Unconditional</v>
      </c>
      <c r="C154" s="31" t="str">
        <f aca="false">Summary!C156</f>
        <v>Flaring</v>
      </c>
      <c r="D154" s="32" t="n">
        <f aca="false">Summary!D156</f>
        <v>2.2267051911673</v>
      </c>
      <c r="E154" s="31" t="str">
        <f aca="false">Summary!E156</f>
        <v>MtCO2e</v>
      </c>
    </row>
    <row r="155" customFormat="false" ht="15" hidden="false" customHeight="true" outlineLevel="0" collapsed="false">
      <c r="A155" s="16" t="n">
        <f aca="false">Summary!A157</f>
        <v>2036</v>
      </c>
      <c r="B155" s="31" t="str">
        <f aca="false">Summary!B157</f>
        <v>Unconditional</v>
      </c>
      <c r="C155" s="31" t="str">
        <f aca="false">Summary!C157</f>
        <v>Flaring</v>
      </c>
      <c r="D155" s="32" t="n">
        <f aca="false">Summary!D157</f>
        <v>1.96867894860284</v>
      </c>
      <c r="E155" s="31" t="str">
        <f aca="false">Summary!E157</f>
        <v>MtCO2e</v>
      </c>
    </row>
    <row r="156" customFormat="false" ht="15" hidden="false" customHeight="true" outlineLevel="0" collapsed="false">
      <c r="A156" s="16" t="n">
        <f aca="false">Summary!A158</f>
        <v>2037</v>
      </c>
      <c r="B156" s="31" t="str">
        <f aca="false">Summary!B158</f>
        <v>Unconditional</v>
      </c>
      <c r="C156" s="31" t="str">
        <f aca="false">Summary!C158</f>
        <v>Flaring</v>
      </c>
      <c r="D156" s="32" t="n">
        <f aca="false">Summary!D158</f>
        <v>1.73123979143159</v>
      </c>
      <c r="E156" s="31" t="str">
        <f aca="false">Summary!E158</f>
        <v>MtCO2e</v>
      </c>
    </row>
    <row r="157" customFormat="false" ht="15" hidden="false" customHeight="true" outlineLevel="0" collapsed="false">
      <c r="A157" s="16" t="n">
        <f aca="false">Summary!A159</f>
        <v>2038</v>
      </c>
      <c r="B157" s="31" t="str">
        <f aca="false">Summary!B159</f>
        <v>Unconditional</v>
      </c>
      <c r="C157" s="31" t="str">
        <f aca="false">Summary!C159</f>
        <v>Flaring</v>
      </c>
      <c r="D157" s="32" t="n">
        <f aca="false">Summary!D159</f>
        <v>1.51416153333034</v>
      </c>
      <c r="E157" s="31" t="str">
        <f aca="false">Summary!E159</f>
        <v>MtCO2e</v>
      </c>
    </row>
    <row r="158" customFormat="false" ht="15" hidden="false" customHeight="true" outlineLevel="0" collapsed="false">
      <c r="A158" s="16" t="n">
        <f aca="false">Summary!A160</f>
        <v>2039</v>
      </c>
      <c r="B158" s="31" t="str">
        <f aca="false">Summary!B160</f>
        <v>Unconditional</v>
      </c>
      <c r="C158" s="31" t="str">
        <f aca="false">Summary!C160</f>
        <v>Flaring</v>
      </c>
      <c r="D158" s="32" t="n">
        <f aca="false">Summary!D160</f>
        <v>1.31659957193704</v>
      </c>
      <c r="E158" s="31" t="str">
        <f aca="false">Summary!E160</f>
        <v>MtCO2e</v>
      </c>
    </row>
    <row r="159" customFormat="false" ht="15" hidden="false" customHeight="true" outlineLevel="0" collapsed="false">
      <c r="A159" s="16" t="n">
        <f aca="false">Summary!A161</f>
        <v>2040</v>
      </c>
      <c r="B159" s="31" t="str">
        <f aca="false">Summary!B161</f>
        <v>Unconditional</v>
      </c>
      <c r="C159" s="31" t="str">
        <f aca="false">Summary!C161</f>
        <v>Flaring</v>
      </c>
      <c r="D159" s="32" t="n">
        <f aca="false">Summary!D161</f>
        <v>1.13722553780904</v>
      </c>
      <c r="E159" s="31" t="str">
        <f aca="false">Summary!E161</f>
        <v>MtCO2e</v>
      </c>
    </row>
    <row r="160" customFormat="false" ht="15" hidden="false" customHeight="true" outlineLevel="0" collapsed="false">
      <c r="A160" s="16" t="n">
        <f aca="false">Summary!A162</f>
        <v>2041</v>
      </c>
      <c r="B160" s="31" t="str">
        <f aca="false">Summary!B162</f>
        <v>Unconditional</v>
      </c>
      <c r="C160" s="31" t="str">
        <f aca="false">Summary!C162</f>
        <v>Flaring</v>
      </c>
      <c r="D160" s="32" t="n">
        <f aca="false">Summary!D162</f>
        <v>0.974349658332746</v>
      </c>
      <c r="E160" s="31" t="str">
        <f aca="false">Summary!E162</f>
        <v>MtCO2e</v>
      </c>
    </row>
    <row r="161" customFormat="false" ht="15" hidden="false" customHeight="true" outlineLevel="0" collapsed="false">
      <c r="A161" s="16" t="n">
        <f aca="false">Summary!A163</f>
        <v>2042</v>
      </c>
      <c r="B161" s="31" t="str">
        <f aca="false">Summary!B163</f>
        <v>Unconditional</v>
      </c>
      <c r="C161" s="31" t="str">
        <f aca="false">Summary!C163</f>
        <v>Flaring</v>
      </c>
      <c r="D161" s="32" t="n">
        <f aca="false">Summary!D163</f>
        <v>0.826031669186506</v>
      </c>
      <c r="E161" s="31" t="str">
        <f aca="false">Summary!E163</f>
        <v>MtCO2e</v>
      </c>
    </row>
    <row r="162" customFormat="false" ht="15" hidden="false" customHeight="true" outlineLevel="0" collapsed="false">
      <c r="A162" s="16" t="n">
        <f aca="false">Summary!A164</f>
        <v>2043</v>
      </c>
      <c r="B162" s="31" t="str">
        <f aca="false">Summary!B164</f>
        <v>Unconditional</v>
      </c>
      <c r="C162" s="31" t="str">
        <f aca="false">Summary!C164</f>
        <v>Flaring</v>
      </c>
      <c r="D162" s="32" t="n">
        <f aca="false">Summary!D164</f>
        <v>0.690183744538406</v>
      </c>
      <c r="E162" s="31" t="str">
        <f aca="false">Summary!E164</f>
        <v>MtCO2e</v>
      </c>
    </row>
    <row r="163" customFormat="false" ht="15" hidden="false" customHeight="true" outlineLevel="0" collapsed="false">
      <c r="A163" s="16" t="n">
        <f aca="false">Summary!A165</f>
        <v>2044</v>
      </c>
      <c r="B163" s="31" t="str">
        <f aca="false">Summary!B165</f>
        <v>Unconditional</v>
      </c>
      <c r="C163" s="31" t="str">
        <f aca="false">Summary!C165</f>
        <v>Flaring</v>
      </c>
      <c r="D163" s="32" t="n">
        <f aca="false">Summary!D165</f>
        <v>0.564654971122876</v>
      </c>
      <c r="E163" s="31" t="str">
        <f aca="false">Summary!E165</f>
        <v>MtCO2e</v>
      </c>
    </row>
    <row r="164" customFormat="false" ht="15" hidden="false" customHeight="true" outlineLevel="0" collapsed="false">
      <c r="A164" s="16" t="n">
        <f aca="false">Summary!A166</f>
        <v>2045</v>
      </c>
      <c r="B164" s="31" t="str">
        <f aca="false">Summary!B166</f>
        <v>Unconditional</v>
      </c>
      <c r="C164" s="31" t="str">
        <f aca="false">Summary!C166</f>
        <v>Flaring</v>
      </c>
      <c r="D164" s="32" t="n">
        <f aca="false">Summary!D166</f>
        <v>0.447320512802506</v>
      </c>
      <c r="E164" s="31" t="str">
        <f aca="false">Summary!E166</f>
        <v>MtCO2e</v>
      </c>
    </row>
    <row r="165" customFormat="false" ht="15" hidden="false" customHeight="true" outlineLevel="0" collapsed="false">
      <c r="A165" s="16" t="n">
        <f aca="false">Summary!A167</f>
        <v>2046</v>
      </c>
      <c r="B165" s="31" t="str">
        <f aca="false">Summary!B167</f>
        <v>Unconditional</v>
      </c>
      <c r="C165" s="31" t="str">
        <f aca="false">Summary!C167</f>
        <v>Flaring</v>
      </c>
      <c r="D165" s="32" t="n">
        <f aca="false">Summary!D167</f>
        <v>0.336159177348439</v>
      </c>
      <c r="E165" s="31" t="str">
        <f aca="false">Summary!E167</f>
        <v>MtCO2e</v>
      </c>
    </row>
    <row r="166" customFormat="false" ht="15" hidden="false" customHeight="true" outlineLevel="0" collapsed="false">
      <c r="A166" s="16" t="n">
        <f aca="false">Summary!A168</f>
        <v>2047</v>
      </c>
      <c r="B166" s="31" t="str">
        <f aca="false">Summary!B168</f>
        <v>Unconditional</v>
      </c>
      <c r="C166" s="31" t="str">
        <f aca="false">Summary!C168</f>
        <v>Flaring</v>
      </c>
      <c r="D166" s="32" t="n">
        <f aca="false">Summary!D168</f>
        <v>0.297034384416357</v>
      </c>
      <c r="E166" s="31" t="str">
        <f aca="false">Summary!E168</f>
        <v>MtCO2e</v>
      </c>
    </row>
    <row r="167" customFormat="false" ht="15" hidden="false" customHeight="true" outlineLevel="0" collapsed="false">
      <c r="A167" s="16" t="n">
        <f aca="false">Summary!A169</f>
        <v>2048</v>
      </c>
      <c r="B167" s="31" t="str">
        <f aca="false">Summary!B169</f>
        <v>Unconditional</v>
      </c>
      <c r="C167" s="31" t="str">
        <f aca="false">Summary!C169</f>
        <v>Flaring</v>
      </c>
      <c r="D167" s="32" t="n">
        <f aca="false">Summary!D169</f>
        <v>0.295598225175764</v>
      </c>
      <c r="E167" s="31" t="str">
        <f aca="false">Summary!E169</f>
        <v>MtCO2e</v>
      </c>
    </row>
    <row r="168" customFormat="false" ht="15" hidden="false" customHeight="true" outlineLevel="0" collapsed="false">
      <c r="A168" s="16" t="n">
        <f aca="false">Summary!A170</f>
        <v>2049</v>
      </c>
      <c r="B168" s="31" t="str">
        <f aca="false">Summary!B170</f>
        <v>Unconditional</v>
      </c>
      <c r="C168" s="31" t="str">
        <f aca="false">Summary!C170</f>
        <v>Flaring</v>
      </c>
      <c r="D168" s="32" t="n">
        <f aca="false">Summary!D170</f>
        <v>0.294108633845407</v>
      </c>
      <c r="E168" s="31" t="str">
        <f aca="false">Summary!E170</f>
        <v>MtCO2e</v>
      </c>
    </row>
    <row r="169" customFormat="false" ht="15" hidden="false" customHeight="true" outlineLevel="0" collapsed="false">
      <c r="A169" s="16" t="n">
        <f aca="false">Summary!A171</f>
        <v>2050</v>
      </c>
      <c r="B169" s="31" t="str">
        <f aca="false">Summary!B171</f>
        <v>Unconditional</v>
      </c>
      <c r="C169" s="31" t="str">
        <f aca="false">Summary!C171</f>
        <v>Flaring</v>
      </c>
      <c r="D169" s="32" t="n">
        <f aca="false">Summary!D171</f>
        <v>0.285086633818386</v>
      </c>
      <c r="E169" s="31" t="str">
        <f aca="false">Summary!E171</f>
        <v>MtCO2e</v>
      </c>
    </row>
    <row r="170" customFormat="false" ht="15" hidden="false" customHeight="true" outlineLevel="0" collapsed="false">
      <c r="A170" s="16" t="n">
        <f aca="false">Summary!A172</f>
        <v>2023</v>
      </c>
      <c r="B170" s="31" t="str">
        <f aca="false">Summary!B172</f>
        <v>Unconditional</v>
      </c>
      <c r="C170" s="31" t="str">
        <f aca="false">Summary!C172</f>
        <v>Gas Recovery</v>
      </c>
      <c r="D170" s="32" t="n">
        <f aca="false">Summary!D172</f>
        <v>0</v>
      </c>
      <c r="E170" s="31" t="str">
        <f aca="false">Summary!E172</f>
        <v>MtCO2e</v>
      </c>
    </row>
    <row r="171" customFormat="false" ht="15" hidden="false" customHeight="true" outlineLevel="0" collapsed="false">
      <c r="A171" s="16" t="n">
        <f aca="false">Summary!A173</f>
        <v>2024</v>
      </c>
      <c r="B171" s="31" t="str">
        <f aca="false">Summary!B173</f>
        <v>Unconditional</v>
      </c>
      <c r="C171" s="31" t="str">
        <f aca="false">Summary!C173</f>
        <v>Gas Recovery</v>
      </c>
      <c r="D171" s="32" t="n">
        <f aca="false">Summary!D173</f>
        <v>0</v>
      </c>
      <c r="E171" s="31" t="str">
        <f aca="false">Summary!E173</f>
        <v>MtCO2e</v>
      </c>
    </row>
    <row r="172" customFormat="false" ht="15" hidden="false" customHeight="true" outlineLevel="0" collapsed="false">
      <c r="A172" s="16" t="n">
        <f aca="false">Summary!A174</f>
        <v>2025</v>
      </c>
      <c r="B172" s="31" t="str">
        <f aca="false">Summary!B174</f>
        <v>Unconditional</v>
      </c>
      <c r="C172" s="31" t="str">
        <f aca="false">Summary!C174</f>
        <v>Gas Recovery</v>
      </c>
      <c r="D172" s="32" t="n">
        <f aca="false">Summary!D174</f>
        <v>0.868120814771544</v>
      </c>
      <c r="E172" s="31" t="str">
        <f aca="false">Summary!E174</f>
        <v>MtCO2e</v>
      </c>
    </row>
    <row r="173" customFormat="false" ht="15" hidden="false" customHeight="true" outlineLevel="0" collapsed="false">
      <c r="A173" s="16" t="n">
        <f aca="false">Summary!A175</f>
        <v>2026</v>
      </c>
      <c r="B173" s="31" t="str">
        <f aca="false">Summary!B175</f>
        <v>Unconditional</v>
      </c>
      <c r="C173" s="31" t="str">
        <f aca="false">Summary!C175</f>
        <v>Gas Recovery</v>
      </c>
      <c r="D173" s="32" t="n">
        <f aca="false">Summary!D175</f>
        <v>1.30477683049967</v>
      </c>
      <c r="E173" s="31" t="str">
        <f aca="false">Summary!E175</f>
        <v>MtCO2e</v>
      </c>
    </row>
    <row r="174" customFormat="false" ht="15" hidden="false" customHeight="true" outlineLevel="0" collapsed="false">
      <c r="A174" s="16" t="n">
        <f aca="false">Summary!A176</f>
        <v>2027</v>
      </c>
      <c r="B174" s="31" t="str">
        <f aca="false">Summary!B176</f>
        <v>Unconditional</v>
      </c>
      <c r="C174" s="31" t="str">
        <f aca="false">Summary!C176</f>
        <v>Gas Recovery</v>
      </c>
      <c r="D174" s="32" t="n">
        <f aca="false">Summary!D176</f>
        <v>1.74497828236136</v>
      </c>
      <c r="E174" s="31" t="str">
        <f aca="false">Summary!E176</f>
        <v>MtCO2e</v>
      </c>
    </row>
    <row r="175" customFormat="false" ht="15" hidden="false" customHeight="true" outlineLevel="0" collapsed="false">
      <c r="A175" s="16" t="n">
        <f aca="false">Summary!A177</f>
        <v>2028</v>
      </c>
      <c r="B175" s="31" t="str">
        <f aca="false">Summary!B177</f>
        <v>Unconditional</v>
      </c>
      <c r="C175" s="31" t="str">
        <f aca="false">Summary!C177</f>
        <v>Gas Recovery</v>
      </c>
      <c r="D175" s="32" t="n">
        <f aca="false">Summary!D177</f>
        <v>2.19014270622387</v>
      </c>
      <c r="E175" s="31" t="str">
        <f aca="false">Summary!E177</f>
        <v>MtCO2e</v>
      </c>
    </row>
    <row r="176" customFormat="false" ht="15" hidden="false" customHeight="true" outlineLevel="0" collapsed="false">
      <c r="A176" s="16" t="n">
        <f aca="false">Summary!A178</f>
        <v>2029</v>
      </c>
      <c r="B176" s="31" t="str">
        <f aca="false">Summary!B178</f>
        <v>Unconditional</v>
      </c>
      <c r="C176" s="31" t="str">
        <f aca="false">Summary!C178</f>
        <v>Gas Recovery</v>
      </c>
      <c r="D176" s="32" t="n">
        <f aca="false">Summary!D178</f>
        <v>2.64175427166937</v>
      </c>
      <c r="E176" s="31" t="str">
        <f aca="false">Summary!E178</f>
        <v>MtCO2e</v>
      </c>
    </row>
    <row r="177" customFormat="false" ht="15" hidden="false" customHeight="true" outlineLevel="0" collapsed="false">
      <c r="A177" s="16" t="n">
        <f aca="false">Summary!A179</f>
        <v>2030</v>
      </c>
      <c r="B177" s="31" t="str">
        <f aca="false">Summary!B179</f>
        <v>Unconditional</v>
      </c>
      <c r="C177" s="31" t="str">
        <f aca="false">Summary!C179</f>
        <v>Gas Recovery</v>
      </c>
      <c r="D177" s="32" t="n">
        <f aca="false">Summary!D179</f>
        <v>3.10128994977136</v>
      </c>
      <c r="E177" s="31" t="str">
        <f aca="false">Summary!E179</f>
        <v>MtCO2e</v>
      </c>
    </row>
    <row r="178" customFormat="false" ht="15" hidden="false" customHeight="true" outlineLevel="0" collapsed="false">
      <c r="A178" s="16" t="n">
        <f aca="false">Summary!A180</f>
        <v>2031</v>
      </c>
      <c r="B178" s="31" t="str">
        <f aca="false">Summary!B180</f>
        <v>Unconditional</v>
      </c>
      <c r="C178" s="31" t="str">
        <f aca="false">Summary!C180</f>
        <v>Gas Recovery</v>
      </c>
      <c r="D178" s="32" t="n">
        <f aca="false">Summary!D180</f>
        <v>3.57016728414718</v>
      </c>
      <c r="E178" s="31" t="str">
        <f aca="false">Summary!E180</f>
        <v>MtCO2e</v>
      </c>
    </row>
    <row r="179" customFormat="false" ht="15" hidden="false" customHeight="true" outlineLevel="0" collapsed="false">
      <c r="A179" s="16" t="n">
        <f aca="false">Summary!A181</f>
        <v>2032</v>
      </c>
      <c r="B179" s="31" t="str">
        <f aca="false">Summary!B181</f>
        <v>Unconditional</v>
      </c>
      <c r="C179" s="31" t="str">
        <f aca="false">Summary!C181</f>
        <v>Gas Recovery</v>
      </c>
      <c r="D179" s="32" t="n">
        <f aca="false">Summary!D181</f>
        <v>4.04971306997232</v>
      </c>
      <c r="E179" s="31" t="str">
        <f aca="false">Summary!E181</f>
        <v>MtCO2e</v>
      </c>
    </row>
    <row r="180" customFormat="false" ht="15" hidden="false" customHeight="true" outlineLevel="0" collapsed="false">
      <c r="A180" s="16" t="n">
        <f aca="false">Summary!A182</f>
        <v>2033</v>
      </c>
      <c r="B180" s="31" t="str">
        <f aca="false">Summary!B182</f>
        <v>Unconditional</v>
      </c>
      <c r="C180" s="31" t="str">
        <f aca="false">Summary!C182</f>
        <v>Gas Recovery</v>
      </c>
      <c r="D180" s="32" t="n">
        <f aca="false">Summary!D182</f>
        <v>4.54110039395051</v>
      </c>
      <c r="E180" s="31" t="str">
        <f aca="false">Summary!E182</f>
        <v>MtCO2e</v>
      </c>
    </row>
    <row r="181" customFormat="false" ht="15" hidden="false" customHeight="true" outlineLevel="0" collapsed="false">
      <c r="A181" s="16" t="n">
        <f aca="false">Summary!A183</f>
        <v>2034</v>
      </c>
      <c r="B181" s="31" t="str">
        <f aca="false">Summary!B183</f>
        <v>Unconditional</v>
      </c>
      <c r="C181" s="31" t="str">
        <f aca="false">Summary!C183</f>
        <v>Gas Recovery</v>
      </c>
      <c r="D181" s="32" t="n">
        <f aca="false">Summary!D183</f>
        <v>5.04528647448245</v>
      </c>
      <c r="E181" s="31" t="str">
        <f aca="false">Summary!E183</f>
        <v>MtCO2e</v>
      </c>
    </row>
    <row r="182" customFormat="false" ht="15" hidden="false" customHeight="true" outlineLevel="0" collapsed="false">
      <c r="A182" s="16" t="n">
        <f aca="false">Summary!A184</f>
        <v>2035</v>
      </c>
      <c r="B182" s="31" t="str">
        <f aca="false">Summary!B184</f>
        <v>Unconditional</v>
      </c>
      <c r="C182" s="31" t="str">
        <f aca="false">Summary!C184</f>
        <v>Gas Recovery</v>
      </c>
      <c r="D182" s="32" t="n">
        <f aca="false">Summary!D184</f>
        <v>5.56295038147761</v>
      </c>
      <c r="E182" s="31" t="str">
        <f aca="false">Summary!E184</f>
        <v>MtCO2e</v>
      </c>
    </row>
    <row r="183" customFormat="false" ht="15" hidden="false" customHeight="true" outlineLevel="0" collapsed="false">
      <c r="A183" s="16" t="n">
        <f aca="false">Summary!A185</f>
        <v>2036</v>
      </c>
      <c r="B183" s="31" t="str">
        <f aca="false">Summary!B185</f>
        <v>Unconditional</v>
      </c>
      <c r="C183" s="31" t="str">
        <f aca="false">Summary!C185</f>
        <v>Gas Recovery</v>
      </c>
      <c r="D183" s="32" t="n">
        <f aca="false">Summary!D185</f>
        <v>6.09442989830564</v>
      </c>
      <c r="E183" s="31" t="str">
        <f aca="false">Summary!E185</f>
        <v>MtCO2e</v>
      </c>
    </row>
    <row r="184" customFormat="false" ht="15" hidden="false" customHeight="true" outlineLevel="0" collapsed="false">
      <c r="A184" s="16" t="n">
        <f aca="false">Summary!A186</f>
        <v>2037</v>
      </c>
      <c r="B184" s="31" t="str">
        <f aca="false">Summary!B186</f>
        <v>Unconditional</v>
      </c>
      <c r="C184" s="31" t="str">
        <f aca="false">Summary!C186</f>
        <v>Gas Recovery</v>
      </c>
      <c r="D184" s="32" t="n">
        <f aca="false">Summary!D186</f>
        <v>6.63965701871093</v>
      </c>
      <c r="E184" s="31" t="str">
        <f aca="false">Summary!E186</f>
        <v>MtCO2e</v>
      </c>
    </row>
    <row r="185" customFormat="false" ht="15" hidden="false" customHeight="true" outlineLevel="0" collapsed="false">
      <c r="A185" s="16" t="n">
        <f aca="false">Summary!A187</f>
        <v>2038</v>
      </c>
      <c r="B185" s="31" t="str">
        <f aca="false">Summary!B187</f>
        <v>Unconditional</v>
      </c>
      <c r="C185" s="31" t="str">
        <f aca="false">Summary!C187</f>
        <v>Gas Recovery</v>
      </c>
      <c r="D185" s="32" t="n">
        <f aca="false">Summary!D187</f>
        <v>7.19822889688514</v>
      </c>
      <c r="E185" s="31" t="str">
        <f aca="false">Summary!E187</f>
        <v>MtCO2e</v>
      </c>
    </row>
    <row r="186" customFormat="false" ht="15" hidden="false" customHeight="true" outlineLevel="0" collapsed="false">
      <c r="A186" s="16" t="n">
        <f aca="false">Summary!A188</f>
        <v>2039</v>
      </c>
      <c r="B186" s="31" t="str">
        <f aca="false">Summary!B188</f>
        <v>Unconditional</v>
      </c>
      <c r="C186" s="31" t="str">
        <f aca="false">Summary!C188</f>
        <v>Gas Recovery</v>
      </c>
      <c r="D186" s="32" t="n">
        <f aca="false">Summary!D188</f>
        <v>7.76946742247707</v>
      </c>
      <c r="E186" s="31" t="str">
        <f aca="false">Summary!E188</f>
        <v>MtCO2e</v>
      </c>
    </row>
    <row r="187" customFormat="false" ht="15" hidden="false" customHeight="true" outlineLevel="0" collapsed="false">
      <c r="A187" s="16" t="n">
        <f aca="false">Summary!A189</f>
        <v>2040</v>
      </c>
      <c r="B187" s="31" t="str">
        <f aca="false">Summary!B189</f>
        <v>Unconditional</v>
      </c>
      <c r="C187" s="31" t="str">
        <f aca="false">Summary!C189</f>
        <v>Gas Recovery</v>
      </c>
      <c r="D187" s="32" t="n">
        <f aca="false">Summary!D189</f>
        <v>8.352466938085</v>
      </c>
      <c r="E187" s="31" t="str">
        <f aca="false">Summary!E189</f>
        <v>MtCO2e</v>
      </c>
    </row>
    <row r="188" customFormat="false" ht="15" hidden="false" customHeight="true" outlineLevel="0" collapsed="false">
      <c r="A188" s="16" t="n">
        <f aca="false">Summary!A190</f>
        <v>2041</v>
      </c>
      <c r="B188" s="31" t="str">
        <f aca="false">Summary!B190</f>
        <v>Unconditional</v>
      </c>
      <c r="C188" s="31" t="str">
        <f aca="false">Summary!C190</f>
        <v>Gas Recovery</v>
      </c>
      <c r="D188" s="32" t="n">
        <f aca="false">Summary!D190</f>
        <v>8.9461373355719</v>
      </c>
      <c r="E188" s="31" t="str">
        <f aca="false">Summary!E190</f>
        <v>MtCO2e</v>
      </c>
    </row>
    <row r="189" customFormat="false" ht="15" hidden="false" customHeight="true" outlineLevel="0" collapsed="false">
      <c r="A189" s="16" t="n">
        <f aca="false">Summary!A191</f>
        <v>2042</v>
      </c>
      <c r="B189" s="31" t="str">
        <f aca="false">Summary!B191</f>
        <v>Unconditional</v>
      </c>
      <c r="C189" s="31" t="str">
        <f aca="false">Summary!C191</f>
        <v>Gas Recovery</v>
      </c>
      <c r="D189" s="32" t="n">
        <f aca="false">Summary!D191</f>
        <v>9.54924279050629</v>
      </c>
      <c r="E189" s="31" t="str">
        <f aca="false">Summary!E191</f>
        <v>MtCO2e</v>
      </c>
    </row>
    <row r="190" customFormat="false" ht="15" hidden="false" customHeight="true" outlineLevel="0" collapsed="false">
      <c r="A190" s="16" t="n">
        <f aca="false">Summary!A192</f>
        <v>2043</v>
      </c>
      <c r="B190" s="31" t="str">
        <f aca="false">Summary!B192</f>
        <v>Unconditional</v>
      </c>
      <c r="C190" s="31" t="str">
        <f aca="false">Summary!C192</f>
        <v>Gas Recovery</v>
      </c>
      <c r="D190" s="32" t="n">
        <f aca="false">Summary!D192</f>
        <v>10.1603687633864</v>
      </c>
      <c r="E190" s="31" t="str">
        <f aca="false">Summary!E192</f>
        <v>MtCO2e</v>
      </c>
    </row>
    <row r="191" customFormat="false" ht="15" hidden="false" customHeight="true" outlineLevel="0" collapsed="false">
      <c r="A191" s="16" t="n">
        <f aca="false">Summary!A193</f>
        <v>2044</v>
      </c>
      <c r="B191" s="31" t="str">
        <f aca="false">Summary!B193</f>
        <v>Unconditional</v>
      </c>
      <c r="C191" s="31" t="str">
        <f aca="false">Summary!C193</f>
        <v>Gas Recovery</v>
      </c>
      <c r="D191" s="32" t="n">
        <f aca="false">Summary!D193</f>
        <v>10.778192620057</v>
      </c>
      <c r="E191" s="31" t="str">
        <f aca="false">Summary!E193</f>
        <v>MtCO2e</v>
      </c>
    </row>
    <row r="192" customFormat="false" ht="15" hidden="false" customHeight="true" outlineLevel="0" collapsed="false">
      <c r="A192" s="16" t="n">
        <f aca="false">Summary!A194</f>
        <v>2045</v>
      </c>
      <c r="B192" s="31" t="str">
        <f aca="false">Summary!B194</f>
        <v>Unconditional</v>
      </c>
      <c r="C192" s="31" t="str">
        <f aca="false">Summary!C194</f>
        <v>Gas Recovery</v>
      </c>
      <c r="D192" s="32" t="n">
        <f aca="false">Summary!D194</f>
        <v>11.4013975411227</v>
      </c>
      <c r="E192" s="31" t="str">
        <f aca="false">Summary!E194</f>
        <v>MtCO2e</v>
      </c>
    </row>
    <row r="193" customFormat="false" ht="15" hidden="false" customHeight="true" outlineLevel="0" collapsed="false">
      <c r="A193" s="16" t="n">
        <f aca="false">Summary!A195</f>
        <v>2046</v>
      </c>
      <c r="B193" s="31" t="str">
        <f aca="false">Summary!B195</f>
        <v>Unconditional</v>
      </c>
      <c r="C193" s="31" t="str">
        <f aca="false">Summary!C195</f>
        <v>Gas Recovery</v>
      </c>
      <c r="D193" s="32" t="n">
        <f aca="false">Summary!D195</f>
        <v>12.0286741005505</v>
      </c>
      <c r="E193" s="31" t="str">
        <f aca="false">Summary!E195</f>
        <v>MtCO2e</v>
      </c>
    </row>
    <row r="194" customFormat="false" ht="15" hidden="false" customHeight="true" outlineLevel="0" collapsed="false">
      <c r="A194" s="16" t="n">
        <f aca="false">Summary!A196</f>
        <v>2047</v>
      </c>
      <c r="B194" s="31" t="str">
        <f aca="false">Summary!B196</f>
        <v>Unconditional</v>
      </c>
      <c r="C194" s="31" t="str">
        <f aca="false">Summary!C196</f>
        <v>Gas Recovery</v>
      </c>
      <c r="D194" s="32" t="n">
        <f aca="false">Summary!D196</f>
        <v>12.6588170031905</v>
      </c>
      <c r="E194" s="31" t="str">
        <f aca="false">Summary!E196</f>
        <v>MtCO2e</v>
      </c>
    </row>
    <row r="195" customFormat="false" ht="15" hidden="false" customHeight="true" outlineLevel="0" collapsed="false">
      <c r="A195" s="16" t="n">
        <f aca="false">Summary!A197</f>
        <v>2048</v>
      </c>
      <c r="B195" s="31" t="str">
        <f aca="false">Summary!B197</f>
        <v>Unconditional</v>
      </c>
      <c r="C195" s="31" t="str">
        <f aca="false">Summary!C197</f>
        <v>Gas Recovery</v>
      </c>
      <c r="D195" s="32" t="n">
        <f aca="false">Summary!D197</f>
        <v>13.2907709727777</v>
      </c>
      <c r="E195" s="31" t="str">
        <f aca="false">Summary!E197</f>
        <v>MtCO2e</v>
      </c>
    </row>
    <row r="196" customFormat="false" ht="15" hidden="false" customHeight="true" outlineLevel="0" collapsed="false">
      <c r="A196" s="16" t="n">
        <f aca="false">Summary!A198</f>
        <v>2049</v>
      </c>
      <c r="B196" s="31" t="str">
        <f aca="false">Summary!B198</f>
        <v>Unconditional</v>
      </c>
      <c r="C196" s="31" t="str">
        <f aca="false">Summary!C198</f>
        <v>Gas Recovery</v>
      </c>
      <c r="D196" s="32" t="n">
        <f aca="false">Summary!D198</f>
        <v>13.9236762140265</v>
      </c>
      <c r="E196" s="31" t="str">
        <f aca="false">Summary!E198</f>
        <v>MtCO2e</v>
      </c>
    </row>
    <row r="197" customFormat="false" ht="15" hidden="false" customHeight="true" outlineLevel="0" collapsed="false">
      <c r="A197" s="16" t="n">
        <f aca="false">Summary!A199</f>
        <v>2050</v>
      </c>
      <c r="B197" s="31" t="str">
        <f aca="false">Summary!B199</f>
        <v>Unconditional</v>
      </c>
      <c r="C197" s="31" t="str">
        <f aca="false">Summary!C199</f>
        <v>Gas Recovery</v>
      </c>
      <c r="D197" s="32" t="n">
        <f aca="false">Summary!D199</f>
        <v>13.9236762140265</v>
      </c>
      <c r="E197" s="31" t="str">
        <f aca="false">Summary!E199</f>
        <v>MtCO2e</v>
      </c>
    </row>
    <row r="198" customFormat="false" ht="15" hidden="false" customHeight="true" outlineLevel="0" collapsed="false">
      <c r="A198" s="16" t="n">
        <f aca="false">Summary!A200</f>
        <v>2023</v>
      </c>
      <c r="B198" s="31" t="str">
        <f aca="false">Summary!B200</f>
        <v>Conditional</v>
      </c>
      <c r="C198" s="31" t="str">
        <f aca="false">Summary!C200</f>
        <v>Fugitive</v>
      </c>
      <c r="D198" s="32" t="n">
        <f aca="false">Summary!D200</f>
        <v>5.07640740742145</v>
      </c>
      <c r="E198" s="31" t="str">
        <f aca="false">Summary!E200</f>
        <v>MtCO2e</v>
      </c>
    </row>
    <row r="199" customFormat="false" ht="15" hidden="false" customHeight="true" outlineLevel="0" collapsed="false">
      <c r="A199" s="16" t="n">
        <f aca="false">Summary!A201</f>
        <v>2024</v>
      </c>
      <c r="B199" s="31" t="str">
        <f aca="false">Summary!B201</f>
        <v>Conditional</v>
      </c>
      <c r="C199" s="31" t="str">
        <f aca="false">Summary!C201</f>
        <v>Fugitive</v>
      </c>
      <c r="D199" s="32" t="n">
        <f aca="false">Summary!D201</f>
        <v>5.1613834118107</v>
      </c>
      <c r="E199" s="31" t="str">
        <f aca="false">Summary!E201</f>
        <v>MtCO2e</v>
      </c>
    </row>
    <row r="200" customFormat="false" ht="15" hidden="false" customHeight="true" outlineLevel="0" collapsed="false">
      <c r="A200" s="16" t="n">
        <f aca="false">Summary!A202</f>
        <v>2025</v>
      </c>
      <c r="B200" s="31" t="str">
        <f aca="false">Summary!B202</f>
        <v>Conditional</v>
      </c>
      <c r="C200" s="31" t="str">
        <f aca="false">Summary!C202</f>
        <v>Fugitive</v>
      </c>
      <c r="D200" s="32" t="n">
        <f aca="false">Summary!D202</f>
        <v>4.93260601283925</v>
      </c>
      <c r="E200" s="31" t="str">
        <f aca="false">Summary!E202</f>
        <v>MtCO2e</v>
      </c>
    </row>
    <row r="201" customFormat="false" ht="15" hidden="false" customHeight="true" outlineLevel="0" collapsed="false">
      <c r="A201" s="16" t="n">
        <f aca="false">Summary!A203</f>
        <v>2026</v>
      </c>
      <c r="B201" s="31" t="str">
        <f aca="false">Summary!B203</f>
        <v>Conditional</v>
      </c>
      <c r="C201" s="31" t="str">
        <f aca="false">Summary!C203</f>
        <v>Fugitive</v>
      </c>
      <c r="D201" s="32" t="n">
        <f aca="false">Summary!D203</f>
        <v>4.70134907240413</v>
      </c>
      <c r="E201" s="31" t="str">
        <f aca="false">Summary!E203</f>
        <v>MtCO2e</v>
      </c>
    </row>
    <row r="202" customFormat="false" ht="15" hidden="false" customHeight="true" outlineLevel="0" collapsed="false">
      <c r="A202" s="16" t="n">
        <f aca="false">Summary!A204</f>
        <v>2027</v>
      </c>
      <c r="B202" s="31" t="str">
        <f aca="false">Summary!B204</f>
        <v>Conditional</v>
      </c>
      <c r="C202" s="31" t="str">
        <f aca="false">Summary!C204</f>
        <v>Fugitive</v>
      </c>
      <c r="D202" s="32" t="n">
        <f aca="false">Summary!D204</f>
        <v>4.46620558074675</v>
      </c>
      <c r="E202" s="31" t="str">
        <f aca="false">Summary!E204</f>
        <v>MtCO2e</v>
      </c>
    </row>
    <row r="203" customFormat="false" ht="15" hidden="false" customHeight="true" outlineLevel="0" collapsed="false">
      <c r="A203" s="16" t="n">
        <f aca="false">Summary!A205</f>
        <v>2028</v>
      </c>
      <c r="B203" s="31" t="str">
        <f aca="false">Summary!B205</f>
        <v>Conditional</v>
      </c>
      <c r="C203" s="31" t="str">
        <f aca="false">Summary!C205</f>
        <v>Fugitive</v>
      </c>
      <c r="D203" s="32" t="n">
        <f aca="false">Summary!D205</f>
        <v>4.2259580087124</v>
      </c>
      <c r="E203" s="31" t="str">
        <f aca="false">Summary!E205</f>
        <v>MtCO2e</v>
      </c>
    </row>
    <row r="204" customFormat="false" ht="15" hidden="false" customHeight="true" outlineLevel="0" collapsed="false">
      <c r="A204" s="16" t="n">
        <f aca="false">Summary!A206</f>
        <v>2029</v>
      </c>
      <c r="B204" s="31" t="str">
        <f aca="false">Summary!B206</f>
        <v>Conditional</v>
      </c>
      <c r="C204" s="31" t="str">
        <f aca="false">Summary!C206</f>
        <v>Fugitive</v>
      </c>
      <c r="D204" s="32" t="n">
        <f aca="false">Summary!D206</f>
        <v>3.97969154655927</v>
      </c>
      <c r="E204" s="31" t="str">
        <f aca="false">Summary!E206</f>
        <v>MtCO2e</v>
      </c>
    </row>
    <row r="205" customFormat="false" ht="15" hidden="false" customHeight="true" outlineLevel="0" collapsed="false">
      <c r="A205" s="16" t="n">
        <f aca="false">Summary!A207</f>
        <v>2030</v>
      </c>
      <c r="B205" s="31" t="str">
        <f aca="false">Summary!B207</f>
        <v>Conditional</v>
      </c>
      <c r="C205" s="31" t="str">
        <f aca="false">Summary!C207</f>
        <v>Fugitive</v>
      </c>
      <c r="D205" s="32" t="n">
        <f aca="false">Summary!D207</f>
        <v>3.7268765916726</v>
      </c>
      <c r="E205" s="31" t="str">
        <f aca="false">Summary!E207</f>
        <v>MtCO2e</v>
      </c>
    </row>
    <row r="206" customFormat="false" ht="15" hidden="false" customHeight="true" outlineLevel="0" collapsed="false">
      <c r="A206" s="16" t="n">
        <f aca="false">Summary!A208</f>
        <v>2031</v>
      </c>
      <c r="B206" s="31" t="str">
        <f aca="false">Summary!B208</f>
        <v>Conditional</v>
      </c>
      <c r="C206" s="31" t="str">
        <f aca="false">Summary!C208</f>
        <v>Fugitive</v>
      </c>
      <c r="D206" s="32" t="n">
        <f aca="false">Summary!D208</f>
        <v>3.46742173462704</v>
      </c>
      <c r="E206" s="31" t="str">
        <f aca="false">Summary!E208</f>
        <v>MtCO2e</v>
      </c>
    </row>
    <row r="207" customFormat="false" ht="15" hidden="false" customHeight="true" outlineLevel="0" collapsed="false">
      <c r="A207" s="16" t="n">
        <f aca="false">Summary!A209</f>
        <v>2032</v>
      </c>
      <c r="B207" s="31" t="str">
        <f aca="false">Summary!B209</f>
        <v>Conditional</v>
      </c>
      <c r="C207" s="31" t="str">
        <f aca="false">Summary!C209</f>
        <v>Fugitive</v>
      </c>
      <c r="D207" s="32" t="n">
        <f aca="false">Summary!D209</f>
        <v>3.20171632661302</v>
      </c>
      <c r="E207" s="31" t="str">
        <f aca="false">Summary!E209</f>
        <v>MtCO2e</v>
      </c>
    </row>
    <row r="208" customFormat="false" ht="15" hidden="false" customHeight="true" outlineLevel="0" collapsed="false">
      <c r="A208" s="16" t="n">
        <f aca="false">Summary!A210</f>
        <v>2033</v>
      </c>
      <c r="B208" s="31" t="str">
        <f aca="false">Summary!B210</f>
        <v>Conditional</v>
      </c>
      <c r="C208" s="31" t="str">
        <f aca="false">Summary!C210</f>
        <v>Fugitive</v>
      </c>
      <c r="D208" s="32" t="n">
        <f aca="false">Summary!D210</f>
        <v>2.93050926812696</v>
      </c>
      <c r="E208" s="31" t="str">
        <f aca="false">Summary!E210</f>
        <v>MtCO2e</v>
      </c>
    </row>
    <row r="209" customFormat="false" ht="15" hidden="false" customHeight="true" outlineLevel="0" collapsed="false">
      <c r="A209" s="16" t="n">
        <f aca="false">Summary!A211</f>
        <v>2034</v>
      </c>
      <c r="B209" s="31" t="str">
        <f aca="false">Summary!B211</f>
        <v>Conditional</v>
      </c>
      <c r="C209" s="31" t="str">
        <f aca="false">Summary!C211</f>
        <v>Fugitive</v>
      </c>
      <c r="D209" s="32" t="n">
        <f aca="false">Summary!D211</f>
        <v>2.65479940139799</v>
      </c>
      <c r="E209" s="31" t="str">
        <f aca="false">Summary!E211</f>
        <v>MtCO2e</v>
      </c>
    </row>
    <row r="210" customFormat="false" ht="15" hidden="false" customHeight="true" outlineLevel="0" collapsed="false">
      <c r="A210" s="16" t="n">
        <f aca="false">Summary!A212</f>
        <v>2035</v>
      </c>
      <c r="B210" s="31" t="str">
        <f aca="false">Summary!B212</f>
        <v>Conditional</v>
      </c>
      <c r="C210" s="31" t="str">
        <f aca="false">Summary!C212</f>
        <v>Fugitive</v>
      </c>
      <c r="D210" s="32" t="n">
        <f aca="false">Summary!D212</f>
        <v>2.37573748173258</v>
      </c>
      <c r="E210" s="31" t="str">
        <f aca="false">Summary!E212</f>
        <v>MtCO2e</v>
      </c>
    </row>
    <row r="211" customFormat="false" ht="15" hidden="false" customHeight="true" outlineLevel="0" collapsed="false">
      <c r="A211" s="16" t="n">
        <f aca="false">Summary!A213</f>
        <v>2036</v>
      </c>
      <c r="B211" s="31" t="str">
        <f aca="false">Summary!B213</f>
        <v>Conditional</v>
      </c>
      <c r="C211" s="31" t="str">
        <f aca="false">Summary!C213</f>
        <v>Fugitive</v>
      </c>
      <c r="D211" s="32" t="n">
        <f aca="false">Summary!D213</f>
        <v>2.09453949307224</v>
      </c>
      <c r="E211" s="31" t="str">
        <f aca="false">Summary!E213</f>
        <v>MtCO2e</v>
      </c>
    </row>
    <row r="212" customFormat="false" ht="15" hidden="false" customHeight="true" outlineLevel="0" collapsed="false">
      <c r="A212" s="16" t="n">
        <f aca="false">Summary!A214</f>
        <v>2037</v>
      </c>
      <c r="B212" s="31" t="str">
        <f aca="false">Summary!B214</f>
        <v>Conditional</v>
      </c>
      <c r="C212" s="31" t="str">
        <f aca="false">Summary!C214</f>
        <v>Fugitive</v>
      </c>
      <c r="D212" s="32" t="n">
        <f aca="false">Summary!D214</f>
        <v>1.8124108832945</v>
      </c>
      <c r="E212" s="31" t="str">
        <f aca="false">Summary!E214</f>
        <v>MtCO2e</v>
      </c>
    </row>
    <row r="213" customFormat="false" ht="15" hidden="false" customHeight="true" outlineLevel="0" collapsed="false">
      <c r="A213" s="16" t="n">
        <f aca="false">Summary!A215</f>
        <v>2038</v>
      </c>
      <c r="B213" s="31" t="str">
        <f aca="false">Summary!B215</f>
        <v>Conditional</v>
      </c>
      <c r="C213" s="31" t="str">
        <f aca="false">Summary!C215</f>
        <v>Fugitive</v>
      </c>
      <c r="D213" s="32" t="n">
        <f aca="false">Summary!D215</f>
        <v>1.53047778672359</v>
      </c>
      <c r="E213" s="31" t="str">
        <f aca="false">Summary!E215</f>
        <v>MtCO2e</v>
      </c>
    </row>
    <row r="214" customFormat="false" ht="15" hidden="false" customHeight="true" outlineLevel="0" collapsed="false">
      <c r="A214" s="16" t="n">
        <f aca="false">Summary!A216</f>
        <v>2039</v>
      </c>
      <c r="B214" s="31" t="str">
        <f aca="false">Summary!B216</f>
        <v>Conditional</v>
      </c>
      <c r="C214" s="31" t="str">
        <f aca="false">Summary!C216</f>
        <v>Fugitive</v>
      </c>
      <c r="D214" s="32" t="n">
        <f aca="false">Summary!D216</f>
        <v>1.24972987449971</v>
      </c>
      <c r="E214" s="31" t="str">
        <f aca="false">Summary!E216</f>
        <v>MtCO2e</v>
      </c>
    </row>
    <row r="215" customFormat="false" ht="15" hidden="false" customHeight="true" outlineLevel="0" collapsed="false">
      <c r="A215" s="16" t="n">
        <f aca="false">Summary!A217</f>
        <v>2040</v>
      </c>
      <c r="B215" s="31" t="str">
        <f aca="false">Summary!B217</f>
        <v>Conditional</v>
      </c>
      <c r="C215" s="31" t="str">
        <f aca="false">Summary!C217</f>
        <v>Fugitive</v>
      </c>
      <c r="D215" s="32" t="n">
        <f aca="false">Summary!D217</f>
        <v>0.970972978467209</v>
      </c>
      <c r="E215" s="31" t="str">
        <f aca="false">Summary!E217</f>
        <v>MtCO2e</v>
      </c>
    </row>
    <row r="216" customFormat="false" ht="15" hidden="false" customHeight="true" outlineLevel="0" collapsed="false">
      <c r="A216" s="16" t="n">
        <f aca="false">Summary!A218</f>
        <v>2041</v>
      </c>
      <c r="B216" s="31" t="str">
        <f aca="false">Summary!B218</f>
        <v>Conditional</v>
      </c>
      <c r="C216" s="31" t="str">
        <f aca="false">Summary!C218</f>
        <v>Fugitive</v>
      </c>
      <c r="D216" s="32" t="n">
        <f aca="false">Summary!D218</f>
        <v>0.694788501153321</v>
      </c>
      <c r="E216" s="31" t="str">
        <f aca="false">Summary!E218</f>
        <v>MtCO2e</v>
      </c>
    </row>
    <row r="217" customFormat="false" ht="15" hidden="false" customHeight="true" outlineLevel="0" collapsed="false">
      <c r="A217" s="16" t="n">
        <f aca="false">Summary!A219</f>
        <v>2042</v>
      </c>
      <c r="B217" s="31" t="str">
        <f aca="false">Summary!B219</f>
        <v>Conditional</v>
      </c>
      <c r="C217" s="31" t="str">
        <f aca="false">Summary!C219</f>
        <v>Fugitive</v>
      </c>
      <c r="D217" s="32" t="n">
        <f aca="false">Summary!D219</f>
        <v>0.421495157738018</v>
      </c>
      <c r="E217" s="31" t="str">
        <f aca="false">Summary!E219</f>
        <v>MtCO2e</v>
      </c>
    </row>
    <row r="218" customFormat="false" ht="15" hidden="false" customHeight="true" outlineLevel="0" collapsed="false">
      <c r="A218" s="16" t="n">
        <f aca="false">Summary!A220</f>
        <v>2043</v>
      </c>
      <c r="B218" s="31" t="str">
        <f aca="false">Summary!B220</f>
        <v>Conditional</v>
      </c>
      <c r="C218" s="31" t="str">
        <f aca="false">Summary!C220</f>
        <v>Fugitive</v>
      </c>
      <c r="D218" s="32" t="n">
        <f aca="false">Summary!D220</f>
        <v>0.151073916496975</v>
      </c>
      <c r="E218" s="31" t="str">
        <f aca="false">Summary!E220</f>
        <v>MtCO2e</v>
      </c>
    </row>
    <row r="219" customFormat="false" ht="15" hidden="false" customHeight="true" outlineLevel="0" collapsed="false">
      <c r="A219" s="16" t="n">
        <f aca="false">Summary!A221</f>
        <v>2044</v>
      </c>
      <c r="B219" s="31" t="str">
        <f aca="false">Summary!B221</f>
        <v>Conditional</v>
      </c>
      <c r="C219" s="31" t="str">
        <f aca="false">Summary!C221</f>
        <v>Fugitive</v>
      </c>
      <c r="D219" s="32" t="n">
        <f aca="false">Summary!D221</f>
        <v>0</v>
      </c>
      <c r="E219" s="31" t="str">
        <f aca="false">Summary!E221</f>
        <v>MtCO2e</v>
      </c>
    </row>
    <row r="220" customFormat="false" ht="15" hidden="false" customHeight="true" outlineLevel="0" collapsed="false">
      <c r="A220" s="16" t="n">
        <f aca="false">Summary!A222</f>
        <v>2045</v>
      </c>
      <c r="B220" s="31" t="str">
        <f aca="false">Summary!B222</f>
        <v>Conditional</v>
      </c>
      <c r="C220" s="31" t="str">
        <f aca="false">Summary!C222</f>
        <v>Fugitive</v>
      </c>
      <c r="D220" s="32" t="n">
        <f aca="false">Summary!D222</f>
        <v>0</v>
      </c>
      <c r="E220" s="31" t="str">
        <f aca="false">Summary!E222</f>
        <v>MtCO2e</v>
      </c>
    </row>
    <row r="221" customFormat="false" ht="15" hidden="false" customHeight="true" outlineLevel="0" collapsed="false">
      <c r="A221" s="16" t="n">
        <f aca="false">Summary!A223</f>
        <v>2046</v>
      </c>
      <c r="B221" s="31" t="str">
        <f aca="false">Summary!B223</f>
        <v>Conditional</v>
      </c>
      <c r="C221" s="31" t="str">
        <f aca="false">Summary!C223</f>
        <v>Fugitive</v>
      </c>
      <c r="D221" s="32" t="n">
        <f aca="false">Summary!D223</f>
        <v>0</v>
      </c>
      <c r="E221" s="31" t="str">
        <f aca="false">Summary!E223</f>
        <v>MtCO2e</v>
      </c>
    </row>
    <row r="222" customFormat="false" ht="15" hidden="false" customHeight="true" outlineLevel="0" collapsed="false">
      <c r="A222" s="16" t="n">
        <f aca="false">Summary!A224</f>
        <v>2047</v>
      </c>
      <c r="B222" s="31" t="str">
        <f aca="false">Summary!B224</f>
        <v>Conditional</v>
      </c>
      <c r="C222" s="31" t="str">
        <f aca="false">Summary!C224</f>
        <v>Fugitive</v>
      </c>
      <c r="D222" s="32" t="n">
        <f aca="false">Summary!D224</f>
        <v>0</v>
      </c>
      <c r="E222" s="31" t="str">
        <f aca="false">Summary!E224</f>
        <v>MtCO2e</v>
      </c>
    </row>
    <row r="223" customFormat="false" ht="15" hidden="false" customHeight="true" outlineLevel="0" collapsed="false">
      <c r="A223" s="16" t="n">
        <f aca="false">Summary!A225</f>
        <v>2048</v>
      </c>
      <c r="B223" s="31" t="str">
        <f aca="false">Summary!B225</f>
        <v>Conditional</v>
      </c>
      <c r="C223" s="31" t="str">
        <f aca="false">Summary!C225</f>
        <v>Fugitive</v>
      </c>
      <c r="D223" s="32" t="n">
        <f aca="false">Summary!D225</f>
        <v>0</v>
      </c>
      <c r="E223" s="31" t="str">
        <f aca="false">Summary!E225</f>
        <v>MtCO2e</v>
      </c>
    </row>
    <row r="224" customFormat="false" ht="15" hidden="false" customHeight="true" outlineLevel="0" collapsed="false">
      <c r="A224" s="16" t="n">
        <f aca="false">Summary!A226</f>
        <v>2049</v>
      </c>
      <c r="B224" s="31" t="str">
        <f aca="false">Summary!B226</f>
        <v>Conditional</v>
      </c>
      <c r="C224" s="31" t="str">
        <f aca="false">Summary!C226</f>
        <v>Fugitive</v>
      </c>
      <c r="D224" s="32" t="n">
        <f aca="false">Summary!D226</f>
        <v>0</v>
      </c>
      <c r="E224" s="31" t="str">
        <f aca="false">Summary!E226</f>
        <v>MtCO2e</v>
      </c>
    </row>
    <row r="225" customFormat="false" ht="15" hidden="false" customHeight="true" outlineLevel="0" collapsed="false">
      <c r="A225" s="16" t="n">
        <f aca="false">Summary!A227</f>
        <v>2050</v>
      </c>
      <c r="B225" s="31" t="str">
        <f aca="false">Summary!B227</f>
        <v>Conditional</v>
      </c>
      <c r="C225" s="31" t="str">
        <f aca="false">Summary!C227</f>
        <v>Fugitive</v>
      </c>
      <c r="D225" s="32" t="n">
        <f aca="false">Summary!D227</f>
        <v>0</v>
      </c>
      <c r="E225" s="31" t="str">
        <f aca="false">Summary!E227</f>
        <v>MtCO2e</v>
      </c>
    </row>
    <row r="226" customFormat="false" ht="15" hidden="false" customHeight="true" outlineLevel="0" collapsed="false">
      <c r="A226" s="16" t="n">
        <f aca="false">Summary!A228</f>
        <v>2023</v>
      </c>
      <c r="B226" s="31" t="str">
        <f aca="false">Summary!B228</f>
        <v>Conditional</v>
      </c>
      <c r="C226" s="31" t="str">
        <f aca="false">Summary!C228</f>
        <v>Venting</v>
      </c>
      <c r="D226" s="32" t="n">
        <f aca="false">Summary!D228</f>
        <v>15.6842553382928</v>
      </c>
      <c r="E226" s="31" t="str">
        <f aca="false">Summary!E228</f>
        <v>MtCO2e</v>
      </c>
    </row>
    <row r="227" customFormat="false" ht="15" hidden="false" customHeight="true" outlineLevel="0" collapsed="false">
      <c r="A227" s="16" t="n">
        <f aca="false">Summary!A229</f>
        <v>2024</v>
      </c>
      <c r="B227" s="31" t="str">
        <f aca="false">Summary!B229</f>
        <v>Conditional</v>
      </c>
      <c r="C227" s="31" t="str">
        <f aca="false">Summary!C229</f>
        <v>Venting</v>
      </c>
      <c r="D227" s="32" t="n">
        <f aca="false">Summary!D229</f>
        <v>14.9901828003279</v>
      </c>
      <c r="E227" s="31" t="str">
        <f aca="false">Summary!E229</f>
        <v>MtCO2e</v>
      </c>
    </row>
    <row r="228" customFormat="false" ht="15" hidden="false" customHeight="true" outlineLevel="0" collapsed="false">
      <c r="A228" s="16" t="n">
        <f aca="false">Summary!A230</f>
        <v>2025</v>
      </c>
      <c r="B228" s="31" t="str">
        <f aca="false">Summary!B230</f>
        <v>Conditional</v>
      </c>
      <c r="C228" s="31" t="str">
        <f aca="false">Summary!C230</f>
        <v>Venting</v>
      </c>
      <c r="D228" s="32" t="n">
        <f aca="false">Summary!D230</f>
        <v>14.9917108364193</v>
      </c>
      <c r="E228" s="31" t="str">
        <f aca="false">Summary!E230</f>
        <v>MtCO2e</v>
      </c>
    </row>
    <row r="229" customFormat="false" ht="15" hidden="false" customHeight="true" outlineLevel="0" collapsed="false">
      <c r="A229" s="16" t="n">
        <f aca="false">Summary!A231</f>
        <v>2026</v>
      </c>
      <c r="B229" s="31" t="str">
        <f aca="false">Summary!B231</f>
        <v>Conditional</v>
      </c>
      <c r="C229" s="31" t="str">
        <f aca="false">Summary!C231</f>
        <v>Venting</v>
      </c>
      <c r="D229" s="32" t="n">
        <f aca="false">Summary!D231</f>
        <v>14.981681305764</v>
      </c>
      <c r="E229" s="31" t="str">
        <f aca="false">Summary!E231</f>
        <v>MtCO2e</v>
      </c>
    </row>
    <row r="230" customFormat="false" ht="15" hidden="false" customHeight="true" outlineLevel="0" collapsed="false">
      <c r="A230" s="16" t="n">
        <f aca="false">Summary!A232</f>
        <v>2027</v>
      </c>
      <c r="B230" s="31" t="str">
        <f aca="false">Summary!B232</f>
        <v>Conditional</v>
      </c>
      <c r="C230" s="31" t="str">
        <f aca="false">Summary!C232</f>
        <v>Venting</v>
      </c>
      <c r="D230" s="32" t="n">
        <f aca="false">Summary!D232</f>
        <v>14.9498049612511</v>
      </c>
      <c r="E230" s="31" t="str">
        <f aca="false">Summary!E232</f>
        <v>MtCO2e</v>
      </c>
    </row>
    <row r="231" customFormat="false" ht="15" hidden="false" customHeight="true" outlineLevel="0" collapsed="false">
      <c r="A231" s="16" t="n">
        <f aca="false">Summary!A233</f>
        <v>2028</v>
      </c>
      <c r="B231" s="31" t="str">
        <f aca="false">Summary!B233</f>
        <v>Conditional</v>
      </c>
      <c r="C231" s="31" t="str">
        <f aca="false">Summary!C233</f>
        <v>Venting</v>
      </c>
      <c r="D231" s="32" t="n">
        <f aca="false">Summary!D233</f>
        <v>14.8846390712571</v>
      </c>
      <c r="E231" s="31" t="str">
        <f aca="false">Summary!E233</f>
        <v>MtCO2e</v>
      </c>
    </row>
    <row r="232" customFormat="false" ht="15" hidden="false" customHeight="true" outlineLevel="0" collapsed="false">
      <c r="A232" s="16" t="n">
        <f aca="false">Summary!A234</f>
        <v>2029</v>
      </c>
      <c r="B232" s="31" t="str">
        <f aca="false">Summary!B234</f>
        <v>Conditional</v>
      </c>
      <c r="C232" s="31" t="str">
        <f aca="false">Summary!C234</f>
        <v>Venting</v>
      </c>
      <c r="D232" s="32" t="n">
        <f aca="false">Summary!D234</f>
        <v>14.77436728874</v>
      </c>
      <c r="E232" s="31" t="str">
        <f aca="false">Summary!E234</f>
        <v>MtCO2e</v>
      </c>
    </row>
    <row r="233" customFormat="false" ht="15" hidden="false" customHeight="true" outlineLevel="0" collapsed="false">
      <c r="A233" s="16" t="n">
        <f aca="false">Summary!A235</f>
        <v>2030</v>
      </c>
      <c r="B233" s="31" t="str">
        <f aca="false">Summary!B235</f>
        <v>Conditional</v>
      </c>
      <c r="C233" s="31" t="str">
        <f aca="false">Summary!C235</f>
        <v>Venting</v>
      </c>
      <c r="D233" s="32" t="n">
        <f aca="false">Summary!D235</f>
        <v>14.6075659701891</v>
      </c>
      <c r="E233" s="31" t="str">
        <f aca="false">Summary!E235</f>
        <v>MtCO2e</v>
      </c>
    </row>
    <row r="234" customFormat="false" ht="15" hidden="false" customHeight="true" outlineLevel="0" collapsed="false">
      <c r="A234" s="16" t="n">
        <f aca="false">Summary!A236</f>
        <v>2031</v>
      </c>
      <c r="B234" s="31" t="str">
        <f aca="false">Summary!B236</f>
        <v>Conditional</v>
      </c>
      <c r="C234" s="31" t="str">
        <f aca="false">Summary!C236</f>
        <v>Venting</v>
      </c>
      <c r="D234" s="32" t="n">
        <f aca="false">Summary!D236</f>
        <v>14.3739492820739</v>
      </c>
      <c r="E234" s="31" t="str">
        <f aca="false">Summary!E236</f>
        <v>MtCO2e</v>
      </c>
    </row>
    <row r="235" customFormat="false" ht="15" hidden="false" customHeight="true" outlineLevel="0" collapsed="false">
      <c r="A235" s="16" t="n">
        <f aca="false">Summary!A237</f>
        <v>2032</v>
      </c>
      <c r="B235" s="31" t="str">
        <f aca="false">Summary!B237</f>
        <v>Conditional</v>
      </c>
      <c r="C235" s="31" t="str">
        <f aca="false">Summary!C237</f>
        <v>Venting</v>
      </c>
      <c r="D235" s="32" t="n">
        <f aca="false">Summary!D237</f>
        <v>14.0650892872354</v>
      </c>
      <c r="E235" s="31" t="str">
        <f aca="false">Summary!E237</f>
        <v>MtCO2e</v>
      </c>
    </row>
    <row r="236" customFormat="false" ht="15" hidden="false" customHeight="true" outlineLevel="0" collapsed="false">
      <c r="A236" s="16" t="n">
        <f aca="false">Summary!A238</f>
        <v>2033</v>
      </c>
      <c r="B236" s="31" t="str">
        <f aca="false">Summary!B238</f>
        <v>Conditional</v>
      </c>
      <c r="C236" s="31" t="str">
        <f aca="false">Summary!C238</f>
        <v>Venting</v>
      </c>
      <c r="D236" s="32" t="n">
        <f aca="false">Summary!D238</f>
        <v>13.6744961805388</v>
      </c>
      <c r="E236" s="31" t="str">
        <f aca="false">Summary!E238</f>
        <v>MtCO2e</v>
      </c>
    </row>
    <row r="237" customFormat="false" ht="15" hidden="false" customHeight="true" outlineLevel="0" collapsed="false">
      <c r="A237" s="16" t="n">
        <f aca="false">Summary!A239</f>
        <v>2034</v>
      </c>
      <c r="B237" s="31" t="str">
        <f aca="false">Summary!B239</f>
        <v>Conditional</v>
      </c>
      <c r="C237" s="31" t="str">
        <f aca="false">Summary!C239</f>
        <v>Venting</v>
      </c>
      <c r="D237" s="32" t="n">
        <f aca="false">Summary!D239</f>
        <v>13.1976888900301</v>
      </c>
      <c r="E237" s="31" t="str">
        <f aca="false">Summary!E239</f>
        <v>MtCO2e</v>
      </c>
    </row>
    <row r="238" customFormat="false" ht="15" hidden="false" customHeight="true" outlineLevel="0" collapsed="false">
      <c r="A238" s="16" t="n">
        <f aca="false">Summary!A240</f>
        <v>2035</v>
      </c>
      <c r="B238" s="31" t="str">
        <f aca="false">Summary!B240</f>
        <v>Conditional</v>
      </c>
      <c r="C238" s="31" t="str">
        <f aca="false">Summary!C240</f>
        <v>Venting</v>
      </c>
      <c r="D238" s="32" t="n">
        <f aca="false">Summary!D240</f>
        <v>12.6322575703387</v>
      </c>
      <c r="E238" s="31" t="str">
        <f aca="false">Summary!E240</f>
        <v>MtCO2e</v>
      </c>
    </row>
    <row r="239" customFormat="false" ht="15" hidden="false" customHeight="true" outlineLevel="0" collapsed="false">
      <c r="A239" s="16" t="n">
        <f aca="false">Summary!A241</f>
        <v>2036</v>
      </c>
      <c r="B239" s="31" t="str">
        <f aca="false">Summary!B241</f>
        <v>Conditional</v>
      </c>
      <c r="C239" s="31" t="str">
        <f aca="false">Summary!C241</f>
        <v>Venting</v>
      </c>
      <c r="D239" s="32" t="n">
        <f aca="false">Summary!D241</f>
        <v>11.9779181495447</v>
      </c>
      <c r="E239" s="31" t="str">
        <f aca="false">Summary!E241</f>
        <v>MtCO2e</v>
      </c>
    </row>
    <row r="240" customFormat="false" ht="15" hidden="false" customHeight="true" outlineLevel="0" collapsed="false">
      <c r="A240" s="16" t="n">
        <f aca="false">Summary!A242</f>
        <v>2037</v>
      </c>
      <c r="B240" s="31" t="str">
        <f aca="false">Summary!B242</f>
        <v>Conditional</v>
      </c>
      <c r="C240" s="31" t="str">
        <f aca="false">Summary!C242</f>
        <v>Venting</v>
      </c>
      <c r="D240" s="32" t="n">
        <f aca="false">Summary!D242</f>
        <v>11.2365577461733</v>
      </c>
      <c r="E240" s="31" t="str">
        <f aca="false">Summary!E242</f>
        <v>MtCO2e</v>
      </c>
    </row>
    <row r="241" customFormat="false" ht="15" hidden="false" customHeight="true" outlineLevel="0" collapsed="false">
      <c r="A241" s="16" t="n">
        <f aca="false">Summary!A243</f>
        <v>2038</v>
      </c>
      <c r="B241" s="31" t="str">
        <f aca="false">Summary!B243</f>
        <v>Conditional</v>
      </c>
      <c r="C241" s="31" t="str">
        <f aca="false">Summary!C243</f>
        <v>Venting</v>
      </c>
      <c r="D241" s="32" t="n">
        <f aca="false">Summary!D243</f>
        <v>10.4118693749658</v>
      </c>
      <c r="E241" s="31" t="str">
        <f aca="false">Summary!E243</f>
        <v>MtCO2e</v>
      </c>
    </row>
    <row r="242" customFormat="false" ht="15" hidden="false" customHeight="true" outlineLevel="0" collapsed="false">
      <c r="A242" s="16" t="n">
        <f aca="false">Summary!A244</f>
        <v>2039</v>
      </c>
      <c r="B242" s="31" t="str">
        <f aca="false">Summary!B244</f>
        <v>Conditional</v>
      </c>
      <c r="C242" s="31" t="str">
        <f aca="false">Summary!C244</f>
        <v>Venting</v>
      </c>
      <c r="D242" s="32" t="n">
        <f aca="false">Summary!D244</f>
        <v>9.50901971311466</v>
      </c>
      <c r="E242" s="31" t="str">
        <f aca="false">Summary!E244</f>
        <v>MtCO2e</v>
      </c>
    </row>
    <row r="243" customFormat="false" ht="15" hidden="false" customHeight="true" outlineLevel="0" collapsed="false">
      <c r="A243" s="16" t="n">
        <f aca="false">Summary!A245</f>
        <v>2040</v>
      </c>
      <c r="B243" s="31" t="str">
        <f aca="false">Summary!B245</f>
        <v>Conditional</v>
      </c>
      <c r="C243" s="31" t="str">
        <f aca="false">Summary!C245</f>
        <v>Venting</v>
      </c>
      <c r="D243" s="32" t="n">
        <f aca="false">Summary!D245</f>
        <v>8.5343437094954</v>
      </c>
      <c r="E243" s="31" t="str">
        <f aca="false">Summary!E245</f>
        <v>MtCO2e</v>
      </c>
    </row>
    <row r="244" customFormat="false" ht="15" hidden="false" customHeight="true" outlineLevel="0" collapsed="false">
      <c r="A244" s="16" t="n">
        <f aca="false">Summary!A246</f>
        <v>2041</v>
      </c>
      <c r="B244" s="31" t="str">
        <f aca="false">Summary!B246</f>
        <v>Conditional</v>
      </c>
      <c r="C244" s="31" t="str">
        <f aca="false">Summary!C246</f>
        <v>Venting</v>
      </c>
      <c r="D244" s="32" t="n">
        <f aca="false">Summary!D246</f>
        <v>7.49506481222332</v>
      </c>
      <c r="E244" s="31" t="str">
        <f aca="false">Summary!E246</f>
        <v>MtCO2e</v>
      </c>
    </row>
    <row r="245" customFormat="false" ht="15" hidden="false" customHeight="true" outlineLevel="0" collapsed="false">
      <c r="A245" s="16" t="n">
        <f aca="false">Summary!A247</f>
        <v>2042</v>
      </c>
      <c r="B245" s="31" t="str">
        <f aca="false">Summary!B247</f>
        <v>Conditional</v>
      </c>
      <c r="C245" s="31" t="str">
        <f aca="false">Summary!C247</f>
        <v>Venting</v>
      </c>
      <c r="D245" s="32" t="n">
        <f aca="false">Summary!D247</f>
        <v>6.39908708515287</v>
      </c>
      <c r="E245" s="31" t="str">
        <f aca="false">Summary!E247</f>
        <v>MtCO2e</v>
      </c>
    </row>
    <row r="246" customFormat="false" ht="15" hidden="false" customHeight="true" outlineLevel="0" collapsed="false">
      <c r="A246" s="16" t="n">
        <f aca="false">Summary!A248</f>
        <v>2043</v>
      </c>
      <c r="B246" s="31" t="str">
        <f aca="false">Summary!B248</f>
        <v>Conditional</v>
      </c>
      <c r="C246" s="31" t="str">
        <f aca="false">Summary!C248</f>
        <v>Venting</v>
      </c>
      <c r="D246" s="32" t="n">
        <f aca="false">Summary!D248</f>
        <v>5.25469783268809</v>
      </c>
      <c r="E246" s="31" t="str">
        <f aca="false">Summary!E248</f>
        <v>MtCO2e</v>
      </c>
    </row>
    <row r="247" customFormat="false" ht="15" hidden="false" customHeight="true" outlineLevel="0" collapsed="false">
      <c r="A247" s="16" t="n">
        <f aca="false">Summary!A249</f>
        <v>2044</v>
      </c>
      <c r="B247" s="31" t="str">
        <f aca="false">Summary!B249</f>
        <v>Conditional</v>
      </c>
      <c r="C247" s="31" t="str">
        <f aca="false">Summary!C249</f>
        <v>Venting</v>
      </c>
      <c r="D247" s="32" t="n">
        <f aca="false">Summary!D249</f>
        <v>3.97104970840891</v>
      </c>
      <c r="E247" s="31" t="str">
        <f aca="false">Summary!E249</f>
        <v>MtCO2e</v>
      </c>
    </row>
    <row r="248" customFormat="false" ht="15" hidden="false" customHeight="true" outlineLevel="0" collapsed="false">
      <c r="A248" s="16" t="n">
        <f aca="false">Summary!A250</f>
        <v>2045</v>
      </c>
      <c r="B248" s="31" t="str">
        <f aca="false">Summary!B250</f>
        <v>Conditional</v>
      </c>
      <c r="C248" s="31" t="str">
        <f aca="false">Summary!C250</f>
        <v>Venting</v>
      </c>
      <c r="D248" s="32" t="n">
        <f aca="false">Summary!D250</f>
        <v>2.53803995924582</v>
      </c>
      <c r="E248" s="31" t="str">
        <f aca="false">Summary!E250</f>
        <v>MtCO2e</v>
      </c>
    </row>
    <row r="249" customFormat="false" ht="15" hidden="false" customHeight="true" outlineLevel="0" collapsed="false">
      <c r="A249" s="16" t="n">
        <f aca="false">Summary!A251</f>
        <v>2046</v>
      </c>
      <c r="B249" s="31" t="str">
        <f aca="false">Summary!B251</f>
        <v>Conditional</v>
      </c>
      <c r="C249" s="31" t="str">
        <f aca="false">Summary!C251</f>
        <v>Venting</v>
      </c>
      <c r="D249" s="32" t="n">
        <f aca="false">Summary!D251</f>
        <v>1.11027339140751</v>
      </c>
      <c r="E249" s="31" t="str">
        <f aca="false">Summary!E251</f>
        <v>MtCO2e</v>
      </c>
    </row>
    <row r="250" customFormat="false" ht="15" hidden="false" customHeight="true" outlineLevel="0" collapsed="false">
      <c r="A250" s="16" t="n">
        <f aca="false">Summary!A252</f>
        <v>2047</v>
      </c>
      <c r="B250" s="31" t="str">
        <f aca="false">Summary!B252</f>
        <v>Conditional</v>
      </c>
      <c r="C250" s="31" t="str">
        <f aca="false">Summary!C252</f>
        <v>Venting</v>
      </c>
      <c r="D250" s="32" t="n">
        <f aca="false">Summary!D252</f>
        <v>0.0919671825659387</v>
      </c>
      <c r="E250" s="31" t="str">
        <f aca="false">Summary!E252</f>
        <v>MtCO2e</v>
      </c>
    </row>
    <row r="251" customFormat="false" ht="15" hidden="false" customHeight="true" outlineLevel="0" collapsed="false">
      <c r="A251" s="16" t="n">
        <f aca="false">Summary!A253</f>
        <v>2048</v>
      </c>
      <c r="B251" s="31" t="str">
        <f aca="false">Summary!B253</f>
        <v>Conditional</v>
      </c>
      <c r="C251" s="31" t="str">
        <f aca="false">Summary!C253</f>
        <v>Venting</v>
      </c>
      <c r="D251" s="32" t="n">
        <f aca="false">Summary!D253</f>
        <v>0</v>
      </c>
      <c r="E251" s="31" t="str">
        <f aca="false">Summary!E253</f>
        <v>MtCO2e</v>
      </c>
    </row>
    <row r="252" customFormat="false" ht="15" hidden="false" customHeight="true" outlineLevel="0" collapsed="false">
      <c r="A252" s="16" t="n">
        <f aca="false">Summary!A254</f>
        <v>2049</v>
      </c>
      <c r="B252" s="31" t="str">
        <f aca="false">Summary!B254</f>
        <v>Conditional</v>
      </c>
      <c r="C252" s="31" t="str">
        <f aca="false">Summary!C254</f>
        <v>Venting</v>
      </c>
      <c r="D252" s="32" t="n">
        <f aca="false">Summary!D254</f>
        <v>0</v>
      </c>
      <c r="E252" s="31" t="str">
        <f aca="false">Summary!E254</f>
        <v>MtCO2e</v>
      </c>
    </row>
    <row r="253" customFormat="false" ht="15" hidden="false" customHeight="true" outlineLevel="0" collapsed="false">
      <c r="A253" s="16" t="n">
        <f aca="false">Summary!A255</f>
        <v>2050</v>
      </c>
      <c r="B253" s="31" t="str">
        <f aca="false">Summary!B255</f>
        <v>Conditional</v>
      </c>
      <c r="C253" s="31" t="str">
        <f aca="false">Summary!C255</f>
        <v>Venting</v>
      </c>
      <c r="D253" s="32" t="n">
        <f aca="false">Summary!D255</f>
        <v>0</v>
      </c>
      <c r="E253" s="31" t="str">
        <f aca="false">Summary!E255</f>
        <v>MtCO2e</v>
      </c>
    </row>
    <row r="254" customFormat="false" ht="15" hidden="false" customHeight="true" outlineLevel="0" collapsed="false">
      <c r="A254" s="16" t="n">
        <f aca="false">Summary!A256</f>
        <v>2023</v>
      </c>
      <c r="B254" s="31" t="str">
        <f aca="false">Summary!B256</f>
        <v>Conditional</v>
      </c>
      <c r="C254" s="31" t="str">
        <f aca="false">Summary!C256</f>
        <v>Flaring</v>
      </c>
      <c r="D254" s="32" t="n">
        <f aca="false">Summary!D256</f>
        <v>6.26733725428572</v>
      </c>
      <c r="E254" s="31" t="str">
        <f aca="false">Summary!E256</f>
        <v>MtCO2e</v>
      </c>
    </row>
    <row r="255" customFormat="false" ht="15" hidden="false" customHeight="true" outlineLevel="0" collapsed="false">
      <c r="A255" s="16" t="n">
        <f aca="false">Summary!A257</f>
        <v>2024</v>
      </c>
      <c r="B255" s="31" t="str">
        <f aca="false">Summary!B257</f>
        <v>Conditional</v>
      </c>
      <c r="C255" s="31" t="str">
        <f aca="false">Summary!C257</f>
        <v>Flaring</v>
      </c>
      <c r="D255" s="32" t="n">
        <f aca="false">Summary!D257</f>
        <v>6.27727571138163</v>
      </c>
      <c r="E255" s="31" t="str">
        <f aca="false">Summary!E257</f>
        <v>MtCO2e</v>
      </c>
    </row>
    <row r="256" customFormat="false" ht="15" hidden="false" customHeight="true" outlineLevel="0" collapsed="false">
      <c r="A256" s="16" t="n">
        <f aca="false">Summary!A258</f>
        <v>2025</v>
      </c>
      <c r="B256" s="31" t="str">
        <f aca="false">Summary!B258</f>
        <v>Conditional</v>
      </c>
      <c r="C256" s="31" t="str">
        <f aca="false">Summary!C258</f>
        <v>Flaring</v>
      </c>
      <c r="D256" s="32" t="n">
        <f aca="false">Summary!D258</f>
        <v>5.90074750261989</v>
      </c>
      <c r="E256" s="31" t="str">
        <f aca="false">Summary!E258</f>
        <v>MtCO2e</v>
      </c>
    </row>
    <row r="257" customFormat="false" ht="15" hidden="false" customHeight="true" outlineLevel="0" collapsed="false">
      <c r="A257" s="16" t="n">
        <f aca="false">Summary!A259</f>
        <v>2026</v>
      </c>
      <c r="B257" s="31" t="str">
        <f aca="false">Summary!B259</f>
        <v>Conditional</v>
      </c>
      <c r="C257" s="31" t="str">
        <f aca="false">Summary!C259</f>
        <v>Flaring</v>
      </c>
      <c r="D257" s="32" t="n">
        <f aca="false">Summary!D259</f>
        <v>5.52410027312733</v>
      </c>
      <c r="E257" s="31" t="str">
        <f aca="false">Summary!E259</f>
        <v>MtCO2e</v>
      </c>
    </row>
    <row r="258" customFormat="false" ht="15" hidden="false" customHeight="true" outlineLevel="0" collapsed="false">
      <c r="A258" s="16" t="n">
        <f aca="false">Summary!A260</f>
        <v>2027</v>
      </c>
      <c r="B258" s="31" t="str">
        <f aca="false">Summary!B260</f>
        <v>Conditional</v>
      </c>
      <c r="C258" s="31" t="str">
        <f aca="false">Summary!C260</f>
        <v>Flaring</v>
      </c>
      <c r="D258" s="32" t="n">
        <f aca="false">Summary!D260</f>
        <v>5.14819657435067</v>
      </c>
      <c r="E258" s="31" t="str">
        <f aca="false">Summary!E260</f>
        <v>MtCO2e</v>
      </c>
    </row>
    <row r="259" customFormat="false" ht="15" hidden="false" customHeight="true" outlineLevel="0" collapsed="false">
      <c r="A259" s="16" t="n">
        <f aca="false">Summary!A261</f>
        <v>2028</v>
      </c>
      <c r="B259" s="31" t="str">
        <f aca="false">Summary!B261</f>
        <v>Conditional</v>
      </c>
      <c r="C259" s="31" t="str">
        <f aca="false">Summary!C261</f>
        <v>Flaring</v>
      </c>
      <c r="D259" s="32" t="n">
        <f aca="false">Summary!D261</f>
        <v>4.77449903715161</v>
      </c>
      <c r="E259" s="31" t="str">
        <f aca="false">Summary!E261</f>
        <v>MtCO2e</v>
      </c>
    </row>
    <row r="260" customFormat="false" ht="15" hidden="false" customHeight="true" outlineLevel="0" collapsed="false">
      <c r="A260" s="16" t="n">
        <f aca="false">Summary!A262</f>
        <v>2029</v>
      </c>
      <c r="B260" s="31" t="str">
        <f aca="false">Summary!B262</f>
        <v>Conditional</v>
      </c>
      <c r="C260" s="31" t="str">
        <f aca="false">Summary!C262</f>
        <v>Flaring</v>
      </c>
      <c r="D260" s="32" t="n">
        <f aca="false">Summary!D262</f>
        <v>4.40501707976397</v>
      </c>
      <c r="E260" s="31" t="str">
        <f aca="false">Summary!E262</f>
        <v>MtCO2e</v>
      </c>
    </row>
    <row r="261" customFormat="false" ht="15" hidden="false" customHeight="true" outlineLevel="0" collapsed="false">
      <c r="A261" s="16" t="n">
        <f aca="false">Summary!A263</f>
        <v>2030</v>
      </c>
      <c r="B261" s="31" t="str">
        <f aca="false">Summary!B263</f>
        <v>Conditional</v>
      </c>
      <c r="C261" s="31" t="str">
        <f aca="false">Summary!C263</f>
        <v>Flaring</v>
      </c>
      <c r="D261" s="32" t="n">
        <f aca="false">Summary!D263</f>
        <v>4.04221679223758</v>
      </c>
      <c r="E261" s="31" t="str">
        <f aca="false">Summary!E263</f>
        <v>MtCO2e</v>
      </c>
    </row>
    <row r="262" customFormat="false" ht="15" hidden="false" customHeight="true" outlineLevel="0" collapsed="false">
      <c r="A262" s="16" t="n">
        <f aca="false">Summary!A264</f>
        <v>2031</v>
      </c>
      <c r="B262" s="31" t="str">
        <f aca="false">Summary!B264</f>
        <v>Conditional</v>
      </c>
      <c r="C262" s="31" t="str">
        <f aca="false">Summary!C264</f>
        <v>Flaring</v>
      </c>
      <c r="D262" s="32" t="n">
        <f aca="false">Summary!D264</f>
        <v>3.68889627304874</v>
      </c>
      <c r="E262" s="31" t="str">
        <f aca="false">Summary!E264</f>
        <v>MtCO2e</v>
      </c>
    </row>
    <row r="263" customFormat="false" ht="15" hidden="false" customHeight="true" outlineLevel="0" collapsed="false">
      <c r="A263" s="16" t="n">
        <f aca="false">Summary!A265</f>
        <v>2032</v>
      </c>
      <c r="B263" s="31" t="str">
        <f aca="false">Summary!B265</f>
        <v>Conditional</v>
      </c>
      <c r="C263" s="31" t="str">
        <f aca="false">Summary!C265</f>
        <v>Flaring</v>
      </c>
      <c r="D263" s="32" t="n">
        <f aca="false">Summary!D265</f>
        <v>3.34803582749697</v>
      </c>
      <c r="E263" s="31" t="str">
        <f aca="false">Summary!E265</f>
        <v>MtCO2e</v>
      </c>
    </row>
    <row r="264" customFormat="false" ht="15" hidden="false" customHeight="true" outlineLevel="0" collapsed="false">
      <c r="A264" s="16" t="n">
        <f aca="false">Summary!A266</f>
        <v>2033</v>
      </c>
      <c r="B264" s="31" t="str">
        <f aca="false">Summary!B266</f>
        <v>Conditional</v>
      </c>
      <c r="C264" s="31" t="str">
        <f aca="false">Summary!C266</f>
        <v>Flaring</v>
      </c>
      <c r="D264" s="32" t="n">
        <f aca="false">Summary!D266</f>
        <v>3.02253960177787</v>
      </c>
      <c r="E264" s="31" t="str">
        <f aca="false">Summary!E266</f>
        <v>MtCO2e</v>
      </c>
    </row>
    <row r="265" customFormat="false" ht="15" hidden="false" customHeight="true" outlineLevel="0" collapsed="false">
      <c r="A265" s="16" t="n">
        <f aca="false">Summary!A267</f>
        <v>2034</v>
      </c>
      <c r="B265" s="31" t="str">
        <f aca="false">Summary!B267</f>
        <v>Conditional</v>
      </c>
      <c r="C265" s="31" t="str">
        <f aca="false">Summary!C267</f>
        <v>Flaring</v>
      </c>
      <c r="D265" s="32" t="n">
        <f aca="false">Summary!D267</f>
        <v>2.71499670093887</v>
      </c>
      <c r="E265" s="31" t="str">
        <f aca="false">Summary!E267</f>
        <v>MtCO2e</v>
      </c>
    </row>
    <row r="266" customFormat="false" ht="15" hidden="false" customHeight="true" outlineLevel="0" collapsed="false">
      <c r="A266" s="16" t="n">
        <f aca="false">Summary!A268</f>
        <v>2035</v>
      </c>
      <c r="B266" s="31" t="str">
        <f aca="false">Summary!B268</f>
        <v>Conditional</v>
      </c>
      <c r="C266" s="31" t="str">
        <f aca="false">Summary!C268</f>
        <v>Flaring</v>
      </c>
      <c r="D266" s="32" t="n">
        <f aca="false">Summary!D268</f>
        <v>2.42746207061574</v>
      </c>
      <c r="E266" s="31" t="str">
        <f aca="false">Summary!E268</f>
        <v>MtCO2e</v>
      </c>
    </row>
    <row r="267" customFormat="false" ht="15" hidden="false" customHeight="true" outlineLevel="0" collapsed="false">
      <c r="A267" s="16" t="n">
        <f aca="false">Summary!A269</f>
        <v>2036</v>
      </c>
      <c r="B267" s="31" t="str">
        <f aca="false">Summary!B269</f>
        <v>Conditional</v>
      </c>
      <c r="C267" s="31" t="str">
        <f aca="false">Summary!C269</f>
        <v>Flaring</v>
      </c>
      <c r="D267" s="32" t="n">
        <f aca="false">Summary!D269</f>
        <v>2.16125770413282</v>
      </c>
      <c r="E267" s="31" t="str">
        <f aca="false">Summary!E269</f>
        <v>MtCO2e</v>
      </c>
    </row>
    <row r="268" customFormat="false" ht="15" hidden="false" customHeight="true" outlineLevel="0" collapsed="false">
      <c r="A268" s="16" t="n">
        <f aca="false">Summary!A270</f>
        <v>2037</v>
      </c>
      <c r="B268" s="31" t="str">
        <f aca="false">Summary!B270</f>
        <v>Conditional</v>
      </c>
      <c r="C268" s="31" t="str">
        <f aca="false">Summary!C270</f>
        <v>Flaring</v>
      </c>
      <c r="D268" s="32" t="n">
        <f aca="false">Summary!D270</f>
        <v>1.91679517791358</v>
      </c>
      <c r="E268" s="31" t="str">
        <f aca="false">Summary!E270</f>
        <v>MtCO2e</v>
      </c>
    </row>
    <row r="269" customFormat="false" ht="15" hidden="false" customHeight="true" outlineLevel="0" collapsed="false">
      <c r="A269" s="16" t="n">
        <f aca="false">Summary!A271</f>
        <v>2038</v>
      </c>
      <c r="B269" s="31" t="str">
        <f aca="false">Summary!B271</f>
        <v>Conditional</v>
      </c>
      <c r="C269" s="31" t="str">
        <f aca="false">Summary!C271</f>
        <v>Flaring</v>
      </c>
      <c r="D269" s="32" t="n">
        <f aca="false">Summary!D271</f>
        <v>1.69373041543658</v>
      </c>
      <c r="E269" s="31" t="str">
        <f aca="false">Summary!E271</f>
        <v>MtCO2e</v>
      </c>
    </row>
    <row r="270" customFormat="false" ht="15" hidden="false" customHeight="true" outlineLevel="0" collapsed="false">
      <c r="A270" s="16" t="n">
        <f aca="false">Summary!A272</f>
        <v>2039</v>
      </c>
      <c r="B270" s="31" t="str">
        <f aca="false">Summary!B272</f>
        <v>Conditional</v>
      </c>
      <c r="C270" s="31" t="str">
        <f aca="false">Summary!C272</f>
        <v>Flaring</v>
      </c>
      <c r="D270" s="32" t="n">
        <f aca="false">Summary!D272</f>
        <v>1.49110861714849</v>
      </c>
      <c r="E270" s="31" t="str">
        <f aca="false">Summary!E272</f>
        <v>MtCO2e</v>
      </c>
    </row>
    <row r="271" customFormat="false" ht="15" hidden="false" customHeight="true" outlineLevel="0" collapsed="false">
      <c r="A271" s="16" t="n">
        <f aca="false">Summary!A273</f>
        <v>2040</v>
      </c>
      <c r="B271" s="31" t="str">
        <f aca="false">Summary!B273</f>
        <v>Conditional</v>
      </c>
      <c r="C271" s="31" t="str">
        <f aca="false">Summary!C273</f>
        <v>Flaring</v>
      </c>
      <c r="D271" s="32" t="n">
        <f aca="false">Summary!D273</f>
        <v>1.30749951778061</v>
      </c>
      <c r="E271" s="31" t="str">
        <f aca="false">Summary!E273</f>
        <v>MtCO2e</v>
      </c>
    </row>
    <row r="272" customFormat="false" ht="15" hidden="false" customHeight="true" outlineLevel="0" collapsed="false">
      <c r="A272" s="16" t="n">
        <f aca="false">Summary!A274</f>
        <v>2041</v>
      </c>
      <c r="B272" s="31" t="str">
        <f aca="false">Summary!B274</f>
        <v>Conditional</v>
      </c>
      <c r="C272" s="31" t="str">
        <f aca="false">Summary!C274</f>
        <v>Flaring</v>
      </c>
      <c r="D272" s="32" t="n">
        <f aca="false">Summary!D274</f>
        <v>1.14112420132327</v>
      </c>
      <c r="E272" s="31" t="str">
        <f aca="false">Summary!E274</f>
        <v>MtCO2e</v>
      </c>
    </row>
    <row r="273" customFormat="false" ht="15" hidden="false" customHeight="true" outlineLevel="0" collapsed="false">
      <c r="A273" s="16" t="n">
        <f aca="false">Summary!A275</f>
        <v>2042</v>
      </c>
      <c r="B273" s="31" t="str">
        <f aca="false">Summary!B275</f>
        <v>Conditional</v>
      </c>
      <c r="C273" s="31" t="str">
        <f aca="false">Summary!C275</f>
        <v>Flaring</v>
      </c>
      <c r="D273" s="32" t="n">
        <f aca="false">Summary!D275</f>
        <v>0.989984253207358</v>
      </c>
      <c r="E273" s="31" t="str">
        <f aca="false">Summary!E275</f>
        <v>MtCO2e</v>
      </c>
    </row>
    <row r="274" customFormat="false" ht="15" hidden="false" customHeight="true" outlineLevel="0" collapsed="false">
      <c r="A274" s="16" t="n">
        <f aca="false">Summary!A276</f>
        <v>2043</v>
      </c>
      <c r="B274" s="31" t="str">
        <f aca="false">Summary!B276</f>
        <v>Conditional</v>
      </c>
      <c r="C274" s="31" t="str">
        <f aca="false">Summary!C276</f>
        <v>Flaring</v>
      </c>
      <c r="D274" s="32" t="n">
        <f aca="false">Summary!D276</f>
        <v>0.851979872676624</v>
      </c>
      <c r="E274" s="31" t="str">
        <f aca="false">Summary!E276</f>
        <v>MtCO2e</v>
      </c>
    </row>
    <row r="275" customFormat="false" ht="15" hidden="false" customHeight="true" outlineLevel="0" collapsed="false">
      <c r="A275" s="16" t="n">
        <f aca="false">Summary!A277</f>
        <v>2044</v>
      </c>
      <c r="B275" s="31" t="str">
        <f aca="false">Summary!B277</f>
        <v>Conditional</v>
      </c>
      <c r="C275" s="31" t="str">
        <f aca="false">Summary!C277</f>
        <v>Flaring</v>
      </c>
      <c r="D275" s="32" t="n">
        <f aca="false">Summary!D277</f>
        <v>0.707384265526366</v>
      </c>
      <c r="E275" s="31" t="str">
        <f aca="false">Summary!E277</f>
        <v>MtCO2e</v>
      </c>
    </row>
    <row r="276" customFormat="false" ht="15" hidden="false" customHeight="true" outlineLevel="0" collapsed="false">
      <c r="A276" s="16" t="n">
        <f aca="false">Summary!A278</f>
        <v>2045</v>
      </c>
      <c r="B276" s="31" t="str">
        <f aca="false">Summary!B278</f>
        <v>Conditional</v>
      </c>
      <c r="C276" s="31" t="str">
        <f aca="false">Summary!C278</f>
        <v>Flaring</v>
      </c>
      <c r="D276" s="32" t="n">
        <f aca="false">Summary!D278</f>
        <v>0.540269158587701</v>
      </c>
      <c r="E276" s="31" t="str">
        <f aca="false">Summary!E278</f>
        <v>MtCO2e</v>
      </c>
    </row>
    <row r="277" customFormat="false" ht="15" hidden="false" customHeight="true" outlineLevel="0" collapsed="false">
      <c r="A277" s="16" t="n">
        <f aca="false">Summary!A279</f>
        <v>2046</v>
      </c>
      <c r="B277" s="31" t="str">
        <f aca="false">Summary!B279</f>
        <v>Conditional</v>
      </c>
      <c r="C277" s="31" t="str">
        <f aca="false">Summary!C279</f>
        <v>Flaring</v>
      </c>
      <c r="D277" s="32" t="n">
        <f aca="false">Summary!D279</f>
        <v>0.352373645696012</v>
      </c>
      <c r="E277" s="31" t="str">
        <f aca="false">Summary!E279</f>
        <v>MtCO2e</v>
      </c>
    </row>
    <row r="278" customFormat="false" ht="15" hidden="false" customHeight="true" outlineLevel="0" collapsed="false">
      <c r="A278" s="16" t="n">
        <f aca="false">Summary!A280</f>
        <v>2047</v>
      </c>
      <c r="B278" s="31" t="str">
        <f aca="false">Summary!B280</f>
        <v>Conditional</v>
      </c>
      <c r="C278" s="31" t="str">
        <f aca="false">Summary!C280</f>
        <v>Flaring</v>
      </c>
      <c r="D278" s="32" t="n">
        <f aca="false">Summary!D280</f>
        <v>0.148944911604615</v>
      </c>
      <c r="E278" s="31" t="str">
        <f aca="false">Summary!E280</f>
        <v>MtCO2e</v>
      </c>
    </row>
    <row r="279" customFormat="false" ht="15" hidden="false" customHeight="true" outlineLevel="0" collapsed="false">
      <c r="A279" s="16" t="n">
        <f aca="false">Summary!A281</f>
        <v>2048</v>
      </c>
      <c r="B279" s="31" t="str">
        <f aca="false">Summary!B281</f>
        <v>Conditional</v>
      </c>
      <c r="C279" s="31" t="str">
        <f aca="false">Summary!C281</f>
        <v>Flaring</v>
      </c>
      <c r="D279" s="32" t="n">
        <f aca="false">Summary!D281</f>
        <v>0.0479457982285089</v>
      </c>
      <c r="E279" s="31" t="str">
        <f aca="false">Summary!E281</f>
        <v>MtCO2e</v>
      </c>
    </row>
    <row r="280" customFormat="false" ht="15" hidden="false" customHeight="true" outlineLevel="0" collapsed="false">
      <c r="A280" s="16" t="n">
        <f aca="false">Summary!A282</f>
        <v>2049</v>
      </c>
      <c r="B280" s="31" t="str">
        <f aca="false">Summary!B282</f>
        <v>Conditional</v>
      </c>
      <c r="C280" s="31" t="str">
        <f aca="false">Summary!C282</f>
        <v>Flaring</v>
      </c>
      <c r="D280" s="32" t="n">
        <f aca="false">Summary!D282</f>
        <v>0.0199458928442885</v>
      </c>
      <c r="E280" s="31" t="str">
        <f aca="false">Summary!E282</f>
        <v>MtCO2e</v>
      </c>
    </row>
    <row r="281" customFormat="false" ht="15" hidden="false" customHeight="true" outlineLevel="0" collapsed="false">
      <c r="A281" s="16" t="n">
        <f aca="false">Summary!A283</f>
        <v>2050</v>
      </c>
      <c r="B281" s="31" t="str">
        <f aca="false">Summary!B283</f>
        <v>Conditional</v>
      </c>
      <c r="C281" s="31" t="str">
        <f aca="false">Summary!C283</f>
        <v>Flaring</v>
      </c>
      <c r="D281" s="32" t="n">
        <f aca="false">Summary!D283</f>
        <v>0.0199458928442885</v>
      </c>
      <c r="E281" s="31" t="str">
        <f aca="false">Summary!E283</f>
        <v>MtCO2e</v>
      </c>
    </row>
    <row r="282" customFormat="false" ht="15" hidden="false" customHeight="true" outlineLevel="0" collapsed="false">
      <c r="A282" s="16" t="n">
        <f aca="false">Summary!A284</f>
        <v>2023</v>
      </c>
      <c r="B282" s="31" t="str">
        <f aca="false">Summary!B284</f>
        <v>Conditional</v>
      </c>
      <c r="C282" s="31" t="str">
        <f aca="false">Summary!C284</f>
        <v>Gas Recovery</v>
      </c>
      <c r="D282" s="32" t="n">
        <f aca="false">Summary!D284</f>
        <v>0</v>
      </c>
      <c r="E282" s="31" t="str">
        <f aca="false">Summary!E284</f>
        <v>MtCO2e</v>
      </c>
    </row>
    <row r="283" customFormat="false" ht="15" hidden="false" customHeight="true" outlineLevel="0" collapsed="false">
      <c r="A283" s="16" t="n">
        <f aca="false">Summary!A285</f>
        <v>2024</v>
      </c>
      <c r="B283" s="31" t="str">
        <f aca="false">Summary!B285</f>
        <v>Conditional</v>
      </c>
      <c r="C283" s="31" t="str">
        <f aca="false">Summary!C285</f>
        <v>Gas Recovery</v>
      </c>
      <c r="D283" s="32" t="n">
        <f aca="false">Summary!D285</f>
        <v>0</v>
      </c>
      <c r="E283" s="31" t="str">
        <f aca="false">Summary!E285</f>
        <v>MtCO2e</v>
      </c>
    </row>
    <row r="284" customFormat="false" ht="15" hidden="false" customHeight="true" outlineLevel="0" collapsed="false">
      <c r="A284" s="16" t="n">
        <f aca="false">Summary!A286</f>
        <v>2025</v>
      </c>
      <c r="B284" s="31" t="str">
        <f aca="false">Summary!B286</f>
        <v>Conditional</v>
      </c>
      <c r="C284" s="31" t="str">
        <f aca="false">Summary!C286</f>
        <v>Gas Recovery</v>
      </c>
      <c r="D284" s="32" t="n">
        <f aca="false">Summary!D286</f>
        <v>2.63263709491692</v>
      </c>
      <c r="E284" s="31" t="str">
        <f aca="false">Summary!E286</f>
        <v>MtCO2e</v>
      </c>
    </row>
    <row r="285" customFormat="false" ht="15" hidden="false" customHeight="true" outlineLevel="0" collapsed="false">
      <c r="A285" s="16" t="n">
        <f aca="false">Summary!A287</f>
        <v>2026</v>
      </c>
      <c r="B285" s="31" t="str">
        <f aca="false">Summary!B287</f>
        <v>Conditional</v>
      </c>
      <c r="C285" s="31" t="str">
        <f aca="false">Summary!C287</f>
        <v>Gas Recovery</v>
      </c>
      <c r="D285" s="32" t="n">
        <f aca="false">Summary!D287</f>
        <v>3.95454172608486</v>
      </c>
      <c r="E285" s="31" t="str">
        <f aca="false">Summary!E287</f>
        <v>MtCO2e</v>
      </c>
    </row>
    <row r="286" customFormat="false" ht="15" hidden="false" customHeight="true" outlineLevel="0" collapsed="false">
      <c r="A286" s="16" t="n">
        <f aca="false">Summary!A288</f>
        <v>2027</v>
      </c>
      <c r="B286" s="31" t="str">
        <f aca="false">Summary!B288</f>
        <v>Conditional</v>
      </c>
      <c r="C286" s="31" t="str">
        <f aca="false">Summary!C288</f>
        <v>Gas Recovery</v>
      </c>
      <c r="D286" s="32" t="n">
        <f aca="false">Summary!D288</f>
        <v>5.28385487024387</v>
      </c>
      <c r="E286" s="31" t="str">
        <f aca="false">Summary!E288</f>
        <v>MtCO2e</v>
      </c>
    </row>
    <row r="287" customFormat="false" ht="15" hidden="false" customHeight="true" outlineLevel="0" collapsed="false">
      <c r="A287" s="16" t="n">
        <f aca="false">Summary!A289</f>
        <v>2028</v>
      </c>
      <c r="B287" s="31" t="str">
        <f aca="false">Summary!B289</f>
        <v>Conditional</v>
      </c>
      <c r="C287" s="31" t="str">
        <f aca="false">Summary!C289</f>
        <v>Gas Recovery</v>
      </c>
      <c r="D287" s="32" t="n">
        <f aca="false">Summary!D289</f>
        <v>6.62315913108591</v>
      </c>
      <c r="E287" s="31" t="str">
        <f aca="false">Summary!E289</f>
        <v>MtCO2e</v>
      </c>
    </row>
    <row r="288" customFormat="false" ht="15" hidden="false" customHeight="true" outlineLevel="0" collapsed="false">
      <c r="A288" s="16" t="n">
        <f aca="false">Summary!A290</f>
        <v>2029</v>
      </c>
      <c r="B288" s="31" t="str">
        <f aca="false">Summary!B290</f>
        <v>Conditional</v>
      </c>
      <c r="C288" s="31" t="str">
        <f aca="false">Summary!C290</f>
        <v>Gas Recovery</v>
      </c>
      <c r="D288" s="32" t="n">
        <f aca="false">Summary!D290</f>
        <v>7.97482257746593</v>
      </c>
      <c r="E288" s="31" t="str">
        <f aca="false">Summary!E290</f>
        <v>MtCO2e</v>
      </c>
    </row>
    <row r="289" customFormat="false" ht="15" hidden="false" customHeight="true" outlineLevel="0" collapsed="false">
      <c r="A289" s="16" t="n">
        <f aca="false">Summary!A291</f>
        <v>2030</v>
      </c>
      <c r="B289" s="31" t="str">
        <f aca="false">Summary!B291</f>
        <v>Conditional</v>
      </c>
      <c r="C289" s="31" t="str">
        <f aca="false">Summary!C291</f>
        <v>Gas Recovery</v>
      </c>
      <c r="D289" s="32" t="n">
        <f aca="false">Summary!D291</f>
        <v>9.34091489664989</v>
      </c>
      <c r="E289" s="31" t="str">
        <f aca="false">Summary!E291</f>
        <v>MtCO2e</v>
      </c>
    </row>
    <row r="290" customFormat="false" ht="15" hidden="false" customHeight="true" outlineLevel="0" collapsed="false">
      <c r="A290" s="16" t="n">
        <f aca="false">Summary!A292</f>
        <v>2031</v>
      </c>
      <c r="B290" s="31" t="str">
        <f aca="false">Summary!B292</f>
        <v>Conditional</v>
      </c>
      <c r="C290" s="31" t="str">
        <f aca="false">Summary!C292</f>
        <v>Gas Recovery</v>
      </c>
      <c r="D290" s="32" t="n">
        <f aca="false">Summary!D292</f>
        <v>10.7231963095655</v>
      </c>
      <c r="E290" s="31" t="str">
        <f aca="false">Summary!E292</f>
        <v>MtCO2e</v>
      </c>
    </row>
    <row r="291" customFormat="false" ht="15" hidden="false" customHeight="true" outlineLevel="0" collapsed="false">
      <c r="A291" s="16" t="n">
        <f aca="false">Summary!A293</f>
        <v>2032</v>
      </c>
      <c r="B291" s="31" t="str">
        <f aca="false">Summary!B293</f>
        <v>Conditional</v>
      </c>
      <c r="C291" s="31" t="str">
        <f aca="false">Summary!C293</f>
        <v>Gas Recovery</v>
      </c>
      <c r="D291" s="32" t="n">
        <f aca="false">Summary!D293</f>
        <v>12.1231789362294</v>
      </c>
      <c r="E291" s="31" t="str">
        <f aca="false">Summary!E293</f>
        <v>MtCO2e</v>
      </c>
    </row>
    <row r="292" customFormat="false" ht="15" hidden="false" customHeight="true" outlineLevel="0" collapsed="false">
      <c r="A292" s="16" t="n">
        <f aca="false">Summary!A294</f>
        <v>2033</v>
      </c>
      <c r="B292" s="31" t="str">
        <f aca="false">Summary!B294</f>
        <v>Conditional</v>
      </c>
      <c r="C292" s="31" t="str">
        <f aca="false">Summary!C294</f>
        <v>Gas Recovery</v>
      </c>
      <c r="D292" s="32" t="n">
        <f aca="false">Summary!D294</f>
        <v>13.5420732021607</v>
      </c>
      <c r="E292" s="31" t="str">
        <f aca="false">Summary!E294</f>
        <v>MtCO2e</v>
      </c>
    </row>
    <row r="293" customFormat="false" ht="15" hidden="false" customHeight="true" outlineLevel="0" collapsed="false">
      <c r="A293" s="16" t="n">
        <f aca="false">Summary!A295</f>
        <v>2034</v>
      </c>
      <c r="B293" s="31" t="str">
        <f aca="false">Summary!B295</f>
        <v>Conditional</v>
      </c>
      <c r="C293" s="31" t="str">
        <f aca="false">Summary!C295</f>
        <v>Gas Recovery</v>
      </c>
      <c r="D293" s="32" t="n">
        <f aca="false">Summary!D295</f>
        <v>14.9807413324444</v>
      </c>
      <c r="E293" s="31" t="str">
        <f aca="false">Summary!E295</f>
        <v>MtCO2e</v>
      </c>
    </row>
    <row r="294" customFormat="false" ht="15" hidden="false" customHeight="true" outlineLevel="0" collapsed="false">
      <c r="A294" s="16" t="n">
        <f aca="false">Summary!A296</f>
        <v>2035</v>
      </c>
      <c r="B294" s="31" t="str">
        <f aca="false">Summary!B296</f>
        <v>Conditional</v>
      </c>
      <c r="C294" s="31" t="str">
        <f aca="false">Summary!C296</f>
        <v>Gas Recovery</v>
      </c>
      <c r="D294" s="32" t="n">
        <f aca="false">Summary!D296</f>
        <v>16.4396571009432</v>
      </c>
      <c r="E294" s="31" t="str">
        <f aca="false">Summary!E296</f>
        <v>MtCO2e</v>
      </c>
    </row>
    <row r="295" customFormat="false" ht="15" hidden="false" customHeight="true" outlineLevel="0" collapsed="false">
      <c r="A295" s="16" t="n">
        <f aca="false">Summary!A297</f>
        <v>2036</v>
      </c>
      <c r="B295" s="31" t="str">
        <f aca="false">Summary!B297</f>
        <v>Conditional</v>
      </c>
      <c r="C295" s="31" t="str">
        <f aca="false">Summary!C297</f>
        <v>Gas Recovery</v>
      </c>
      <c r="D295" s="32" t="n">
        <f aca="false">Summary!D297</f>
        <v>17.9188712828905</v>
      </c>
      <c r="E295" s="31" t="str">
        <f aca="false">Summary!E297</f>
        <v>MtCO2e</v>
      </c>
    </row>
    <row r="296" customFormat="false" ht="15" hidden="false" customHeight="true" outlineLevel="0" collapsed="false">
      <c r="A296" s="16" t="n">
        <f aca="false">Summary!A298</f>
        <v>2037</v>
      </c>
      <c r="B296" s="31" t="str">
        <f aca="false">Summary!B298</f>
        <v>Conditional</v>
      </c>
      <c r="C296" s="31" t="str">
        <f aca="false">Summary!C298</f>
        <v>Gas Recovery</v>
      </c>
      <c r="D296" s="32" t="n">
        <f aca="false">Summary!D298</f>
        <v>19.4179825765868</v>
      </c>
      <c r="E296" s="31" t="str">
        <f aca="false">Summary!E298</f>
        <v>MtCO2e</v>
      </c>
    </row>
    <row r="297" customFormat="false" ht="15" hidden="false" customHeight="true" outlineLevel="0" collapsed="false">
      <c r="A297" s="16" t="n">
        <f aca="false">Summary!A299</f>
        <v>2038</v>
      </c>
      <c r="B297" s="31" t="str">
        <f aca="false">Summary!B299</f>
        <v>Conditional</v>
      </c>
      <c r="C297" s="31" t="str">
        <f aca="false">Summary!C299</f>
        <v>Gas Recovery</v>
      </c>
      <c r="D297" s="32" t="n">
        <f aca="false">Summary!D299</f>
        <v>20.9362070790578</v>
      </c>
      <c r="E297" s="31" t="str">
        <f aca="false">Summary!E299</f>
        <v>MtCO2e</v>
      </c>
    </row>
    <row r="298" customFormat="false" ht="15" hidden="false" customHeight="true" outlineLevel="0" collapsed="false">
      <c r="A298" s="16" t="n">
        <f aca="false">Summary!A300</f>
        <v>2039</v>
      </c>
      <c r="B298" s="31" t="str">
        <f aca="false">Summary!B300</f>
        <v>Conditional</v>
      </c>
      <c r="C298" s="31" t="str">
        <f aca="false">Summary!C300</f>
        <v>Gas Recovery</v>
      </c>
      <c r="D298" s="32" t="n">
        <f aca="false">Summary!D300</f>
        <v>22.4724379494187</v>
      </c>
      <c r="E298" s="31" t="str">
        <f aca="false">Summary!E300</f>
        <v>MtCO2e</v>
      </c>
    </row>
    <row r="299" customFormat="false" ht="15" hidden="false" customHeight="true" outlineLevel="0" collapsed="false">
      <c r="A299" s="16" t="n">
        <f aca="false">Summary!A301</f>
        <v>2040</v>
      </c>
      <c r="B299" s="31" t="str">
        <f aca="false">Summary!B301</f>
        <v>Conditional</v>
      </c>
      <c r="C299" s="31" t="str">
        <f aca="false">Summary!C301</f>
        <v>Gas Recovery</v>
      </c>
      <c r="D299" s="32" t="n">
        <f aca="false">Summary!D301</f>
        <v>24.0253007836402</v>
      </c>
      <c r="E299" s="31" t="str">
        <f aca="false">Summary!E301</f>
        <v>MtCO2e</v>
      </c>
    </row>
    <row r="300" customFormat="false" ht="15" hidden="false" customHeight="true" outlineLevel="0" collapsed="false">
      <c r="A300" s="16" t="n">
        <f aca="false">Summary!A302</f>
        <v>2041</v>
      </c>
      <c r="B300" s="31" t="str">
        <f aca="false">Summary!B302</f>
        <v>Conditional</v>
      </c>
      <c r="C300" s="31" t="str">
        <f aca="false">Summary!C302</f>
        <v>Gas Recovery</v>
      </c>
      <c r="D300" s="32" t="n">
        <f aca="false">Summary!D302</f>
        <v>25.5932050523447</v>
      </c>
      <c r="E300" s="31" t="str">
        <f aca="false">Summary!E302</f>
        <v>MtCO2e</v>
      </c>
    </row>
    <row r="301" customFormat="false" ht="15" hidden="false" customHeight="true" outlineLevel="0" collapsed="false">
      <c r="A301" s="16" t="n">
        <f aca="false">Summary!A303</f>
        <v>2042</v>
      </c>
      <c r="B301" s="31" t="str">
        <f aca="false">Summary!B303</f>
        <v>Conditional</v>
      </c>
      <c r="C301" s="31" t="str">
        <f aca="false">Summary!C303</f>
        <v>Gas Recovery</v>
      </c>
      <c r="D301" s="32" t="n">
        <f aca="false">Summary!D303</f>
        <v>27.1743361891649</v>
      </c>
      <c r="E301" s="31" t="str">
        <f aca="false">Summary!E303</f>
        <v>MtCO2e</v>
      </c>
    </row>
    <row r="302" customFormat="false" ht="15" hidden="false" customHeight="true" outlineLevel="0" collapsed="false">
      <c r="A302" s="16" t="n">
        <f aca="false">Summary!A304</f>
        <v>2043</v>
      </c>
      <c r="B302" s="31" t="str">
        <f aca="false">Summary!B304</f>
        <v>Conditional</v>
      </c>
      <c r="C302" s="31" t="str">
        <f aca="false">Summary!C304</f>
        <v>Gas Recovery</v>
      </c>
      <c r="D302" s="32" t="n">
        <f aca="false">Summary!D304</f>
        <v>28.7668097995722</v>
      </c>
      <c r="E302" s="31" t="str">
        <f aca="false">Summary!E304</f>
        <v>MtCO2e</v>
      </c>
    </row>
    <row r="303" customFormat="false" ht="15" hidden="false" customHeight="true" outlineLevel="0" collapsed="false">
      <c r="A303" s="16" t="n">
        <f aca="false">Summary!A305</f>
        <v>2044</v>
      </c>
      <c r="B303" s="31" t="str">
        <f aca="false">Summary!B305</f>
        <v>Conditional</v>
      </c>
      <c r="C303" s="31" t="str">
        <f aca="false">Summary!C305</f>
        <v>Gas Recovery</v>
      </c>
      <c r="D303" s="32" t="n">
        <f aca="false">Summary!D305</f>
        <v>30.3688001562069</v>
      </c>
      <c r="E303" s="31" t="str">
        <f aca="false">Summary!E305</f>
        <v>MtCO2e</v>
      </c>
    </row>
    <row r="304" customFormat="false" ht="15" hidden="false" customHeight="true" outlineLevel="0" collapsed="false">
      <c r="A304" s="16" t="n">
        <f aca="false">Summary!A306</f>
        <v>2045</v>
      </c>
      <c r="B304" s="31" t="str">
        <f aca="false">Summary!B306</f>
        <v>Conditional</v>
      </c>
      <c r="C304" s="31" t="str">
        <f aca="false">Summary!C306</f>
        <v>Gas Recovery</v>
      </c>
      <c r="D304" s="32" t="n">
        <f aca="false">Summary!D306</f>
        <v>31.978404375743</v>
      </c>
      <c r="E304" s="31" t="str">
        <f aca="false">Summary!E306</f>
        <v>MtCO2e</v>
      </c>
    </row>
    <row r="305" customFormat="false" ht="15" hidden="false" customHeight="true" outlineLevel="0" collapsed="false">
      <c r="A305" s="16" t="n">
        <f aca="false">Summary!A307</f>
        <v>2046</v>
      </c>
      <c r="B305" s="31" t="str">
        <f aca="false">Summary!B307</f>
        <v>Conditional</v>
      </c>
      <c r="C305" s="31" t="str">
        <f aca="false">Summary!C307</f>
        <v>Gas Recovery</v>
      </c>
      <c r="D305" s="32" t="n">
        <f aca="false">Summary!D307</f>
        <v>33.5937949396084</v>
      </c>
      <c r="E305" s="31" t="str">
        <f aca="false">Summary!E307</f>
        <v>MtCO2e</v>
      </c>
    </row>
    <row r="306" customFormat="false" ht="15" hidden="false" customHeight="true" outlineLevel="0" collapsed="false">
      <c r="A306" s="16" t="n">
        <f aca="false">Summary!A308</f>
        <v>2047</v>
      </c>
      <c r="B306" s="31" t="str">
        <f aca="false">Summary!B308</f>
        <v>Conditional</v>
      </c>
      <c r="C306" s="31" t="str">
        <f aca="false">Summary!C308</f>
        <v>Gas Recovery</v>
      </c>
      <c r="D306" s="32" t="n">
        <f aca="false">Summary!D308</f>
        <v>34.8085361108952</v>
      </c>
      <c r="E306" s="31" t="str">
        <f aca="false">Summary!E308</f>
        <v>MtCO2e</v>
      </c>
    </row>
    <row r="307" customFormat="false" ht="15" hidden="false" customHeight="true" outlineLevel="0" collapsed="false">
      <c r="A307" s="16" t="n">
        <f aca="false">Summary!A309</f>
        <v>2048</v>
      </c>
      <c r="B307" s="31" t="str">
        <f aca="false">Summary!B309</f>
        <v>Conditional</v>
      </c>
      <c r="C307" s="31" t="str">
        <f aca="false">Summary!C309</f>
        <v>Gas Recovery</v>
      </c>
      <c r="D307" s="32" t="n">
        <f aca="false">Summary!D309</f>
        <v>34.9903392175294</v>
      </c>
      <c r="E307" s="31" t="str">
        <f aca="false">Summary!E309</f>
        <v>MtCO2e</v>
      </c>
    </row>
    <row r="308" customFormat="false" ht="15" hidden="false" customHeight="true" outlineLevel="0" collapsed="false">
      <c r="A308" s="16" t="n">
        <f aca="false">Summary!A310</f>
        <v>2049</v>
      </c>
      <c r="B308" s="31" t="str">
        <f aca="false">Summary!B310</f>
        <v>Conditional</v>
      </c>
      <c r="C308" s="31" t="str">
        <f aca="false">Summary!C310</f>
        <v>Gas Recovery</v>
      </c>
      <c r="D308" s="32" t="n">
        <f aca="false">Summary!D310</f>
        <v>35.005021286645</v>
      </c>
      <c r="E308" s="31" t="str">
        <f aca="false">Summary!E310</f>
        <v>MtCO2e</v>
      </c>
    </row>
    <row r="309" customFormat="false" ht="15" hidden="false" customHeight="true" outlineLevel="0" collapsed="false">
      <c r="A309" s="16" t="n">
        <f aca="false">Summary!A311</f>
        <v>2050</v>
      </c>
      <c r="B309" s="31" t="str">
        <f aca="false">Summary!B311</f>
        <v>Conditional</v>
      </c>
      <c r="C309" s="31" t="str">
        <f aca="false">Summary!C311</f>
        <v>Gas Recovery</v>
      </c>
      <c r="D309" s="32" t="n">
        <f aca="false">Summary!D311</f>
        <v>35.005021286645</v>
      </c>
      <c r="E309" s="31" t="str">
        <f aca="false">Summary!E311</f>
        <v>MtCO2e</v>
      </c>
    </row>
    <row r="310" customFormat="false" ht="15" hidden="false" customHeight="true" outlineLevel="0" collapsed="false">
      <c r="A310" s="16" t="n">
        <f aca="false">Summary!A312</f>
        <v>2023</v>
      </c>
      <c r="B310" s="31" t="str">
        <f aca="false">Summary!B312</f>
        <v>BAU</v>
      </c>
      <c r="C310" s="31" t="str">
        <f aca="false">Summary!C312</f>
        <v>Fugitive</v>
      </c>
      <c r="D310" s="32" t="n">
        <f aca="false">Summary!D312</f>
        <v>12.568650140783</v>
      </c>
      <c r="E310" s="31" t="str">
        <f aca="false">Summary!E312</f>
        <v>MMcfd</v>
      </c>
    </row>
    <row r="311" customFormat="false" ht="15" hidden="false" customHeight="true" outlineLevel="0" collapsed="false">
      <c r="A311" s="16" t="n">
        <f aca="false">Summary!A313</f>
        <v>2024</v>
      </c>
      <c r="B311" s="31" t="str">
        <f aca="false">Summary!B313</f>
        <v>BAU</v>
      </c>
      <c r="C311" s="31" t="str">
        <f aca="false">Summary!C313</f>
        <v>Fugitive</v>
      </c>
      <c r="D311" s="32" t="n">
        <f aca="false">Summary!D313</f>
        <v>12.4712701703431</v>
      </c>
      <c r="E311" s="31" t="str">
        <f aca="false">Summary!E313</f>
        <v>MMcfd</v>
      </c>
    </row>
    <row r="312" customFormat="false" ht="15" hidden="false" customHeight="true" outlineLevel="0" collapsed="false">
      <c r="A312" s="16" t="n">
        <f aca="false">Summary!A314</f>
        <v>2025</v>
      </c>
      <c r="B312" s="31" t="str">
        <f aca="false">Summary!B314</f>
        <v>BAU</v>
      </c>
      <c r="C312" s="31" t="str">
        <f aca="false">Summary!C314</f>
        <v>Fugitive</v>
      </c>
      <c r="D312" s="32" t="n">
        <f aca="false">Summary!D314</f>
        <v>12.3720049068414</v>
      </c>
      <c r="E312" s="31" t="str">
        <f aca="false">Summary!E314</f>
        <v>MMcfd</v>
      </c>
    </row>
    <row r="313" customFormat="false" ht="15" hidden="false" customHeight="true" outlineLevel="0" collapsed="false">
      <c r="A313" s="16" t="n">
        <f aca="false">Summary!A315</f>
        <v>2026</v>
      </c>
      <c r="B313" s="31" t="str">
        <f aca="false">Summary!B315</f>
        <v>BAU</v>
      </c>
      <c r="C313" s="31" t="str">
        <f aca="false">Summary!C315</f>
        <v>Fugitive</v>
      </c>
      <c r="D313" s="32" t="n">
        <f aca="false">Summary!D315</f>
        <v>12.2668058846115</v>
      </c>
      <c r="E313" s="31" t="str">
        <f aca="false">Summary!E315</f>
        <v>MMcfd</v>
      </c>
    </row>
    <row r="314" customFormat="false" ht="15" hidden="false" customHeight="true" outlineLevel="0" collapsed="false">
      <c r="A314" s="16" t="n">
        <f aca="false">Summary!A316</f>
        <v>2027</v>
      </c>
      <c r="B314" s="31" t="str">
        <f aca="false">Summary!B316</f>
        <v>BAU</v>
      </c>
      <c r="C314" s="31" t="str">
        <f aca="false">Summary!C316</f>
        <v>Fugitive</v>
      </c>
      <c r="D314" s="32" t="n">
        <f aca="false">Summary!D316</f>
        <v>12.1509367655296</v>
      </c>
      <c r="E314" s="31" t="str">
        <f aca="false">Summary!E316</f>
        <v>MMcfd</v>
      </c>
    </row>
    <row r="315" customFormat="false" ht="15" hidden="false" customHeight="true" outlineLevel="0" collapsed="false">
      <c r="A315" s="16" t="n">
        <f aca="false">Summary!A317</f>
        <v>2028</v>
      </c>
      <c r="B315" s="31" t="str">
        <f aca="false">Summary!B317</f>
        <v>BAU</v>
      </c>
      <c r="C315" s="31" t="str">
        <f aca="false">Summary!C317</f>
        <v>Fugitive</v>
      </c>
      <c r="D315" s="32" t="n">
        <f aca="false">Summary!D317</f>
        <v>12.0194169340539</v>
      </c>
      <c r="E315" s="31" t="str">
        <f aca="false">Summary!E317</f>
        <v>MMcfd</v>
      </c>
    </row>
    <row r="316" customFormat="false" ht="15" hidden="false" customHeight="true" outlineLevel="0" collapsed="false">
      <c r="A316" s="16" t="n">
        <f aca="false">Summary!A318</f>
        <v>2029</v>
      </c>
      <c r="B316" s="31" t="str">
        <f aca="false">Summary!B318</f>
        <v>BAU</v>
      </c>
      <c r="C316" s="31" t="str">
        <f aca="false">Summary!C318</f>
        <v>Fugitive</v>
      </c>
      <c r="D316" s="32" t="n">
        <f aca="false">Summary!D318</f>
        <v>11.8674284291034</v>
      </c>
      <c r="E316" s="31" t="str">
        <f aca="false">Summary!E318</f>
        <v>MMcfd</v>
      </c>
    </row>
    <row r="317" customFormat="false" ht="15" hidden="false" customHeight="true" outlineLevel="0" collapsed="false">
      <c r="A317" s="16" t="n">
        <f aca="false">Summary!A319</f>
        <v>2030</v>
      </c>
      <c r="B317" s="31" t="str">
        <f aca="false">Summary!B319</f>
        <v>BAU</v>
      </c>
      <c r="C317" s="31" t="str">
        <f aca="false">Summary!C319</f>
        <v>Fugitive</v>
      </c>
      <c r="D317" s="32" t="n">
        <f aca="false">Summary!D319</f>
        <v>11.6906888152974</v>
      </c>
      <c r="E317" s="31" t="str">
        <f aca="false">Summary!E319</f>
        <v>MMcfd</v>
      </c>
    </row>
    <row r="318" customFormat="false" ht="15" hidden="false" customHeight="true" outlineLevel="0" collapsed="false">
      <c r="A318" s="16" t="n">
        <f aca="false">Summary!A320</f>
        <v>2031</v>
      </c>
      <c r="B318" s="31" t="str">
        <f aca="false">Summary!B320</f>
        <v>BAU</v>
      </c>
      <c r="C318" s="31" t="str">
        <f aca="false">Summary!C320</f>
        <v>Fugitive</v>
      </c>
      <c r="D318" s="32" t="n">
        <f aca="false">Summary!D320</f>
        <v>11.4857719986216</v>
      </c>
      <c r="E318" s="31" t="str">
        <f aca="false">Summary!E320</f>
        <v>MMcfd</v>
      </c>
    </row>
    <row r="319" customFormat="false" ht="15" hidden="false" customHeight="true" outlineLevel="0" collapsed="false">
      <c r="A319" s="16" t="n">
        <f aca="false">Summary!A321</f>
        <v>2032</v>
      </c>
      <c r="B319" s="31" t="str">
        <f aca="false">Summary!B321</f>
        <v>BAU</v>
      </c>
      <c r="C319" s="31" t="str">
        <f aca="false">Summary!C321</f>
        <v>Fugitive</v>
      </c>
      <c r="D319" s="32" t="n">
        <f aca="false">Summary!D321</f>
        <v>11.2504204480266</v>
      </c>
      <c r="E319" s="31" t="str">
        <f aca="false">Summary!E321</f>
        <v>MMcfd</v>
      </c>
    </row>
    <row r="320" customFormat="false" ht="15" hidden="false" customHeight="true" outlineLevel="0" collapsed="false">
      <c r="A320" s="16" t="n">
        <f aca="false">Summary!A322</f>
        <v>2033</v>
      </c>
      <c r="B320" s="31" t="str">
        <f aca="false">Summary!B322</f>
        <v>BAU</v>
      </c>
      <c r="C320" s="31" t="str">
        <f aca="false">Summary!C322</f>
        <v>Fugitive</v>
      </c>
      <c r="D320" s="32" t="n">
        <f aca="false">Summary!D322</f>
        <v>10.9833874654432</v>
      </c>
      <c r="E320" s="31" t="str">
        <f aca="false">Summary!E322</f>
        <v>MMcfd</v>
      </c>
    </row>
    <row r="321" customFormat="false" ht="15" hidden="false" customHeight="true" outlineLevel="0" collapsed="false">
      <c r="A321" s="16" t="n">
        <f aca="false">Summary!A323</f>
        <v>2034</v>
      </c>
      <c r="B321" s="31" t="str">
        <f aca="false">Summary!B323</f>
        <v>BAU</v>
      </c>
      <c r="C321" s="31" t="str">
        <f aca="false">Summary!C323</f>
        <v>Fugitive</v>
      </c>
      <c r="D321" s="32" t="n">
        <f aca="false">Summary!D323</f>
        <v>10.6842908046938</v>
      </c>
      <c r="E321" s="31" t="str">
        <f aca="false">Summary!E323</f>
        <v>MMcfd</v>
      </c>
    </row>
    <row r="322" customFormat="false" ht="15" hidden="false" customHeight="true" outlineLevel="0" collapsed="false">
      <c r="A322" s="16" t="n">
        <f aca="false">Summary!A324</f>
        <v>2035</v>
      </c>
      <c r="B322" s="31" t="str">
        <f aca="false">Summary!B324</f>
        <v>BAU</v>
      </c>
      <c r="C322" s="31" t="str">
        <f aca="false">Summary!C324</f>
        <v>Fugitive</v>
      </c>
      <c r="D322" s="32" t="n">
        <f aca="false">Summary!D324</f>
        <v>10.35347832101</v>
      </c>
      <c r="E322" s="31" t="str">
        <f aca="false">Summary!E324</f>
        <v>MMcfd</v>
      </c>
    </row>
    <row r="323" customFormat="false" ht="15" hidden="false" customHeight="true" outlineLevel="0" collapsed="false">
      <c r="A323" s="16" t="n">
        <f aca="false">Summary!A325</f>
        <v>2036</v>
      </c>
      <c r="B323" s="31" t="str">
        <f aca="false">Summary!B325</f>
        <v>BAU</v>
      </c>
      <c r="C323" s="31" t="str">
        <f aca="false">Summary!C325</f>
        <v>Fugitive</v>
      </c>
      <c r="D323" s="32" t="n">
        <f aca="false">Summary!D325</f>
        <v>9.99190576565835</v>
      </c>
      <c r="E323" s="31" t="str">
        <f aca="false">Summary!E325</f>
        <v>MMcfd</v>
      </c>
    </row>
    <row r="324" customFormat="false" ht="15" hidden="false" customHeight="true" outlineLevel="0" collapsed="false">
      <c r="A324" s="16" t="n">
        <f aca="false">Summary!A326</f>
        <v>2037</v>
      </c>
      <c r="B324" s="31" t="str">
        <f aca="false">Summary!B326</f>
        <v>BAU</v>
      </c>
      <c r="C324" s="31" t="str">
        <f aca="false">Summary!C326</f>
        <v>Fugitive</v>
      </c>
      <c r="D324" s="32" t="n">
        <f aca="false">Summary!D326</f>
        <v>9.60102644948603</v>
      </c>
      <c r="E324" s="31" t="str">
        <f aca="false">Summary!E326</f>
        <v>MMcfd</v>
      </c>
    </row>
    <row r="325" customFormat="false" ht="15" hidden="false" customHeight="true" outlineLevel="0" collapsed="false">
      <c r="A325" s="16" t="n">
        <f aca="false">Summary!A327</f>
        <v>2038</v>
      </c>
      <c r="B325" s="31" t="str">
        <f aca="false">Summary!B327</f>
        <v>BAU</v>
      </c>
      <c r="C325" s="31" t="str">
        <f aca="false">Summary!C327</f>
        <v>Fugitive</v>
      </c>
      <c r="D325" s="32" t="n">
        <f aca="false">Summary!D327</f>
        <v>9.18269204527847</v>
      </c>
      <c r="E325" s="31" t="str">
        <f aca="false">Summary!E327</f>
        <v>MMcfd</v>
      </c>
    </row>
    <row r="326" customFormat="false" ht="15" hidden="false" customHeight="true" outlineLevel="0" collapsed="false">
      <c r="A326" s="16" t="n">
        <f aca="false">Summary!A328</f>
        <v>2039</v>
      </c>
      <c r="B326" s="31" t="str">
        <f aca="false">Summary!B328</f>
        <v>BAU</v>
      </c>
      <c r="C326" s="31" t="str">
        <f aca="false">Summary!C328</f>
        <v>Fugitive</v>
      </c>
      <c r="D326" s="32" t="n">
        <f aca="false">Summary!D328</f>
        <v>8.73906350819175</v>
      </c>
      <c r="E326" s="31" t="str">
        <f aca="false">Summary!E328</f>
        <v>MMcfd</v>
      </c>
    </row>
    <row r="327" customFormat="false" ht="15" hidden="false" customHeight="true" outlineLevel="0" collapsed="false">
      <c r="A327" s="16" t="n">
        <f aca="false">Summary!A329</f>
        <v>2040</v>
      </c>
      <c r="B327" s="31" t="str">
        <f aca="false">Summary!B329</f>
        <v>BAU</v>
      </c>
      <c r="C327" s="31" t="str">
        <f aca="false">Summary!C329</f>
        <v>Fugitive</v>
      </c>
      <c r="D327" s="32" t="n">
        <f aca="false">Summary!D329</f>
        <v>8.27253084105885</v>
      </c>
      <c r="E327" s="31" t="str">
        <f aca="false">Summary!E329</f>
        <v>MMcfd</v>
      </c>
    </row>
    <row r="328" customFormat="false" ht="15" hidden="false" customHeight="true" outlineLevel="0" collapsed="false">
      <c r="A328" s="16" t="n">
        <f aca="false">Summary!A330</f>
        <v>2041</v>
      </c>
      <c r="B328" s="31" t="str">
        <f aca="false">Summary!B330</f>
        <v>BAU</v>
      </c>
      <c r="C328" s="31" t="str">
        <f aca="false">Summary!C330</f>
        <v>Fugitive</v>
      </c>
      <c r="D328" s="32" t="n">
        <f aca="false">Summary!D330</f>
        <v>7.78564025236985</v>
      </c>
      <c r="E328" s="31" t="str">
        <f aca="false">Summary!E330</f>
        <v>MMcfd</v>
      </c>
    </row>
    <row r="329" customFormat="false" ht="15" hidden="false" customHeight="true" outlineLevel="0" collapsed="false">
      <c r="A329" s="16" t="n">
        <f aca="false">Summary!A331</f>
        <v>2042</v>
      </c>
      <c r="B329" s="31" t="str">
        <f aca="false">Summary!B331</f>
        <v>BAU</v>
      </c>
      <c r="C329" s="31" t="str">
        <f aca="false">Summary!C331</f>
        <v>Fugitive</v>
      </c>
      <c r="D329" s="32" t="n">
        <f aca="false">Summary!D331</f>
        <v>7.28102705548299</v>
      </c>
      <c r="E329" s="31" t="str">
        <f aca="false">Summary!E331</f>
        <v>MMcfd</v>
      </c>
    </row>
    <row r="330" customFormat="false" ht="15" hidden="false" customHeight="true" outlineLevel="0" collapsed="false">
      <c r="A330" s="16" t="n">
        <f aca="false">Summary!A332</f>
        <v>2043</v>
      </c>
      <c r="B330" s="31" t="str">
        <f aca="false">Summary!B332</f>
        <v>BAU</v>
      </c>
      <c r="C330" s="31" t="str">
        <f aca="false">Summary!C332</f>
        <v>Fugitive</v>
      </c>
      <c r="D330" s="32" t="n">
        <f aca="false">Summary!D332</f>
        <v>6.76135519107004</v>
      </c>
      <c r="E330" s="31" t="str">
        <f aca="false">Summary!E332</f>
        <v>MMcfd</v>
      </c>
    </row>
    <row r="331" customFormat="false" ht="15" hidden="false" customHeight="true" outlineLevel="0" collapsed="false">
      <c r="A331" s="16" t="n">
        <f aca="false">Summary!A333</f>
        <v>2044</v>
      </c>
      <c r="B331" s="31" t="str">
        <f aca="false">Summary!B333</f>
        <v>BAU</v>
      </c>
      <c r="C331" s="31" t="str">
        <f aca="false">Summary!C333</f>
        <v>Fugitive</v>
      </c>
      <c r="D331" s="32" t="n">
        <f aca="false">Summary!D333</f>
        <v>6.22926002664924</v>
      </c>
      <c r="E331" s="31" t="str">
        <f aca="false">Summary!E333</f>
        <v>MMcfd</v>
      </c>
    </row>
    <row r="332" customFormat="false" ht="15" hidden="false" customHeight="true" outlineLevel="0" collapsed="false">
      <c r="A332" s="16" t="n">
        <f aca="false">Summary!A334</f>
        <v>2045</v>
      </c>
      <c r="B332" s="31" t="str">
        <f aca="false">Summary!B334</f>
        <v>BAU</v>
      </c>
      <c r="C332" s="31" t="str">
        <f aca="false">Summary!C334</f>
        <v>Fugitive</v>
      </c>
      <c r="D332" s="32" t="n">
        <f aca="false">Summary!D334</f>
        <v>5.6872912689069</v>
      </c>
      <c r="E332" s="31" t="str">
        <f aca="false">Summary!E334</f>
        <v>MMcfd</v>
      </c>
    </row>
    <row r="333" customFormat="false" ht="15" hidden="false" customHeight="true" outlineLevel="0" collapsed="false">
      <c r="A333" s="16" t="n">
        <f aca="false">Summary!A335</f>
        <v>2046</v>
      </c>
      <c r="B333" s="31" t="str">
        <f aca="false">Summary!B335</f>
        <v>BAU</v>
      </c>
      <c r="C333" s="31" t="str">
        <f aca="false">Summary!C335</f>
        <v>Fugitive</v>
      </c>
      <c r="D333" s="32" t="n">
        <f aca="false">Summary!D335</f>
        <v>5.13785417315026</v>
      </c>
      <c r="E333" s="31" t="str">
        <f aca="false">Summary!E335</f>
        <v>MMcfd</v>
      </c>
    </row>
    <row r="334" customFormat="false" ht="15" hidden="false" customHeight="true" outlineLevel="0" collapsed="false">
      <c r="A334" s="16" t="n">
        <f aca="false">Summary!A336</f>
        <v>2047</v>
      </c>
      <c r="B334" s="31" t="str">
        <f aca="false">Summary!B336</f>
        <v>BAU</v>
      </c>
      <c r="C334" s="31" t="str">
        <f aca="false">Summary!C336</f>
        <v>Fugitive</v>
      </c>
      <c r="D334" s="32" t="n">
        <f aca="false">Summary!D336</f>
        <v>4.58314727225156</v>
      </c>
      <c r="E334" s="31" t="str">
        <f aca="false">Summary!E336</f>
        <v>MMcfd</v>
      </c>
    </row>
    <row r="335" customFormat="false" ht="15" hidden="false" customHeight="true" outlineLevel="0" collapsed="false">
      <c r="A335" s="16" t="n">
        <f aca="false">Summary!A337</f>
        <v>2048</v>
      </c>
      <c r="B335" s="31" t="str">
        <f aca="false">Summary!B337</f>
        <v>BAU</v>
      </c>
      <c r="C335" s="31" t="str">
        <f aca="false">Summary!C337</f>
        <v>Fugitive</v>
      </c>
      <c r="D335" s="32" t="n">
        <f aca="false">Summary!D337</f>
        <v>4.02509495721582</v>
      </c>
      <c r="E335" s="31" t="str">
        <f aca="false">Summary!E337</f>
        <v>MMcfd</v>
      </c>
    </row>
    <row r="336" customFormat="false" ht="15" hidden="false" customHeight="true" outlineLevel="0" collapsed="false">
      <c r="A336" s="16" t="n">
        <f aca="false">Summary!A338</f>
        <v>2049</v>
      </c>
      <c r="B336" s="31" t="str">
        <f aca="false">Summary!B338</f>
        <v>BAU</v>
      </c>
      <c r="C336" s="31" t="str">
        <f aca="false">Summary!C338</f>
        <v>Fugitive</v>
      </c>
      <c r="D336" s="32" t="n">
        <f aca="false">Summary!D338</f>
        <v>3.46527335338069</v>
      </c>
      <c r="E336" s="31" t="str">
        <f aca="false">Summary!E338</f>
        <v>MMcfd</v>
      </c>
    </row>
    <row r="337" customFormat="false" ht="15" hidden="false" customHeight="true" outlineLevel="0" collapsed="false">
      <c r="A337" s="16" t="n">
        <f aca="false">Summary!A339</f>
        <v>2050</v>
      </c>
      <c r="B337" s="31" t="str">
        <f aca="false">Summary!B339</f>
        <v>BAU</v>
      </c>
      <c r="C337" s="31" t="str">
        <f aca="false">Summary!C339</f>
        <v>Fugitive</v>
      </c>
      <c r="D337" s="32" t="n">
        <f aca="false">Summary!D339</f>
        <v>3.46388228584553</v>
      </c>
      <c r="E337" s="31" t="str">
        <f aca="false">Summary!E339</f>
        <v>MMcfd</v>
      </c>
    </row>
    <row r="338" customFormat="false" ht="15" hidden="false" customHeight="true" outlineLevel="0" collapsed="false">
      <c r="A338" s="16" t="n">
        <f aca="false">Summary!A340</f>
        <v>2023</v>
      </c>
      <c r="B338" s="31" t="str">
        <f aca="false">Summary!B340</f>
        <v>BAU</v>
      </c>
      <c r="C338" s="31" t="str">
        <f aca="false">Summary!C340</f>
        <v>Venting</v>
      </c>
      <c r="D338" s="32" t="n">
        <f aca="false">Summary!D340</f>
        <v>38.8325644977816</v>
      </c>
      <c r="E338" s="31" t="str">
        <f aca="false">Summary!E340</f>
        <v>MMcfd</v>
      </c>
    </row>
    <row r="339" customFormat="false" ht="15" hidden="false" customHeight="true" outlineLevel="0" collapsed="false">
      <c r="A339" s="16" t="n">
        <f aca="false">Summary!A341</f>
        <v>2024</v>
      </c>
      <c r="B339" s="31" t="str">
        <f aca="false">Summary!B341</f>
        <v>BAU</v>
      </c>
      <c r="C339" s="31" t="str">
        <f aca="false">Summary!C341</f>
        <v>Venting</v>
      </c>
      <c r="D339" s="32" t="n">
        <f aca="false">Summary!D341</f>
        <v>38.5461171651694</v>
      </c>
      <c r="E339" s="31" t="str">
        <f aca="false">Summary!E341</f>
        <v>MMcfd</v>
      </c>
    </row>
    <row r="340" customFormat="false" ht="15" hidden="false" customHeight="true" outlineLevel="0" collapsed="false">
      <c r="A340" s="16" t="n">
        <f aca="false">Summary!A342</f>
        <v>2025</v>
      </c>
      <c r="B340" s="31" t="str">
        <f aca="false">Summary!B342</f>
        <v>BAU</v>
      </c>
      <c r="C340" s="31" t="str">
        <f aca="false">Summary!C342</f>
        <v>Venting</v>
      </c>
      <c r="D340" s="32" t="n">
        <f aca="false">Summary!D342</f>
        <v>38.2530462735973</v>
      </c>
      <c r="E340" s="31" t="str">
        <f aca="false">Summary!E342</f>
        <v>MMcfd</v>
      </c>
    </row>
    <row r="341" customFormat="false" ht="15" hidden="false" customHeight="true" outlineLevel="0" collapsed="false">
      <c r="A341" s="16" t="n">
        <f aca="false">Summary!A343</f>
        <v>2026</v>
      </c>
      <c r="B341" s="31" t="str">
        <f aca="false">Summary!B343</f>
        <v>BAU</v>
      </c>
      <c r="C341" s="31" t="str">
        <f aca="false">Summary!C343</f>
        <v>Venting</v>
      </c>
      <c r="D341" s="32" t="n">
        <f aca="false">Summary!D343</f>
        <v>37.9391147841216</v>
      </c>
      <c r="E341" s="31" t="str">
        <f aca="false">Summary!E343</f>
        <v>MMcfd</v>
      </c>
    </row>
    <row r="342" customFormat="false" ht="15" hidden="false" customHeight="true" outlineLevel="0" collapsed="false">
      <c r="A342" s="16" t="n">
        <f aca="false">Summary!A344</f>
        <v>2027</v>
      </c>
      <c r="B342" s="31" t="str">
        <f aca="false">Summary!B344</f>
        <v>BAU</v>
      </c>
      <c r="C342" s="31" t="str">
        <f aca="false">Summary!C344</f>
        <v>Venting</v>
      </c>
      <c r="D342" s="32" t="n">
        <f aca="false">Summary!D344</f>
        <v>37.5871211196652</v>
      </c>
      <c r="E342" s="31" t="str">
        <f aca="false">Summary!E344</f>
        <v>MMcfd</v>
      </c>
    </row>
    <row r="343" customFormat="false" ht="15" hidden="false" customHeight="true" outlineLevel="0" collapsed="false">
      <c r="A343" s="16" t="n">
        <f aca="false">Summary!A345</f>
        <v>2028</v>
      </c>
      <c r="B343" s="31" t="str">
        <f aca="false">Summary!B345</f>
        <v>BAU</v>
      </c>
      <c r="C343" s="31" t="str">
        <f aca="false">Summary!C345</f>
        <v>Venting</v>
      </c>
      <c r="D343" s="32" t="n">
        <f aca="false">Summary!D345</f>
        <v>37.1790011569091</v>
      </c>
      <c r="E343" s="31" t="str">
        <f aca="false">Summary!E345</f>
        <v>MMcfd</v>
      </c>
    </row>
    <row r="344" customFormat="false" ht="15" hidden="false" customHeight="true" outlineLevel="0" collapsed="false">
      <c r="A344" s="16" t="n">
        <f aca="false">Summary!A346</f>
        <v>2029</v>
      </c>
      <c r="B344" s="31" t="str">
        <f aca="false">Summary!B346</f>
        <v>BAU</v>
      </c>
      <c r="C344" s="31" t="str">
        <f aca="false">Summary!C346</f>
        <v>Venting</v>
      </c>
      <c r="D344" s="32" t="n">
        <f aca="false">Summary!D346</f>
        <v>36.6979547518339</v>
      </c>
      <c r="E344" s="31" t="str">
        <f aca="false">Summary!E346</f>
        <v>MMcfd</v>
      </c>
    </row>
    <row r="345" customFormat="false" ht="15" hidden="false" customHeight="true" outlineLevel="0" collapsed="false">
      <c r="A345" s="16" t="n">
        <f aca="false">Summary!A347</f>
        <v>2030</v>
      </c>
      <c r="B345" s="31" t="str">
        <f aca="false">Summary!B347</f>
        <v>BAU</v>
      </c>
      <c r="C345" s="31" t="str">
        <f aca="false">Summary!C347</f>
        <v>Venting</v>
      </c>
      <c r="D345" s="32" t="n">
        <f aca="false">Summary!D347</f>
        <v>36.1294241419277</v>
      </c>
      <c r="E345" s="31" t="str">
        <f aca="false">Summary!E347</f>
        <v>MMcfd</v>
      </c>
    </row>
    <row r="346" customFormat="false" ht="15" hidden="false" customHeight="true" outlineLevel="0" collapsed="false">
      <c r="A346" s="16" t="n">
        <f aca="false">Summary!A348</f>
        <v>2031</v>
      </c>
      <c r="B346" s="31" t="str">
        <f aca="false">Summary!B348</f>
        <v>BAU</v>
      </c>
      <c r="C346" s="31" t="str">
        <f aca="false">Summary!C348</f>
        <v>Venting</v>
      </c>
      <c r="D346" s="32" t="n">
        <f aca="false">Summary!D348</f>
        <v>35.4619972472921</v>
      </c>
      <c r="E346" s="31" t="str">
        <f aca="false">Summary!E348</f>
        <v>MMcfd</v>
      </c>
    </row>
    <row r="347" customFormat="false" ht="15" hidden="false" customHeight="true" outlineLevel="0" collapsed="false">
      <c r="A347" s="16" t="n">
        <f aca="false">Summary!A349</f>
        <v>2032</v>
      </c>
      <c r="B347" s="31" t="str">
        <f aca="false">Summary!B349</f>
        <v>BAU</v>
      </c>
      <c r="C347" s="31" t="str">
        <f aca="false">Summary!C349</f>
        <v>Venting</v>
      </c>
      <c r="D347" s="32" t="n">
        <f aca="false">Summary!D349</f>
        <v>34.6882403451397</v>
      </c>
      <c r="E347" s="31" t="str">
        <f aca="false">Summary!E349</f>
        <v>MMcfd</v>
      </c>
    </row>
    <row r="348" customFormat="false" ht="15" hidden="false" customHeight="true" outlineLevel="0" collapsed="false">
      <c r="A348" s="16" t="n">
        <f aca="false">Summary!A350</f>
        <v>2033</v>
      </c>
      <c r="B348" s="31" t="str">
        <f aca="false">Summary!B350</f>
        <v>BAU</v>
      </c>
      <c r="C348" s="31" t="str">
        <f aca="false">Summary!C350</f>
        <v>Venting</v>
      </c>
      <c r="D348" s="32" t="n">
        <f aca="false">Summary!D350</f>
        <v>33.8041540974426</v>
      </c>
      <c r="E348" s="31" t="str">
        <f aca="false">Summary!E350</f>
        <v>MMcfd</v>
      </c>
    </row>
    <row r="349" customFormat="false" ht="15" hidden="false" customHeight="true" outlineLevel="0" collapsed="false">
      <c r="A349" s="16" t="n">
        <f aca="false">Summary!A351</f>
        <v>2034</v>
      </c>
      <c r="B349" s="31" t="str">
        <f aca="false">Summary!B351</f>
        <v>BAU</v>
      </c>
      <c r="C349" s="31" t="str">
        <f aca="false">Summary!C351</f>
        <v>Venting</v>
      </c>
      <c r="D349" s="32" t="n">
        <f aca="false">Summary!D351</f>
        <v>32.8086703906818</v>
      </c>
      <c r="E349" s="31" t="str">
        <f aca="false">Summary!E351</f>
        <v>MMcfd</v>
      </c>
    </row>
    <row r="350" customFormat="false" ht="15" hidden="false" customHeight="true" outlineLevel="0" collapsed="false">
      <c r="A350" s="16" t="n">
        <f aca="false">Summary!A352</f>
        <v>2035</v>
      </c>
      <c r="B350" s="31" t="str">
        <f aca="false">Summary!B352</f>
        <v>BAU</v>
      </c>
      <c r="C350" s="31" t="str">
        <f aca="false">Summary!C352</f>
        <v>Venting</v>
      </c>
      <c r="D350" s="32" t="n">
        <f aca="false">Summary!D352</f>
        <v>31.7031919902653</v>
      </c>
      <c r="E350" s="31" t="str">
        <f aca="false">Summary!E352</f>
        <v>MMcfd</v>
      </c>
    </row>
    <row r="351" customFormat="false" ht="15" hidden="false" customHeight="true" outlineLevel="0" collapsed="false">
      <c r="A351" s="16" t="n">
        <f aca="false">Summary!A353</f>
        <v>2036</v>
      </c>
      <c r="B351" s="31" t="str">
        <f aca="false">Summary!B353</f>
        <v>BAU</v>
      </c>
      <c r="C351" s="31" t="str">
        <f aca="false">Summary!C353</f>
        <v>Venting</v>
      </c>
      <c r="D351" s="32" t="n">
        <f aca="false">Summary!D353</f>
        <v>30.4911751708996</v>
      </c>
      <c r="E351" s="31" t="str">
        <f aca="false">Summary!E353</f>
        <v>MMcfd</v>
      </c>
    </row>
    <row r="352" customFormat="false" ht="15" hidden="false" customHeight="true" outlineLevel="0" collapsed="false">
      <c r="A352" s="16" t="n">
        <f aca="false">Summary!A354</f>
        <v>2037</v>
      </c>
      <c r="B352" s="31" t="str">
        <f aca="false">Summary!B354</f>
        <v>BAU</v>
      </c>
      <c r="C352" s="31" t="str">
        <f aca="false">Summary!C354</f>
        <v>Venting</v>
      </c>
      <c r="D352" s="32" t="n">
        <f aca="false">Summary!D354</f>
        <v>29.1777539310988</v>
      </c>
      <c r="E352" s="31" t="str">
        <f aca="false">Summary!E354</f>
        <v>MMcfd</v>
      </c>
    </row>
    <row r="353" customFormat="false" ht="15" hidden="false" customHeight="true" outlineLevel="0" collapsed="false">
      <c r="A353" s="16" t="n">
        <f aca="false">Summary!A355</f>
        <v>2038</v>
      </c>
      <c r="B353" s="31" t="str">
        <f aca="false">Summary!B355</f>
        <v>BAU</v>
      </c>
      <c r="C353" s="31" t="str">
        <f aca="false">Summary!C355</f>
        <v>Venting</v>
      </c>
      <c r="D353" s="32" t="n">
        <f aca="false">Summary!D355</f>
        <v>27.769403106666</v>
      </c>
      <c r="E353" s="31" t="str">
        <f aca="false">Summary!E355</f>
        <v>MMcfd</v>
      </c>
    </row>
    <row r="354" customFormat="false" ht="15" hidden="false" customHeight="true" outlineLevel="0" collapsed="false">
      <c r="A354" s="16" t="n">
        <f aca="false">Summary!A356</f>
        <v>2039</v>
      </c>
      <c r="B354" s="31" t="str">
        <f aca="false">Summary!B356</f>
        <v>BAU</v>
      </c>
      <c r="C354" s="31" t="str">
        <f aca="false">Summary!C356</f>
        <v>Venting</v>
      </c>
      <c r="D354" s="32" t="n">
        <f aca="false">Summary!D356</f>
        <v>26.2736366399831</v>
      </c>
      <c r="E354" s="31" t="str">
        <f aca="false">Summary!E356</f>
        <v>MMcfd</v>
      </c>
    </row>
    <row r="355" customFormat="false" ht="15" hidden="false" customHeight="true" outlineLevel="0" collapsed="false">
      <c r="A355" s="16" t="n">
        <f aca="false">Summary!A357</f>
        <v>2040</v>
      </c>
      <c r="B355" s="31" t="str">
        <f aca="false">Summary!B357</f>
        <v>BAU</v>
      </c>
      <c r="C355" s="31" t="str">
        <f aca="false">Summary!C357</f>
        <v>Venting</v>
      </c>
      <c r="D355" s="32" t="n">
        <f aca="false">Summary!D357</f>
        <v>24.6987364142186</v>
      </c>
      <c r="E355" s="31" t="str">
        <f aca="false">Summary!E357</f>
        <v>MMcfd</v>
      </c>
    </row>
    <row r="356" customFormat="false" ht="15" hidden="false" customHeight="true" outlineLevel="0" collapsed="false">
      <c r="A356" s="16" t="n">
        <f aca="false">Summary!A358</f>
        <v>2041</v>
      </c>
      <c r="B356" s="31" t="str">
        <f aca="false">Summary!B358</f>
        <v>BAU</v>
      </c>
      <c r="C356" s="31" t="str">
        <f aca="false">Summary!C358</f>
        <v>Venting</v>
      </c>
      <c r="D356" s="32" t="n">
        <f aca="false">Summary!D358</f>
        <v>23.0535064023893</v>
      </c>
      <c r="E356" s="31" t="str">
        <f aca="false">Summary!E358</f>
        <v>MMcfd</v>
      </c>
    </row>
    <row r="357" customFormat="false" ht="15" hidden="false" customHeight="true" outlineLevel="0" collapsed="false">
      <c r="A357" s="16" t="n">
        <f aca="false">Summary!A359</f>
        <v>2042</v>
      </c>
      <c r="B357" s="31" t="str">
        <f aca="false">Summary!B359</f>
        <v>BAU</v>
      </c>
      <c r="C357" s="31" t="str">
        <f aca="false">Summary!C359</f>
        <v>Venting</v>
      </c>
      <c r="D357" s="32" t="n">
        <f aca="false">Summary!D359</f>
        <v>21.3470463908535</v>
      </c>
      <c r="E357" s="31" t="str">
        <f aca="false">Summary!E359</f>
        <v>MMcfd</v>
      </c>
    </row>
    <row r="358" customFormat="false" ht="15" hidden="false" customHeight="true" outlineLevel="0" collapsed="false">
      <c r="A358" s="16" t="n">
        <f aca="false">Summary!A360</f>
        <v>2043</v>
      </c>
      <c r="B358" s="31" t="str">
        <f aca="false">Summary!B360</f>
        <v>BAU</v>
      </c>
      <c r="C358" s="31" t="str">
        <f aca="false">Summary!C360</f>
        <v>Venting</v>
      </c>
      <c r="D358" s="32" t="n">
        <f aca="false">Summary!D360</f>
        <v>19.5885484309446</v>
      </c>
      <c r="E358" s="31" t="str">
        <f aca="false">Summary!E360</f>
        <v>MMcfd</v>
      </c>
    </row>
    <row r="359" customFormat="false" ht="15" hidden="false" customHeight="true" outlineLevel="0" collapsed="false">
      <c r="A359" s="16" t="n">
        <f aca="false">Summary!A361</f>
        <v>2044</v>
      </c>
      <c r="B359" s="31" t="str">
        <f aca="false">Summary!B361</f>
        <v>BAU</v>
      </c>
      <c r="C359" s="31" t="str">
        <f aca="false">Summary!C361</f>
        <v>Venting</v>
      </c>
      <c r="D359" s="32" t="n">
        <f aca="false">Summary!D361</f>
        <v>17.7871041124783</v>
      </c>
      <c r="E359" s="31" t="str">
        <f aca="false">Summary!E361</f>
        <v>MMcfd</v>
      </c>
    </row>
    <row r="360" customFormat="false" ht="15" hidden="false" customHeight="true" outlineLevel="0" collapsed="false">
      <c r="A360" s="16" t="n">
        <f aca="false">Summary!A362</f>
        <v>2045</v>
      </c>
      <c r="B360" s="31" t="str">
        <f aca="false">Summary!B362</f>
        <v>BAU</v>
      </c>
      <c r="C360" s="31" t="str">
        <f aca="false">Summary!C362</f>
        <v>Venting</v>
      </c>
      <c r="D360" s="32" t="n">
        <f aca="false">Summary!D362</f>
        <v>15.9515112280107</v>
      </c>
      <c r="E360" s="31" t="str">
        <f aca="false">Summary!E362</f>
        <v>MMcfd</v>
      </c>
    </row>
    <row r="361" customFormat="false" ht="15" hidden="false" customHeight="true" outlineLevel="0" collapsed="false">
      <c r="A361" s="16" t="n">
        <f aca="false">Summary!A363</f>
        <v>2046</v>
      </c>
      <c r="B361" s="31" t="str">
        <f aca="false">Summary!B363</f>
        <v>BAU</v>
      </c>
      <c r="C361" s="31" t="str">
        <f aca="false">Summary!C363</f>
        <v>Venting</v>
      </c>
      <c r="D361" s="32" t="n">
        <f aca="false">Summary!D363</f>
        <v>14.0900734175163</v>
      </c>
      <c r="E361" s="31" t="str">
        <f aca="false">Summary!E363</f>
        <v>MMcfd</v>
      </c>
    </row>
    <row r="362" customFormat="false" ht="15" hidden="false" customHeight="true" outlineLevel="0" collapsed="false">
      <c r="A362" s="16" t="n">
        <f aca="false">Summary!A364</f>
        <v>2047</v>
      </c>
      <c r="B362" s="31" t="str">
        <f aca="false">Summary!B364</f>
        <v>BAU</v>
      </c>
      <c r="C362" s="31" t="str">
        <f aca="false">Summary!C364</f>
        <v>Venting</v>
      </c>
      <c r="D362" s="32" t="n">
        <f aca="false">Summary!D364</f>
        <v>12.2103865504411</v>
      </c>
      <c r="E362" s="31" t="str">
        <f aca="false">Summary!E364</f>
        <v>MMcfd</v>
      </c>
    </row>
    <row r="363" customFormat="false" ht="15" hidden="false" customHeight="true" outlineLevel="0" collapsed="false">
      <c r="A363" s="16" t="n">
        <f aca="false">Summary!A365</f>
        <v>2048</v>
      </c>
      <c r="B363" s="31" t="str">
        <f aca="false">Summary!B365</f>
        <v>BAU</v>
      </c>
      <c r="C363" s="31" t="str">
        <f aca="false">Summary!C365</f>
        <v>Venting</v>
      </c>
      <c r="D363" s="32" t="n">
        <f aca="false">Summary!D365</f>
        <v>10.3191058942448</v>
      </c>
      <c r="E363" s="31" t="str">
        <f aca="false">Summary!E365</f>
        <v>MMcfd</v>
      </c>
    </row>
    <row r="364" customFormat="false" ht="15" hidden="false" customHeight="true" outlineLevel="0" collapsed="false">
      <c r="A364" s="16" t="n">
        <f aca="false">Summary!A366</f>
        <v>2049</v>
      </c>
      <c r="B364" s="31" t="str">
        <f aca="false">Summary!B366</f>
        <v>BAU</v>
      </c>
      <c r="C364" s="31" t="str">
        <f aca="false">Summary!C366</f>
        <v>Venting</v>
      </c>
      <c r="D364" s="32" t="n">
        <f aca="false">Summary!D366</f>
        <v>8.42168854384047</v>
      </c>
      <c r="E364" s="31" t="str">
        <f aca="false">Summary!E366</f>
        <v>MMcfd</v>
      </c>
    </row>
    <row r="365" customFormat="false" ht="15" hidden="false" customHeight="true" outlineLevel="0" collapsed="false">
      <c r="A365" s="16" t="n">
        <f aca="false">Summary!A367</f>
        <v>2050</v>
      </c>
      <c r="B365" s="31" t="str">
        <f aca="false">Summary!B367</f>
        <v>BAU</v>
      </c>
      <c r="C365" s="31" t="str">
        <f aca="false">Summary!C367</f>
        <v>Venting</v>
      </c>
      <c r="D365" s="32" t="n">
        <f aca="false">Summary!D367</f>
        <v>8.41830781847488</v>
      </c>
      <c r="E365" s="31" t="str">
        <f aca="false">Summary!E367</f>
        <v>MMcfd</v>
      </c>
    </row>
    <row r="366" customFormat="false" ht="15" hidden="false" customHeight="true" outlineLevel="0" collapsed="false">
      <c r="A366" s="16" t="n">
        <f aca="false">Summary!A368</f>
        <v>2023</v>
      </c>
      <c r="B366" s="31" t="str">
        <f aca="false">Summary!B368</f>
        <v>BAU</v>
      </c>
      <c r="C366" s="31" t="str">
        <f aca="false">Summary!C368</f>
        <v>Flaring</v>
      </c>
      <c r="D366" s="32" t="n">
        <f aca="false">Summary!D368</f>
        <v>545.104349144224</v>
      </c>
      <c r="E366" s="31" t="str">
        <f aca="false">Summary!E368</f>
        <v>MMcfd</v>
      </c>
    </row>
    <row r="367" customFormat="false" ht="15" hidden="false" customHeight="true" outlineLevel="0" collapsed="false">
      <c r="A367" s="16" t="n">
        <f aca="false">Summary!A369</f>
        <v>2024</v>
      </c>
      <c r="B367" s="31" t="str">
        <f aca="false">Summary!B369</f>
        <v>BAU</v>
      </c>
      <c r="C367" s="31" t="str">
        <f aca="false">Summary!C369</f>
        <v>Flaring</v>
      </c>
      <c r="D367" s="32" t="n">
        <f aca="false">Summary!D369</f>
        <v>620.882144275124</v>
      </c>
      <c r="E367" s="31" t="str">
        <f aca="false">Summary!E369</f>
        <v>MMcfd</v>
      </c>
    </row>
    <row r="368" customFormat="false" ht="15" hidden="false" customHeight="true" outlineLevel="0" collapsed="false">
      <c r="A368" s="16" t="n">
        <f aca="false">Summary!A370</f>
        <v>2025</v>
      </c>
      <c r="B368" s="31" t="str">
        <f aca="false">Summary!B370</f>
        <v>BAU</v>
      </c>
      <c r="C368" s="31" t="str">
        <f aca="false">Summary!C370</f>
        <v>Flaring</v>
      </c>
      <c r="D368" s="32" t="n">
        <f aca="false">Summary!D370</f>
        <v>696.719006332055</v>
      </c>
      <c r="E368" s="31" t="str">
        <f aca="false">Summary!E370</f>
        <v>MMcfd</v>
      </c>
    </row>
    <row r="369" customFormat="false" ht="15" hidden="false" customHeight="true" outlineLevel="0" collapsed="false">
      <c r="A369" s="16" t="n">
        <f aca="false">Summary!A371</f>
        <v>2026</v>
      </c>
      <c r="B369" s="31" t="str">
        <f aca="false">Summary!B371</f>
        <v>BAU</v>
      </c>
      <c r="C369" s="31" t="str">
        <f aca="false">Summary!C371</f>
        <v>Flaring</v>
      </c>
      <c r="D369" s="32" t="n">
        <f aca="false">Summary!D371</f>
        <v>772.67076950944</v>
      </c>
      <c r="E369" s="31" t="str">
        <f aca="false">Summary!E371</f>
        <v>MMcfd</v>
      </c>
    </row>
    <row r="370" customFormat="false" ht="15" hidden="false" customHeight="true" outlineLevel="0" collapsed="false">
      <c r="A370" s="16" t="n">
        <f aca="false">Summary!A372</f>
        <v>2027</v>
      </c>
      <c r="B370" s="31" t="str">
        <f aca="false">Summary!B372</f>
        <v>BAU</v>
      </c>
      <c r="C370" s="31" t="str">
        <f aca="false">Summary!C372</f>
        <v>Flaring</v>
      </c>
      <c r="D370" s="32" t="n">
        <f aca="false">Summary!D372</f>
        <v>848.805300272786</v>
      </c>
      <c r="E370" s="31" t="str">
        <f aca="false">Summary!E372</f>
        <v>MMcfd</v>
      </c>
    </row>
    <row r="371" customFormat="false" ht="15" hidden="false" customHeight="true" outlineLevel="0" collapsed="false">
      <c r="A371" s="16" t="n">
        <f aca="false">Summary!A373</f>
        <v>2028</v>
      </c>
      <c r="B371" s="31" t="str">
        <f aca="false">Summary!B373</f>
        <v>BAU</v>
      </c>
      <c r="C371" s="31" t="str">
        <f aca="false">Summary!C373</f>
        <v>Flaring</v>
      </c>
      <c r="D371" s="32" t="n">
        <f aca="false">Summary!D373</f>
        <v>925.182839087488</v>
      </c>
      <c r="E371" s="31" t="str">
        <f aca="false">Summary!E373</f>
        <v>MMcfd</v>
      </c>
    </row>
    <row r="372" customFormat="false" ht="15" hidden="false" customHeight="true" outlineLevel="0" collapsed="false">
      <c r="A372" s="16" t="n">
        <f aca="false">Summary!A374</f>
        <v>2029</v>
      </c>
      <c r="B372" s="31" t="str">
        <f aca="false">Summary!B374</f>
        <v>BAU</v>
      </c>
      <c r="C372" s="31" t="str">
        <f aca="false">Summary!C374</f>
        <v>Flaring</v>
      </c>
      <c r="D372" s="32" t="n">
        <f aca="false">Summary!D374</f>
        <v>1001.83624195646</v>
      </c>
      <c r="E372" s="31" t="str">
        <f aca="false">Summary!E374</f>
        <v>MMcfd</v>
      </c>
    </row>
    <row r="373" customFormat="false" ht="15" hidden="false" customHeight="true" outlineLevel="0" collapsed="false">
      <c r="A373" s="16" t="n">
        <f aca="false">Summary!A375</f>
        <v>2030</v>
      </c>
      <c r="B373" s="31" t="str">
        <f aca="false">Summary!B375</f>
        <v>BAU</v>
      </c>
      <c r="C373" s="31" t="str">
        <f aca="false">Summary!C375</f>
        <v>Flaring</v>
      </c>
      <c r="D373" s="32" t="n">
        <f aca="false">Summary!D375</f>
        <v>1078.78220656304</v>
      </c>
      <c r="E373" s="31" t="str">
        <f aca="false">Summary!E375</f>
        <v>MMcfd</v>
      </c>
    </row>
    <row r="374" customFormat="false" ht="15" hidden="false" customHeight="true" outlineLevel="0" collapsed="false">
      <c r="A374" s="16" t="n">
        <f aca="false">Summary!A376</f>
        <v>2031</v>
      </c>
      <c r="B374" s="31" t="str">
        <f aca="false">Summary!B376</f>
        <v>BAU</v>
      </c>
      <c r="C374" s="31" t="str">
        <f aca="false">Summary!C376</f>
        <v>Flaring</v>
      </c>
      <c r="D374" s="32" t="n">
        <f aca="false">Summary!D376</f>
        <v>1156.0358780951</v>
      </c>
      <c r="E374" s="31" t="str">
        <f aca="false">Summary!E376</f>
        <v>MMcfd</v>
      </c>
    </row>
    <row r="375" customFormat="false" ht="15" hidden="false" customHeight="true" outlineLevel="0" collapsed="false">
      <c r="A375" s="16" t="n">
        <f aca="false">Summary!A377</f>
        <v>2032</v>
      </c>
      <c r="B375" s="31" t="str">
        <f aca="false">Summary!B377</f>
        <v>BAU</v>
      </c>
      <c r="C375" s="31" t="str">
        <f aca="false">Summary!C377</f>
        <v>Flaring</v>
      </c>
      <c r="D375" s="32" t="n">
        <f aca="false">Summary!D377</f>
        <v>1233.62927068627</v>
      </c>
      <c r="E375" s="31" t="str">
        <f aca="false">Summary!E377</f>
        <v>MMcfd</v>
      </c>
    </row>
    <row r="376" customFormat="false" ht="15" hidden="false" customHeight="true" outlineLevel="0" collapsed="false">
      <c r="A376" s="16" t="n">
        <f aca="false">Summary!A378</f>
        <v>2033</v>
      </c>
      <c r="B376" s="31" t="str">
        <f aca="false">Summary!B378</f>
        <v>BAU</v>
      </c>
      <c r="C376" s="31" t="str">
        <f aca="false">Summary!C378</f>
        <v>Flaring</v>
      </c>
      <c r="D376" s="32" t="n">
        <f aca="false">Summary!D378</f>
        <v>1311.60522075125</v>
      </c>
      <c r="E376" s="31" t="str">
        <f aca="false">Summary!E378</f>
        <v>MMcfd</v>
      </c>
    </row>
    <row r="377" customFormat="false" ht="15" hidden="false" customHeight="true" outlineLevel="0" collapsed="false">
      <c r="A377" s="16" t="n">
        <f aca="false">Summary!A379</f>
        <v>2034</v>
      </c>
      <c r="B377" s="31" t="str">
        <f aca="false">Summary!B379</f>
        <v>BAU</v>
      </c>
      <c r="C377" s="31" t="str">
        <f aca="false">Summary!C379</f>
        <v>Flaring</v>
      </c>
      <c r="D377" s="32" t="n">
        <f aca="false">Summary!D379</f>
        <v>1390.01199030935</v>
      </c>
      <c r="E377" s="31" t="str">
        <f aca="false">Summary!E379</f>
        <v>MMcfd</v>
      </c>
    </row>
    <row r="378" customFormat="false" ht="15" hidden="false" customHeight="true" outlineLevel="0" collapsed="false">
      <c r="A378" s="16" t="n">
        <f aca="false">Summary!A380</f>
        <v>2035</v>
      </c>
      <c r="B378" s="31" t="str">
        <f aca="false">Summary!B380</f>
        <v>BAU</v>
      </c>
      <c r="C378" s="31" t="str">
        <f aca="false">Summary!C380</f>
        <v>Flaring</v>
      </c>
      <c r="D378" s="32" t="n">
        <f aca="false">Summary!D380</f>
        <v>1468.89850856794</v>
      </c>
      <c r="E378" s="31" t="str">
        <f aca="false">Summary!E380</f>
        <v>MMcfd</v>
      </c>
    </row>
    <row r="379" customFormat="false" ht="15" hidden="false" customHeight="true" outlineLevel="0" collapsed="false">
      <c r="A379" s="16" t="n">
        <f aca="false">Summary!A381</f>
        <v>2036</v>
      </c>
      <c r="B379" s="31" t="str">
        <f aca="false">Summary!B381</f>
        <v>BAU</v>
      </c>
      <c r="C379" s="31" t="str">
        <f aca="false">Summary!C381</f>
        <v>Flaring</v>
      </c>
      <c r="D379" s="32" t="n">
        <f aca="false">Summary!D381</f>
        <v>1548.31023653992</v>
      </c>
      <c r="E379" s="31" t="str">
        <f aca="false">Summary!E381</f>
        <v>MMcfd</v>
      </c>
    </row>
    <row r="380" customFormat="false" ht="15" hidden="false" customHeight="true" outlineLevel="0" collapsed="false">
      <c r="A380" s="16" t="n">
        <f aca="false">Summary!A382</f>
        <v>2037</v>
      </c>
      <c r="B380" s="31" t="str">
        <f aca="false">Summary!B382</f>
        <v>BAU</v>
      </c>
      <c r="C380" s="31" t="str">
        <f aca="false">Summary!C382</f>
        <v>Flaring</v>
      </c>
      <c r="D380" s="32" t="n">
        <f aca="false">Summary!D382</f>
        <v>1628.28564030616</v>
      </c>
      <c r="E380" s="31" t="str">
        <f aca="false">Summary!E382</f>
        <v>MMcfd</v>
      </c>
    </row>
    <row r="381" customFormat="false" ht="15" hidden="false" customHeight="true" outlineLevel="0" collapsed="false">
      <c r="A381" s="16" t="n">
        <f aca="false">Summary!A383</f>
        <v>2038</v>
      </c>
      <c r="B381" s="31" t="str">
        <f aca="false">Summary!B383</f>
        <v>BAU</v>
      </c>
      <c r="C381" s="31" t="str">
        <f aca="false">Summary!C383</f>
        <v>Flaring</v>
      </c>
      <c r="D381" s="32" t="n">
        <f aca="false">Summary!D383</f>
        <v>1708.85325993009</v>
      </c>
      <c r="E381" s="31" t="str">
        <f aca="false">Summary!E383</f>
        <v>MMcfd</v>
      </c>
    </row>
    <row r="382" customFormat="false" ht="15" hidden="false" customHeight="true" outlineLevel="0" collapsed="false">
      <c r="A382" s="16" t="n">
        <f aca="false">Summary!A384</f>
        <v>2039</v>
      </c>
      <c r="B382" s="31" t="str">
        <f aca="false">Summary!B384</f>
        <v>BAU</v>
      </c>
      <c r="C382" s="31" t="str">
        <f aca="false">Summary!C384</f>
        <v>Flaring</v>
      </c>
      <c r="D382" s="32" t="n">
        <f aca="false">Summary!D384</f>
        <v>1790.02936598866</v>
      </c>
      <c r="E382" s="31" t="str">
        <f aca="false">Summary!E384</f>
        <v>MMcfd</v>
      </c>
    </row>
    <row r="383" customFormat="false" ht="15" hidden="false" customHeight="true" outlineLevel="0" collapsed="false">
      <c r="A383" s="16" t="n">
        <f aca="false">Summary!A385</f>
        <v>2040</v>
      </c>
      <c r="B383" s="31" t="str">
        <f aca="false">Summary!B385</f>
        <v>BAU</v>
      </c>
      <c r="C383" s="31" t="str">
        <f aca="false">Summary!C385</f>
        <v>Flaring</v>
      </c>
      <c r="D383" s="32" t="n">
        <f aca="false">Summary!D385</f>
        <v>1871.81620213729</v>
      </c>
      <c r="E383" s="31" t="str">
        <f aca="false">Summary!E385</f>
        <v>MMcfd</v>
      </c>
    </row>
    <row r="384" customFormat="false" ht="15" hidden="false" customHeight="true" outlineLevel="0" collapsed="false">
      <c r="A384" s="16" t="n">
        <f aca="false">Summary!A386</f>
        <v>2041</v>
      </c>
      <c r="B384" s="31" t="str">
        <f aca="false">Summary!B386</f>
        <v>BAU</v>
      </c>
      <c r="C384" s="31" t="str">
        <f aca="false">Summary!C386</f>
        <v>Flaring</v>
      </c>
      <c r="D384" s="32" t="n">
        <f aca="false">Summary!D386</f>
        <v>1954.20082038779</v>
      </c>
      <c r="E384" s="31" t="str">
        <f aca="false">Summary!E386</f>
        <v>MMcfd</v>
      </c>
    </row>
    <row r="385" customFormat="false" ht="15" hidden="false" customHeight="true" outlineLevel="0" collapsed="false">
      <c r="A385" s="16" t="n">
        <f aca="false">Summary!A387</f>
        <v>2042</v>
      </c>
      <c r="B385" s="31" t="str">
        <f aca="false">Summary!B387</f>
        <v>BAU</v>
      </c>
      <c r="C385" s="31" t="str">
        <f aca="false">Summary!C387</f>
        <v>Flaring</v>
      </c>
      <c r="D385" s="32" t="n">
        <f aca="false">Summary!D387</f>
        <v>2037.15452380945</v>
      </c>
      <c r="E385" s="31" t="str">
        <f aca="false">Summary!E387</f>
        <v>MMcfd</v>
      </c>
    </row>
    <row r="386" customFormat="false" ht="15" hidden="false" customHeight="true" outlineLevel="0" collapsed="false">
      <c r="A386" s="16" t="n">
        <f aca="false">Summary!A388</f>
        <v>2043</v>
      </c>
      <c r="B386" s="31" t="str">
        <f aca="false">Summary!B388</f>
        <v>BAU</v>
      </c>
      <c r="C386" s="31" t="str">
        <f aca="false">Summary!C388</f>
        <v>Flaring</v>
      </c>
      <c r="D386" s="32" t="n">
        <f aca="false">Summary!D388</f>
        <v>2120.63343404762</v>
      </c>
      <c r="E386" s="31" t="str">
        <f aca="false">Summary!E388</f>
        <v>MMcfd</v>
      </c>
    </row>
    <row r="387" customFormat="false" ht="15" hidden="false" customHeight="true" outlineLevel="0" collapsed="false">
      <c r="A387" s="16" t="n">
        <f aca="false">Summary!A389</f>
        <v>2044</v>
      </c>
      <c r="B387" s="31" t="str">
        <f aca="false">Summary!B389</f>
        <v>BAU</v>
      </c>
      <c r="C387" s="31" t="str">
        <f aca="false">Summary!C389</f>
        <v>Flaring</v>
      </c>
      <c r="D387" s="32" t="n">
        <f aca="false">Summary!D389</f>
        <v>2204.5800518363</v>
      </c>
      <c r="E387" s="31" t="str">
        <f aca="false">Summary!E389</f>
        <v>MMcfd</v>
      </c>
    </row>
    <row r="388" customFormat="false" ht="15" hidden="false" customHeight="true" outlineLevel="0" collapsed="false">
      <c r="A388" s="16" t="n">
        <f aca="false">Summary!A390</f>
        <v>2045</v>
      </c>
      <c r="B388" s="31" t="str">
        <f aca="false">Summary!B390</f>
        <v>BAU</v>
      </c>
      <c r="C388" s="31" t="str">
        <f aca="false">Summary!C390</f>
        <v>Flaring</v>
      </c>
      <c r="D388" s="32" t="n">
        <f aca="false">Summary!D390</f>
        <v>2288.9256222975</v>
      </c>
      <c r="E388" s="31" t="str">
        <f aca="false">Summary!E390</f>
        <v>MMcfd</v>
      </c>
    </row>
    <row r="389" customFormat="false" ht="15" hidden="false" customHeight="true" outlineLevel="0" collapsed="false">
      <c r="A389" s="16" t="n">
        <f aca="false">Summary!A391</f>
        <v>2046</v>
      </c>
      <c r="B389" s="31" t="str">
        <f aca="false">Summary!B391</f>
        <v>BAU</v>
      </c>
      <c r="C389" s="31" t="str">
        <f aca="false">Summary!C391</f>
        <v>Flaring</v>
      </c>
      <c r="D389" s="32" t="n">
        <f aca="false">Summary!D391</f>
        <v>2373.5933637083</v>
      </c>
      <c r="E389" s="31" t="str">
        <f aca="false">Summary!E391</f>
        <v>MMcfd</v>
      </c>
    </row>
    <row r="390" customFormat="false" ht="15" hidden="false" customHeight="true" outlineLevel="0" collapsed="false">
      <c r="A390" s="16" t="n">
        <f aca="false">Summary!A392</f>
        <v>2047</v>
      </c>
      <c r="B390" s="31" t="str">
        <f aca="false">Summary!B392</f>
        <v>BAU</v>
      </c>
      <c r="C390" s="31" t="str">
        <f aca="false">Summary!C392</f>
        <v>Flaring</v>
      </c>
      <c r="D390" s="32" t="n">
        <f aca="false">Summary!D392</f>
        <v>2458.50262560292</v>
      </c>
      <c r="E390" s="31" t="str">
        <f aca="false">Summary!E392</f>
        <v>MMcfd</v>
      </c>
    </row>
    <row r="391" customFormat="false" ht="15" hidden="false" customHeight="true" outlineLevel="0" collapsed="false">
      <c r="A391" s="16" t="n">
        <f aca="false">Summary!A393</f>
        <v>2048</v>
      </c>
      <c r="B391" s="31" t="str">
        <f aca="false">Summary!B393</f>
        <v>BAU</v>
      </c>
      <c r="C391" s="31" t="str">
        <f aca="false">Summary!C393</f>
        <v>Flaring</v>
      </c>
      <c r="D391" s="32" t="n">
        <f aca="false">Summary!D393</f>
        <v>2543.57404821724</v>
      </c>
      <c r="E391" s="31" t="str">
        <f aca="false">Summary!E393</f>
        <v>MMcfd</v>
      </c>
    </row>
    <row r="392" customFormat="false" ht="15" hidden="false" customHeight="true" outlineLevel="0" collapsed="false">
      <c r="A392" s="16" t="n">
        <f aca="false">Summary!A394</f>
        <v>2049</v>
      </c>
      <c r="B392" s="31" t="str">
        <f aca="false">Summary!B394</f>
        <v>BAU</v>
      </c>
      <c r="C392" s="31" t="str">
        <f aca="false">Summary!C394</f>
        <v>Flaring</v>
      </c>
      <c r="D392" s="32" t="n">
        <f aca="false">Summary!D394</f>
        <v>2628.73579788548</v>
      </c>
      <c r="E392" s="31" t="str">
        <f aca="false">Summary!E394</f>
        <v>MMcfd</v>
      </c>
    </row>
    <row r="393" customFormat="false" ht="15" hidden="false" customHeight="true" outlineLevel="0" collapsed="false">
      <c r="A393" s="16" t="n">
        <f aca="false">Summary!A395</f>
        <v>2050</v>
      </c>
      <c r="B393" s="31" t="str">
        <f aca="false">Summary!B395</f>
        <v>BAU</v>
      </c>
      <c r="C393" s="31" t="str">
        <f aca="false">Summary!C395</f>
        <v>Flaring</v>
      </c>
      <c r="D393" s="32" t="n">
        <f aca="false">Summary!D395</f>
        <v>2627.68054230995</v>
      </c>
      <c r="E393" s="31" t="str">
        <f aca="false">Summary!E395</f>
        <v>MMcfd</v>
      </c>
    </row>
    <row r="394" customFormat="false" ht="15" hidden="false" customHeight="true" outlineLevel="0" collapsed="false">
      <c r="A394" s="16" t="n">
        <f aca="false">Summary!A396</f>
        <v>2023</v>
      </c>
      <c r="B394" s="31" t="str">
        <f aca="false">Summary!B396</f>
        <v>Unconditional</v>
      </c>
      <c r="C394" s="31" t="str">
        <f aca="false">Summary!C396</f>
        <v>Fugitive</v>
      </c>
      <c r="D394" s="32" t="n">
        <f aca="false">Summary!D396</f>
        <v>12.568650140783</v>
      </c>
      <c r="E394" s="31" t="str">
        <f aca="false">Summary!E396</f>
        <v>MMcfd</v>
      </c>
    </row>
    <row r="395" customFormat="false" ht="15" hidden="false" customHeight="true" outlineLevel="0" collapsed="false">
      <c r="A395" s="16" t="n">
        <f aca="false">Summary!A397</f>
        <v>2024</v>
      </c>
      <c r="B395" s="31" t="str">
        <f aca="false">Summary!B397</f>
        <v>Unconditional</v>
      </c>
      <c r="C395" s="31" t="str">
        <f aca="false">Summary!C397</f>
        <v>Fugitive</v>
      </c>
      <c r="D395" s="32" t="n">
        <f aca="false">Summary!D397</f>
        <v>12.2701276983437</v>
      </c>
      <c r="E395" s="31" t="str">
        <f aca="false">Summary!E397</f>
        <v>MMcfd</v>
      </c>
    </row>
    <row r="396" customFormat="false" ht="15" hidden="false" customHeight="true" outlineLevel="0" collapsed="false">
      <c r="A396" s="16" t="n">
        <f aca="false">Summary!A398</f>
        <v>2025</v>
      </c>
      <c r="B396" s="31" t="str">
        <f aca="false">Summary!B398</f>
        <v>Unconditional</v>
      </c>
      <c r="C396" s="31" t="str">
        <f aca="false">Summary!C398</f>
        <v>Fugitive</v>
      </c>
      <c r="D396" s="32" t="n">
        <f aca="false">Summary!D398</f>
        <v>11.969822798416</v>
      </c>
      <c r="E396" s="31" t="str">
        <f aca="false">Summary!E398</f>
        <v>MMcfd</v>
      </c>
    </row>
    <row r="397" customFormat="false" ht="15" hidden="false" customHeight="true" outlineLevel="0" collapsed="false">
      <c r="A397" s="16" t="n">
        <f aca="false">Summary!A399</f>
        <v>2026</v>
      </c>
      <c r="B397" s="31" t="str">
        <f aca="false">Summary!B399</f>
        <v>Unconditional</v>
      </c>
      <c r="C397" s="31" t="str">
        <f aca="false">Summary!C399</f>
        <v>Fugitive</v>
      </c>
      <c r="D397" s="32" t="n">
        <f aca="false">Summary!D399</f>
        <v>11.6640186036568</v>
      </c>
      <c r="E397" s="31" t="str">
        <f aca="false">Summary!E399</f>
        <v>MMcfd</v>
      </c>
    </row>
    <row r="398" customFormat="false" ht="15" hidden="false" customHeight="true" outlineLevel="0" collapsed="false">
      <c r="A398" s="16" t="n">
        <f aca="false">Summary!A400</f>
        <v>2027</v>
      </c>
      <c r="B398" s="31" t="str">
        <f aca="false">Summary!B400</f>
        <v>Unconditional</v>
      </c>
      <c r="C398" s="31" t="str">
        <f aca="false">Summary!C400</f>
        <v>Fugitive</v>
      </c>
      <c r="D398" s="32" t="n">
        <f aca="false">Summary!D400</f>
        <v>11.3486650993838</v>
      </c>
      <c r="E398" s="31" t="str">
        <f aca="false">Summary!E400</f>
        <v>MMcfd</v>
      </c>
    </row>
    <row r="399" customFormat="false" ht="15" hidden="false" customHeight="true" outlineLevel="0" collapsed="false">
      <c r="A399" s="16" t="n">
        <f aca="false">Summary!A401</f>
        <v>2028</v>
      </c>
      <c r="B399" s="31" t="str">
        <f aca="false">Summary!B401</f>
        <v>Unconditional</v>
      </c>
      <c r="C399" s="31" t="str">
        <f aca="false">Summary!C401</f>
        <v>Fugitive</v>
      </c>
      <c r="D399" s="32" t="n">
        <f aca="false">Summary!D401</f>
        <v>11.0197668829678</v>
      </c>
      <c r="E399" s="31" t="str">
        <f aca="false">Summary!E401</f>
        <v>MMcfd</v>
      </c>
    </row>
    <row r="400" customFormat="false" ht="15" hidden="false" customHeight="true" outlineLevel="0" collapsed="false">
      <c r="A400" s="16" t="n">
        <f aca="false">Summary!A402</f>
        <v>2029</v>
      </c>
      <c r="B400" s="31" t="str">
        <f aca="false">Summary!B402</f>
        <v>Unconditional</v>
      </c>
      <c r="C400" s="31" t="str">
        <f aca="false">Summary!C402</f>
        <v>Fugitive</v>
      </c>
      <c r="D400" s="32" t="n">
        <f aca="false">Summary!D402</f>
        <v>10.6737239696266</v>
      </c>
      <c r="E400" s="31" t="str">
        <f aca="false">Summary!E402</f>
        <v>MMcfd</v>
      </c>
    </row>
    <row r="401" customFormat="false" ht="15" hidden="false" customHeight="true" outlineLevel="0" collapsed="false">
      <c r="A401" s="16" t="n">
        <f aca="false">Summary!A403</f>
        <v>2030</v>
      </c>
      <c r="B401" s="31" t="str">
        <f aca="false">Summary!B403</f>
        <v>Unconditional</v>
      </c>
      <c r="C401" s="31" t="str">
        <f aca="false">Summary!C403</f>
        <v>Fugitive</v>
      </c>
      <c r="D401" s="32" t="n">
        <f aca="false">Summary!D403</f>
        <v>10.3076202935298</v>
      </c>
      <c r="E401" s="31" t="str">
        <f aca="false">Summary!E403</f>
        <v>MMcfd</v>
      </c>
    </row>
    <row r="402" customFormat="false" ht="15" hidden="false" customHeight="true" outlineLevel="0" collapsed="false">
      <c r="A402" s="16" t="n">
        <f aca="false">Summary!A404</f>
        <v>2031</v>
      </c>
      <c r="B402" s="31" t="str">
        <f aca="false">Summary!B404</f>
        <v>Unconditional</v>
      </c>
      <c r="C402" s="31" t="str">
        <f aca="false">Summary!C404</f>
        <v>Fugitive</v>
      </c>
      <c r="D402" s="32" t="n">
        <f aca="false">Summary!D404</f>
        <v>9.91945415882166</v>
      </c>
      <c r="E402" s="31" t="str">
        <f aca="false">Summary!E404</f>
        <v>MMcfd</v>
      </c>
    </row>
    <row r="403" customFormat="false" ht="15" hidden="false" customHeight="true" outlineLevel="0" collapsed="false">
      <c r="A403" s="16" t="n">
        <f aca="false">Summary!A405</f>
        <v>2032</v>
      </c>
      <c r="B403" s="31" t="str">
        <f aca="false">Summary!B405</f>
        <v>Unconditional</v>
      </c>
      <c r="C403" s="31" t="str">
        <f aca="false">Summary!C405</f>
        <v>Fugitive</v>
      </c>
      <c r="D403" s="32" t="n">
        <f aca="false">Summary!D405</f>
        <v>9.5083555342108</v>
      </c>
      <c r="E403" s="31" t="str">
        <f aca="false">Summary!E405</f>
        <v>MMcfd</v>
      </c>
    </row>
    <row r="404" customFormat="false" ht="15" hidden="false" customHeight="true" outlineLevel="0" collapsed="false">
      <c r="A404" s="16" t="n">
        <f aca="false">Summary!A406</f>
        <v>2033</v>
      </c>
      <c r="B404" s="31" t="str">
        <f aca="false">Summary!B406</f>
        <v>Unconditional</v>
      </c>
      <c r="C404" s="31" t="str">
        <f aca="false">Summary!C406</f>
        <v>Fugitive</v>
      </c>
      <c r="D404" s="32" t="n">
        <f aca="false">Summary!D406</f>
        <v>9.07437286807104</v>
      </c>
      <c r="E404" s="31" t="str">
        <f aca="false">Summary!E406</f>
        <v>MMcfd</v>
      </c>
    </row>
    <row r="405" customFormat="false" ht="15" hidden="false" customHeight="true" outlineLevel="0" collapsed="false">
      <c r="A405" s="16" t="n">
        <f aca="false">Summary!A407</f>
        <v>2034</v>
      </c>
      <c r="B405" s="31" t="str">
        <f aca="false">Summary!B407</f>
        <v>Unconditional</v>
      </c>
      <c r="C405" s="31" t="str">
        <f aca="false">Summary!C407</f>
        <v>Fugitive</v>
      </c>
      <c r="D405" s="32" t="n">
        <f aca="false">Summary!D407</f>
        <v>8.61827912312654</v>
      </c>
      <c r="E405" s="31" t="str">
        <f aca="false">Summary!E407</f>
        <v>MMcfd</v>
      </c>
    </row>
    <row r="406" customFormat="false" ht="15" hidden="false" customHeight="true" outlineLevel="0" collapsed="false">
      <c r="A406" s="16" t="n">
        <f aca="false">Summary!A408</f>
        <v>2035</v>
      </c>
      <c r="B406" s="31" t="str">
        <f aca="false">Summary!B408</f>
        <v>Unconditional</v>
      </c>
      <c r="C406" s="31" t="str">
        <f aca="false">Summary!C408</f>
        <v>Fugitive</v>
      </c>
      <c r="D406" s="32" t="n">
        <f aca="false">Summary!D408</f>
        <v>8.14139734168944</v>
      </c>
      <c r="E406" s="31" t="str">
        <f aca="false">Summary!E408</f>
        <v>MMcfd</v>
      </c>
    </row>
    <row r="407" customFormat="false" ht="15" hidden="false" customHeight="true" outlineLevel="0" collapsed="false">
      <c r="A407" s="16" t="n">
        <f aca="false">Summary!A409</f>
        <v>2036</v>
      </c>
      <c r="B407" s="31" t="str">
        <f aca="false">Summary!B409</f>
        <v>Unconditional</v>
      </c>
      <c r="C407" s="31" t="str">
        <f aca="false">Summary!C409</f>
        <v>Fugitive</v>
      </c>
      <c r="D407" s="32" t="n">
        <f aca="false">Summary!D409</f>
        <v>7.64544557651267</v>
      </c>
      <c r="E407" s="31" t="str">
        <f aca="false">Summary!E409</f>
        <v>MMcfd</v>
      </c>
    </row>
    <row r="408" customFormat="false" ht="15" hidden="false" customHeight="true" outlineLevel="0" collapsed="false">
      <c r="A408" s="16" t="n">
        <f aca="false">Summary!A410</f>
        <v>2037</v>
      </c>
      <c r="B408" s="31" t="str">
        <f aca="false">Summary!B410</f>
        <v>Unconditional</v>
      </c>
      <c r="C408" s="31" t="str">
        <f aca="false">Summary!C410</f>
        <v>Fugitive</v>
      </c>
      <c r="D408" s="32" t="n">
        <f aca="false">Summary!D410</f>
        <v>7.13240071865708</v>
      </c>
      <c r="E408" s="31" t="str">
        <f aca="false">Summary!E410</f>
        <v>MMcfd</v>
      </c>
    </row>
    <row r="409" customFormat="false" ht="15" hidden="false" customHeight="true" outlineLevel="0" collapsed="false">
      <c r="A409" s="16" t="n">
        <f aca="false">Summary!A411</f>
        <v>2038</v>
      </c>
      <c r="B409" s="31" t="str">
        <f aca="false">Summary!B411</f>
        <v>Unconditional</v>
      </c>
      <c r="C409" s="31" t="str">
        <f aca="false">Summary!C411</f>
        <v>Fugitive</v>
      </c>
      <c r="D409" s="32" t="n">
        <f aca="false">Summary!D411</f>
        <v>6.60438049239786</v>
      </c>
      <c r="E409" s="31" t="str">
        <f aca="false">Summary!E411</f>
        <v>MMcfd</v>
      </c>
    </row>
    <row r="410" customFormat="false" ht="15" hidden="false" customHeight="true" outlineLevel="0" collapsed="false">
      <c r="A410" s="16" t="n">
        <f aca="false">Summary!A412</f>
        <v>2039</v>
      </c>
      <c r="B410" s="31" t="str">
        <f aca="false">Summary!B412</f>
        <v>Unconditional</v>
      </c>
      <c r="C410" s="31" t="str">
        <f aca="false">Summary!C412</f>
        <v>Fugitive</v>
      </c>
      <c r="D410" s="32" t="n">
        <f aca="false">Summary!D412</f>
        <v>6.06354378259785</v>
      </c>
      <c r="E410" s="31" t="str">
        <f aca="false">Summary!E412</f>
        <v>MMcfd</v>
      </c>
    </row>
    <row r="411" customFormat="false" ht="15" hidden="false" customHeight="true" outlineLevel="0" collapsed="false">
      <c r="A411" s="16" t="n">
        <f aca="false">Summary!A413</f>
        <v>2040</v>
      </c>
      <c r="B411" s="31" t="str">
        <f aca="false">Summary!B413</f>
        <v>Unconditional</v>
      </c>
      <c r="C411" s="31" t="str">
        <f aca="false">Summary!C413</f>
        <v>Fugitive</v>
      </c>
      <c r="D411" s="32" t="n">
        <f aca="false">Summary!D413</f>
        <v>5.5120088135919</v>
      </c>
      <c r="E411" s="31" t="str">
        <f aca="false">Summary!E413</f>
        <v>MMcfd</v>
      </c>
    </row>
    <row r="412" customFormat="false" ht="15" hidden="false" customHeight="true" outlineLevel="0" collapsed="false">
      <c r="A412" s="16" t="n">
        <f aca="false">Summary!A414</f>
        <v>2041</v>
      </c>
      <c r="B412" s="31" t="str">
        <f aca="false">Summary!B414</f>
        <v>Unconditional</v>
      </c>
      <c r="C412" s="31" t="str">
        <f aca="false">Summary!C414</f>
        <v>Fugitive</v>
      </c>
      <c r="D412" s="32" t="n">
        <f aca="false">Summary!D414</f>
        <v>4.95178631369417</v>
      </c>
      <c r="E412" s="31" t="str">
        <f aca="false">Summary!E414</f>
        <v>MMcfd</v>
      </c>
    </row>
    <row r="413" customFormat="false" ht="15" hidden="false" customHeight="true" outlineLevel="0" collapsed="false">
      <c r="A413" s="16" t="n">
        <f aca="false">Summary!A415</f>
        <v>2042</v>
      </c>
      <c r="B413" s="31" t="str">
        <f aca="false">Summary!B415</f>
        <v>Unconditional</v>
      </c>
      <c r="C413" s="31" t="str">
        <f aca="false">Summary!C415</f>
        <v>Fugitive</v>
      </c>
      <c r="D413" s="32" t="n">
        <f aca="false">Summary!D415</f>
        <v>4.38472673666337</v>
      </c>
      <c r="E413" s="31" t="str">
        <f aca="false">Summary!E415</f>
        <v>MMcfd</v>
      </c>
    </row>
    <row r="414" customFormat="false" ht="15" hidden="false" customHeight="true" outlineLevel="0" collapsed="false">
      <c r="A414" s="16" t="n">
        <f aca="false">Summary!A416</f>
        <v>2043</v>
      </c>
      <c r="B414" s="31" t="str">
        <f aca="false">Summary!B416</f>
        <v>Unconditional</v>
      </c>
      <c r="C414" s="31" t="str">
        <f aca="false">Summary!C416</f>
        <v>Fugitive</v>
      </c>
      <c r="D414" s="32" t="n">
        <f aca="false">Summary!D416</f>
        <v>3.81249381391908</v>
      </c>
      <c r="E414" s="31" t="str">
        <f aca="false">Summary!E416</f>
        <v>MMcfd</v>
      </c>
    </row>
    <row r="415" customFormat="false" ht="15" hidden="false" customHeight="true" outlineLevel="0" collapsed="false">
      <c r="A415" s="16" t="n">
        <f aca="false">Summary!A417</f>
        <v>2044</v>
      </c>
      <c r="B415" s="31" t="str">
        <f aca="false">Summary!B417</f>
        <v>Unconditional</v>
      </c>
      <c r="C415" s="31" t="str">
        <f aca="false">Summary!C417</f>
        <v>Fugitive</v>
      </c>
      <c r="D415" s="32" t="n">
        <f aca="false">Summary!D417</f>
        <v>3.23650024544955</v>
      </c>
      <c r="E415" s="31" t="str">
        <f aca="false">Summary!E417</f>
        <v>MMcfd</v>
      </c>
    </row>
    <row r="416" customFormat="false" ht="15" hidden="false" customHeight="true" outlineLevel="0" collapsed="false">
      <c r="A416" s="16" t="n">
        <f aca="false">Summary!A418</f>
        <v>2045</v>
      </c>
      <c r="B416" s="31" t="str">
        <f aca="false">Summary!B418</f>
        <v>Unconditional</v>
      </c>
      <c r="C416" s="31" t="str">
        <f aca="false">Summary!C418</f>
        <v>Fugitive</v>
      </c>
      <c r="D416" s="32" t="n">
        <f aca="false">Summary!D418</f>
        <v>2.65792110733724</v>
      </c>
      <c r="E416" s="31" t="str">
        <f aca="false">Summary!E418</f>
        <v>MMcfd</v>
      </c>
    </row>
    <row r="417" customFormat="false" ht="15" hidden="false" customHeight="true" outlineLevel="0" collapsed="false">
      <c r="A417" s="16" t="n">
        <f aca="false">Summary!A419</f>
        <v>2046</v>
      </c>
      <c r="B417" s="31" t="str">
        <f aca="false">Summary!B419</f>
        <v>Unconditional</v>
      </c>
      <c r="C417" s="31" t="str">
        <f aca="false">Summary!C419</f>
        <v>Fugitive</v>
      </c>
      <c r="D417" s="32" t="n">
        <f aca="false">Summary!D419</f>
        <v>2.07769446929802</v>
      </c>
      <c r="E417" s="31" t="str">
        <f aca="false">Summary!E419</f>
        <v>MMcfd</v>
      </c>
    </row>
    <row r="418" customFormat="false" ht="15" hidden="false" customHeight="true" outlineLevel="0" collapsed="false">
      <c r="A418" s="16" t="n">
        <f aca="false">Summary!A420</f>
        <v>2047</v>
      </c>
      <c r="B418" s="31" t="str">
        <f aca="false">Summary!B420</f>
        <v>Unconditional</v>
      </c>
      <c r="C418" s="31" t="str">
        <f aca="false">Summary!C420</f>
        <v>Fugitive</v>
      </c>
      <c r="D418" s="32" t="n">
        <f aca="false">Summary!D420</f>
        <v>1.49194765697484</v>
      </c>
      <c r="E418" s="31" t="str">
        <f aca="false">Summary!E420</f>
        <v>MMcfd</v>
      </c>
    </row>
    <row r="419" customFormat="false" ht="15" hidden="false" customHeight="true" outlineLevel="0" collapsed="false">
      <c r="A419" s="16" t="n">
        <f aca="false">Summary!A421</f>
        <v>2048</v>
      </c>
      <c r="B419" s="31" t="str">
        <f aca="false">Summary!B421</f>
        <v>Unconditional</v>
      </c>
      <c r="C419" s="31" t="str">
        <f aca="false">Summary!C421</f>
        <v>Fugitive</v>
      </c>
      <c r="D419" s="32" t="n">
        <f aca="false">Summary!D421</f>
        <v>0.907667904234889</v>
      </c>
      <c r="E419" s="31" t="str">
        <f aca="false">Summary!E421</f>
        <v>MMcfd</v>
      </c>
    </row>
    <row r="420" customFormat="false" ht="15" hidden="false" customHeight="true" outlineLevel="0" collapsed="false">
      <c r="A420" s="16" t="n">
        <f aca="false">Summary!A422</f>
        <v>2049</v>
      </c>
      <c r="B420" s="31" t="str">
        <f aca="false">Summary!B422</f>
        <v>Unconditional</v>
      </c>
      <c r="C420" s="31" t="str">
        <f aca="false">Summary!C422</f>
        <v>Fugitive</v>
      </c>
      <c r="D420" s="32" t="n">
        <f aca="false">Summary!D422</f>
        <v>0.328763394295187</v>
      </c>
      <c r="E420" s="31" t="str">
        <f aca="false">Summary!E422</f>
        <v>MMcfd</v>
      </c>
    </row>
    <row r="421" customFormat="false" ht="15" hidden="false" customHeight="true" outlineLevel="0" collapsed="false">
      <c r="A421" s="16" t="n">
        <f aca="false">Summary!A423</f>
        <v>2050</v>
      </c>
      <c r="B421" s="31" t="str">
        <f aca="false">Summary!B423</f>
        <v>Unconditional</v>
      </c>
      <c r="C421" s="31" t="str">
        <f aca="false">Summary!C423</f>
        <v>Fugitive</v>
      </c>
      <c r="D421" s="32" t="n">
        <f aca="false">Summary!D423</f>
        <v>0.31867833384173</v>
      </c>
      <c r="E421" s="31" t="str">
        <f aca="false">Summary!E423</f>
        <v>MMcfd</v>
      </c>
    </row>
    <row r="422" customFormat="false" ht="15" hidden="false" customHeight="true" outlineLevel="0" collapsed="false">
      <c r="A422" s="16" t="n">
        <f aca="false">Summary!A424</f>
        <v>2023</v>
      </c>
      <c r="B422" s="31" t="str">
        <f aca="false">Summary!B424</f>
        <v>Unconditional</v>
      </c>
      <c r="C422" s="31" t="str">
        <f aca="false">Summary!C424</f>
        <v>Venting</v>
      </c>
      <c r="D422" s="32" t="n">
        <f aca="false">Summary!D424</f>
        <v>38.8325644977816</v>
      </c>
      <c r="E422" s="31" t="str">
        <f aca="false">Summary!E424</f>
        <v>MMcfd</v>
      </c>
    </row>
    <row r="423" customFormat="false" ht="15" hidden="false" customHeight="true" outlineLevel="0" collapsed="false">
      <c r="A423" s="16" t="n">
        <f aca="false">Summary!A425</f>
        <v>2024</v>
      </c>
      <c r="B423" s="31" t="str">
        <f aca="false">Summary!B425</f>
        <v>Unconditional</v>
      </c>
      <c r="C423" s="31" t="str">
        <f aca="false">Summary!C425</f>
        <v>Venting</v>
      </c>
      <c r="D423" s="32" t="n">
        <f aca="false">Summary!D425</f>
        <v>40.7197724923039</v>
      </c>
      <c r="E423" s="31" t="str">
        <f aca="false">Summary!E425</f>
        <v>MMcfd</v>
      </c>
    </row>
    <row r="424" customFormat="false" ht="15" hidden="false" customHeight="true" outlineLevel="0" collapsed="false">
      <c r="A424" s="16" t="n">
        <f aca="false">Summary!A426</f>
        <v>2025</v>
      </c>
      <c r="B424" s="31" t="str">
        <f aca="false">Summary!B426</f>
        <v>Unconditional</v>
      </c>
      <c r="C424" s="31" t="str">
        <f aca="false">Summary!C426</f>
        <v>Venting</v>
      </c>
      <c r="D424" s="32" t="n">
        <f aca="false">Summary!D426</f>
        <v>42.5993707850758</v>
      </c>
      <c r="E424" s="31" t="str">
        <f aca="false">Summary!E426</f>
        <v>MMcfd</v>
      </c>
    </row>
    <row r="425" customFormat="false" ht="15" hidden="false" customHeight="true" outlineLevel="0" collapsed="false">
      <c r="A425" s="16" t="n">
        <f aca="false">Summary!A427</f>
        <v>2026</v>
      </c>
      <c r="B425" s="31" t="str">
        <f aca="false">Summary!B427</f>
        <v>Unconditional</v>
      </c>
      <c r="C425" s="31" t="str">
        <f aca="false">Summary!C427</f>
        <v>Venting</v>
      </c>
      <c r="D425" s="32" t="n">
        <f aca="false">Summary!D427</f>
        <v>44.4547931974803</v>
      </c>
      <c r="E425" s="31" t="str">
        <f aca="false">Summary!E427</f>
        <v>MMcfd</v>
      </c>
    </row>
    <row r="426" customFormat="false" ht="15" hidden="false" customHeight="true" outlineLevel="0" collapsed="false">
      <c r="A426" s="16" t="n">
        <f aca="false">Summary!A428</f>
        <v>2027</v>
      </c>
      <c r="B426" s="31" t="str">
        <f aca="false">Summary!B428</f>
        <v>Unconditional</v>
      </c>
      <c r="C426" s="31" t="str">
        <f aca="false">Summary!C428</f>
        <v>Venting</v>
      </c>
      <c r="D426" s="32" t="n">
        <f aca="false">Summary!D428</f>
        <v>46.2651935914249</v>
      </c>
      <c r="E426" s="31" t="str">
        <f aca="false">Summary!E428</f>
        <v>MMcfd</v>
      </c>
    </row>
    <row r="427" customFormat="false" ht="15" hidden="false" customHeight="true" outlineLevel="0" collapsed="false">
      <c r="A427" s="16" t="n">
        <f aca="false">Summary!A429</f>
        <v>2028</v>
      </c>
      <c r="B427" s="31" t="str">
        <f aca="false">Summary!B429</f>
        <v>Unconditional</v>
      </c>
      <c r="C427" s="31" t="str">
        <f aca="false">Summary!C429</f>
        <v>Venting</v>
      </c>
      <c r="D427" s="32" t="n">
        <f aca="false">Summary!D429</f>
        <v>48.0069662411757</v>
      </c>
      <c r="E427" s="31" t="str">
        <f aca="false">Summary!E429</f>
        <v>MMcfd</v>
      </c>
    </row>
    <row r="428" customFormat="false" ht="15" hidden="false" customHeight="true" outlineLevel="0" collapsed="false">
      <c r="A428" s="16" t="n">
        <f aca="false">Summary!A430</f>
        <v>2029</v>
      </c>
      <c r="B428" s="31" t="str">
        <f aca="false">Summary!B430</f>
        <v>Unconditional</v>
      </c>
      <c r="C428" s="31" t="str">
        <f aca="false">Summary!C430</f>
        <v>Venting</v>
      </c>
      <c r="D428" s="32" t="n">
        <f aca="false">Summary!D430</f>
        <v>49.6553193418032</v>
      </c>
      <c r="E428" s="31" t="str">
        <f aca="false">Summary!E430</f>
        <v>MMcfd</v>
      </c>
    </row>
    <row r="429" customFormat="false" ht="15" hidden="false" customHeight="true" outlineLevel="0" collapsed="false">
      <c r="A429" s="16" t="n">
        <f aca="false">Summary!A431</f>
        <v>2030</v>
      </c>
      <c r="B429" s="31" t="str">
        <f aca="false">Summary!B431</f>
        <v>Unconditional</v>
      </c>
      <c r="C429" s="31" t="str">
        <f aca="false">Summary!C431</f>
        <v>Venting</v>
      </c>
      <c r="D429" s="32" t="n">
        <f aca="false">Summary!D431</f>
        <v>51.1859402362697</v>
      </c>
      <c r="E429" s="31" t="str">
        <f aca="false">Summary!E431</f>
        <v>MMcfd</v>
      </c>
    </row>
    <row r="430" customFormat="false" ht="15" hidden="false" customHeight="true" outlineLevel="0" collapsed="false">
      <c r="A430" s="16" t="n">
        <f aca="false">Summary!A432</f>
        <v>2031</v>
      </c>
      <c r="B430" s="31" t="str">
        <f aca="false">Summary!B432</f>
        <v>Unconditional</v>
      </c>
      <c r="C430" s="31" t="str">
        <f aca="false">Summary!C432</f>
        <v>Venting</v>
      </c>
      <c r="D430" s="32" t="n">
        <f aca="false">Summary!D432</f>
        <v>52.5767361648688</v>
      </c>
      <c r="E430" s="31" t="str">
        <f aca="false">Summary!E432</f>
        <v>MMcfd</v>
      </c>
    </row>
    <row r="431" customFormat="false" ht="15" hidden="false" customHeight="true" outlineLevel="0" collapsed="false">
      <c r="A431" s="16" t="n">
        <f aca="false">Summary!A433</f>
        <v>2032</v>
      </c>
      <c r="B431" s="31" t="str">
        <f aca="false">Summary!B433</f>
        <v>Unconditional</v>
      </c>
      <c r="C431" s="31" t="str">
        <f aca="false">Summary!C433</f>
        <v>Venting</v>
      </c>
      <c r="D431" s="32" t="n">
        <f aca="false">Summary!D433</f>
        <v>53.8096526147404</v>
      </c>
      <c r="E431" s="31" t="str">
        <f aca="false">Summary!E433</f>
        <v>MMcfd</v>
      </c>
    </row>
    <row r="432" customFormat="false" ht="15" hidden="false" customHeight="true" outlineLevel="0" collapsed="false">
      <c r="A432" s="16" t="n">
        <f aca="false">Summary!A434</f>
        <v>2033</v>
      </c>
      <c r="B432" s="31" t="str">
        <f aca="false">Summary!B434</f>
        <v>Unconditional</v>
      </c>
      <c r="C432" s="31" t="str">
        <f aca="false">Summary!C434</f>
        <v>Venting</v>
      </c>
      <c r="D432" s="32" t="n">
        <f aca="false">Summary!D434</f>
        <v>54.8707673852074</v>
      </c>
      <c r="E432" s="31" t="str">
        <f aca="false">Summary!E434</f>
        <v>MMcfd</v>
      </c>
    </row>
    <row r="433" customFormat="false" ht="15" hidden="false" customHeight="true" outlineLevel="0" collapsed="false">
      <c r="A433" s="16" t="n">
        <f aca="false">Summary!A435</f>
        <v>2034</v>
      </c>
      <c r="B433" s="31" t="str">
        <f aca="false">Summary!B435</f>
        <v>Unconditional</v>
      </c>
      <c r="C433" s="31" t="str">
        <f aca="false">Summary!C435</f>
        <v>Venting</v>
      </c>
      <c r="D433" s="32" t="n">
        <f aca="false">Summary!D435</f>
        <v>55.7504296638475</v>
      </c>
      <c r="E433" s="31" t="str">
        <f aca="false">Summary!E435</f>
        <v>MMcfd</v>
      </c>
    </row>
    <row r="434" customFormat="false" ht="15" hidden="false" customHeight="true" outlineLevel="0" collapsed="false">
      <c r="A434" s="16" t="n">
        <f aca="false">Summary!A436</f>
        <v>2035</v>
      </c>
      <c r="B434" s="31" t="str">
        <f aca="false">Summary!B436</f>
        <v>Unconditional</v>
      </c>
      <c r="C434" s="31" t="str">
        <f aca="false">Summary!C436</f>
        <v>Venting</v>
      </c>
      <c r="D434" s="32" t="n">
        <f aca="false">Summary!D436</f>
        <v>56.4434512003685</v>
      </c>
      <c r="E434" s="31" t="str">
        <f aca="false">Summary!E436</f>
        <v>MMcfd</v>
      </c>
    </row>
    <row r="435" customFormat="false" ht="15" hidden="false" customHeight="true" outlineLevel="0" collapsed="false">
      <c r="A435" s="16" t="n">
        <f aca="false">Summary!A437</f>
        <v>2036</v>
      </c>
      <c r="B435" s="31" t="str">
        <f aca="false">Summary!B437</f>
        <v>Unconditional</v>
      </c>
      <c r="C435" s="31" t="str">
        <f aca="false">Summary!C437</f>
        <v>Venting</v>
      </c>
      <c r="D435" s="32" t="n">
        <f aca="false">Summary!D437</f>
        <v>56.9493539124917</v>
      </c>
      <c r="E435" s="31" t="str">
        <f aca="false">Summary!E437</f>
        <v>MMcfd</v>
      </c>
    </row>
    <row r="436" customFormat="false" ht="15" hidden="false" customHeight="true" outlineLevel="0" collapsed="false">
      <c r="A436" s="16" t="n">
        <f aca="false">Summary!A438</f>
        <v>2037</v>
      </c>
      <c r="B436" s="31" t="str">
        <f aca="false">Summary!B438</f>
        <v>Unconditional</v>
      </c>
      <c r="C436" s="31" t="str">
        <f aca="false">Summary!C438</f>
        <v>Venting</v>
      </c>
      <c r="D436" s="32" t="n">
        <f aca="false">Summary!D438</f>
        <v>57.2726753948658</v>
      </c>
      <c r="E436" s="31" t="str">
        <f aca="false">Summary!E438</f>
        <v>MMcfd</v>
      </c>
    </row>
    <row r="437" customFormat="false" ht="15" hidden="false" customHeight="true" outlineLevel="0" collapsed="false">
      <c r="A437" s="16" t="n">
        <f aca="false">Summary!A439</f>
        <v>2038</v>
      </c>
      <c r="B437" s="31" t="str">
        <f aca="false">Summary!B439</f>
        <v>Unconditional</v>
      </c>
      <c r="C437" s="31" t="str">
        <f aca="false">Summary!C439</f>
        <v>Venting</v>
      </c>
      <c r="D437" s="32" t="n">
        <f aca="false">Summary!D439</f>
        <v>57.4219942876641</v>
      </c>
      <c r="E437" s="31" t="str">
        <f aca="false">Summary!E439</f>
        <v>MMcfd</v>
      </c>
    </row>
    <row r="438" customFormat="false" ht="15" hidden="false" customHeight="true" outlineLevel="0" collapsed="false">
      <c r="A438" s="16" t="n">
        <f aca="false">Summary!A440</f>
        <v>2039</v>
      </c>
      <c r="B438" s="31" t="str">
        <f aca="false">Summary!B440</f>
        <v>Unconditional</v>
      </c>
      <c r="C438" s="31" t="str">
        <f aca="false">Summary!C440</f>
        <v>Venting</v>
      </c>
      <c r="D438" s="32" t="n">
        <f aca="false">Summary!D440</f>
        <v>57.4090598478746</v>
      </c>
      <c r="E438" s="31" t="str">
        <f aca="false">Summary!E440</f>
        <v>MMcfd</v>
      </c>
    </row>
    <row r="439" customFormat="false" ht="15" hidden="false" customHeight="true" outlineLevel="0" collapsed="false">
      <c r="A439" s="16" t="n">
        <f aca="false">Summary!A441</f>
        <v>2040</v>
      </c>
      <c r="B439" s="31" t="str">
        <f aca="false">Summary!B441</f>
        <v>Unconditional</v>
      </c>
      <c r="C439" s="31" t="str">
        <f aca="false">Summary!C441</f>
        <v>Venting</v>
      </c>
      <c r="D439" s="32" t="n">
        <f aca="false">Summary!D441</f>
        <v>57.2480208216034</v>
      </c>
      <c r="E439" s="31" t="str">
        <f aca="false">Summary!E441</f>
        <v>MMcfd</v>
      </c>
    </row>
    <row r="440" customFormat="false" ht="15" hidden="false" customHeight="true" outlineLevel="0" collapsed="false">
      <c r="A440" s="16" t="n">
        <f aca="false">Summary!A442</f>
        <v>2041</v>
      </c>
      <c r="B440" s="31" t="str">
        <f aca="false">Summary!B442</f>
        <v>Unconditional</v>
      </c>
      <c r="C440" s="31" t="str">
        <f aca="false">Summary!C442</f>
        <v>Venting</v>
      </c>
      <c r="D440" s="32" t="n">
        <f aca="false">Summary!D442</f>
        <v>56.9547307688401</v>
      </c>
      <c r="E440" s="31" t="str">
        <f aca="false">Summary!E442</f>
        <v>MMcfd</v>
      </c>
    </row>
    <row r="441" customFormat="false" ht="15" hidden="false" customHeight="true" outlineLevel="0" collapsed="false">
      <c r="A441" s="16" t="n">
        <f aca="false">Summary!A443</f>
        <v>2042</v>
      </c>
      <c r="B441" s="31" t="str">
        <f aca="false">Summary!B443</f>
        <v>Unconditional</v>
      </c>
      <c r="C441" s="31" t="str">
        <f aca="false">Summary!C443</f>
        <v>Venting</v>
      </c>
      <c r="D441" s="32" t="n">
        <f aca="false">Summary!D443</f>
        <v>56.5461210927948</v>
      </c>
      <c r="E441" s="31" t="str">
        <f aca="false">Summary!E443</f>
        <v>MMcfd</v>
      </c>
    </row>
    <row r="442" customFormat="false" ht="15" hidden="false" customHeight="true" outlineLevel="0" collapsed="false">
      <c r="A442" s="16" t="n">
        <f aca="false">Summary!A444</f>
        <v>2043</v>
      </c>
      <c r="B442" s="31" t="str">
        <f aca="false">Summary!B444</f>
        <v>Unconditional</v>
      </c>
      <c r="C442" s="31" t="str">
        <f aca="false">Summary!C444</f>
        <v>Venting</v>
      </c>
      <c r="D442" s="32" t="n">
        <f aca="false">Summary!D444</f>
        <v>56.0398064742482</v>
      </c>
      <c r="E442" s="31" t="str">
        <f aca="false">Summary!E444</f>
        <v>MMcfd</v>
      </c>
    </row>
    <row r="443" customFormat="false" ht="15" hidden="false" customHeight="true" outlineLevel="0" collapsed="false">
      <c r="A443" s="16" t="n">
        <f aca="false">Summary!A445</f>
        <v>2044</v>
      </c>
      <c r="B443" s="31" t="str">
        <f aca="false">Summary!B445</f>
        <v>Unconditional</v>
      </c>
      <c r="C443" s="31" t="str">
        <f aca="false">Summary!C445</f>
        <v>Venting</v>
      </c>
      <c r="D443" s="32" t="n">
        <f aca="false">Summary!D445</f>
        <v>55.4530644995984</v>
      </c>
      <c r="E443" s="31" t="str">
        <f aca="false">Summary!E445</f>
        <v>MMcfd</v>
      </c>
    </row>
    <row r="444" customFormat="false" ht="15" hidden="false" customHeight="true" outlineLevel="0" collapsed="false">
      <c r="A444" s="16" t="n">
        <f aca="false">Summary!A446</f>
        <v>2045</v>
      </c>
      <c r="B444" s="31" t="str">
        <f aca="false">Summary!B446</f>
        <v>Unconditional</v>
      </c>
      <c r="C444" s="31" t="str">
        <f aca="false">Summary!C446</f>
        <v>Venting</v>
      </c>
      <c r="D444" s="32" t="n">
        <f aca="false">Summary!D446</f>
        <v>54.8026315511084</v>
      </c>
      <c r="E444" s="31" t="str">
        <f aca="false">Summary!E446</f>
        <v>MMcfd</v>
      </c>
    </row>
    <row r="445" customFormat="false" ht="15" hidden="false" customHeight="true" outlineLevel="0" collapsed="false">
      <c r="A445" s="16" t="n">
        <f aca="false">Summary!A447</f>
        <v>2046</v>
      </c>
      <c r="B445" s="31" t="str">
        <f aca="false">Summary!B447</f>
        <v>Unconditional</v>
      </c>
      <c r="C445" s="31" t="str">
        <f aca="false">Summary!C447</f>
        <v>Venting</v>
      </c>
      <c r="D445" s="32" t="n">
        <f aca="false">Summary!D447</f>
        <v>54.1043389998787</v>
      </c>
      <c r="E445" s="31" t="str">
        <f aca="false">Summary!E447</f>
        <v>MMcfd</v>
      </c>
    </row>
    <row r="446" customFormat="false" ht="15" hidden="false" customHeight="true" outlineLevel="0" collapsed="false">
      <c r="A446" s="16" t="n">
        <f aca="false">Summary!A448</f>
        <v>2047</v>
      </c>
      <c r="B446" s="31" t="str">
        <f aca="false">Summary!B448</f>
        <v>Unconditional</v>
      </c>
      <c r="C446" s="31" t="str">
        <f aca="false">Summary!C448</f>
        <v>Venting</v>
      </c>
      <c r="D446" s="32" t="n">
        <f aca="false">Summary!D448</f>
        <v>53.209471371016</v>
      </c>
      <c r="E446" s="31" t="str">
        <f aca="false">Summary!E448</f>
        <v>MMcfd</v>
      </c>
    </row>
    <row r="447" customFormat="false" ht="15" hidden="false" customHeight="true" outlineLevel="0" collapsed="false">
      <c r="A447" s="16" t="n">
        <f aca="false">Summary!A449</f>
        <v>2048</v>
      </c>
      <c r="B447" s="31" t="str">
        <f aca="false">Summary!B449</f>
        <v>Unconditional</v>
      </c>
      <c r="C447" s="31" t="str">
        <f aca="false">Summary!C449</f>
        <v>Venting</v>
      </c>
      <c r="D447" s="32" t="n">
        <f aca="false">Summary!D449</f>
        <v>52.2050165444834</v>
      </c>
      <c r="E447" s="31" t="str">
        <f aca="false">Summary!E449</f>
        <v>MMcfd</v>
      </c>
    </row>
    <row r="448" customFormat="false" ht="15" hidden="false" customHeight="true" outlineLevel="0" collapsed="false">
      <c r="A448" s="16" t="n">
        <f aca="false">Summary!A450</f>
        <v>2049</v>
      </c>
      <c r="B448" s="31" t="str">
        <f aca="false">Summary!B450</f>
        <v>Unconditional</v>
      </c>
      <c r="C448" s="31" t="str">
        <f aca="false">Summary!C450</f>
        <v>Venting</v>
      </c>
      <c r="D448" s="32" t="n">
        <f aca="false">Summary!D450</f>
        <v>51.1876288399557</v>
      </c>
      <c r="E448" s="31" t="str">
        <f aca="false">Summary!E450</f>
        <v>MMcfd</v>
      </c>
    </row>
    <row r="449" customFormat="false" ht="15" hidden="false" customHeight="true" outlineLevel="0" collapsed="false">
      <c r="A449" s="16" t="n">
        <f aca="false">Summary!A451</f>
        <v>2050</v>
      </c>
      <c r="B449" s="31" t="str">
        <f aca="false">Summary!B451</f>
        <v>Unconditional</v>
      </c>
      <c r="C449" s="31" t="str">
        <f aca="false">Summary!C451</f>
        <v>Venting</v>
      </c>
      <c r="D449" s="32" t="n">
        <f aca="false">Summary!D451</f>
        <v>49.617410438887</v>
      </c>
      <c r="E449" s="31" t="str">
        <f aca="false">Summary!E451</f>
        <v>MMcfd</v>
      </c>
    </row>
    <row r="450" customFormat="false" ht="15" hidden="false" customHeight="true" outlineLevel="0" collapsed="false">
      <c r="A450" s="16" t="n">
        <f aca="false">Summary!A452</f>
        <v>2023</v>
      </c>
      <c r="B450" s="31" t="str">
        <f aca="false">Summary!B452</f>
        <v>Unconditional</v>
      </c>
      <c r="C450" s="31" t="str">
        <f aca="false">Summary!C452</f>
        <v>Flaring</v>
      </c>
      <c r="D450" s="32" t="n">
        <f aca="false">Summary!D452</f>
        <v>545.104349144224</v>
      </c>
      <c r="E450" s="31" t="str">
        <f aca="false">Summary!E452</f>
        <v>MMcfd</v>
      </c>
    </row>
    <row r="451" customFormat="false" ht="15" hidden="false" customHeight="true" outlineLevel="0" collapsed="false">
      <c r="A451" s="16" t="n">
        <f aca="false">Summary!A453</f>
        <v>2024</v>
      </c>
      <c r="B451" s="31" t="str">
        <f aca="false">Summary!B453</f>
        <v>Unconditional</v>
      </c>
      <c r="C451" s="31" t="str">
        <f aca="false">Summary!C453</f>
        <v>Flaring</v>
      </c>
      <c r="D451" s="32" t="n">
        <f aca="false">Summary!D453</f>
        <v>513.874319379679</v>
      </c>
      <c r="E451" s="31" t="str">
        <f aca="false">Summary!E453</f>
        <v>MMcfd</v>
      </c>
    </row>
    <row r="452" customFormat="false" ht="15" hidden="false" customHeight="true" outlineLevel="0" collapsed="false">
      <c r="A452" s="16" t="n">
        <f aca="false">Summary!A454</f>
        <v>2025</v>
      </c>
      <c r="B452" s="31" t="str">
        <f aca="false">Summary!B454</f>
        <v>Unconditional</v>
      </c>
      <c r="C452" s="31" t="str">
        <f aca="false">Summary!C454</f>
        <v>Flaring</v>
      </c>
      <c r="D452" s="32" t="n">
        <f aca="false">Summary!D454</f>
        <v>482.660485421662</v>
      </c>
      <c r="E452" s="31" t="str">
        <f aca="false">Summary!E454</f>
        <v>MMcfd</v>
      </c>
    </row>
    <row r="453" customFormat="false" ht="15" hidden="false" customHeight="true" outlineLevel="0" collapsed="false">
      <c r="A453" s="16" t="n">
        <f aca="false">Summary!A455</f>
        <v>2026</v>
      </c>
      <c r="B453" s="31" t="str">
        <f aca="false">Summary!B455</f>
        <v>Unconditional</v>
      </c>
      <c r="C453" s="31" t="str">
        <f aca="false">Summary!C455</f>
        <v>Flaring</v>
      </c>
      <c r="D453" s="32" t="n">
        <f aca="false">Summary!D455</f>
        <v>451.473948749505</v>
      </c>
      <c r="E453" s="31" t="str">
        <f aca="false">Summary!E455</f>
        <v>MMcfd</v>
      </c>
    </row>
    <row r="454" customFormat="false" ht="15" hidden="false" customHeight="true" outlineLevel="0" collapsed="false">
      <c r="A454" s="16" t="n">
        <f aca="false">Summary!A456</f>
        <v>2027</v>
      </c>
      <c r="B454" s="31" t="str">
        <f aca="false">Summary!B456</f>
        <v>Unconditional</v>
      </c>
      <c r="C454" s="31" t="str">
        <f aca="false">Summary!C456</f>
        <v>Flaring</v>
      </c>
      <c r="D454" s="32" t="n">
        <f aca="false">Summary!D456</f>
        <v>420.366933387437</v>
      </c>
      <c r="E454" s="31" t="str">
        <f aca="false">Summary!E456</f>
        <v>MMcfd</v>
      </c>
    </row>
    <row r="455" customFormat="false" ht="15" hidden="false" customHeight="true" outlineLevel="0" collapsed="false">
      <c r="A455" s="16" t="n">
        <f aca="false">Summary!A457</f>
        <v>2028</v>
      </c>
      <c r="B455" s="31" t="str">
        <f aca="false">Summary!B457</f>
        <v>Unconditional</v>
      </c>
      <c r="C455" s="31" t="str">
        <f aca="false">Summary!C457</f>
        <v>Flaring</v>
      </c>
      <c r="D455" s="32" t="n">
        <f aca="false">Summary!D457</f>
        <v>389.436449910599</v>
      </c>
      <c r="E455" s="31" t="str">
        <f aca="false">Summary!E457</f>
        <v>MMcfd</v>
      </c>
    </row>
    <row r="456" customFormat="false" ht="15" hidden="false" customHeight="true" outlineLevel="0" collapsed="false">
      <c r="A456" s="16" t="n">
        <f aca="false">Summary!A458</f>
        <v>2029</v>
      </c>
      <c r="B456" s="31" t="str">
        <f aca="false">Summary!B458</f>
        <v>Unconditional</v>
      </c>
      <c r="C456" s="31" t="str">
        <f aca="false">Summary!C458</f>
        <v>Flaring</v>
      </c>
      <c r="D456" s="32" t="n">
        <f aca="false">Summary!D458</f>
        <v>358.824220049213</v>
      </c>
      <c r="E456" s="31" t="str">
        <f aca="false">Summary!E458</f>
        <v>MMcfd</v>
      </c>
    </row>
    <row r="457" customFormat="false" ht="15" hidden="false" customHeight="true" outlineLevel="0" collapsed="false">
      <c r="A457" s="16" t="n">
        <f aca="false">Summary!A459</f>
        <v>2030</v>
      </c>
      <c r="B457" s="31" t="str">
        <f aca="false">Summary!B459</f>
        <v>Unconditional</v>
      </c>
      <c r="C457" s="31" t="str">
        <f aca="false">Summary!C459</f>
        <v>Flaring</v>
      </c>
      <c r="D457" s="32" t="n">
        <f aca="false">Summary!D459</f>
        <v>328.713160855035</v>
      </c>
      <c r="E457" s="31" t="str">
        <f aca="false">Summary!E459</f>
        <v>MMcfd</v>
      </c>
    </row>
    <row r="458" customFormat="false" ht="15" hidden="false" customHeight="true" outlineLevel="0" collapsed="false">
      <c r="A458" s="16" t="n">
        <f aca="false">Summary!A460</f>
        <v>2031</v>
      </c>
      <c r="B458" s="31" t="str">
        <f aca="false">Summary!B460</f>
        <v>Unconditional</v>
      </c>
      <c r="C458" s="31" t="str">
        <f aca="false">Summary!C460</f>
        <v>Flaring</v>
      </c>
      <c r="D458" s="32" t="n">
        <f aca="false">Summary!D460</f>
        <v>299.320288940657</v>
      </c>
      <c r="E458" s="31" t="str">
        <f aca="false">Summary!E460</f>
        <v>MMcfd</v>
      </c>
    </row>
    <row r="459" customFormat="false" ht="15" hidden="false" customHeight="true" outlineLevel="0" collapsed="false">
      <c r="A459" s="16" t="n">
        <f aca="false">Summary!A461</f>
        <v>2032</v>
      </c>
      <c r="B459" s="31" t="str">
        <f aca="false">Summary!B461</f>
        <v>Unconditional</v>
      </c>
      <c r="C459" s="31" t="str">
        <f aca="false">Summary!C461</f>
        <v>Flaring</v>
      </c>
      <c r="D459" s="32" t="n">
        <f aca="false">Summary!D461</f>
        <v>270.886575089085</v>
      </c>
      <c r="E459" s="31" t="str">
        <f aca="false">Summary!E461</f>
        <v>MMcfd</v>
      </c>
    </row>
    <row r="460" customFormat="false" ht="15" hidden="false" customHeight="true" outlineLevel="0" collapsed="false">
      <c r="A460" s="16" t="n">
        <f aca="false">Summary!A462</f>
        <v>2033</v>
      </c>
      <c r="B460" s="31" t="str">
        <f aca="false">Summary!B462</f>
        <v>Unconditional</v>
      </c>
      <c r="C460" s="31" t="str">
        <f aca="false">Summary!C462</f>
        <v>Flaring</v>
      </c>
      <c r="D460" s="32" t="n">
        <f aca="false">Summary!D462</f>
        <v>243.655908079153</v>
      </c>
      <c r="E460" s="31" t="str">
        <f aca="false">Summary!E462</f>
        <v>MMcfd</v>
      </c>
    </row>
    <row r="461" customFormat="false" ht="15" hidden="false" customHeight="true" outlineLevel="0" collapsed="false">
      <c r="A461" s="16" t="n">
        <f aca="false">Summary!A463</f>
        <v>2034</v>
      </c>
      <c r="B461" s="31" t="str">
        <f aca="false">Summary!B463</f>
        <v>Unconditional</v>
      </c>
      <c r="C461" s="31" t="str">
        <f aca="false">Summary!C463</f>
        <v>Flaring</v>
      </c>
      <c r="D461" s="32" t="n">
        <f aca="false">Summary!D463</f>
        <v>217.854214919699</v>
      </c>
      <c r="E461" s="31" t="str">
        <f aca="false">Summary!E463</f>
        <v>MMcfd</v>
      </c>
    </row>
    <row r="462" customFormat="false" ht="15" hidden="false" customHeight="true" outlineLevel="0" collapsed="false">
      <c r="A462" s="16" t="n">
        <f aca="false">Summary!A464</f>
        <v>2035</v>
      </c>
      <c r="B462" s="31" t="str">
        <f aca="false">Summary!B464</f>
        <v>Unconditional</v>
      </c>
      <c r="C462" s="31" t="str">
        <f aca="false">Summary!C464</f>
        <v>Flaring</v>
      </c>
      <c r="D462" s="32" t="n">
        <f aca="false">Summary!D464</f>
        <v>193.668640240687</v>
      </c>
      <c r="E462" s="31" t="str">
        <f aca="false">Summary!E464</f>
        <v>MMcfd</v>
      </c>
    </row>
    <row r="463" customFormat="false" ht="15" hidden="false" customHeight="true" outlineLevel="0" collapsed="false">
      <c r="A463" s="16" t="n">
        <f aca="false">Summary!A465</f>
        <v>2036</v>
      </c>
      <c r="B463" s="31" t="str">
        <f aca="false">Summary!B465</f>
        <v>Unconditional</v>
      </c>
      <c r="C463" s="31" t="str">
        <f aca="false">Summary!C465</f>
        <v>Flaring</v>
      </c>
      <c r="D463" s="32" t="n">
        <f aca="false">Summary!D465</f>
        <v>171.226696986548</v>
      </c>
      <c r="E463" s="31" t="str">
        <f aca="false">Summary!E465</f>
        <v>MMcfd</v>
      </c>
    </row>
    <row r="464" customFormat="false" ht="15" hidden="false" customHeight="true" outlineLevel="0" collapsed="false">
      <c r="A464" s="16" t="n">
        <f aca="false">Summary!A466</f>
        <v>2037</v>
      </c>
      <c r="B464" s="31" t="str">
        <f aca="false">Summary!B466</f>
        <v>Unconditional</v>
      </c>
      <c r="C464" s="31" t="str">
        <f aca="false">Summary!C466</f>
        <v>Flaring</v>
      </c>
      <c r="D464" s="32" t="n">
        <f aca="false">Summary!D466</f>
        <v>150.575324325426</v>
      </c>
      <c r="E464" s="31" t="str">
        <f aca="false">Summary!E466</f>
        <v>MMcfd</v>
      </c>
    </row>
    <row r="465" customFormat="false" ht="15" hidden="false" customHeight="true" outlineLevel="0" collapsed="false">
      <c r="A465" s="16" t="n">
        <f aca="false">Summary!A467</f>
        <v>2038</v>
      </c>
      <c r="B465" s="31" t="str">
        <f aca="false">Summary!B467</f>
        <v>Unconditional</v>
      </c>
      <c r="C465" s="31" t="str">
        <f aca="false">Summary!C467</f>
        <v>Flaring</v>
      </c>
      <c r="D465" s="32" t="n">
        <f aca="false">Summary!D467</f>
        <v>131.694849604726</v>
      </c>
      <c r="E465" s="31" t="str">
        <f aca="false">Summary!E467</f>
        <v>MMcfd</v>
      </c>
    </row>
    <row r="466" customFormat="false" ht="15" hidden="false" customHeight="true" outlineLevel="0" collapsed="false">
      <c r="A466" s="16" t="n">
        <f aca="false">Summary!A468</f>
        <v>2039</v>
      </c>
      <c r="B466" s="31" t="str">
        <f aca="false">Summary!B468</f>
        <v>Unconditional</v>
      </c>
      <c r="C466" s="31" t="str">
        <f aca="false">Summary!C468</f>
        <v>Flaring</v>
      </c>
      <c r="D466" s="32" t="n">
        <f aca="false">Summary!D468</f>
        <v>114.511813171302</v>
      </c>
      <c r="E466" s="31" t="str">
        <f aca="false">Summary!E468</f>
        <v>MMcfd</v>
      </c>
    </row>
    <row r="467" customFormat="false" ht="15" hidden="false" customHeight="true" outlineLevel="0" collapsed="false">
      <c r="A467" s="16" t="n">
        <f aca="false">Summary!A469</f>
        <v>2040</v>
      </c>
      <c r="B467" s="31" t="str">
        <f aca="false">Summary!B469</f>
        <v>Unconditional</v>
      </c>
      <c r="C467" s="31" t="str">
        <f aca="false">Summary!C469</f>
        <v>Flaring</v>
      </c>
      <c r="D467" s="32" t="n">
        <f aca="false">Summary!D469</f>
        <v>98.9106795224214</v>
      </c>
      <c r="E467" s="31" t="str">
        <f aca="false">Summary!E469</f>
        <v>MMcfd</v>
      </c>
    </row>
    <row r="468" customFormat="false" ht="15" hidden="false" customHeight="true" outlineLevel="0" collapsed="false">
      <c r="A468" s="16" t="n">
        <f aca="false">Summary!A470</f>
        <v>2041</v>
      </c>
      <c r="B468" s="31" t="str">
        <f aca="false">Summary!B470</f>
        <v>Unconditional</v>
      </c>
      <c r="C468" s="31" t="str">
        <f aca="false">Summary!C470</f>
        <v>Flaring</v>
      </c>
      <c r="D468" s="32" t="n">
        <f aca="false">Summary!D470</f>
        <v>84.7444799593604</v>
      </c>
      <c r="E468" s="31" t="str">
        <f aca="false">Summary!E470</f>
        <v>MMcfd</v>
      </c>
    </row>
    <row r="469" customFormat="false" ht="15" hidden="false" customHeight="true" outlineLevel="0" collapsed="false">
      <c r="A469" s="16" t="n">
        <f aca="false">Summary!A471</f>
        <v>2042</v>
      </c>
      <c r="B469" s="31" t="str">
        <f aca="false">Summary!B471</f>
        <v>Unconditional</v>
      </c>
      <c r="C469" s="31" t="str">
        <f aca="false">Summary!C471</f>
        <v>Flaring</v>
      </c>
      <c r="D469" s="32" t="n">
        <f aca="false">Summary!D471</f>
        <v>71.8444591595135</v>
      </c>
      <c r="E469" s="31" t="str">
        <f aca="false">Summary!E471</f>
        <v>MMcfd</v>
      </c>
    </row>
    <row r="470" customFormat="false" ht="15" hidden="false" customHeight="true" outlineLevel="0" collapsed="false">
      <c r="A470" s="16" t="n">
        <f aca="false">Summary!A472</f>
        <v>2043</v>
      </c>
      <c r="B470" s="31" t="str">
        <f aca="false">Summary!B472</f>
        <v>Unconditional</v>
      </c>
      <c r="C470" s="31" t="str">
        <f aca="false">Summary!C472</f>
        <v>Flaring</v>
      </c>
      <c r="D470" s="32" t="n">
        <f aca="false">Summary!D472</f>
        <v>60.0290275745515</v>
      </c>
      <c r="E470" s="31" t="str">
        <f aca="false">Summary!E472</f>
        <v>MMcfd</v>
      </c>
    </row>
    <row r="471" customFormat="false" ht="15" hidden="false" customHeight="true" outlineLevel="0" collapsed="false">
      <c r="A471" s="16" t="n">
        <f aca="false">Summary!A473</f>
        <v>2044</v>
      </c>
      <c r="B471" s="31" t="str">
        <f aca="false">Summary!B473</f>
        <v>Unconditional</v>
      </c>
      <c r="C471" s="31" t="str">
        <f aca="false">Summary!C473</f>
        <v>Flaring</v>
      </c>
      <c r="D471" s="32" t="n">
        <f aca="false">Summary!D473</f>
        <v>49.1111085995109</v>
      </c>
      <c r="E471" s="31" t="str">
        <f aca="false">Summary!E473</f>
        <v>MMcfd</v>
      </c>
    </row>
    <row r="472" customFormat="false" ht="15" hidden="false" customHeight="true" outlineLevel="0" collapsed="false">
      <c r="A472" s="16" t="n">
        <f aca="false">Summary!A474</f>
        <v>2045</v>
      </c>
      <c r="B472" s="31" t="str">
        <f aca="false">Summary!B474</f>
        <v>Unconditional</v>
      </c>
      <c r="C472" s="31" t="str">
        <f aca="false">Summary!C474</f>
        <v>Flaring</v>
      </c>
      <c r="D472" s="32" t="n">
        <f aca="false">Summary!D474</f>
        <v>38.9058936988481</v>
      </c>
      <c r="E472" s="31" t="str">
        <f aca="false">Summary!E474</f>
        <v>MMcfd</v>
      </c>
    </row>
    <row r="473" customFormat="false" ht="15" hidden="false" customHeight="true" outlineLevel="0" collapsed="false">
      <c r="A473" s="16" t="n">
        <f aca="false">Summary!A475</f>
        <v>2046</v>
      </c>
      <c r="B473" s="31" t="str">
        <f aca="false">Summary!B475</f>
        <v>Unconditional</v>
      </c>
      <c r="C473" s="31" t="str">
        <f aca="false">Summary!C475</f>
        <v>Flaring</v>
      </c>
      <c r="D473" s="32" t="n">
        <f aca="false">Summary!D475</f>
        <v>29.2375888104752</v>
      </c>
      <c r="E473" s="31" t="str">
        <f aca="false">Summary!E475</f>
        <v>MMcfd</v>
      </c>
    </row>
    <row r="474" customFormat="false" ht="15" hidden="false" customHeight="true" outlineLevel="0" collapsed="false">
      <c r="A474" s="16" t="n">
        <f aca="false">Summary!A476</f>
        <v>2047</v>
      </c>
      <c r="B474" s="31" t="str">
        <f aca="false">Summary!B476</f>
        <v>Unconditional</v>
      </c>
      <c r="C474" s="31" t="str">
        <f aca="false">Summary!C476</f>
        <v>Flaring</v>
      </c>
      <c r="D474" s="32" t="n">
        <f aca="false">Summary!D476</f>
        <v>25.83469314341</v>
      </c>
      <c r="E474" s="31" t="str">
        <f aca="false">Summary!E476</f>
        <v>MMcfd</v>
      </c>
    </row>
    <row r="475" customFormat="false" ht="15" hidden="false" customHeight="true" outlineLevel="0" collapsed="false">
      <c r="A475" s="16" t="n">
        <f aca="false">Summary!A477</f>
        <v>2048</v>
      </c>
      <c r="B475" s="31" t="str">
        <f aca="false">Summary!B477</f>
        <v>Unconditional</v>
      </c>
      <c r="C475" s="31" t="str">
        <f aca="false">Summary!C477</f>
        <v>Flaring</v>
      </c>
      <c r="D475" s="32" t="n">
        <f aca="false">Summary!D477</f>
        <v>25.7097825767135</v>
      </c>
      <c r="E475" s="31" t="str">
        <f aca="false">Summary!E477</f>
        <v>MMcfd</v>
      </c>
    </row>
    <row r="476" customFormat="false" ht="15" hidden="false" customHeight="true" outlineLevel="0" collapsed="false">
      <c r="A476" s="16" t="n">
        <f aca="false">Summary!A478</f>
        <v>2049</v>
      </c>
      <c r="B476" s="31" t="str">
        <f aca="false">Summary!B478</f>
        <v>Unconditional</v>
      </c>
      <c r="C476" s="31" t="str">
        <f aca="false">Summary!C478</f>
        <v>Flaring</v>
      </c>
      <c r="D476" s="32" t="n">
        <f aca="false">Summary!D478</f>
        <v>25.5802247310639</v>
      </c>
      <c r="E476" s="31" t="str">
        <f aca="false">Summary!E478</f>
        <v>MMcfd</v>
      </c>
    </row>
    <row r="477" customFormat="false" ht="15" hidden="false" customHeight="true" outlineLevel="0" collapsed="false">
      <c r="A477" s="16" t="n">
        <f aca="false">Summary!A479</f>
        <v>2050</v>
      </c>
      <c r="B477" s="31" t="str">
        <f aca="false">Summary!B479</f>
        <v>Unconditional</v>
      </c>
      <c r="C477" s="31" t="str">
        <f aca="false">Summary!C479</f>
        <v>Flaring</v>
      </c>
      <c r="D477" s="32" t="n">
        <f aca="false">Summary!D479</f>
        <v>24.7955324042954</v>
      </c>
      <c r="E477" s="31" t="str">
        <f aca="false">Summary!E479</f>
        <v>MMcfd</v>
      </c>
    </row>
    <row r="478" customFormat="false" ht="15" hidden="false" customHeight="true" outlineLevel="0" collapsed="false">
      <c r="A478" s="16" t="n">
        <f aca="false">Summary!A480</f>
        <v>2023</v>
      </c>
      <c r="B478" s="31" t="str">
        <f aca="false">Summary!B480</f>
        <v>Unconditional</v>
      </c>
      <c r="C478" s="31" t="str">
        <f aca="false">Summary!C480</f>
        <v>Gas Recovery</v>
      </c>
      <c r="D478" s="32" t="n">
        <f aca="false">Summary!D480</f>
        <v>0</v>
      </c>
      <c r="E478" s="31" t="str">
        <f aca="false">Summary!E480</f>
        <v>MMcfd</v>
      </c>
    </row>
    <row r="479" customFormat="false" ht="15" hidden="false" customHeight="true" outlineLevel="0" collapsed="false">
      <c r="A479" s="16" t="n">
        <f aca="false">Summary!A481</f>
        <v>2024</v>
      </c>
      <c r="B479" s="31" t="str">
        <f aca="false">Summary!B481</f>
        <v>Unconditional</v>
      </c>
      <c r="C479" s="31" t="str">
        <f aca="false">Summary!C481</f>
        <v>Gas Recovery</v>
      </c>
      <c r="D479" s="32" t="n">
        <f aca="false">Summary!D481</f>
        <v>105.03531204031</v>
      </c>
      <c r="E479" s="31" t="str">
        <f aca="false">Summary!E481</f>
        <v>MMcfd</v>
      </c>
    </row>
    <row r="480" customFormat="false" ht="15" hidden="false" customHeight="true" outlineLevel="0" collapsed="false">
      <c r="A480" s="16" t="n">
        <f aca="false">Summary!A482</f>
        <v>2025</v>
      </c>
      <c r="B480" s="31" t="str">
        <f aca="false">Summary!B482</f>
        <v>Unconditional</v>
      </c>
      <c r="C480" s="31" t="str">
        <f aca="false">Summary!C482</f>
        <v>Gas Recovery</v>
      </c>
      <c r="D480" s="32" t="n">
        <f aca="false">Summary!D482</f>
        <v>210.11437850734</v>
      </c>
      <c r="E480" s="31" t="str">
        <f aca="false">Summary!E482</f>
        <v>MMcfd</v>
      </c>
    </row>
    <row r="481" customFormat="false" ht="15" hidden="false" customHeight="true" outlineLevel="0" collapsed="false">
      <c r="A481" s="16" t="n">
        <f aca="false">Summary!A483</f>
        <v>2026</v>
      </c>
      <c r="B481" s="31" t="str">
        <f aca="false">Summary!B483</f>
        <v>Unconditional</v>
      </c>
      <c r="C481" s="31" t="str">
        <f aca="false">Summary!C483</f>
        <v>Gas Recovery</v>
      </c>
      <c r="D481" s="32" t="n">
        <f aca="false">Summary!D483</f>
        <v>315.283929627531</v>
      </c>
      <c r="E481" s="31" t="str">
        <f aca="false">Summary!E483</f>
        <v>MMcfd</v>
      </c>
    </row>
    <row r="482" customFormat="false" ht="15" hidden="false" customHeight="true" outlineLevel="0" collapsed="false">
      <c r="A482" s="16" t="n">
        <f aca="false">Summary!A484</f>
        <v>2027</v>
      </c>
      <c r="B482" s="31" t="str">
        <f aca="false">Summary!B484</f>
        <v>Unconditional</v>
      </c>
      <c r="C482" s="31" t="str">
        <f aca="false">Summary!C484</f>
        <v>Gas Recovery</v>
      </c>
      <c r="D482" s="32" t="n">
        <f aca="false">Summary!D484</f>
        <v>420.562566079735</v>
      </c>
      <c r="E482" s="31" t="str">
        <f aca="false">Summary!E484</f>
        <v>MMcfd</v>
      </c>
    </row>
    <row r="483" customFormat="false" ht="15" hidden="false" customHeight="true" outlineLevel="0" collapsed="false">
      <c r="A483" s="16" t="n">
        <f aca="false">Summary!A485</f>
        <v>2028</v>
      </c>
      <c r="B483" s="31" t="str">
        <f aca="false">Summary!B485</f>
        <v>Unconditional</v>
      </c>
      <c r="C483" s="31" t="str">
        <f aca="false">Summary!C485</f>
        <v>Gas Recovery</v>
      </c>
      <c r="D483" s="32" t="n">
        <f aca="false">Summary!D485</f>
        <v>525.918074143709</v>
      </c>
      <c r="E483" s="31" t="str">
        <f aca="false">Summary!E485</f>
        <v>MMcfd</v>
      </c>
    </row>
    <row r="484" customFormat="false" ht="15" hidden="false" customHeight="true" outlineLevel="0" collapsed="false">
      <c r="A484" s="16" t="n">
        <f aca="false">Summary!A486</f>
        <v>2029</v>
      </c>
      <c r="B484" s="31" t="str">
        <f aca="false">Summary!B486</f>
        <v>Unconditional</v>
      </c>
      <c r="C484" s="31" t="str">
        <f aca="false">Summary!C486</f>
        <v>Gas Recovery</v>
      </c>
      <c r="D484" s="32" t="n">
        <f aca="false">Summary!D486</f>
        <v>631.248361776754</v>
      </c>
      <c r="E484" s="31" t="str">
        <f aca="false">Summary!E486</f>
        <v>MMcfd</v>
      </c>
    </row>
    <row r="485" customFormat="false" ht="15" hidden="false" customHeight="true" outlineLevel="0" collapsed="false">
      <c r="A485" s="16" t="n">
        <f aca="false">Summary!A487</f>
        <v>2030</v>
      </c>
      <c r="B485" s="31" t="str">
        <f aca="false">Summary!B487</f>
        <v>Unconditional</v>
      </c>
      <c r="C485" s="31" t="str">
        <f aca="false">Summary!C487</f>
        <v>Gas Recovery</v>
      </c>
      <c r="D485" s="32" t="n">
        <f aca="false">Summary!D487</f>
        <v>736.395598135426</v>
      </c>
      <c r="E485" s="31" t="str">
        <f aca="false">Summary!E487</f>
        <v>MMcfd</v>
      </c>
    </row>
    <row r="486" customFormat="false" ht="15" hidden="false" customHeight="true" outlineLevel="0" collapsed="false">
      <c r="A486" s="16" t="n">
        <f aca="false">Summary!A488</f>
        <v>2031</v>
      </c>
      <c r="B486" s="31" t="str">
        <f aca="false">Summary!B488</f>
        <v>Unconditional</v>
      </c>
      <c r="C486" s="31" t="str">
        <f aca="false">Summary!C488</f>
        <v>Gas Recovery</v>
      </c>
      <c r="D486" s="32" t="n">
        <f aca="false">Summary!D488</f>
        <v>841.167168076665</v>
      </c>
      <c r="E486" s="31" t="str">
        <f aca="false">Summary!E488</f>
        <v>MMcfd</v>
      </c>
    </row>
    <row r="487" customFormat="false" ht="15" hidden="false" customHeight="true" outlineLevel="0" collapsed="false">
      <c r="A487" s="16" t="n">
        <f aca="false">Summary!A489</f>
        <v>2032</v>
      </c>
      <c r="B487" s="31" t="str">
        <f aca="false">Summary!B489</f>
        <v>Unconditional</v>
      </c>
      <c r="C487" s="31" t="str">
        <f aca="false">Summary!C489</f>
        <v>Gas Recovery</v>
      </c>
      <c r="D487" s="32" t="n">
        <f aca="false">Summary!D489</f>
        <v>945.363348241401</v>
      </c>
      <c r="E487" s="31" t="str">
        <f aca="false">Summary!E489</f>
        <v>MMcfd</v>
      </c>
    </row>
    <row r="488" customFormat="false" ht="15" hidden="false" customHeight="true" outlineLevel="0" collapsed="false">
      <c r="A488" s="16" t="n">
        <f aca="false">Summary!A490</f>
        <v>2033</v>
      </c>
      <c r="B488" s="31" t="str">
        <f aca="false">Summary!B490</f>
        <v>Unconditional</v>
      </c>
      <c r="C488" s="31" t="str">
        <f aca="false">Summary!C490</f>
        <v>Gas Recovery</v>
      </c>
      <c r="D488" s="32" t="n">
        <f aca="false">Summary!D490</f>
        <v>1048.7917139817</v>
      </c>
      <c r="E488" s="31" t="str">
        <f aca="false">Summary!E490</f>
        <v>MMcfd</v>
      </c>
    </row>
    <row r="489" customFormat="false" ht="15" hidden="false" customHeight="true" outlineLevel="0" collapsed="false">
      <c r="A489" s="16" t="n">
        <f aca="false">Summary!A491</f>
        <v>2034</v>
      </c>
      <c r="B489" s="31" t="str">
        <f aca="false">Summary!B491</f>
        <v>Unconditional</v>
      </c>
      <c r="C489" s="31" t="str">
        <f aca="false">Summary!C491</f>
        <v>Gas Recovery</v>
      </c>
      <c r="D489" s="32" t="n">
        <f aca="false">Summary!D491</f>
        <v>1151.28202779806</v>
      </c>
      <c r="E489" s="31" t="str">
        <f aca="false">Summary!E491</f>
        <v>MMcfd</v>
      </c>
    </row>
    <row r="490" customFormat="false" ht="15" hidden="false" customHeight="true" outlineLevel="0" collapsed="false">
      <c r="A490" s="16" t="n">
        <f aca="false">Summary!A492</f>
        <v>2035</v>
      </c>
      <c r="B490" s="31" t="str">
        <f aca="false">Summary!B492</f>
        <v>Unconditional</v>
      </c>
      <c r="C490" s="31" t="str">
        <f aca="false">Summary!C492</f>
        <v>Gas Recovery</v>
      </c>
      <c r="D490" s="32" t="n">
        <f aca="false">Summary!D492</f>
        <v>1252.70169009647</v>
      </c>
      <c r="E490" s="31" t="str">
        <f aca="false">Summary!E492</f>
        <v>MMcfd</v>
      </c>
    </row>
    <row r="491" customFormat="false" ht="15" hidden="false" customHeight="true" outlineLevel="0" collapsed="false">
      <c r="A491" s="16" t="n">
        <f aca="false">Summary!A493</f>
        <v>2036</v>
      </c>
      <c r="B491" s="31" t="str">
        <f aca="false">Summary!B493</f>
        <v>Unconditional</v>
      </c>
      <c r="C491" s="31" t="str">
        <f aca="false">Summary!C493</f>
        <v>Gas Recovery</v>
      </c>
      <c r="D491" s="32" t="n">
        <f aca="false">Summary!D493</f>
        <v>1352.97182100092</v>
      </c>
      <c r="E491" s="31" t="str">
        <f aca="false">Summary!E493</f>
        <v>MMcfd</v>
      </c>
    </row>
    <row r="492" customFormat="false" ht="15" hidden="false" customHeight="true" outlineLevel="0" collapsed="false">
      <c r="A492" s="16" t="n">
        <f aca="false">Summary!A494</f>
        <v>2037</v>
      </c>
      <c r="B492" s="31" t="str">
        <f aca="false">Summary!B494</f>
        <v>Unconditional</v>
      </c>
      <c r="C492" s="31" t="str">
        <f aca="false">Summary!C494</f>
        <v>Gas Recovery</v>
      </c>
      <c r="D492" s="32" t="n">
        <f aca="false">Summary!D494</f>
        <v>1452.0840202478</v>
      </c>
      <c r="E492" s="31" t="str">
        <f aca="false">Summary!E494</f>
        <v>MMcfd</v>
      </c>
    </row>
    <row r="493" customFormat="false" ht="15" hidden="false" customHeight="true" outlineLevel="0" collapsed="false">
      <c r="A493" s="16" t="n">
        <f aca="false">Summary!A495</f>
        <v>2038</v>
      </c>
      <c r="B493" s="31" t="str">
        <f aca="false">Summary!B495</f>
        <v>Unconditional</v>
      </c>
      <c r="C493" s="31" t="str">
        <f aca="false">Summary!C495</f>
        <v>Gas Recovery</v>
      </c>
      <c r="D493" s="32" t="n">
        <f aca="false">Summary!D495</f>
        <v>1550.08413069725</v>
      </c>
      <c r="E493" s="31" t="str">
        <f aca="false">Summary!E495</f>
        <v>MMcfd</v>
      </c>
    </row>
    <row r="494" customFormat="false" ht="15" hidden="false" customHeight="true" outlineLevel="0" collapsed="false">
      <c r="A494" s="16" t="n">
        <f aca="false">Summary!A496</f>
        <v>2039</v>
      </c>
      <c r="B494" s="31" t="str">
        <f aca="false">Summary!B496</f>
        <v>Unconditional</v>
      </c>
      <c r="C494" s="31" t="str">
        <f aca="false">Summary!C496</f>
        <v>Gas Recovery</v>
      </c>
      <c r="D494" s="32" t="n">
        <f aca="false">Summary!D496</f>
        <v>1647.05764933506</v>
      </c>
      <c r="E494" s="31" t="str">
        <f aca="false">Summary!E496</f>
        <v>MMcfd</v>
      </c>
    </row>
    <row r="495" customFormat="false" ht="15" hidden="false" customHeight="true" outlineLevel="0" collapsed="false">
      <c r="A495" s="16" t="n">
        <f aca="false">Summary!A497</f>
        <v>2040</v>
      </c>
      <c r="B495" s="31" t="str">
        <f aca="false">Summary!B497</f>
        <v>Unconditional</v>
      </c>
      <c r="C495" s="31" t="str">
        <f aca="false">Summary!C497</f>
        <v>Gas Recovery</v>
      </c>
      <c r="D495" s="32" t="n">
        <f aca="false">Summary!D497</f>
        <v>1743.11676023495</v>
      </c>
      <c r="E495" s="31" t="str">
        <f aca="false">Summary!E497</f>
        <v>MMcfd</v>
      </c>
    </row>
    <row r="496" customFormat="false" ht="15" hidden="false" customHeight="true" outlineLevel="0" collapsed="false">
      <c r="A496" s="16" t="n">
        <f aca="false">Summary!A498</f>
        <v>2041</v>
      </c>
      <c r="B496" s="31" t="str">
        <f aca="false">Summary!B498</f>
        <v>Unconditional</v>
      </c>
      <c r="C496" s="31" t="str">
        <f aca="false">Summary!C498</f>
        <v>Gas Recovery</v>
      </c>
      <c r="D496" s="32" t="n">
        <f aca="false">Summary!D498</f>
        <v>1838.38897000065</v>
      </c>
      <c r="E496" s="31" t="str">
        <f aca="false">Summary!E498</f>
        <v>MMcfd</v>
      </c>
    </row>
    <row r="497" customFormat="false" ht="15" hidden="false" customHeight="true" outlineLevel="0" collapsed="false">
      <c r="A497" s="16" t="n">
        <f aca="false">Summary!A499</f>
        <v>2042</v>
      </c>
      <c r="B497" s="31" t="str">
        <f aca="false">Summary!B499</f>
        <v>Unconditional</v>
      </c>
      <c r="C497" s="31" t="str">
        <f aca="false">Summary!C499</f>
        <v>Gas Recovery</v>
      </c>
      <c r="D497" s="32" t="n">
        <f aca="false">Summary!D499</f>
        <v>1933.00729026681</v>
      </c>
      <c r="E497" s="31" t="str">
        <f aca="false">Summary!E499</f>
        <v>MMcfd</v>
      </c>
    </row>
    <row r="498" customFormat="false" ht="15" hidden="false" customHeight="true" outlineLevel="0" collapsed="false">
      <c r="A498" s="16" t="n">
        <f aca="false">Summary!A500</f>
        <v>2043</v>
      </c>
      <c r="B498" s="31" t="str">
        <f aca="false">Summary!B500</f>
        <v>Unconditional</v>
      </c>
      <c r="C498" s="31" t="str">
        <f aca="false">Summary!C500</f>
        <v>Gas Recovery</v>
      </c>
      <c r="D498" s="32" t="n">
        <f aca="false">Summary!D500</f>
        <v>2027.10200980691</v>
      </c>
      <c r="E498" s="31" t="str">
        <f aca="false">Summary!E500</f>
        <v>MMcfd</v>
      </c>
    </row>
    <row r="499" customFormat="false" ht="15" hidden="false" customHeight="true" outlineLevel="0" collapsed="false">
      <c r="A499" s="16" t="n">
        <f aca="false">Summary!A501</f>
        <v>2044</v>
      </c>
      <c r="B499" s="31" t="str">
        <f aca="false">Summary!B501</f>
        <v>Unconditional</v>
      </c>
      <c r="C499" s="31" t="str">
        <f aca="false">Summary!C501</f>
        <v>Gas Recovery</v>
      </c>
      <c r="D499" s="32" t="n">
        <f aca="false">Summary!D501</f>
        <v>2120.79574263086</v>
      </c>
      <c r="E499" s="31" t="str">
        <f aca="false">Summary!E501</f>
        <v>MMcfd</v>
      </c>
    </row>
    <row r="500" customFormat="false" ht="15" hidden="false" customHeight="true" outlineLevel="0" collapsed="false">
      <c r="A500" s="16" t="n">
        <f aca="false">Summary!A502</f>
        <v>2045</v>
      </c>
      <c r="B500" s="31" t="str">
        <f aca="false">Summary!B502</f>
        <v>Unconditional</v>
      </c>
      <c r="C500" s="31" t="str">
        <f aca="false">Summary!C502</f>
        <v>Gas Recovery</v>
      </c>
      <c r="D500" s="32" t="n">
        <f aca="false">Summary!D502</f>
        <v>2214.19797843712</v>
      </c>
      <c r="E500" s="31" t="str">
        <f aca="false">Summary!E502</f>
        <v>MMcfd</v>
      </c>
    </row>
    <row r="501" customFormat="false" ht="15" hidden="false" customHeight="true" outlineLevel="0" collapsed="false">
      <c r="A501" s="16" t="n">
        <f aca="false">Summary!A503</f>
        <v>2046</v>
      </c>
      <c r="B501" s="31" t="str">
        <f aca="false">Summary!B503</f>
        <v>Unconditional</v>
      </c>
      <c r="C501" s="31" t="str">
        <f aca="false">Summary!C503</f>
        <v>Gas Recovery</v>
      </c>
      <c r="D501" s="32" t="n">
        <f aca="false">Summary!D503</f>
        <v>2307.40166901932</v>
      </c>
      <c r="E501" s="31" t="str">
        <f aca="false">Summary!E503</f>
        <v>MMcfd</v>
      </c>
    </row>
    <row r="502" customFormat="false" ht="15" hidden="false" customHeight="true" outlineLevel="0" collapsed="false">
      <c r="A502" s="16" t="n">
        <f aca="false">Summary!A504</f>
        <v>2047</v>
      </c>
      <c r="B502" s="31" t="str">
        <f aca="false">Summary!B504</f>
        <v>Unconditional</v>
      </c>
      <c r="C502" s="31" t="str">
        <f aca="false">Summary!C504</f>
        <v>Gas Recovery</v>
      </c>
      <c r="D502" s="32" t="n">
        <f aca="false">Summary!D504</f>
        <v>2394.76004725421</v>
      </c>
      <c r="E502" s="31" t="str">
        <f aca="false">Summary!E504</f>
        <v>MMcfd</v>
      </c>
    </row>
    <row r="503" customFormat="false" ht="15" hidden="false" customHeight="true" outlineLevel="0" collapsed="false">
      <c r="A503" s="16" t="n">
        <f aca="false">Summary!A505</f>
        <v>2048</v>
      </c>
      <c r="B503" s="31" t="str">
        <f aca="false">Summary!B505</f>
        <v>Unconditional</v>
      </c>
      <c r="C503" s="31" t="str">
        <f aca="false">Summary!C505</f>
        <v>Gas Recovery</v>
      </c>
      <c r="D503" s="32" t="n">
        <f aca="false">Summary!D505</f>
        <v>2479.09578204327</v>
      </c>
      <c r="E503" s="31" t="str">
        <f aca="false">Summary!E505</f>
        <v>MMcfd</v>
      </c>
    </row>
    <row r="504" customFormat="false" ht="15" hidden="false" customHeight="true" outlineLevel="0" collapsed="false">
      <c r="A504" s="16" t="n">
        <f aca="false">Summary!A506</f>
        <v>2049</v>
      </c>
      <c r="B504" s="31" t="str">
        <f aca="false">Summary!B506</f>
        <v>Unconditional</v>
      </c>
      <c r="C504" s="31" t="str">
        <f aca="false">Summary!C506</f>
        <v>Gas Recovery</v>
      </c>
      <c r="D504" s="32" t="n">
        <f aca="false">Summary!D506</f>
        <v>2563.52614281739</v>
      </c>
      <c r="E504" s="31" t="str">
        <f aca="false">Summary!E506</f>
        <v>MMcfd</v>
      </c>
    </row>
    <row r="505" customFormat="false" ht="15" hidden="false" customHeight="true" outlineLevel="0" collapsed="false">
      <c r="A505" s="16" t="n">
        <f aca="false">Summary!A507</f>
        <v>2050</v>
      </c>
      <c r="B505" s="31" t="str">
        <f aca="false">Summary!B507</f>
        <v>Unconditional</v>
      </c>
      <c r="C505" s="31" t="str">
        <f aca="false">Summary!C507</f>
        <v>Gas Recovery</v>
      </c>
      <c r="D505" s="32" t="n">
        <f aca="false">Summary!D507</f>
        <v>2564.83111123724</v>
      </c>
      <c r="E505" s="31" t="str">
        <f aca="false">Summary!E507</f>
        <v>MMcfd</v>
      </c>
    </row>
    <row r="506" customFormat="false" ht="15" hidden="false" customHeight="true" outlineLevel="0" collapsed="false">
      <c r="A506" s="16" t="n">
        <f aca="false">Summary!A508</f>
        <v>2023</v>
      </c>
      <c r="B506" s="31" t="str">
        <f aca="false">Summary!B508</f>
        <v>Conditional</v>
      </c>
      <c r="C506" s="31" t="str">
        <f aca="false">Summary!C508</f>
        <v>Fugitive</v>
      </c>
      <c r="D506" s="32" t="n">
        <f aca="false">Summary!D508</f>
        <v>12.568650140783</v>
      </c>
      <c r="E506" s="31" t="str">
        <f aca="false">Summary!E508</f>
        <v>MMcfd</v>
      </c>
    </row>
    <row r="507" customFormat="false" ht="15" hidden="false" customHeight="true" outlineLevel="0" collapsed="false">
      <c r="A507" s="16" t="n">
        <f aca="false">Summary!A509</f>
        <v>2024</v>
      </c>
      <c r="B507" s="31" t="str">
        <f aca="false">Summary!B509</f>
        <v>Conditional</v>
      </c>
      <c r="C507" s="31" t="str">
        <f aca="false">Summary!C509</f>
        <v>Fugitive</v>
      </c>
      <c r="D507" s="32" t="n">
        <f aca="false">Summary!D509</f>
        <v>12.7790417787687</v>
      </c>
      <c r="E507" s="31" t="str">
        <f aca="false">Summary!E509</f>
        <v>MMcfd</v>
      </c>
    </row>
    <row r="508" customFormat="false" ht="15" hidden="false" customHeight="true" outlineLevel="0" collapsed="false">
      <c r="A508" s="16" t="n">
        <f aca="false">Summary!A510</f>
        <v>2025</v>
      </c>
      <c r="B508" s="31" t="str">
        <f aca="false">Summary!B510</f>
        <v>Conditional</v>
      </c>
      <c r="C508" s="31" t="str">
        <f aca="false">Summary!C510</f>
        <v>Fugitive</v>
      </c>
      <c r="D508" s="32" t="n">
        <f aca="false">Summary!D510</f>
        <v>12.2126130316223</v>
      </c>
      <c r="E508" s="31" t="str">
        <f aca="false">Summary!E510</f>
        <v>MMcfd</v>
      </c>
    </row>
    <row r="509" customFormat="false" ht="15" hidden="false" customHeight="true" outlineLevel="0" collapsed="false">
      <c r="A509" s="16" t="n">
        <f aca="false">Summary!A511</f>
        <v>2026</v>
      </c>
      <c r="B509" s="31" t="str">
        <f aca="false">Summary!B511</f>
        <v>Conditional</v>
      </c>
      <c r="C509" s="31" t="str">
        <f aca="false">Summary!C511</f>
        <v>Fugitive</v>
      </c>
      <c r="D509" s="32" t="n">
        <f aca="false">Summary!D511</f>
        <v>11.640045200934</v>
      </c>
      <c r="E509" s="31" t="str">
        <f aca="false">Summary!E511</f>
        <v>MMcfd</v>
      </c>
    </row>
    <row r="510" customFormat="false" ht="15" hidden="false" customHeight="true" outlineLevel="0" collapsed="false">
      <c r="A510" s="16" t="n">
        <f aca="false">Summary!A512</f>
        <v>2027</v>
      </c>
      <c r="B510" s="31" t="str">
        <f aca="false">Summary!B512</f>
        <v>Conditional</v>
      </c>
      <c r="C510" s="31" t="str">
        <f aca="false">Summary!C512</f>
        <v>Fugitive</v>
      </c>
      <c r="D510" s="32" t="n">
        <f aca="false">Summary!D512</f>
        <v>11.0578546787149</v>
      </c>
      <c r="E510" s="31" t="str">
        <f aca="false">Summary!E512</f>
        <v>MMcfd</v>
      </c>
    </row>
    <row r="511" customFormat="false" ht="15" hidden="false" customHeight="true" outlineLevel="0" collapsed="false">
      <c r="A511" s="16" t="n">
        <f aca="false">Summary!A513</f>
        <v>2028</v>
      </c>
      <c r="B511" s="31" t="str">
        <f aca="false">Summary!B513</f>
        <v>Conditional</v>
      </c>
      <c r="C511" s="31" t="str">
        <f aca="false">Summary!C513</f>
        <v>Fugitive</v>
      </c>
      <c r="D511" s="32" t="n">
        <f aca="false">Summary!D513</f>
        <v>10.4630269909967</v>
      </c>
      <c r="E511" s="31" t="str">
        <f aca="false">Summary!E513</f>
        <v>MMcfd</v>
      </c>
    </row>
    <row r="512" customFormat="false" ht="15" hidden="false" customHeight="true" outlineLevel="0" collapsed="false">
      <c r="A512" s="16" t="n">
        <f aca="false">Summary!A514</f>
        <v>2029</v>
      </c>
      <c r="B512" s="31" t="str">
        <f aca="false">Summary!B514</f>
        <v>Conditional</v>
      </c>
      <c r="C512" s="31" t="str">
        <f aca="false">Summary!C514</f>
        <v>Fugitive</v>
      </c>
      <c r="D512" s="32" t="n">
        <f aca="false">Summary!D514</f>
        <v>9.85329716519781</v>
      </c>
      <c r="E512" s="31" t="str">
        <f aca="false">Summary!E514</f>
        <v>MMcfd</v>
      </c>
    </row>
    <row r="513" customFormat="false" ht="15" hidden="false" customHeight="true" outlineLevel="0" collapsed="false">
      <c r="A513" s="16" t="n">
        <f aca="false">Summary!A515</f>
        <v>2030</v>
      </c>
      <c r="B513" s="31" t="str">
        <f aca="false">Summary!B515</f>
        <v>Conditional</v>
      </c>
      <c r="C513" s="31" t="str">
        <f aca="false">Summary!C515</f>
        <v>Fugitive</v>
      </c>
      <c r="D513" s="32" t="n">
        <f aca="false">Summary!D515</f>
        <v>9.22735396101704</v>
      </c>
      <c r="E513" s="31" t="str">
        <f aca="false">Summary!E515</f>
        <v>MMcfd</v>
      </c>
    </row>
    <row r="514" customFormat="false" ht="15" hidden="false" customHeight="true" outlineLevel="0" collapsed="false">
      <c r="A514" s="16" t="n">
        <f aca="false">Summary!A516</f>
        <v>2031</v>
      </c>
      <c r="B514" s="31" t="str">
        <f aca="false">Summary!B516</f>
        <v>Conditional</v>
      </c>
      <c r="C514" s="31" t="str">
        <f aca="false">Summary!C516</f>
        <v>Fugitive</v>
      </c>
      <c r="D514" s="32" t="n">
        <f aca="false">Summary!D516</f>
        <v>8.58497105834357</v>
      </c>
      <c r="E514" s="31" t="str">
        <f aca="false">Summary!E516</f>
        <v>MMcfd</v>
      </c>
    </row>
    <row r="515" customFormat="false" ht="15" hidden="false" customHeight="true" outlineLevel="0" collapsed="false">
      <c r="A515" s="16" t="n">
        <f aca="false">Summary!A517</f>
        <v>2032</v>
      </c>
      <c r="B515" s="31" t="str">
        <f aca="false">Summary!B517</f>
        <v>Conditional</v>
      </c>
      <c r="C515" s="31" t="str">
        <f aca="false">Summary!C517</f>
        <v>Fugitive</v>
      </c>
      <c r="D515" s="32" t="n">
        <f aca="false">Summary!D517</f>
        <v>7.92711244972206</v>
      </c>
      <c r="E515" s="31" t="str">
        <f aca="false">Summary!E517</f>
        <v>MMcfd</v>
      </c>
    </row>
    <row r="516" customFormat="false" ht="15" hidden="false" customHeight="true" outlineLevel="0" collapsed="false">
      <c r="A516" s="16" t="n">
        <f aca="false">Summary!A518</f>
        <v>2033</v>
      </c>
      <c r="B516" s="31" t="str">
        <f aca="false">Summary!B518</f>
        <v>Conditional</v>
      </c>
      <c r="C516" s="31" t="str">
        <f aca="false">Summary!C518</f>
        <v>Fugitive</v>
      </c>
      <c r="D516" s="32" t="n">
        <f aca="false">Summary!D518</f>
        <v>7.25563233391441</v>
      </c>
      <c r="E516" s="31" t="str">
        <f aca="false">Summary!E518</f>
        <v>MMcfd</v>
      </c>
    </row>
    <row r="517" customFormat="false" ht="15" hidden="false" customHeight="true" outlineLevel="0" collapsed="false">
      <c r="A517" s="16" t="n">
        <f aca="false">Summary!A519</f>
        <v>2034</v>
      </c>
      <c r="B517" s="31" t="str">
        <f aca="false">Summary!B519</f>
        <v>Conditional</v>
      </c>
      <c r="C517" s="31" t="str">
        <f aca="false">Summary!C519</f>
        <v>Fugitive</v>
      </c>
      <c r="D517" s="32" t="n">
        <f aca="false">Summary!D519</f>
        <v>6.57300373909119</v>
      </c>
      <c r="E517" s="31" t="str">
        <f aca="false">Summary!E519</f>
        <v>MMcfd</v>
      </c>
    </row>
    <row r="518" customFormat="false" ht="15" hidden="false" customHeight="true" outlineLevel="0" collapsed="false">
      <c r="A518" s="16" t="n">
        <f aca="false">Summary!A520</f>
        <v>2035</v>
      </c>
      <c r="B518" s="31" t="str">
        <f aca="false">Summary!B520</f>
        <v>Conditional</v>
      </c>
      <c r="C518" s="31" t="str">
        <f aca="false">Summary!C520</f>
        <v>Fugitive</v>
      </c>
      <c r="D518" s="32" t="n">
        <f aca="false">Summary!D520</f>
        <v>5.88207581420436</v>
      </c>
      <c r="E518" s="31" t="str">
        <f aca="false">Summary!E520</f>
        <v>MMcfd</v>
      </c>
    </row>
    <row r="519" customFormat="false" ht="15" hidden="false" customHeight="true" outlineLevel="0" collapsed="false">
      <c r="A519" s="16" t="n">
        <f aca="false">Summary!A521</f>
        <v>2036</v>
      </c>
      <c r="B519" s="31" t="str">
        <f aca="false">Summary!B521</f>
        <v>Conditional</v>
      </c>
      <c r="C519" s="31" t="str">
        <f aca="false">Summary!C521</f>
        <v>Fugitive</v>
      </c>
      <c r="D519" s="32" t="n">
        <f aca="false">Summary!D521</f>
        <v>5.18585920743699</v>
      </c>
      <c r="E519" s="31" t="str">
        <f aca="false">Summary!E521</f>
        <v>MMcfd</v>
      </c>
    </row>
    <row r="520" customFormat="false" ht="15" hidden="false" customHeight="true" outlineLevel="0" collapsed="false">
      <c r="A520" s="16" t="n">
        <f aca="false">Summary!A522</f>
        <v>2037</v>
      </c>
      <c r="B520" s="31" t="str">
        <f aca="false">Summary!B522</f>
        <v>Conditional</v>
      </c>
      <c r="C520" s="31" t="str">
        <f aca="false">Summary!C522</f>
        <v>Fugitive</v>
      </c>
      <c r="D520" s="32" t="n">
        <f aca="false">Summary!D522</f>
        <v>4.48733848078731</v>
      </c>
      <c r="E520" s="31" t="str">
        <f aca="false">Summary!E522</f>
        <v>MMcfd</v>
      </c>
    </row>
    <row r="521" customFormat="false" ht="15" hidden="false" customHeight="true" outlineLevel="0" collapsed="false">
      <c r="A521" s="16" t="n">
        <f aca="false">Summary!A523</f>
        <v>2038</v>
      </c>
      <c r="B521" s="31" t="str">
        <f aca="false">Summary!B523</f>
        <v>Conditional</v>
      </c>
      <c r="C521" s="31" t="str">
        <f aca="false">Summary!C523</f>
        <v>Fugitive</v>
      </c>
      <c r="D521" s="32" t="n">
        <f aca="false">Summary!D523</f>
        <v>3.7893018242481</v>
      </c>
      <c r="E521" s="31" t="str">
        <f aca="false">Summary!E523</f>
        <v>MMcfd</v>
      </c>
    </row>
    <row r="522" customFormat="false" ht="15" hidden="false" customHeight="true" outlineLevel="0" collapsed="false">
      <c r="A522" s="16" t="n">
        <f aca="false">Summary!A524</f>
        <v>2039</v>
      </c>
      <c r="B522" s="31" t="str">
        <f aca="false">Summary!B524</f>
        <v>Conditional</v>
      </c>
      <c r="C522" s="31" t="str">
        <f aca="false">Summary!C524</f>
        <v>Fugitive</v>
      </c>
      <c r="D522" s="32" t="n">
        <f aca="false">Summary!D524</f>
        <v>3.09419955933955</v>
      </c>
      <c r="E522" s="31" t="str">
        <f aca="false">Summary!E524</f>
        <v>MMcfd</v>
      </c>
    </row>
    <row r="523" customFormat="false" ht="15" hidden="false" customHeight="true" outlineLevel="0" collapsed="false">
      <c r="A523" s="16" t="n">
        <f aca="false">Summary!A525</f>
        <v>2040</v>
      </c>
      <c r="B523" s="31" t="str">
        <f aca="false">Summary!B525</f>
        <v>Conditional</v>
      </c>
      <c r="C523" s="31" t="str">
        <f aca="false">Summary!C525</f>
        <v>Fugitive</v>
      </c>
      <c r="D523" s="32" t="n">
        <f aca="false">Summary!D525</f>
        <v>2.40402684084555</v>
      </c>
      <c r="E523" s="31" t="str">
        <f aca="false">Summary!E525</f>
        <v>MMcfd</v>
      </c>
    </row>
    <row r="524" customFormat="false" ht="15" hidden="false" customHeight="true" outlineLevel="0" collapsed="false">
      <c r="A524" s="16" t="n">
        <f aca="false">Summary!A526</f>
        <v>2041</v>
      </c>
      <c r="B524" s="31" t="str">
        <f aca="false">Summary!B526</f>
        <v>Conditional</v>
      </c>
      <c r="C524" s="31" t="str">
        <f aca="false">Summary!C526</f>
        <v>Fugitive</v>
      </c>
      <c r="D524" s="32" t="n">
        <f aca="false">Summary!D526</f>
        <v>1.72022316019564</v>
      </c>
      <c r="E524" s="31" t="str">
        <f aca="false">Summary!E526</f>
        <v>MMcfd</v>
      </c>
    </row>
    <row r="525" customFormat="false" ht="15" hidden="false" customHeight="true" outlineLevel="0" collapsed="false">
      <c r="A525" s="16" t="n">
        <f aca="false">Summary!A527</f>
        <v>2042</v>
      </c>
      <c r="B525" s="31" t="str">
        <f aca="false">Summary!B527</f>
        <v>Conditional</v>
      </c>
      <c r="C525" s="31" t="str">
        <f aca="false">Summary!C527</f>
        <v>Fugitive</v>
      </c>
      <c r="D525" s="32" t="n">
        <f aca="false">Summary!D527</f>
        <v>1.0435776226113</v>
      </c>
      <c r="E525" s="31" t="str">
        <f aca="false">Summary!E527</f>
        <v>MMcfd</v>
      </c>
    </row>
    <row r="526" customFormat="false" ht="15" hidden="false" customHeight="true" outlineLevel="0" collapsed="false">
      <c r="A526" s="16" t="n">
        <f aca="false">Summary!A528</f>
        <v>2043</v>
      </c>
      <c r="B526" s="31" t="str">
        <f aca="false">Summary!B528</f>
        <v>Conditional</v>
      </c>
      <c r="C526" s="31" t="str">
        <f aca="false">Summary!C528</f>
        <v>Fugitive</v>
      </c>
      <c r="D526" s="32" t="n">
        <f aca="false">Summary!D528</f>
        <v>0.374043107547357</v>
      </c>
      <c r="E526" s="31" t="str">
        <f aca="false">Summary!E528</f>
        <v>MMcfd</v>
      </c>
    </row>
    <row r="527" customFormat="false" ht="15" hidden="false" customHeight="true" outlineLevel="0" collapsed="false">
      <c r="A527" s="16" t="n">
        <f aca="false">Summary!A529</f>
        <v>2044</v>
      </c>
      <c r="B527" s="31" t="str">
        <f aca="false">Summary!B529</f>
        <v>Conditional</v>
      </c>
      <c r="C527" s="31" t="str">
        <f aca="false">Summary!C529</f>
        <v>Fugitive</v>
      </c>
      <c r="D527" s="32" t="n">
        <f aca="false">Summary!D529</f>
        <v>0</v>
      </c>
      <c r="E527" s="31" t="str">
        <f aca="false">Summary!E529</f>
        <v>MMcfd</v>
      </c>
    </row>
    <row r="528" customFormat="false" ht="15" hidden="false" customHeight="true" outlineLevel="0" collapsed="false">
      <c r="A528" s="16" t="n">
        <f aca="false">Summary!A530</f>
        <v>2045</v>
      </c>
      <c r="B528" s="31" t="str">
        <f aca="false">Summary!B530</f>
        <v>Conditional</v>
      </c>
      <c r="C528" s="31" t="str">
        <f aca="false">Summary!C530</f>
        <v>Fugitive</v>
      </c>
      <c r="D528" s="32" t="n">
        <f aca="false">Summary!D530</f>
        <v>0</v>
      </c>
      <c r="E528" s="31" t="str">
        <f aca="false">Summary!E530</f>
        <v>MMcfd</v>
      </c>
    </row>
    <row r="529" customFormat="false" ht="15" hidden="false" customHeight="true" outlineLevel="0" collapsed="false">
      <c r="A529" s="16" t="n">
        <f aca="false">Summary!A531</f>
        <v>2046</v>
      </c>
      <c r="B529" s="31" t="str">
        <f aca="false">Summary!B531</f>
        <v>Conditional</v>
      </c>
      <c r="C529" s="31" t="str">
        <f aca="false">Summary!C531</f>
        <v>Fugitive</v>
      </c>
      <c r="D529" s="32" t="n">
        <f aca="false">Summary!D531</f>
        <v>0</v>
      </c>
      <c r="E529" s="31" t="str">
        <f aca="false">Summary!E531</f>
        <v>MMcfd</v>
      </c>
    </row>
    <row r="530" customFormat="false" ht="15" hidden="false" customHeight="true" outlineLevel="0" collapsed="false">
      <c r="A530" s="16" t="n">
        <f aca="false">Summary!A532</f>
        <v>2047</v>
      </c>
      <c r="B530" s="31" t="str">
        <f aca="false">Summary!B532</f>
        <v>Conditional</v>
      </c>
      <c r="C530" s="31" t="str">
        <f aca="false">Summary!C532</f>
        <v>Fugitive</v>
      </c>
      <c r="D530" s="32" t="n">
        <f aca="false">Summary!D532</f>
        <v>0</v>
      </c>
      <c r="E530" s="31" t="str">
        <f aca="false">Summary!E532</f>
        <v>MMcfd</v>
      </c>
    </row>
    <row r="531" customFormat="false" ht="15" hidden="false" customHeight="true" outlineLevel="0" collapsed="false">
      <c r="A531" s="16" t="n">
        <f aca="false">Summary!A533</f>
        <v>2048</v>
      </c>
      <c r="B531" s="31" t="str">
        <f aca="false">Summary!B533</f>
        <v>Conditional</v>
      </c>
      <c r="C531" s="31" t="str">
        <f aca="false">Summary!C533</f>
        <v>Fugitive</v>
      </c>
      <c r="D531" s="32" t="n">
        <f aca="false">Summary!D533</f>
        <v>0</v>
      </c>
      <c r="E531" s="31" t="str">
        <f aca="false">Summary!E533</f>
        <v>MMcfd</v>
      </c>
    </row>
    <row r="532" customFormat="false" ht="15" hidden="false" customHeight="true" outlineLevel="0" collapsed="false">
      <c r="A532" s="16" t="n">
        <f aca="false">Summary!A534</f>
        <v>2049</v>
      </c>
      <c r="B532" s="31" t="str">
        <f aca="false">Summary!B534</f>
        <v>Conditional</v>
      </c>
      <c r="C532" s="31" t="str">
        <f aca="false">Summary!C534</f>
        <v>Fugitive</v>
      </c>
      <c r="D532" s="32" t="n">
        <f aca="false">Summary!D534</f>
        <v>0</v>
      </c>
      <c r="E532" s="31" t="str">
        <f aca="false">Summary!E534</f>
        <v>MMcfd</v>
      </c>
    </row>
    <row r="533" customFormat="false" ht="15" hidden="false" customHeight="true" outlineLevel="0" collapsed="false">
      <c r="A533" s="16" t="n">
        <f aca="false">Summary!A535</f>
        <v>2050</v>
      </c>
      <c r="B533" s="31" t="str">
        <f aca="false">Summary!B535</f>
        <v>Conditional</v>
      </c>
      <c r="C533" s="31" t="str">
        <f aca="false">Summary!C535</f>
        <v>Fugitive</v>
      </c>
      <c r="D533" s="32" t="n">
        <f aca="false">Summary!D535</f>
        <v>0</v>
      </c>
      <c r="E533" s="31" t="str">
        <f aca="false">Summary!E535</f>
        <v>MMcfd</v>
      </c>
    </row>
    <row r="534" customFormat="false" ht="15" hidden="false" customHeight="true" outlineLevel="0" collapsed="false">
      <c r="A534" s="16" t="n">
        <f aca="false">Summary!A536</f>
        <v>2023</v>
      </c>
      <c r="B534" s="31" t="str">
        <f aca="false">Summary!B536</f>
        <v>Conditional</v>
      </c>
      <c r="C534" s="31" t="str">
        <f aca="false">Summary!C536</f>
        <v>Venting</v>
      </c>
      <c r="D534" s="32" t="n">
        <f aca="false">Summary!D536</f>
        <v>38.8325644977816</v>
      </c>
      <c r="E534" s="31" t="str">
        <f aca="false">Summary!E536</f>
        <v>MMcfd</v>
      </c>
    </row>
    <row r="535" customFormat="false" ht="15" hidden="false" customHeight="true" outlineLevel="0" collapsed="false">
      <c r="A535" s="16" t="n">
        <f aca="false">Summary!A537</f>
        <v>2024</v>
      </c>
      <c r="B535" s="31" t="str">
        <f aca="false">Summary!B537</f>
        <v>Conditional</v>
      </c>
      <c r="C535" s="31" t="str">
        <f aca="false">Summary!C537</f>
        <v>Venting</v>
      </c>
      <c r="D535" s="32" t="n">
        <f aca="false">Summary!D537</f>
        <v>37.1141139870419</v>
      </c>
      <c r="E535" s="31" t="str">
        <f aca="false">Summary!E537</f>
        <v>MMcfd</v>
      </c>
    </row>
    <row r="536" customFormat="false" ht="15" hidden="false" customHeight="true" outlineLevel="0" collapsed="false">
      <c r="A536" s="16" t="n">
        <f aca="false">Summary!A538</f>
        <v>2025</v>
      </c>
      <c r="B536" s="31" t="str">
        <f aca="false">Summary!B538</f>
        <v>Conditional</v>
      </c>
      <c r="C536" s="31" t="str">
        <f aca="false">Summary!C538</f>
        <v>Venting</v>
      </c>
      <c r="D536" s="32" t="n">
        <f aca="false">Summary!D538</f>
        <v>37.1178972434857</v>
      </c>
      <c r="E536" s="31" t="str">
        <f aca="false">Summary!E538</f>
        <v>MMcfd</v>
      </c>
    </row>
    <row r="537" customFormat="false" ht="15" hidden="false" customHeight="true" outlineLevel="0" collapsed="false">
      <c r="A537" s="16" t="n">
        <f aca="false">Summary!A539</f>
        <v>2026</v>
      </c>
      <c r="B537" s="31" t="str">
        <f aca="false">Summary!B539</f>
        <v>Conditional</v>
      </c>
      <c r="C537" s="31" t="str">
        <f aca="false">Summary!C539</f>
        <v>Venting</v>
      </c>
      <c r="D537" s="32" t="n">
        <f aca="false">Summary!D539</f>
        <v>37.0930651818</v>
      </c>
      <c r="E537" s="31" t="str">
        <f aca="false">Summary!E539</f>
        <v>MMcfd</v>
      </c>
    </row>
    <row r="538" customFormat="false" ht="15" hidden="false" customHeight="true" outlineLevel="0" collapsed="false">
      <c r="A538" s="16" t="n">
        <f aca="false">Summary!A540</f>
        <v>2027</v>
      </c>
      <c r="B538" s="31" t="str">
        <f aca="false">Summary!B540</f>
        <v>Conditional</v>
      </c>
      <c r="C538" s="31" t="str">
        <f aca="false">Summary!C540</f>
        <v>Venting</v>
      </c>
      <c r="D538" s="32" t="n">
        <f aca="false">Summary!D540</f>
        <v>37.0141427097061</v>
      </c>
      <c r="E538" s="31" t="str">
        <f aca="false">Summary!E540</f>
        <v>MMcfd</v>
      </c>
    </row>
    <row r="539" customFormat="false" ht="15" hidden="false" customHeight="true" outlineLevel="0" collapsed="false">
      <c r="A539" s="16" t="n">
        <f aca="false">Summary!A541</f>
        <v>2028</v>
      </c>
      <c r="B539" s="31" t="str">
        <f aca="false">Summary!B541</f>
        <v>Conditional</v>
      </c>
      <c r="C539" s="31" t="str">
        <f aca="false">Summary!C541</f>
        <v>Venting</v>
      </c>
      <c r="D539" s="32" t="n">
        <f aca="false">Summary!D541</f>
        <v>36.8527988287461</v>
      </c>
      <c r="E539" s="31" t="str">
        <f aca="false">Summary!E541</f>
        <v>MMcfd</v>
      </c>
    </row>
    <row r="540" customFormat="false" ht="15" hidden="false" customHeight="true" outlineLevel="0" collapsed="false">
      <c r="A540" s="16" t="n">
        <f aca="false">Summary!A542</f>
        <v>2029</v>
      </c>
      <c r="B540" s="31" t="str">
        <f aca="false">Summary!B542</f>
        <v>Conditional</v>
      </c>
      <c r="C540" s="31" t="str">
        <f aca="false">Summary!C542</f>
        <v>Venting</v>
      </c>
      <c r="D540" s="32" t="n">
        <f aca="false">Summary!D542</f>
        <v>36.5797775080318</v>
      </c>
      <c r="E540" s="31" t="str">
        <f aca="false">Summary!E542</f>
        <v>MMcfd</v>
      </c>
    </row>
    <row r="541" customFormat="false" ht="15" hidden="false" customHeight="true" outlineLevel="0" collapsed="false">
      <c r="A541" s="16" t="n">
        <f aca="false">Summary!A543</f>
        <v>2030</v>
      </c>
      <c r="B541" s="31" t="str">
        <f aca="false">Summary!B543</f>
        <v>Conditional</v>
      </c>
      <c r="C541" s="31" t="str">
        <f aca="false">Summary!C543</f>
        <v>Venting</v>
      </c>
      <c r="D541" s="32" t="n">
        <f aca="false">Summary!D543</f>
        <v>36.1667950092626</v>
      </c>
      <c r="E541" s="31" t="str">
        <f aca="false">Summary!E543</f>
        <v>MMcfd</v>
      </c>
    </row>
    <row r="542" customFormat="false" ht="15" hidden="false" customHeight="true" outlineLevel="0" collapsed="false">
      <c r="A542" s="16" t="n">
        <f aca="false">Summary!A544</f>
        <v>2031</v>
      </c>
      <c r="B542" s="31" t="str">
        <f aca="false">Summary!B544</f>
        <v>Conditional</v>
      </c>
      <c r="C542" s="31" t="str">
        <f aca="false">Summary!C544</f>
        <v>Venting</v>
      </c>
      <c r="D542" s="32" t="n">
        <f aca="false">Summary!D544</f>
        <v>35.5883846918252</v>
      </c>
      <c r="E542" s="31" t="str">
        <f aca="false">Summary!E544</f>
        <v>MMcfd</v>
      </c>
    </row>
    <row r="543" customFormat="false" ht="15" hidden="false" customHeight="true" outlineLevel="0" collapsed="false">
      <c r="A543" s="16" t="n">
        <f aca="false">Summary!A545</f>
        <v>2032</v>
      </c>
      <c r="B543" s="31" t="str">
        <f aca="false">Summary!B545</f>
        <v>Conditional</v>
      </c>
      <c r="C543" s="31" t="str">
        <f aca="false">Summary!C545</f>
        <v>Venting</v>
      </c>
      <c r="D543" s="32" t="n">
        <f aca="false">Summary!D545</f>
        <v>34.8236798708658</v>
      </c>
      <c r="E543" s="31" t="str">
        <f aca="false">Summary!E545</f>
        <v>MMcfd</v>
      </c>
    </row>
    <row r="544" customFormat="false" ht="15" hidden="false" customHeight="true" outlineLevel="0" collapsed="false">
      <c r="A544" s="16" t="n">
        <f aca="false">Summary!A546</f>
        <v>2033</v>
      </c>
      <c r="B544" s="31" t="str">
        <f aca="false">Summary!B546</f>
        <v>Conditional</v>
      </c>
      <c r="C544" s="31" t="str">
        <f aca="false">Summary!C546</f>
        <v>Venting</v>
      </c>
      <c r="D544" s="32" t="n">
        <f aca="false">Summary!D546</f>
        <v>33.8566124723165</v>
      </c>
      <c r="E544" s="31" t="str">
        <f aca="false">Summary!E546</f>
        <v>MMcfd</v>
      </c>
    </row>
    <row r="545" customFormat="false" ht="15" hidden="false" customHeight="true" outlineLevel="0" collapsed="false">
      <c r="A545" s="16" t="n">
        <f aca="false">Summary!A547</f>
        <v>2034</v>
      </c>
      <c r="B545" s="31" t="str">
        <f aca="false">Summary!B547</f>
        <v>Conditional</v>
      </c>
      <c r="C545" s="31" t="str">
        <f aca="false">Summary!C547</f>
        <v>Venting</v>
      </c>
      <c r="D545" s="32" t="n">
        <f aca="false">Summary!D547</f>
        <v>32.6760878339242</v>
      </c>
      <c r="E545" s="31" t="str">
        <f aca="false">Summary!E547</f>
        <v>MMcfd</v>
      </c>
    </row>
    <row r="546" customFormat="false" ht="15" hidden="false" customHeight="true" outlineLevel="0" collapsed="false">
      <c r="A546" s="16" t="n">
        <f aca="false">Summary!A548</f>
        <v>2035</v>
      </c>
      <c r="B546" s="31" t="str">
        <f aca="false">Summary!B548</f>
        <v>Conditional</v>
      </c>
      <c r="C546" s="31" t="str">
        <f aca="false">Summary!C548</f>
        <v>Venting</v>
      </c>
      <c r="D546" s="32" t="n">
        <f aca="false">Summary!D548</f>
        <v>31.2761394323336</v>
      </c>
      <c r="E546" s="31" t="str">
        <f aca="false">Summary!E548</f>
        <v>MMcfd</v>
      </c>
    </row>
    <row r="547" customFormat="false" ht="15" hidden="false" customHeight="true" outlineLevel="0" collapsed="false">
      <c r="A547" s="16" t="n">
        <f aca="false">Summary!A549</f>
        <v>2036</v>
      </c>
      <c r="B547" s="31" t="str">
        <f aca="false">Summary!B549</f>
        <v>Conditional</v>
      </c>
      <c r="C547" s="31" t="str">
        <f aca="false">Summary!C549</f>
        <v>Venting</v>
      </c>
      <c r="D547" s="32" t="n">
        <f aca="false">Summary!D549</f>
        <v>29.6560639353868</v>
      </c>
      <c r="E547" s="31" t="str">
        <f aca="false">Summary!E549</f>
        <v>MMcfd</v>
      </c>
    </row>
    <row r="548" customFormat="false" ht="15" hidden="false" customHeight="true" outlineLevel="0" collapsed="false">
      <c r="A548" s="16" t="n">
        <f aca="false">Summary!A550</f>
        <v>2037</v>
      </c>
      <c r="B548" s="31" t="str">
        <f aca="false">Summary!B550</f>
        <v>Conditional</v>
      </c>
      <c r="C548" s="31" t="str">
        <f aca="false">Summary!C550</f>
        <v>Venting</v>
      </c>
      <c r="D548" s="32" t="n">
        <f aca="false">Summary!D550</f>
        <v>27.8205336498186</v>
      </c>
      <c r="E548" s="31" t="str">
        <f aca="false">Summary!E550</f>
        <v>MMcfd</v>
      </c>
    </row>
    <row r="549" customFormat="false" ht="15" hidden="false" customHeight="true" outlineLevel="0" collapsed="false">
      <c r="A549" s="16" t="n">
        <f aca="false">Summary!A551</f>
        <v>2038</v>
      </c>
      <c r="B549" s="31" t="str">
        <f aca="false">Summary!B551</f>
        <v>Conditional</v>
      </c>
      <c r="C549" s="31" t="str">
        <f aca="false">Summary!C551</f>
        <v>Venting</v>
      </c>
      <c r="D549" s="32" t="n">
        <f aca="false">Summary!D551</f>
        <v>25.7786920912144</v>
      </c>
      <c r="E549" s="31" t="str">
        <f aca="false">Summary!E551</f>
        <v>MMcfd</v>
      </c>
    </row>
    <row r="550" customFormat="false" ht="15" hidden="false" customHeight="true" outlineLevel="0" collapsed="false">
      <c r="A550" s="16" t="n">
        <f aca="false">Summary!A552</f>
        <v>2039</v>
      </c>
      <c r="B550" s="31" t="str">
        <f aca="false">Summary!B552</f>
        <v>Conditional</v>
      </c>
      <c r="C550" s="31" t="str">
        <f aca="false">Summary!C552</f>
        <v>Venting</v>
      </c>
      <c r="D550" s="32" t="n">
        <f aca="false">Summary!D552</f>
        <v>23.5433314081964</v>
      </c>
      <c r="E550" s="31" t="str">
        <f aca="false">Summary!E552</f>
        <v>MMcfd</v>
      </c>
    </row>
    <row r="551" customFormat="false" ht="15" hidden="false" customHeight="true" outlineLevel="0" collapsed="false">
      <c r="A551" s="16" t="n">
        <f aca="false">Summary!A553</f>
        <v>2040</v>
      </c>
      <c r="B551" s="31" t="str">
        <f aca="false">Summary!B553</f>
        <v>Conditional</v>
      </c>
      <c r="C551" s="31" t="str">
        <f aca="false">Summary!C553</f>
        <v>Venting</v>
      </c>
      <c r="D551" s="32" t="n">
        <f aca="false">Summary!D553</f>
        <v>21.1301362670426</v>
      </c>
      <c r="E551" s="31" t="str">
        <f aca="false">Summary!E553</f>
        <v>MMcfd</v>
      </c>
    </row>
    <row r="552" customFormat="false" ht="15" hidden="false" customHeight="true" outlineLevel="0" collapsed="false">
      <c r="A552" s="16" t="n">
        <f aca="false">Summary!A554</f>
        <v>2041</v>
      </c>
      <c r="B552" s="31" t="str">
        <f aca="false">Summary!B554</f>
        <v>Conditional</v>
      </c>
      <c r="C552" s="31" t="str">
        <f aca="false">Summary!C554</f>
        <v>Venting</v>
      </c>
      <c r="D552" s="32" t="n">
        <f aca="false">Summary!D554</f>
        <v>18.55699116458</v>
      </c>
      <c r="E552" s="31" t="str">
        <f aca="false">Summary!E554</f>
        <v>MMcfd</v>
      </c>
    </row>
    <row r="553" customFormat="false" ht="15" hidden="false" customHeight="true" outlineLevel="0" collapsed="false">
      <c r="A553" s="16" t="n">
        <f aca="false">Summary!A555</f>
        <v>2042</v>
      </c>
      <c r="B553" s="31" t="str">
        <f aca="false">Summary!B555</f>
        <v>Conditional</v>
      </c>
      <c r="C553" s="31" t="str">
        <f aca="false">Summary!C555</f>
        <v>Venting</v>
      </c>
      <c r="D553" s="32" t="n">
        <f aca="false">Summary!D555</f>
        <v>15.8434657305297</v>
      </c>
      <c r="E553" s="31" t="str">
        <f aca="false">Summary!E555</f>
        <v>MMcfd</v>
      </c>
    </row>
    <row r="554" customFormat="false" ht="15" hidden="false" customHeight="true" outlineLevel="0" collapsed="false">
      <c r="A554" s="16" t="n">
        <f aca="false">Summary!A556</f>
        <v>2043</v>
      </c>
      <c r="B554" s="31" t="str">
        <f aca="false">Summary!B556</f>
        <v>Conditional</v>
      </c>
      <c r="C554" s="31" t="str">
        <f aca="false">Summary!C556</f>
        <v>Venting</v>
      </c>
      <c r="D554" s="32" t="n">
        <f aca="false">Summary!D556</f>
        <v>13.0100784578546</v>
      </c>
      <c r="E554" s="31" t="str">
        <f aca="false">Summary!E556</f>
        <v>MMcfd</v>
      </c>
    </row>
    <row r="555" customFormat="false" ht="15" hidden="false" customHeight="true" outlineLevel="0" collapsed="false">
      <c r="A555" s="16" t="n">
        <f aca="false">Summary!A557</f>
        <v>2044</v>
      </c>
      <c r="B555" s="31" t="str">
        <f aca="false">Summary!B557</f>
        <v>Conditional</v>
      </c>
      <c r="C555" s="31" t="str">
        <f aca="false">Summary!C557</f>
        <v>Venting</v>
      </c>
      <c r="D555" s="32" t="n">
        <f aca="false">Summary!D557</f>
        <v>9.8319008840155</v>
      </c>
      <c r="E555" s="31" t="str">
        <f aca="false">Summary!E557</f>
        <v>MMcfd</v>
      </c>
    </row>
    <row r="556" customFormat="false" ht="15" hidden="false" customHeight="true" outlineLevel="0" collapsed="false">
      <c r="A556" s="16" t="n">
        <f aca="false">Summary!A558</f>
        <v>2045</v>
      </c>
      <c r="B556" s="31" t="str">
        <f aca="false">Summary!B558</f>
        <v>Conditional</v>
      </c>
      <c r="C556" s="31" t="str">
        <f aca="false">Summary!C558</f>
        <v>Venting</v>
      </c>
      <c r="D556" s="32" t="n">
        <f aca="false">Summary!D558</f>
        <v>6.28391965634042</v>
      </c>
      <c r="E556" s="31" t="str">
        <f aca="false">Summary!E558</f>
        <v>MMcfd</v>
      </c>
    </row>
    <row r="557" customFormat="false" ht="15" hidden="false" customHeight="true" outlineLevel="0" collapsed="false">
      <c r="A557" s="16" t="n">
        <f aca="false">Summary!A559</f>
        <v>2046</v>
      </c>
      <c r="B557" s="31" t="str">
        <f aca="false">Summary!B559</f>
        <v>Conditional</v>
      </c>
      <c r="C557" s="31" t="str">
        <f aca="false">Summary!C559</f>
        <v>Venting</v>
      </c>
      <c r="D557" s="32" t="n">
        <f aca="false">Summary!D559</f>
        <v>2.74891999346242</v>
      </c>
      <c r="E557" s="31" t="str">
        <f aca="false">Summary!E559</f>
        <v>MMcfd</v>
      </c>
    </row>
    <row r="558" customFormat="false" ht="15" hidden="false" customHeight="true" outlineLevel="0" collapsed="false">
      <c r="A558" s="16" t="n">
        <f aca="false">Summary!A560</f>
        <v>2047</v>
      </c>
      <c r="B558" s="31" t="str">
        <f aca="false">Summary!B560</f>
        <v>Conditional</v>
      </c>
      <c r="C558" s="31" t="str">
        <f aca="false">Summary!C560</f>
        <v>Venting</v>
      </c>
      <c r="D558" s="32" t="n">
        <f aca="false">Summary!D560</f>
        <v>0.227701058905344</v>
      </c>
      <c r="E558" s="31" t="str">
        <f aca="false">Summary!E560</f>
        <v>MMcfd</v>
      </c>
    </row>
    <row r="559" customFormat="false" ht="15" hidden="false" customHeight="true" outlineLevel="0" collapsed="false">
      <c r="A559" s="16" t="n">
        <f aca="false">Summary!A561</f>
        <v>2048</v>
      </c>
      <c r="B559" s="31" t="str">
        <f aca="false">Summary!B561</f>
        <v>Conditional</v>
      </c>
      <c r="C559" s="31" t="str">
        <f aca="false">Summary!C561</f>
        <v>Venting</v>
      </c>
      <c r="D559" s="32" t="n">
        <f aca="false">Summary!D561</f>
        <v>0</v>
      </c>
      <c r="E559" s="31" t="str">
        <f aca="false">Summary!E561</f>
        <v>MMcfd</v>
      </c>
    </row>
    <row r="560" customFormat="false" ht="15" hidden="false" customHeight="true" outlineLevel="0" collapsed="false">
      <c r="A560" s="16" t="n">
        <f aca="false">Summary!A562</f>
        <v>2049</v>
      </c>
      <c r="B560" s="31" t="str">
        <f aca="false">Summary!B562</f>
        <v>Conditional</v>
      </c>
      <c r="C560" s="31" t="str">
        <f aca="false">Summary!C562</f>
        <v>Venting</v>
      </c>
      <c r="D560" s="32" t="n">
        <f aca="false">Summary!D562</f>
        <v>0</v>
      </c>
      <c r="E560" s="31" t="str">
        <f aca="false">Summary!E562</f>
        <v>MMcfd</v>
      </c>
    </row>
    <row r="561" customFormat="false" ht="15" hidden="false" customHeight="true" outlineLevel="0" collapsed="false">
      <c r="A561" s="16" t="n">
        <f aca="false">Summary!A563</f>
        <v>2050</v>
      </c>
      <c r="B561" s="31" t="str">
        <f aca="false">Summary!B563</f>
        <v>Conditional</v>
      </c>
      <c r="C561" s="31" t="str">
        <f aca="false">Summary!C563</f>
        <v>Venting</v>
      </c>
      <c r="D561" s="32" t="n">
        <f aca="false">Summary!D563</f>
        <v>0</v>
      </c>
      <c r="E561" s="31" t="str">
        <f aca="false">Summary!E563</f>
        <v>MMcfd</v>
      </c>
    </row>
    <row r="562" customFormat="false" ht="15" hidden="false" customHeight="true" outlineLevel="0" collapsed="false">
      <c r="A562" s="16" t="n">
        <f aca="false">Summary!A564</f>
        <v>2023</v>
      </c>
      <c r="B562" s="31" t="str">
        <f aca="false">Summary!B564</f>
        <v>Conditional</v>
      </c>
      <c r="C562" s="31" t="str">
        <f aca="false">Summary!C564</f>
        <v>Flaring</v>
      </c>
      <c r="D562" s="32" t="n">
        <f aca="false">Summary!D564</f>
        <v>545.104349144224</v>
      </c>
      <c r="E562" s="31" t="str">
        <f aca="false">Summary!E564</f>
        <v>MMcfd</v>
      </c>
    </row>
    <row r="563" customFormat="false" ht="15" hidden="false" customHeight="true" outlineLevel="0" collapsed="false">
      <c r="A563" s="16" t="n">
        <f aca="false">Summary!A565</f>
        <v>2024</v>
      </c>
      <c r="B563" s="31" t="str">
        <f aca="false">Summary!B565</f>
        <v>Conditional</v>
      </c>
      <c r="C563" s="31" t="str">
        <f aca="false">Summary!C565</f>
        <v>Flaring</v>
      </c>
      <c r="D563" s="32" t="n">
        <f aca="false">Summary!D565</f>
        <v>545.968750718124</v>
      </c>
      <c r="E563" s="31" t="str">
        <f aca="false">Summary!E565</f>
        <v>MMcfd</v>
      </c>
    </row>
    <row r="564" customFormat="false" ht="15" hidden="false" customHeight="true" outlineLevel="0" collapsed="false">
      <c r="A564" s="16" t="n">
        <f aca="false">Summary!A566</f>
        <v>2025</v>
      </c>
      <c r="B564" s="31" t="str">
        <f aca="false">Summary!B566</f>
        <v>Conditional</v>
      </c>
      <c r="C564" s="31" t="str">
        <f aca="false">Summary!C566</f>
        <v>Flaring</v>
      </c>
      <c r="D564" s="32" t="n">
        <f aca="false">Summary!D566</f>
        <v>513.220048064352</v>
      </c>
      <c r="E564" s="31" t="str">
        <f aca="false">Summary!E566</f>
        <v>MMcfd</v>
      </c>
    </row>
    <row r="565" customFormat="false" ht="15" hidden="false" customHeight="true" outlineLevel="0" collapsed="false">
      <c r="A565" s="16" t="n">
        <f aca="false">Summary!A567</f>
        <v>2026</v>
      </c>
      <c r="B565" s="31" t="str">
        <f aca="false">Summary!B567</f>
        <v>Conditional</v>
      </c>
      <c r="C565" s="31" t="str">
        <f aca="false">Summary!C567</f>
        <v>Flaring</v>
      </c>
      <c r="D565" s="32" t="n">
        <f aca="false">Summary!D567</f>
        <v>480.460993531405</v>
      </c>
      <c r="E565" s="31" t="str">
        <f aca="false">Summary!E567</f>
        <v>MMcfd</v>
      </c>
    </row>
    <row r="566" customFormat="false" ht="15" hidden="false" customHeight="true" outlineLevel="0" collapsed="false">
      <c r="A566" s="16" t="n">
        <f aca="false">Summary!A568</f>
        <v>2027</v>
      </c>
      <c r="B566" s="31" t="str">
        <f aca="false">Summary!B568</f>
        <v>Conditional</v>
      </c>
      <c r="C566" s="31" t="str">
        <f aca="false">Summary!C568</f>
        <v>Flaring</v>
      </c>
      <c r="D566" s="32" t="n">
        <f aca="false">Summary!D568</f>
        <v>447.766607901776</v>
      </c>
      <c r="E566" s="31" t="str">
        <f aca="false">Summary!E568</f>
        <v>MMcfd</v>
      </c>
    </row>
    <row r="567" customFormat="false" ht="15" hidden="false" customHeight="true" outlineLevel="0" collapsed="false">
      <c r="A567" s="16" t="n">
        <f aca="false">Summary!A569</f>
        <v>2028</v>
      </c>
      <c r="B567" s="31" t="str">
        <f aca="false">Summary!B569</f>
        <v>Conditional</v>
      </c>
      <c r="C567" s="31" t="str">
        <f aca="false">Summary!C569</f>
        <v>Flaring</v>
      </c>
      <c r="D567" s="32" t="n">
        <f aca="false">Summary!D569</f>
        <v>415.264104122775</v>
      </c>
      <c r="E567" s="31" t="str">
        <f aca="false">Summary!E569</f>
        <v>MMcfd</v>
      </c>
    </row>
    <row r="568" customFormat="false" ht="15" hidden="false" customHeight="true" outlineLevel="0" collapsed="false">
      <c r="A568" s="16" t="n">
        <f aca="false">Summary!A570</f>
        <v>2029</v>
      </c>
      <c r="B568" s="31" t="str">
        <f aca="false">Summary!B570</f>
        <v>Conditional</v>
      </c>
      <c r="C568" s="31" t="str">
        <f aca="false">Summary!C570</f>
        <v>Flaring</v>
      </c>
      <c r="D568" s="32" t="n">
        <f aca="false">Summary!D570</f>
        <v>383.128252208217</v>
      </c>
      <c r="E568" s="31" t="str">
        <f aca="false">Summary!E570</f>
        <v>MMcfd</v>
      </c>
    </row>
    <row r="569" customFormat="false" ht="15" hidden="false" customHeight="true" outlineLevel="0" collapsed="false">
      <c r="A569" s="16" t="n">
        <f aca="false">Summary!A571</f>
        <v>2030</v>
      </c>
      <c r="B569" s="31" t="str">
        <f aca="false">Summary!B571</f>
        <v>Conditional</v>
      </c>
      <c r="C569" s="31" t="str">
        <f aca="false">Summary!C571</f>
        <v>Flaring</v>
      </c>
      <c r="D569" s="32" t="n">
        <f aca="false">Summary!D571</f>
        <v>351.573541399224</v>
      </c>
      <c r="E569" s="31" t="str">
        <f aca="false">Summary!E571</f>
        <v>MMcfd</v>
      </c>
    </row>
    <row r="570" customFormat="false" ht="15" hidden="false" customHeight="true" outlineLevel="0" collapsed="false">
      <c r="A570" s="16" t="n">
        <f aca="false">Summary!A572</f>
        <v>2031</v>
      </c>
      <c r="B570" s="31" t="str">
        <f aca="false">Summary!B572</f>
        <v>Conditional</v>
      </c>
      <c r="C570" s="31" t="str">
        <f aca="false">Summary!C572</f>
        <v>Flaring</v>
      </c>
      <c r="D570" s="32" t="n">
        <f aca="false">Summary!D572</f>
        <v>320.843337512393</v>
      </c>
      <c r="E570" s="31" t="str">
        <f aca="false">Summary!E572</f>
        <v>MMcfd</v>
      </c>
    </row>
    <row r="571" customFormat="false" ht="15" hidden="false" customHeight="true" outlineLevel="0" collapsed="false">
      <c r="A571" s="16" t="n">
        <f aca="false">Summary!A573</f>
        <v>2032</v>
      </c>
      <c r="B571" s="31" t="str">
        <f aca="false">Summary!B573</f>
        <v>Conditional</v>
      </c>
      <c r="C571" s="31" t="str">
        <f aca="false">Summary!C573</f>
        <v>Flaring</v>
      </c>
      <c r="D571" s="32" t="n">
        <f aca="false">Summary!D573</f>
        <v>291.196853881015</v>
      </c>
      <c r="E571" s="31" t="str">
        <f aca="false">Summary!E573</f>
        <v>MMcfd</v>
      </c>
    </row>
    <row r="572" customFormat="false" ht="15" hidden="false" customHeight="true" outlineLevel="0" collapsed="false">
      <c r="A572" s="16" t="n">
        <f aca="false">Summary!A574</f>
        <v>2033</v>
      </c>
      <c r="B572" s="31" t="str">
        <f aca="false">Summary!B574</f>
        <v>Conditional</v>
      </c>
      <c r="C572" s="31" t="str">
        <f aca="false">Summary!C574</f>
        <v>Flaring</v>
      </c>
      <c r="D572" s="32" t="n">
        <f aca="false">Summary!D574</f>
        <v>262.886679867612</v>
      </c>
      <c r="E572" s="31" t="str">
        <f aca="false">Summary!E574</f>
        <v>MMcfd</v>
      </c>
    </row>
    <row r="573" customFormat="false" ht="15" hidden="false" customHeight="true" outlineLevel="0" collapsed="false">
      <c r="A573" s="16" t="n">
        <f aca="false">Summary!A575</f>
        <v>2034</v>
      </c>
      <c r="B573" s="31" t="str">
        <f aca="false">Summary!B575</f>
        <v>Conditional</v>
      </c>
      <c r="C573" s="31" t="str">
        <f aca="false">Summary!C575</f>
        <v>Flaring</v>
      </c>
      <c r="D573" s="32" t="n">
        <f aca="false">Summary!D575</f>
        <v>236.138003995553</v>
      </c>
      <c r="E573" s="31" t="str">
        <f aca="false">Summary!E575</f>
        <v>MMcfd</v>
      </c>
    </row>
    <row r="574" customFormat="false" ht="15" hidden="false" customHeight="true" outlineLevel="0" collapsed="false">
      <c r="A574" s="16" t="n">
        <f aca="false">Summary!A576</f>
        <v>2035</v>
      </c>
      <c r="B574" s="31" t="str">
        <f aca="false">Summary!B576</f>
        <v>Conditional</v>
      </c>
      <c r="C574" s="31" t="str">
        <f aca="false">Summary!C576</f>
        <v>Flaring</v>
      </c>
      <c r="D574" s="32" t="n">
        <f aca="false">Summary!D576</f>
        <v>211.129556043987</v>
      </c>
      <c r="E574" s="31" t="str">
        <f aca="false">Summary!E576</f>
        <v>MMcfd</v>
      </c>
    </row>
    <row r="575" customFormat="false" ht="15" hidden="false" customHeight="true" outlineLevel="0" collapsed="false">
      <c r="A575" s="16" t="n">
        <f aca="false">Summary!A577</f>
        <v>2036</v>
      </c>
      <c r="B575" s="31" t="str">
        <f aca="false">Summary!B577</f>
        <v>Conditional</v>
      </c>
      <c r="C575" s="31" t="str">
        <f aca="false">Summary!C577</f>
        <v>Flaring</v>
      </c>
      <c r="D575" s="32" t="n">
        <f aca="false">Summary!D577</f>
        <v>187.976316950017</v>
      </c>
      <c r="E575" s="31" t="str">
        <f aca="false">Summary!E577</f>
        <v>MMcfd</v>
      </c>
    </row>
    <row r="576" customFormat="false" ht="15" hidden="false" customHeight="true" outlineLevel="0" collapsed="false">
      <c r="A576" s="16" t="n">
        <f aca="false">Summary!A578</f>
        <v>2037</v>
      </c>
      <c r="B576" s="31" t="str">
        <f aca="false">Summary!B578</f>
        <v>Conditional</v>
      </c>
      <c r="C576" s="31" t="str">
        <f aca="false">Summary!C578</f>
        <v>Flaring</v>
      </c>
      <c r="D576" s="32" t="n">
        <f aca="false">Summary!D578</f>
        <v>166.714083749822</v>
      </c>
      <c r="E576" s="31" t="str">
        <f aca="false">Summary!E578</f>
        <v>MMcfd</v>
      </c>
    </row>
    <row r="577" customFormat="false" ht="15" hidden="false" customHeight="true" outlineLevel="0" collapsed="false">
      <c r="A577" s="16" t="n">
        <f aca="false">Summary!A579</f>
        <v>2038</v>
      </c>
      <c r="B577" s="31" t="str">
        <f aca="false">Summary!B579</f>
        <v>Conditional</v>
      </c>
      <c r="C577" s="31" t="str">
        <f aca="false">Summary!C579</f>
        <v>Flaring</v>
      </c>
      <c r="D577" s="32" t="n">
        <f aca="false">Summary!D579</f>
        <v>147.31293024019</v>
      </c>
      <c r="E577" s="31" t="str">
        <f aca="false">Summary!E579</f>
        <v>MMcfd</v>
      </c>
    </row>
    <row r="578" customFormat="false" ht="15" hidden="false" customHeight="true" outlineLevel="0" collapsed="false">
      <c r="A578" s="16" t="n">
        <f aca="false">Summary!A580</f>
        <v>2039</v>
      </c>
      <c r="B578" s="31" t="str">
        <f aca="false">Summary!B580</f>
        <v>Conditional</v>
      </c>
      <c r="C578" s="31" t="str">
        <f aca="false">Summary!C580</f>
        <v>Flaring</v>
      </c>
      <c r="D578" s="32" t="n">
        <f aca="false">Summary!D580</f>
        <v>129.689812319938</v>
      </c>
      <c r="E578" s="31" t="str">
        <f aca="false">Summary!E580</f>
        <v>MMcfd</v>
      </c>
    </row>
    <row r="579" customFormat="false" ht="15" hidden="false" customHeight="true" outlineLevel="0" collapsed="false">
      <c r="A579" s="16" t="n">
        <f aca="false">Summary!A581</f>
        <v>2040</v>
      </c>
      <c r="B579" s="31" t="str">
        <f aca="false">Summary!B581</f>
        <v>Conditional</v>
      </c>
      <c r="C579" s="31" t="str">
        <f aca="false">Summary!C581</f>
        <v>Flaring</v>
      </c>
      <c r="D579" s="32" t="n">
        <f aca="false">Summary!D581</f>
        <v>113.720332053108</v>
      </c>
      <c r="E579" s="31" t="str">
        <f aca="false">Summary!E581</f>
        <v>MMcfd</v>
      </c>
    </row>
    <row r="580" customFormat="false" ht="15" hidden="false" customHeight="true" outlineLevel="0" collapsed="false">
      <c r="A580" s="16" t="n">
        <f aca="false">Summary!A582</f>
        <v>2041</v>
      </c>
      <c r="B580" s="31" t="str">
        <f aca="false">Summary!B582</f>
        <v>Conditional</v>
      </c>
      <c r="C580" s="31" t="str">
        <f aca="false">Summary!C582</f>
        <v>Flaring</v>
      </c>
      <c r="D580" s="32" t="n">
        <f aca="false">Summary!D582</f>
        <v>99.2497674558182</v>
      </c>
      <c r="E580" s="31" t="str">
        <f aca="false">Summary!E582</f>
        <v>MMcfd</v>
      </c>
    </row>
    <row r="581" customFormat="false" ht="15" hidden="false" customHeight="true" outlineLevel="0" collapsed="false">
      <c r="A581" s="16" t="n">
        <f aca="false">Summary!A583</f>
        <v>2042</v>
      </c>
      <c r="B581" s="31" t="str">
        <f aca="false">Summary!B583</f>
        <v>Conditional</v>
      </c>
      <c r="C581" s="31" t="str">
        <f aca="false">Summary!C583</f>
        <v>Flaring</v>
      </c>
      <c r="D581" s="32" t="n">
        <f aca="false">Summary!D583</f>
        <v>86.1043055627187</v>
      </c>
      <c r="E581" s="31" t="str">
        <f aca="false">Summary!E583</f>
        <v>MMcfd</v>
      </c>
    </row>
    <row r="582" customFormat="false" ht="15" hidden="false" customHeight="true" outlineLevel="0" collapsed="false">
      <c r="A582" s="16" t="n">
        <f aca="false">Summary!A584</f>
        <v>2043</v>
      </c>
      <c r="B582" s="31" t="str">
        <f aca="false">Summary!B584</f>
        <v>Conditional</v>
      </c>
      <c r="C582" s="31" t="str">
        <f aca="false">Summary!C584</f>
        <v>Flaring</v>
      </c>
      <c r="D582" s="32" t="n">
        <f aca="false">Summary!D584</f>
        <v>74.1013153012937</v>
      </c>
      <c r="E582" s="31" t="str">
        <f aca="false">Summary!E584</f>
        <v>MMcfd</v>
      </c>
    </row>
    <row r="583" customFormat="false" ht="15" hidden="false" customHeight="true" outlineLevel="0" collapsed="false">
      <c r="A583" s="16" t="n">
        <f aca="false">Summary!A585</f>
        <v>2044</v>
      </c>
      <c r="B583" s="31" t="str">
        <f aca="false">Summary!B585</f>
        <v>Conditional</v>
      </c>
      <c r="C583" s="31" t="str">
        <f aca="false">Summary!C585</f>
        <v>Flaring</v>
      </c>
      <c r="D583" s="32" t="n">
        <f aca="false">Summary!D585</f>
        <v>61.5250502740914</v>
      </c>
      <c r="E583" s="31" t="str">
        <f aca="false">Summary!E585</f>
        <v>MMcfd</v>
      </c>
    </row>
    <row r="584" customFormat="false" ht="15" hidden="false" customHeight="true" outlineLevel="0" collapsed="false">
      <c r="A584" s="16" t="n">
        <f aca="false">Summary!A586</f>
        <v>2045</v>
      </c>
      <c r="B584" s="31" t="str">
        <f aca="false">Summary!B586</f>
        <v>Conditional</v>
      </c>
      <c r="C584" s="31" t="str">
        <f aca="false">Summary!C586</f>
        <v>Flaring</v>
      </c>
      <c r="D584" s="32" t="n">
        <f aca="false">Summary!D586</f>
        <v>46.9901420819918</v>
      </c>
      <c r="E584" s="31" t="str">
        <f aca="false">Summary!E586</f>
        <v>MMcfd</v>
      </c>
    </row>
    <row r="585" customFormat="false" ht="15" hidden="false" customHeight="true" outlineLevel="0" collapsed="false">
      <c r="A585" s="16" t="n">
        <f aca="false">Summary!A587</f>
        <v>2046</v>
      </c>
      <c r="B585" s="31" t="str">
        <f aca="false">Summary!B587</f>
        <v>Conditional</v>
      </c>
      <c r="C585" s="31" t="str">
        <f aca="false">Summary!C587</f>
        <v>Flaring</v>
      </c>
      <c r="D585" s="32" t="n">
        <f aca="false">Summary!D587</f>
        <v>30.6478491581659</v>
      </c>
      <c r="E585" s="31" t="str">
        <f aca="false">Summary!E587</f>
        <v>MMcfd</v>
      </c>
    </row>
    <row r="586" customFormat="false" ht="15" hidden="false" customHeight="true" outlineLevel="0" collapsed="false">
      <c r="A586" s="16" t="n">
        <f aca="false">Summary!A588</f>
        <v>2047</v>
      </c>
      <c r="B586" s="31" t="str">
        <f aca="false">Summary!B588</f>
        <v>Conditional</v>
      </c>
      <c r="C586" s="31" t="str">
        <f aca="false">Summary!C588</f>
        <v>Flaring</v>
      </c>
      <c r="D586" s="32" t="n">
        <f aca="false">Summary!D588</f>
        <v>12.9545476498904</v>
      </c>
      <c r="E586" s="31" t="str">
        <f aca="false">Summary!E588</f>
        <v>MMcfd</v>
      </c>
    </row>
    <row r="587" customFormat="false" ht="15" hidden="false" customHeight="true" outlineLevel="0" collapsed="false">
      <c r="A587" s="16" t="n">
        <f aca="false">Summary!A589</f>
        <v>2048</v>
      </c>
      <c r="B587" s="31" t="str">
        <f aca="false">Summary!B589</f>
        <v>Conditional</v>
      </c>
      <c r="C587" s="31" t="str">
        <f aca="false">Summary!C589</f>
        <v>Flaring</v>
      </c>
      <c r="D587" s="32" t="n">
        <f aca="false">Summary!D589</f>
        <v>4.17010639082487</v>
      </c>
      <c r="E587" s="31" t="str">
        <f aca="false">Summary!E589</f>
        <v>MMcfd</v>
      </c>
    </row>
    <row r="588" customFormat="false" ht="15" hidden="false" customHeight="true" outlineLevel="0" collapsed="false">
      <c r="A588" s="16" t="n">
        <f aca="false">Summary!A590</f>
        <v>2049</v>
      </c>
      <c r="B588" s="31" t="str">
        <f aca="false">Summary!B590</f>
        <v>Conditional</v>
      </c>
      <c r="C588" s="31" t="str">
        <f aca="false">Summary!C590</f>
        <v>Flaring</v>
      </c>
      <c r="D588" s="32" t="n">
        <f aca="false">Summary!D590</f>
        <v>1.73480259571981</v>
      </c>
      <c r="E588" s="31" t="str">
        <f aca="false">Summary!E590</f>
        <v>MMcfd</v>
      </c>
    </row>
    <row r="589" customFormat="false" ht="15" hidden="false" customHeight="true" outlineLevel="0" collapsed="false">
      <c r="A589" s="16" t="n">
        <f aca="false">Summary!A591</f>
        <v>2050</v>
      </c>
      <c r="B589" s="31" t="str">
        <f aca="false">Summary!B591</f>
        <v>Conditional</v>
      </c>
      <c r="C589" s="31" t="str">
        <f aca="false">Summary!C591</f>
        <v>Flaring</v>
      </c>
      <c r="D589" s="32" t="n">
        <f aca="false">Summary!D591</f>
        <v>1.73480259571981</v>
      </c>
      <c r="E589" s="31" t="str">
        <f aca="false">Summary!E591</f>
        <v>MMcfd</v>
      </c>
    </row>
    <row r="590" customFormat="false" ht="15" hidden="false" customHeight="true" outlineLevel="0" collapsed="false">
      <c r="A590" s="16" t="n">
        <f aca="false">Summary!A592</f>
        <v>2023</v>
      </c>
      <c r="B590" s="31" t="str">
        <f aca="false">Summary!B592</f>
        <v>Conditional</v>
      </c>
      <c r="C590" s="31" t="str">
        <f aca="false">Summary!C592</f>
        <v>Gas Recovery</v>
      </c>
      <c r="D590" s="32" t="n">
        <f aca="false">Summary!D592</f>
        <v>0</v>
      </c>
      <c r="E590" s="31" t="str">
        <f aca="false">Summary!E592</f>
        <v>MMcfd</v>
      </c>
    </row>
    <row r="591" customFormat="false" ht="15" hidden="false" customHeight="true" outlineLevel="0" collapsed="false">
      <c r="A591" s="16" t="n">
        <f aca="false">Summary!A593</f>
        <v>2024</v>
      </c>
      <c r="B591" s="31" t="str">
        <f aca="false">Summary!B593</f>
        <v>Conditional</v>
      </c>
      <c r="C591" s="31" t="str">
        <f aca="false">Summary!C593</f>
        <v>Gas Recovery</v>
      </c>
      <c r="D591" s="32" t="n">
        <f aca="false">Summary!D593</f>
        <v>76.0376251267021</v>
      </c>
      <c r="E591" s="31" t="str">
        <f aca="false">Summary!E593</f>
        <v>MMcfd</v>
      </c>
    </row>
    <row r="592" customFormat="false" ht="15" hidden="false" customHeight="true" outlineLevel="0" collapsed="false">
      <c r="A592" s="16" t="n">
        <f aca="false">Summary!A594</f>
        <v>2025</v>
      </c>
      <c r="B592" s="31" t="str">
        <f aca="false">Summary!B594</f>
        <v>Conditional</v>
      </c>
      <c r="C592" s="31" t="str">
        <f aca="false">Summary!C594</f>
        <v>Gas Recovery</v>
      </c>
      <c r="D592" s="32" t="n">
        <f aca="false">Summary!D594</f>
        <v>184.793499173033</v>
      </c>
      <c r="E592" s="31" t="str">
        <f aca="false">Summary!E594</f>
        <v>MMcfd</v>
      </c>
    </row>
    <row r="593" customFormat="false" ht="15" hidden="false" customHeight="true" outlineLevel="0" collapsed="false">
      <c r="A593" s="16" t="n">
        <f aca="false">Summary!A595</f>
        <v>2026</v>
      </c>
      <c r="B593" s="31" t="str">
        <f aca="false">Summary!B595</f>
        <v>Conditional</v>
      </c>
      <c r="C593" s="31" t="str">
        <f aca="false">Summary!C595</f>
        <v>Gas Recovery</v>
      </c>
      <c r="D593" s="32" t="n">
        <f aca="false">Summary!D595</f>
        <v>293.682586264034</v>
      </c>
      <c r="E593" s="31" t="str">
        <f aca="false">Summary!E595</f>
        <v>MMcfd</v>
      </c>
    </row>
    <row r="594" customFormat="false" ht="15" hidden="false" customHeight="true" outlineLevel="0" collapsed="false">
      <c r="A594" s="16" t="n">
        <f aca="false">Summary!A596</f>
        <v>2027</v>
      </c>
      <c r="B594" s="31" t="str">
        <f aca="false">Summary!B596</f>
        <v>Conditional</v>
      </c>
      <c r="C594" s="31" t="str">
        <f aca="false">Summary!C596</f>
        <v>Gas Recovery</v>
      </c>
      <c r="D594" s="32" t="n">
        <f aca="false">Summary!D596</f>
        <v>402.704752867784</v>
      </c>
      <c r="E594" s="31" t="str">
        <f aca="false">Summary!E596</f>
        <v>MMcfd</v>
      </c>
    </row>
    <row r="595" customFormat="false" ht="15" hidden="false" customHeight="true" outlineLevel="0" collapsed="false">
      <c r="A595" s="16" t="n">
        <f aca="false">Summary!A597</f>
        <v>2028</v>
      </c>
      <c r="B595" s="31" t="str">
        <f aca="false">Summary!B597</f>
        <v>Conditional</v>
      </c>
      <c r="C595" s="31" t="str">
        <f aca="false">Summary!C597</f>
        <v>Gas Recovery</v>
      </c>
      <c r="D595" s="32" t="n">
        <f aca="false">Summary!D597</f>
        <v>511.801327235933</v>
      </c>
      <c r="E595" s="31" t="str">
        <f aca="false">Summary!E597</f>
        <v>MMcfd</v>
      </c>
    </row>
    <row r="596" customFormat="false" ht="15" hidden="false" customHeight="true" outlineLevel="0" collapsed="false">
      <c r="A596" s="16" t="n">
        <f aca="false">Summary!A598</f>
        <v>2029</v>
      </c>
      <c r="B596" s="31" t="str">
        <f aca="false">Summary!B598</f>
        <v>Conditional</v>
      </c>
      <c r="C596" s="31" t="str">
        <f aca="false">Summary!C598</f>
        <v>Gas Recovery</v>
      </c>
      <c r="D596" s="32" t="n">
        <f aca="false">Summary!D598</f>
        <v>620.840298255951</v>
      </c>
      <c r="E596" s="31" t="str">
        <f aca="false">Summary!E598</f>
        <v>MMcfd</v>
      </c>
    </row>
    <row r="597" customFormat="false" ht="15" hidden="false" customHeight="true" outlineLevel="0" collapsed="false">
      <c r="A597" s="16" t="n">
        <f aca="false">Summary!A599</f>
        <v>2030</v>
      </c>
      <c r="B597" s="31" t="str">
        <f aca="false">Summary!B599</f>
        <v>Conditional</v>
      </c>
      <c r="C597" s="31" t="str">
        <f aca="false">Summary!C599</f>
        <v>Gas Recovery</v>
      </c>
      <c r="D597" s="32" t="n">
        <f aca="false">Summary!D599</f>
        <v>729.634629150757</v>
      </c>
      <c r="E597" s="31" t="str">
        <f aca="false">Summary!E599</f>
        <v>MMcfd</v>
      </c>
    </row>
    <row r="598" customFormat="false" ht="15" hidden="false" customHeight="true" outlineLevel="0" collapsed="false">
      <c r="A598" s="16" t="n">
        <f aca="false">Summary!A600</f>
        <v>2031</v>
      </c>
      <c r="B598" s="31" t="str">
        <f aca="false">Summary!B600</f>
        <v>Conditional</v>
      </c>
      <c r="C598" s="31" t="str">
        <f aca="false">Summary!C600</f>
        <v>Gas Recovery</v>
      </c>
      <c r="D598" s="32" t="n">
        <f aca="false">Summary!D600</f>
        <v>837.966954078451</v>
      </c>
      <c r="E598" s="31" t="str">
        <f aca="false">Summary!E600</f>
        <v>MMcfd</v>
      </c>
    </row>
    <row r="599" customFormat="false" ht="15" hidden="false" customHeight="true" outlineLevel="0" collapsed="false">
      <c r="A599" s="16" t="n">
        <f aca="false">Summary!A601</f>
        <v>2032</v>
      </c>
      <c r="B599" s="31" t="str">
        <f aca="false">Summary!B601</f>
        <v>Conditional</v>
      </c>
      <c r="C599" s="31" t="str">
        <f aca="false">Summary!C601</f>
        <v>Gas Recovery</v>
      </c>
      <c r="D599" s="32" t="n">
        <f aca="false">Summary!D601</f>
        <v>945.620285277835</v>
      </c>
      <c r="E599" s="31" t="str">
        <f aca="false">Summary!E601</f>
        <v>MMcfd</v>
      </c>
    </row>
    <row r="600" customFormat="false" ht="15" hidden="false" customHeight="true" outlineLevel="0" collapsed="false">
      <c r="A600" s="16" t="n">
        <f aca="false">Summary!A602</f>
        <v>2033</v>
      </c>
      <c r="B600" s="31" t="str">
        <f aca="false">Summary!B602</f>
        <v>Conditional</v>
      </c>
      <c r="C600" s="31" t="str">
        <f aca="false">Summary!C602</f>
        <v>Gas Recovery</v>
      </c>
      <c r="D600" s="32" t="n">
        <f aca="false">Summary!D602</f>
        <v>1052.39383764029</v>
      </c>
      <c r="E600" s="31" t="str">
        <f aca="false">Summary!E602</f>
        <v>MMcfd</v>
      </c>
    </row>
    <row r="601" customFormat="false" ht="15" hidden="false" customHeight="true" outlineLevel="0" collapsed="false">
      <c r="A601" s="16" t="n">
        <f aca="false">Summary!A603</f>
        <v>2034</v>
      </c>
      <c r="B601" s="31" t="str">
        <f aca="false">Summary!B603</f>
        <v>Conditional</v>
      </c>
      <c r="C601" s="31" t="str">
        <f aca="false">Summary!C603</f>
        <v>Gas Recovery</v>
      </c>
      <c r="D601" s="32" t="n">
        <f aca="false">Summary!D603</f>
        <v>1158.11785593616</v>
      </c>
      <c r="E601" s="31" t="str">
        <f aca="false">Summary!E603</f>
        <v>MMcfd</v>
      </c>
    </row>
    <row r="602" customFormat="false" ht="15" hidden="false" customHeight="true" outlineLevel="0" collapsed="false">
      <c r="A602" s="16" t="n">
        <f aca="false">Summary!A604</f>
        <v>2035</v>
      </c>
      <c r="B602" s="31" t="str">
        <f aca="false">Summary!B604</f>
        <v>Conditional</v>
      </c>
      <c r="C602" s="31" t="str">
        <f aca="false">Summary!C604</f>
        <v>Gas Recovery</v>
      </c>
      <c r="D602" s="32" t="n">
        <f aca="false">Summary!D604</f>
        <v>1262.66740758869</v>
      </c>
      <c r="E602" s="31" t="str">
        <f aca="false">Summary!E604</f>
        <v>MMcfd</v>
      </c>
    </row>
    <row r="603" customFormat="false" ht="15" hidden="false" customHeight="true" outlineLevel="0" collapsed="false">
      <c r="A603" s="16" t="n">
        <f aca="false">Summary!A605</f>
        <v>2036</v>
      </c>
      <c r="B603" s="31" t="str">
        <f aca="false">Summary!B605</f>
        <v>Conditional</v>
      </c>
      <c r="C603" s="31" t="str">
        <f aca="false">Summary!C605</f>
        <v>Gas Recovery</v>
      </c>
      <c r="D603" s="32" t="n">
        <f aca="false">Summary!D605</f>
        <v>1365.97507738363</v>
      </c>
      <c r="E603" s="31" t="str">
        <f aca="false">Summary!E605</f>
        <v>MMcfd</v>
      </c>
    </row>
    <row r="604" customFormat="false" ht="15" hidden="false" customHeight="true" outlineLevel="0" collapsed="false">
      <c r="A604" s="16" t="n">
        <f aca="false">Summary!A606</f>
        <v>2037</v>
      </c>
      <c r="B604" s="31" t="str">
        <f aca="false">Summary!B606</f>
        <v>Conditional</v>
      </c>
      <c r="C604" s="31" t="str">
        <f aca="false">Summary!C606</f>
        <v>Gas Recovery</v>
      </c>
      <c r="D604" s="32" t="n">
        <f aca="false">Summary!D606</f>
        <v>1468.04246480632</v>
      </c>
      <c r="E604" s="31" t="str">
        <f aca="false">Summary!E606</f>
        <v>MMcfd</v>
      </c>
    </row>
    <row r="605" customFormat="false" ht="15" hidden="false" customHeight="true" outlineLevel="0" collapsed="false">
      <c r="A605" s="16" t="n">
        <f aca="false">Summary!A607</f>
        <v>2038</v>
      </c>
      <c r="B605" s="31" t="str">
        <f aca="false">Summary!B607</f>
        <v>Conditional</v>
      </c>
      <c r="C605" s="31" t="str">
        <f aca="false">Summary!C607</f>
        <v>Gas Recovery</v>
      </c>
      <c r="D605" s="32" t="n">
        <f aca="false">Summary!D607</f>
        <v>1568.92443092638</v>
      </c>
      <c r="E605" s="31" t="str">
        <f aca="false">Summary!E607</f>
        <v>MMcfd</v>
      </c>
    </row>
    <row r="606" customFormat="false" ht="15" hidden="false" customHeight="true" outlineLevel="0" collapsed="false">
      <c r="A606" s="16" t="n">
        <f aca="false">Summary!A608</f>
        <v>2039</v>
      </c>
      <c r="B606" s="31" t="str">
        <f aca="false">Summary!B608</f>
        <v>Conditional</v>
      </c>
      <c r="C606" s="31" t="str">
        <f aca="false">Summary!C608</f>
        <v>Gas Recovery</v>
      </c>
      <c r="D606" s="32" t="n">
        <f aca="false">Summary!D608</f>
        <v>1668.71472284936</v>
      </c>
      <c r="E606" s="31" t="str">
        <f aca="false">Summary!E608</f>
        <v>MMcfd</v>
      </c>
    </row>
    <row r="607" customFormat="false" ht="15" hidden="false" customHeight="true" outlineLevel="0" collapsed="false">
      <c r="A607" s="16" t="n">
        <f aca="false">Summary!A609</f>
        <v>2040</v>
      </c>
      <c r="B607" s="31" t="str">
        <f aca="false">Summary!B609</f>
        <v>Conditional</v>
      </c>
      <c r="C607" s="31" t="str">
        <f aca="false">Summary!C609</f>
        <v>Gas Recovery</v>
      </c>
      <c r="D607" s="32" t="n">
        <f aca="false">Summary!D609</f>
        <v>1767.53297423157</v>
      </c>
      <c r="E607" s="31" t="str">
        <f aca="false">Summary!E609</f>
        <v>MMcfd</v>
      </c>
    </row>
    <row r="608" customFormat="false" ht="15" hidden="false" customHeight="true" outlineLevel="0" collapsed="false">
      <c r="A608" s="16" t="n">
        <f aca="false">Summary!A610</f>
        <v>2041</v>
      </c>
      <c r="B608" s="31" t="str">
        <f aca="false">Summary!B610</f>
        <v>Conditional</v>
      </c>
      <c r="C608" s="31" t="str">
        <f aca="false">Summary!C610</f>
        <v>Gas Recovery</v>
      </c>
      <c r="D608" s="32" t="n">
        <f aca="false">Summary!D610</f>
        <v>1865.51298526195</v>
      </c>
      <c r="E608" s="31" t="str">
        <f aca="false">Summary!E610</f>
        <v>MMcfd</v>
      </c>
    </row>
    <row r="609" customFormat="false" ht="15" hidden="false" customHeight="true" outlineLevel="0" collapsed="false">
      <c r="A609" s="16" t="n">
        <f aca="false">Summary!A611</f>
        <v>2042</v>
      </c>
      <c r="B609" s="31" t="str">
        <f aca="false">Summary!B611</f>
        <v>Conditional</v>
      </c>
      <c r="C609" s="31" t="str">
        <f aca="false">Summary!C611</f>
        <v>Gas Recovery</v>
      </c>
      <c r="D609" s="32" t="n">
        <f aca="false">Summary!D611</f>
        <v>1962.79124833992</v>
      </c>
      <c r="E609" s="31" t="str">
        <f aca="false">Summary!E611</f>
        <v>MMcfd</v>
      </c>
    </row>
    <row r="610" customFormat="false" ht="15" hidden="false" customHeight="true" outlineLevel="0" collapsed="false">
      <c r="A610" s="16" t="n">
        <f aca="false">Summary!A612</f>
        <v>2043</v>
      </c>
      <c r="B610" s="31" t="str">
        <f aca="false">Summary!B612</f>
        <v>Conditional</v>
      </c>
      <c r="C610" s="31" t="str">
        <f aca="false">Summary!C612</f>
        <v>Gas Recovery</v>
      </c>
      <c r="D610" s="32" t="n">
        <f aca="false">Summary!D612</f>
        <v>2059.49790080294</v>
      </c>
      <c r="E610" s="31" t="str">
        <f aca="false">Summary!E612</f>
        <v>MMcfd</v>
      </c>
    </row>
    <row r="611" customFormat="false" ht="15" hidden="false" customHeight="true" outlineLevel="0" collapsed="false">
      <c r="A611" s="16" t="n">
        <f aca="false">Summary!A613</f>
        <v>2044</v>
      </c>
      <c r="B611" s="31" t="str">
        <f aca="false">Summary!B613</f>
        <v>Conditional</v>
      </c>
      <c r="C611" s="31" t="str">
        <f aca="false">Summary!C613</f>
        <v>Gas Recovery</v>
      </c>
      <c r="D611" s="32" t="n">
        <f aca="false">Summary!D613</f>
        <v>2157.23946481732</v>
      </c>
      <c r="E611" s="31" t="str">
        <f aca="false">Summary!E613</f>
        <v>MMcfd</v>
      </c>
    </row>
    <row r="612" customFormat="false" ht="15" hidden="false" customHeight="true" outlineLevel="0" collapsed="false">
      <c r="A612" s="16" t="n">
        <f aca="false">Summary!A614</f>
        <v>2045</v>
      </c>
      <c r="B612" s="31" t="str">
        <f aca="false">Summary!B614</f>
        <v>Conditional</v>
      </c>
      <c r="C612" s="31" t="str">
        <f aca="false">Summary!C614</f>
        <v>Gas Recovery</v>
      </c>
      <c r="D612" s="32" t="n">
        <f aca="false">Summary!D614</f>
        <v>2257.29036305609</v>
      </c>
      <c r="E612" s="31" t="str">
        <f aca="false">Summary!E614</f>
        <v>MMcfd</v>
      </c>
    </row>
    <row r="613" customFormat="false" ht="15" hidden="false" customHeight="true" outlineLevel="0" collapsed="false">
      <c r="A613" s="16" t="n">
        <f aca="false">Summary!A615</f>
        <v>2046</v>
      </c>
      <c r="B613" s="31" t="str">
        <f aca="false">Summary!B615</f>
        <v>Conditional</v>
      </c>
      <c r="C613" s="31" t="str">
        <f aca="false">Summary!C615</f>
        <v>Gas Recovery</v>
      </c>
      <c r="D613" s="32" t="n">
        <f aca="false">Summary!D615</f>
        <v>2359.42452214734</v>
      </c>
      <c r="E613" s="31" t="str">
        <f aca="false">Summary!E615</f>
        <v>MMcfd</v>
      </c>
    </row>
    <row r="614" customFormat="false" ht="15" hidden="false" customHeight="true" outlineLevel="0" collapsed="false">
      <c r="A614" s="16" t="n">
        <f aca="false">Summary!A616</f>
        <v>2047</v>
      </c>
      <c r="B614" s="31" t="str">
        <f aca="false">Summary!B616</f>
        <v>Conditional</v>
      </c>
      <c r="C614" s="31" t="str">
        <f aca="false">Summary!C616</f>
        <v>Gas Recovery</v>
      </c>
      <c r="D614" s="32" t="n">
        <f aca="false">Summary!D616</f>
        <v>2462.11391071682</v>
      </c>
      <c r="E614" s="31" t="str">
        <f aca="false">Summary!E616</f>
        <v>MMcfd</v>
      </c>
    </row>
    <row r="615" customFormat="false" ht="15" hidden="false" customHeight="true" outlineLevel="0" collapsed="false">
      <c r="A615" s="16" t="n">
        <f aca="false">Summary!A617</f>
        <v>2048</v>
      </c>
      <c r="B615" s="31" t="str">
        <f aca="false">Summary!B617</f>
        <v>Conditional</v>
      </c>
      <c r="C615" s="31" t="str">
        <f aca="false">Summary!C617</f>
        <v>Gas Recovery</v>
      </c>
      <c r="D615" s="32" t="n">
        <f aca="false">Summary!D617</f>
        <v>2553.74814267787</v>
      </c>
      <c r="E615" s="31" t="str">
        <f aca="false">Summary!E617</f>
        <v>MMcfd</v>
      </c>
    </row>
    <row r="616" customFormat="false" ht="15" hidden="false" customHeight="true" outlineLevel="0" collapsed="false">
      <c r="A616" s="16" t="n">
        <f aca="false">Summary!A618</f>
        <v>2049</v>
      </c>
      <c r="B616" s="31" t="str">
        <f aca="false">Summary!B618</f>
        <v>Conditional</v>
      </c>
      <c r="C616" s="31" t="str">
        <f aca="false">Summary!C618</f>
        <v>Gas Recovery</v>
      </c>
      <c r="D616" s="32" t="n">
        <f aca="false">Summary!D618</f>
        <v>2638.88795718698</v>
      </c>
      <c r="E616" s="31" t="str">
        <f aca="false">Summary!E618</f>
        <v>MMcfd</v>
      </c>
    </row>
    <row r="617" customFormat="false" ht="15" hidden="false" customHeight="true" outlineLevel="0" collapsed="false">
      <c r="A617" s="16" t="n">
        <f aca="false">Summary!A619</f>
        <v>2050</v>
      </c>
      <c r="B617" s="31" t="str">
        <f aca="false">Summary!B619</f>
        <v>Conditional</v>
      </c>
      <c r="C617" s="31" t="str">
        <f aca="false">Summary!C619</f>
        <v>Gas Recovery</v>
      </c>
      <c r="D617" s="32" t="n">
        <f aca="false">Summary!D619</f>
        <v>2637.82792981855</v>
      </c>
      <c r="E617" s="31" t="str">
        <f aca="false">Summary!E619</f>
        <v>MMcfd</v>
      </c>
    </row>
  </sheetData>
  <autoFilter ref="A1:E6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2026-04-30T06:39:41Z</dcterms:created>
  <dc:creator>openpyxl</dc:creator>
  <dc:description/>
  <dc:language>en-US</dc:language>
  <cp:lastModifiedBy/>
  <dcterms:modified xsi:type="dcterms:W3CDTF">2026-04-30T18:00:36Z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